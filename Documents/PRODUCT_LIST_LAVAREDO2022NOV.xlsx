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Product list" sheetId="1" state="visible" r:id="rId2"/>
    <sheet name="Supplier list" sheetId="2" state="visible" r:id="rId3"/>
    <sheet name="Category" sheetId="3" state="visible" r:id="rId4"/>
    <sheet name="Accounts" sheetId="4" state="visible" r:id="rId5"/>
    <sheet name="UOM" sheetId="5" state="visible" r:id="rId6"/>
    <sheet name="Country" sheetId="6" state="visible" r:id="rId7"/>
    <sheet name="Payment Terms" sheetId="7" state="visible" r:id="rId8"/>
    <sheet name="Product 1-651" sheetId="8" state="visible" r:id="rId9"/>
    <sheet name="Product 652-1300" sheetId="9" state="visible" r:id="rId10"/>
    <sheet name="1301-1709" sheetId="10" state="visible" r:id="rId11"/>
  </sheets>
  <definedNames>
    <definedName function="false" hidden="true" localSheetId="0" name="_xlnm._FilterDatabase" vbProcedure="false">'Product list'!$A$1:$O$1709</definedName>
    <definedName function="false" hidden="false" localSheetId="1" name="_xlnm._FilterDatabase" vbProcedure="false">'Supplier list'!$A$1:$Y$620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<sst xmlns="http://schemas.openxmlformats.org/spreadsheetml/2006/main" count="40787" uniqueCount="9218">
  <si>
    <t xml:space="preserve">Standardize</t>
  </si>
  <si>
    <t xml:space="preserve">Product Code</t>
  </si>
  <si>
    <t xml:space="preserve">Income Account</t>
  </si>
  <si>
    <t xml:space="preserve">Expense Account</t>
  </si>
  <si>
    <t xml:space="preserve">Product Category</t>
  </si>
  <si>
    <t xml:space="preserve">Product Type</t>
  </si>
  <si>
    <t xml:space="preserve">Product Name TH</t>
  </si>
  <si>
    <t xml:space="preserve">Product Name EN</t>
  </si>
  <si>
    <t xml:space="preserve">UOM TH</t>
  </si>
  <si>
    <t xml:space="preserve">UOM EN</t>
  </si>
  <si>
    <t xml:space="preserve">Code Supplier</t>
  </si>
  <si>
    <t xml:space="preserve">Supplier Name</t>
  </si>
  <si>
    <t xml:space="preserve">Sellable/Not Sellable</t>
  </si>
  <si>
    <t xml:space="preserve">Selling Price</t>
  </si>
  <si>
    <t xml:space="preserve">Cost Price</t>
  </si>
  <si>
    <t xml:space="preserve">Standard</t>
  </si>
  <si>
    <t xml:space="preserve">AX-3M233-TH</t>
  </si>
  <si>
    <t xml:space="preserve">Tape</t>
  </si>
  <si>
    <t xml:space="preserve">Storable Product</t>
  </si>
  <si>
    <t xml:space="preserve">เทปกาว 3M</t>
  </si>
  <si>
    <t xml:space="preserve">Masking tape</t>
  </si>
  <si>
    <t xml:space="preserve">ชิ้น</t>
  </si>
  <si>
    <t xml:space="preserve">PC</t>
  </si>
  <si>
    <t xml:space="preserve">AP-CST000</t>
  </si>
  <si>
    <t xml:space="preserve">Not Sellable</t>
  </si>
  <si>
    <t xml:space="preserve">AX-513004-TH</t>
  </si>
  <si>
    <t xml:space="preserve">buy-sell</t>
  </si>
  <si>
    <t xml:space="preserve">ซื้อมา-ขายไป</t>
  </si>
  <si>
    <t xml:space="preserve">Buy-Sell</t>
  </si>
  <si>
    <t xml:space="preserve">-</t>
  </si>
  <si>
    <t xml:space="preserve">AX-513006-TH</t>
  </si>
  <si>
    <t xml:space="preserve">Service</t>
  </si>
  <si>
    <t xml:space="preserve">ค่าใช้จ่าย-นำเข้า</t>
  </si>
  <si>
    <t xml:space="preserve">Import Fee</t>
  </si>
  <si>
    <t xml:space="preserve">งาน</t>
  </si>
  <si>
    <t xml:space="preserve">JOB</t>
  </si>
  <si>
    <t xml:space="preserve">AX-513007-TH</t>
  </si>
  <si>
    <t xml:space="preserve">ค่าใช้จ่าย-ส่งออก</t>
  </si>
  <si>
    <t xml:space="preserve">Export Fee</t>
  </si>
  <si>
    <t xml:space="preserve">AX-531016-TH</t>
  </si>
  <si>
    <t xml:space="preserve">ค่าสวัสดิการอื่นๆ-เลี้ยงข้าวพนักงาน</t>
  </si>
  <si>
    <t xml:space="preserve">Other welfare expenses - food for employees</t>
  </si>
  <si>
    <t xml:space="preserve">AX-CGM00-TH</t>
  </si>
  <si>
    <t xml:space="preserve">เทปกาว</t>
  </si>
  <si>
    <t xml:space="preserve">AP-BNT000 </t>
  </si>
  <si>
    <t xml:space="preserve">AX-PH007-TH</t>
  </si>
  <si>
    <t xml:space="preserve">Carpet</t>
  </si>
  <si>
    <t xml:space="preserve">พื้นพรมแผ่นรุ่น PH07</t>
  </si>
  <si>
    <t xml:space="preserve">Carpet floor sheet model PH07</t>
  </si>
  <si>
    <t xml:space="preserve">ตรม.</t>
  </si>
  <si>
    <t xml:space="preserve">SQM</t>
  </si>
  <si>
    <t xml:space="preserve">AP-SFL000 </t>
  </si>
  <si>
    <t xml:space="preserve">AX-PT00-001</t>
  </si>
  <si>
    <t xml:space="preserve">Cardboard cylinder</t>
  </si>
  <si>
    <t xml:space="preserve"> Paper Tube/กระบอกภาชนะกระดาษแข็ง </t>
  </si>
  <si>
    <t xml:space="preserve">Cardboard cylinder with spray paint</t>
  </si>
  <si>
    <t xml:space="preserve">AP-QNL000</t>
  </si>
  <si>
    <t xml:space="preserve">AX-PT00-002</t>
  </si>
  <si>
    <t xml:space="preserve">ค่าส่งสินค้าอื่นๆ</t>
  </si>
  <si>
    <t xml:space="preserve">Other shipping costs</t>
  </si>
  <si>
    <t xml:space="preserve">FC-0001</t>
  </si>
  <si>
    <t xml:space="preserve">Honeycomb</t>
  </si>
  <si>
    <t xml:space="preserve">กระดาษรังผึ้ง honeycomb กว้าง60xยาว30 หนา10 cm.</t>
  </si>
  <si>
    <t xml:space="preserve">Honey Comb 60x30x10 cm.</t>
  </si>
  <si>
    <t xml:space="preserve">FC-0002</t>
  </si>
  <si>
    <t xml:space="preserve">Tool</t>
  </si>
  <si>
    <t xml:space="preserve">เครื่องเจียร์ไฟฟ้า 4" MAKITA 9500NB     </t>
  </si>
  <si>
    <t xml:space="preserve">Electric Grinder 4MAKITA9500NB"</t>
  </si>
  <si>
    <t xml:space="preserve">AP-GDL000</t>
  </si>
  <si>
    <t xml:space="preserve">FC-0003</t>
  </si>
  <si>
    <t xml:space="preserve">ถังกาพ่น M-871</t>
  </si>
  <si>
    <t xml:space="preserve">Spray Gun M-871</t>
  </si>
  <si>
    <t xml:space="preserve">FC-0004</t>
  </si>
  <si>
    <t xml:space="preserve">ปืนยิงกาวซิลิโคน</t>
  </si>
  <si>
    <t xml:space="preserve">Silicone Caulking Gun</t>
  </si>
  <si>
    <t xml:space="preserve">AP-KSR001 </t>
  </si>
  <si>
    <t xml:space="preserve">FC-0005</t>
  </si>
  <si>
    <t xml:space="preserve">ตลับเมตร 5M. STANLEY TYLON</t>
  </si>
  <si>
    <t xml:space="preserve">Tape measure 5M. STANLEY TYLON</t>
  </si>
  <si>
    <t xml:space="preserve">FC-0006</t>
  </si>
  <si>
    <t xml:space="preserve">ประแจจับแป๊บ 1.1/2</t>
  </si>
  <si>
    <t xml:space="preserve">Pipe wrench 1.1/2</t>
  </si>
  <si>
    <t xml:space="preserve">AP-KSR001</t>
  </si>
  <si>
    <t xml:space="preserve">FC-0007</t>
  </si>
  <si>
    <t xml:space="preserve">ปืนลม</t>
  </si>
  <si>
    <t xml:space="preserve">Air gun</t>
  </si>
  <si>
    <t xml:space="preserve">FC-0008</t>
  </si>
  <si>
    <t xml:space="preserve">Sandpaper</t>
  </si>
  <si>
    <t xml:space="preserve">005.24.387 SANDING PAD ST-STF D150/17FT-M8-W-HT</t>
  </si>
  <si>
    <t xml:space="preserve">AP-HAF001</t>
  </si>
  <si>
    <t xml:space="preserve">FC-0009</t>
  </si>
  <si>
    <t xml:space="preserve">005.17.018 SANDING PAD SSH-STF-80X130/12</t>
  </si>
  <si>
    <t xml:space="preserve">FC-0010</t>
  </si>
  <si>
    <t xml:space="preserve">Battery</t>
  </si>
  <si>
    <t xml:space="preserve">005.23.322 Brush Holder ES 150 ถ่าน</t>
  </si>
  <si>
    <t xml:space="preserve">005.23.322 Brush Holder ES 150</t>
  </si>
  <si>
    <t xml:space="preserve">FC-0011</t>
  </si>
  <si>
    <t xml:space="preserve">Drill bits</t>
  </si>
  <si>
    <t xml:space="preserve">ดอกโฮซอล เจาะเหล็ก 28มม.</t>
  </si>
  <si>
    <t xml:space="preserve">Hole Saw 28 mm.</t>
  </si>
  <si>
    <t xml:space="preserve">FC-0012</t>
  </si>
  <si>
    <t xml:space="preserve">005.24.387 SANDING PAD              </t>
  </si>
  <si>
    <t xml:space="preserve">แผ่น</t>
  </si>
  <si>
    <t xml:space="preserve">SHEET</t>
  </si>
  <si>
    <t xml:space="preserve">FC-0013</t>
  </si>
  <si>
    <t xml:space="preserve">Light bulb</t>
  </si>
  <si>
    <t xml:space="preserve">หลอดไฟ (ยาว)</t>
  </si>
  <si>
    <t xml:space="preserve">Light bulb (long)</t>
  </si>
  <si>
    <t xml:space="preserve">หลอด</t>
  </si>
  <si>
    <t xml:space="preserve">TUBE</t>
  </si>
  <si>
    <t xml:space="preserve">AP-TPK001</t>
  </si>
  <si>
    <t xml:space="preserve">FC-0014</t>
  </si>
  <si>
    <t xml:space="preserve">หลอดไฟ (สั้น)</t>
  </si>
  <si>
    <t xml:space="preserve">Light bulb (short)</t>
  </si>
  <si>
    <t xml:space="preserve">FC-0015</t>
  </si>
  <si>
    <t xml:space="preserve">หัวปืน M-871 (จีน)</t>
  </si>
  <si>
    <t xml:space="preserve">Gun head M-871 (China)</t>
  </si>
  <si>
    <t xml:space="preserve">FC-0016</t>
  </si>
  <si>
    <t xml:space="preserve">หัวจี้ลม แกน 3 mm.</t>
  </si>
  <si>
    <t xml:space="preserve">Air pendant 3 mm.</t>
  </si>
  <si>
    <t xml:space="preserve">FC-0017</t>
  </si>
  <si>
    <t xml:space="preserve">Screw</t>
  </si>
  <si>
    <t xml:space="preserve">สกรูมิลดำ 12x55+หัว+อีแปะ</t>
  </si>
  <si>
    <t xml:space="preserve">Hexagon Screw Black 12x55</t>
  </si>
  <si>
    <t xml:space="preserve">ชุด</t>
  </si>
  <si>
    <t xml:space="preserve">SET</t>
  </si>
  <si>
    <t xml:space="preserve">FC-0020</t>
  </si>
  <si>
    <t xml:space="preserve">Joint</t>
  </si>
  <si>
    <t xml:space="preserve">คอปเปอร์ 3 ทาง T</t>
  </si>
  <si>
    <t xml:space="preserve">Coupler 3 Way Multi Pass ,T</t>
  </si>
  <si>
    <t xml:space="preserve">FC-0021</t>
  </si>
  <si>
    <t xml:space="preserve">ข้อต่อคอปเปอร์ 20pm.</t>
  </si>
  <si>
    <t xml:space="preserve">Coupler joint, model 20PM</t>
  </si>
  <si>
    <t xml:space="preserve">FC-0023</t>
  </si>
  <si>
    <t xml:space="preserve">ดอกเจาะกระจก 8มม.</t>
  </si>
  <si>
    <t xml:space="preserve">Glass drill bit 8 mm.</t>
  </si>
  <si>
    <t xml:space="preserve">FC-0024</t>
  </si>
  <si>
    <t xml:space="preserve">005.23.601 BRUSH ET-BG 240V CT26/36</t>
  </si>
  <si>
    <t xml:space="preserve">FC-0026</t>
  </si>
  <si>
    <t xml:space="preserve">Wheel</t>
  </si>
  <si>
    <t xml:space="preserve">ล้อไนลอนขาวชุดชุบโครเมียม แป้นเป็น 4"</t>
  </si>
  <si>
    <t xml:space="preserve">Wheels, white nylon, chrome plated set, backplate 4"</t>
  </si>
  <si>
    <t xml:space="preserve">กล่อง</t>
  </si>
  <si>
    <t xml:space="preserve">BOX</t>
  </si>
  <si>
    <t xml:space="preserve">AP-KCR000 </t>
  </si>
  <si>
    <t xml:space="preserve">FC-0027</t>
  </si>
  <si>
    <t xml:space="preserve">Bathroom cleaner</t>
  </si>
  <si>
    <t xml:space="preserve">น้ำยาล้างห้องน้ำ (เป็ดโปร)</t>
  </si>
  <si>
    <t xml:space="preserve">Bathroom cleaner (Duck Pro)</t>
  </si>
  <si>
    <t xml:space="preserve">ขวด</t>
  </si>
  <si>
    <t xml:space="preserve">BOTTLES</t>
  </si>
  <si>
    <t xml:space="preserve">AP-SMK000</t>
  </si>
  <si>
    <t xml:space="preserve">FC-0028</t>
  </si>
  <si>
    <t xml:space="preserve">สกรูมิล JF M4x8-0.70</t>
  </si>
  <si>
    <t xml:space="preserve">Hexagon Screw JF M4x8-0.70</t>
  </si>
  <si>
    <t xml:space="preserve">AP-KCR000</t>
  </si>
  <si>
    <t xml:space="preserve">FC-0029</t>
  </si>
  <si>
    <t xml:space="preserve">โฮลซอเจาะไม้ 7 ใบ/ชุด 26-63มม.</t>
  </si>
  <si>
    <t xml:space="preserve">Hole Saw 7 wood drill bits/set 26-63mm.</t>
  </si>
  <si>
    <t xml:space="preserve">AP-SHM000</t>
  </si>
  <si>
    <t xml:space="preserve">FC-0030</t>
  </si>
  <si>
    <t xml:space="preserve">EPE Foam</t>
  </si>
  <si>
    <t xml:space="preserve">EPE Foam Laminate inside (handle J)</t>
  </si>
  <si>
    <t xml:space="preserve">AP-PCP000 </t>
  </si>
  <si>
    <t xml:space="preserve">FC-0032</t>
  </si>
  <si>
    <t xml:space="preserve">Belt</t>
  </si>
  <si>
    <t xml:space="preserve">สายพาน 5V-800</t>
  </si>
  <si>
    <t xml:space="preserve">Belt 5V-800</t>
  </si>
  <si>
    <t xml:space="preserve">เส้น</t>
  </si>
  <si>
    <t xml:space="preserve">STRIP</t>
  </si>
  <si>
    <t xml:space="preserve">FC-0033</t>
  </si>
  <si>
    <t xml:space="preserve">สกรู JF 4X10  2000 ตัว/กล่อง</t>
  </si>
  <si>
    <t xml:space="preserve">Screw JF 4X10 2000 pcs/box</t>
  </si>
  <si>
    <t xml:space="preserve">FC-0034</t>
  </si>
  <si>
    <t xml:space="preserve">D-720015305 ดอกเจาะTCT D8xS10xL70-RH</t>
  </si>
  <si>
    <t xml:space="preserve">D-720015305 TCT drill bit D8xS10xL70-RH</t>
  </si>
  <si>
    <t xml:space="preserve">AP-TAJ000</t>
  </si>
  <si>
    <t xml:space="preserve">FC-0035</t>
  </si>
  <si>
    <t xml:space="preserve">D-720015296 ดอกเจาะTCT D8xS10xL70-LH</t>
  </si>
  <si>
    <t xml:space="preserve">D-720015296 TCT drill bit D8xS10xL70-LH</t>
  </si>
  <si>
    <t xml:space="preserve">FC-0036</t>
  </si>
  <si>
    <t xml:space="preserve">D-720048551 ดอกเจาะบานพับ D20xS10xL70-RH</t>
  </si>
  <si>
    <t xml:space="preserve">D-720048551 hinge drill bit D20xS10xL70-RH</t>
  </si>
  <si>
    <t xml:space="preserve">FC-0037</t>
  </si>
  <si>
    <t xml:space="preserve">D-720048550 ดอกเจาะบานพับ D20xS10xL70-LH</t>
  </si>
  <si>
    <t xml:space="preserve">D-720048550 hinge drill bit D20xS10xL70-LH</t>
  </si>
  <si>
    <t xml:space="preserve">FC-0038</t>
  </si>
  <si>
    <t xml:space="preserve">D-720016623 ดอกเจาะบานพับ D15xS10xL70-RH</t>
  </si>
  <si>
    <t xml:space="preserve">D-720016623 hinge drill bit D15xS10xL70-RH</t>
  </si>
  <si>
    <t xml:space="preserve">FC-0039</t>
  </si>
  <si>
    <t xml:space="preserve">สกรู JF M5x8มม.</t>
  </si>
  <si>
    <t xml:space="preserve">Screw JF M5x8 mm.</t>
  </si>
  <si>
    <t xml:space="preserve">AP-KCR000
</t>
  </si>
  <si>
    <t xml:space="preserve">FC-0040</t>
  </si>
  <si>
    <t xml:space="preserve">ข้อต่อ 20PM</t>
  </si>
  <si>
    <t xml:space="preserve">Joint 20PM</t>
  </si>
  <si>
    <t xml:space="preserve">FC-0041</t>
  </si>
  <si>
    <t xml:space="preserve">Power plug</t>
  </si>
  <si>
    <t xml:space="preserve">005.24.681 plug IT-Cable ปลั๊กสีดำ</t>
  </si>
  <si>
    <t xml:space="preserve">005.24.681 Plug IT-Cable black</t>
  </si>
  <si>
    <t xml:space="preserve">FC-0042</t>
  </si>
  <si>
    <t xml:space="preserve">D-720015301 ดอกเจาะ TCT D12xS10xL70-RH</t>
  </si>
  <si>
    <t xml:space="preserve">D-720015301 hinge drill bitD12xS10xL70-RH</t>
  </si>
  <si>
    <t xml:space="preserve">FC-0043</t>
  </si>
  <si>
    <t xml:space="preserve">D-720015298 ดอกเจาะ TCT D12xS10xL70-LH</t>
  </si>
  <si>
    <t xml:space="preserve">D-720015298 hinge drill bit D12xS10xL70-LH</t>
  </si>
  <si>
    <t xml:space="preserve">FC-0045</t>
  </si>
  <si>
    <t xml:space="preserve">D-720015297 ดอกเจาะTCT D10xS10xL70-RH</t>
  </si>
  <si>
    <t xml:space="preserve">D-720015297 hinge drill bit D10xS10xL70-RH</t>
  </si>
  <si>
    <t xml:space="preserve">FC-0046</t>
  </si>
  <si>
    <t xml:space="preserve">D-720015300 ดอกเจาะTCT D10xS10xL70-LH</t>
  </si>
  <si>
    <t xml:space="preserve">D-720015300 hinge drill bit D10xS10xL70-LH</t>
  </si>
  <si>
    <t xml:space="preserve">FC-0047</t>
  </si>
  <si>
    <t xml:space="preserve">Swallowtail</t>
  </si>
  <si>
    <t xml:space="preserve">หางปลาแฉก ใช้กลับสายไฟ 1.5-2.5mm</t>
  </si>
  <si>
    <t xml:space="preserve">Starfish tail for use with wires 1.5-2.5mm.</t>
  </si>
  <si>
    <t xml:space="preserve">FC-0048</t>
  </si>
  <si>
    <t xml:space="preserve">Screwdriver</t>
  </si>
  <si>
    <t xml:space="preserve">ไขควงหัวแฉก 6"</t>
  </si>
  <si>
    <t xml:space="preserve">Phillips head screwdriver 6"</t>
  </si>
  <si>
    <t xml:space="preserve">FC-0049</t>
  </si>
  <si>
    <t xml:space="preserve">Thread reducer</t>
  </si>
  <si>
    <t xml:space="preserve">ลดเหลี่ยม ทองเหลือง 3/4*1/2</t>
  </si>
  <si>
    <t xml:space="preserve">Square reducer, brass 3/4*1/2</t>
  </si>
  <si>
    <t xml:space="preserve">FC-0050</t>
  </si>
  <si>
    <t xml:space="preserve">Filter</t>
  </si>
  <si>
    <t xml:space="preserve">Filter cotton แผ่นกรองอากาศแบบเรียบ</t>
  </si>
  <si>
    <t xml:space="preserve">Flat air filter cotton</t>
  </si>
  <si>
    <t xml:space="preserve">FC-0051</t>
  </si>
  <si>
    <t xml:space="preserve">ข้อต่อ ผ.ม.ทองเหลือง 1/2"</t>
  </si>
  <si>
    <t xml:space="preserve">1/2" brass fitting</t>
  </si>
  <si>
    <t xml:space="preserve">FC-0052</t>
  </si>
  <si>
    <t xml:space="preserve">D-720016616 ดอกเจาะบานพับ D15xS10xL70-LH</t>
  </si>
  <si>
    <t xml:space="preserve">D-720016616 Hinge drill bit D15xS10xL70-LH</t>
  </si>
  <si>
    <t xml:space="preserve">AP-TAJ000 </t>
  </si>
  <si>
    <t xml:space="preserve">FC-0053</t>
  </si>
  <si>
    <t xml:space="preserve">LT-HG-S10-D16 ดอกเจาะบานพับ S10xD16x70 ซ้าย</t>
  </si>
  <si>
    <t xml:space="preserve">LT-HG-S10-D16 Hinge drill bit S10xD16x70 left</t>
  </si>
  <si>
    <t xml:space="preserve">FC-0054</t>
  </si>
  <si>
    <t xml:space="preserve">LT-HG-S10-D16 ดอกเจาะบานพับ S10xD16x70 ขวา</t>
  </si>
  <si>
    <t xml:space="preserve">LT-HG-S10-D16 Hinge drill bit S10xD16x70 right</t>
  </si>
  <si>
    <t xml:space="preserve">FC-0055</t>
  </si>
  <si>
    <t xml:space="preserve">เกลียวปล่อยหัวเตอเปอร์  F8*3 500ตัว/กล่อง</t>
  </si>
  <si>
    <t xml:space="preserve">Screw to release the turbo head F8*3 500pcs/box</t>
  </si>
  <si>
    <t xml:space="preserve">FC-0056</t>
  </si>
  <si>
    <t xml:space="preserve">Polyurethane Tube</t>
  </si>
  <si>
    <t xml:space="preserve">สายลมโพลีสีส้ม 6x4 mm. 200ม.</t>
  </si>
  <si>
    <t xml:space="preserve">Orange poly wind 6x4 mm. 200 m.</t>
  </si>
  <si>
    <t xml:space="preserve">ม้วน</t>
  </si>
  <si>
    <t xml:space="preserve">ROLL</t>
  </si>
  <si>
    <t xml:space="preserve">FC-0057</t>
  </si>
  <si>
    <t xml:space="preserve">สายลมโพลีสีส้ม 6x10mm 100ม.</t>
  </si>
  <si>
    <t xml:space="preserve">Orange poly wind 6x10 mm. 100 m.</t>
  </si>
  <si>
    <t xml:space="preserve">FS-FUFIT-001</t>
  </si>
  <si>
    <t xml:space="preserve">Solenoid</t>
  </si>
  <si>
    <t xml:space="preserve">โซลินอยด์</t>
  </si>
  <si>
    <t xml:space="preserve">FS-FUFIT-002</t>
  </si>
  <si>
    <t xml:space="preserve">Rubber Bump Button</t>
  </si>
  <si>
    <t xml:space="preserve">483.01.996 ปุ่มยางกันกระแทก</t>
  </si>
  <si>
    <t xml:space="preserve">483.01.996 Rubber Bump Button</t>
  </si>
  <si>
    <t xml:space="preserve">แผง</t>
  </si>
  <si>
    <t xml:space="preserve">PANEL</t>
  </si>
  <si>
    <t xml:space="preserve">FS-FUFIT-003</t>
  </si>
  <si>
    <t xml:space="preserve">Triangle Claw Bumper</t>
  </si>
  <si>
    <t xml:space="preserve">กันชนก้ามปูสามเหลี่ยม BARCO</t>
  </si>
  <si>
    <t xml:space="preserve">BARCO Triangle Claw Bumper</t>
  </si>
  <si>
    <t xml:space="preserve">FS-FUFIT-004</t>
  </si>
  <si>
    <t xml:space="preserve">Push Catches</t>
  </si>
  <si>
    <t xml:space="preserve">กดเปิดหน้าบานแบบแม่เหล็ก XL</t>
  </si>
  <si>
    <t xml:space="preserve">Press to open the magnetic door XL</t>
  </si>
  <si>
    <t xml:space="preserve">FS-FUFIT-008</t>
  </si>
  <si>
    <t xml:space="preserve">Staples </t>
  </si>
  <si>
    <t xml:space="preserve">ลูกแม็กขาคู่รุ่น1010J ขนาด 10x10</t>
  </si>
  <si>
    <t xml:space="preserve">Double leg alloy, model 1010J, size 10x10</t>
  </si>
  <si>
    <t xml:space="preserve">FS-FUFIT-009</t>
  </si>
  <si>
    <t xml:space="preserve">Nails</t>
  </si>
  <si>
    <t xml:space="preserve">ตะปูยิงงานฝีมือ HI-TOP # PINS/25</t>
  </si>
  <si>
    <t xml:space="preserve">HI-TOP Craft Nails # PINS/25</t>
  </si>
  <si>
    <t xml:space="preserve">FS-FUFIT-010</t>
  </si>
  <si>
    <t xml:space="preserve">Power cord with jack</t>
  </si>
  <si>
    <t xml:space="preserve">สายไฟพร้อมแจ๊คเสียบ</t>
  </si>
  <si>
    <t xml:space="preserve">FS-FUFIT-011</t>
  </si>
  <si>
    <t xml:space="preserve">ลูกแม็กขาคู่รุ่น416J ขนาด 4x16</t>
  </si>
  <si>
    <t xml:space="preserve">Staples Double pin model 416J, size 4x16</t>
  </si>
  <si>
    <t xml:space="preserve">FS-FUFIT-012</t>
  </si>
  <si>
    <t xml:space="preserve">ลูกแม็กขาคู่รุ่น410J ขนาด 4x10</t>
  </si>
  <si>
    <t xml:space="preserve">Staples Double pin model 416J, size 4x10</t>
  </si>
  <si>
    <t xml:space="preserve">FS-FUFIT-013</t>
  </si>
  <si>
    <t xml:space="preserve">ปลั๊ก3ขา</t>
  </si>
  <si>
    <t xml:space="preserve">3 pin plug</t>
  </si>
  <si>
    <t xml:space="preserve">FS-FUFIT-014</t>
  </si>
  <si>
    <t xml:space="preserve">ปลั๊ก2ขา</t>
  </si>
  <si>
    <t xml:space="preserve">2 pin plug</t>
  </si>
  <si>
    <t xml:space="preserve">FS-FUFIT-015</t>
  </si>
  <si>
    <t xml:space="preserve">Glue</t>
  </si>
  <si>
    <t xml:space="preserve">กาวลาเท็กซ์ 32 ออน 12ขวด/ลัง</t>
  </si>
  <si>
    <t xml:space="preserve">Latex Glue 32 ounces, 12 bottles/box</t>
  </si>
  <si>
    <t xml:space="preserve">FS-FUFIT-016</t>
  </si>
  <si>
    <t xml:space="preserve">Chalk</t>
  </si>
  <si>
    <t xml:space="preserve">ชอล์กTOUTH-UPSTLCK NO.101</t>
  </si>
  <si>
    <t xml:space="preserve">Chalk TOUTH-UPSTTLCK NO.101</t>
  </si>
  <si>
    <t xml:space="preserve">แท่ง</t>
  </si>
  <si>
    <t xml:space="preserve">STICK</t>
  </si>
  <si>
    <t xml:space="preserve">AP-MKW000</t>
  </si>
  <si>
    <t xml:space="preserve">FS-FUFIT-017</t>
  </si>
  <si>
    <t xml:space="preserve">ชอล์กTOUTH-UPSTLCK NO.106</t>
  </si>
  <si>
    <t xml:space="preserve">Chalk TOUTH-UPSTTLCK NO.106</t>
  </si>
  <si>
    <t xml:space="preserve">FS-FUFIT-018</t>
  </si>
  <si>
    <t xml:space="preserve">ชอล์กTOUTH-UPSTLCK NO.313</t>
  </si>
  <si>
    <t xml:space="preserve">Chalk TOUTH-UPSTTLCK NO.313</t>
  </si>
  <si>
    <t xml:space="preserve">FS-FUFIT-019</t>
  </si>
  <si>
    <t xml:space="preserve">ชอล์กTOUTH-UPSTLCK NO.2638</t>
  </si>
  <si>
    <t xml:space="preserve">Chalk TOUTH-UPSTTLCK NO.2638</t>
  </si>
  <si>
    <t xml:space="preserve">FS-FUFIT-020</t>
  </si>
  <si>
    <t xml:space="preserve">ชอล์กTOUTH-UPSTLCK NO.3200</t>
  </si>
  <si>
    <t xml:space="preserve">Chalk TOUTH-UPSTTLCK NO.3200</t>
  </si>
  <si>
    <t xml:space="preserve">FS-FUFIT-021</t>
  </si>
  <si>
    <t xml:space="preserve">ชอล์กTOUTH-UPSTLCK NO.3325</t>
  </si>
  <si>
    <t xml:space="preserve">Chalk TOUTH-UPSTTLCK NO.3325</t>
  </si>
  <si>
    <t xml:space="preserve">FS-FUFIT-022</t>
  </si>
  <si>
    <t xml:space="preserve">ชอล์กTOUTH-UPSTLCK NO.3357</t>
  </si>
  <si>
    <t xml:space="preserve">Chalk TOUTH-UPSTTLCK NO.3357</t>
  </si>
  <si>
    <t xml:space="preserve">FS-FUFIT-023</t>
  </si>
  <si>
    <t xml:space="preserve">ชอล์กTOUTH-UPSTLCK NO.3258</t>
  </si>
  <si>
    <t xml:space="preserve">Chalk TOUTH-UPSTTLCK NO.3258</t>
  </si>
  <si>
    <t xml:space="preserve">FS-FUFIT-024</t>
  </si>
  <si>
    <t xml:space="preserve">ชอล์กTOUTH-UPSTLCK NO.3125</t>
  </si>
  <si>
    <t xml:space="preserve">Chalk TOUTH-UPSTTLCK NO.3125</t>
  </si>
  <si>
    <t xml:space="preserve">FS-FUFIT-025</t>
  </si>
  <si>
    <t xml:space="preserve">กาวยาง Dunlop LP สีแดง 3 กก.</t>
  </si>
  <si>
    <t xml:space="preserve">Rubber glue Dunlop LP red 3 kg.</t>
  </si>
  <si>
    <t xml:space="preserve">กระป๋อง</t>
  </si>
  <si>
    <t xml:space="preserve">CAN</t>
  </si>
  <si>
    <t xml:space="preserve">FS-FUFIT-026</t>
  </si>
  <si>
    <t xml:space="preserve">Turpentine</t>
  </si>
  <si>
    <t xml:space="preserve">น้ำมันสน</t>
  </si>
  <si>
    <t xml:space="preserve">ปี๊ป</t>
  </si>
  <si>
    <t xml:space="preserve">BUCKET</t>
  </si>
  <si>
    <t xml:space="preserve">FS-FUFIT-027</t>
  </si>
  <si>
    <t xml:space="preserve">Silicone</t>
  </si>
  <si>
    <t xml:space="preserve">ซิลิโคน สีเทา</t>
  </si>
  <si>
    <t xml:space="preserve">Silicone gray</t>
  </si>
  <si>
    <t xml:space="preserve">FS-FUFIT-028</t>
  </si>
  <si>
    <t xml:space="preserve">PVC pipe binder</t>
  </si>
  <si>
    <t xml:space="preserve">น้ำยาประสานท่อพีวีซี-100g</t>
  </si>
  <si>
    <t xml:space="preserve">PVC pipe binder-100g</t>
  </si>
  <si>
    <t xml:space="preserve">FS-FUFIT-029</t>
  </si>
  <si>
    <t xml:space="preserve">กาวตะปู Maxbond Fuller</t>
  </si>
  <si>
    <t xml:space="preserve">Maxbond Fuller Nail Glue</t>
  </si>
  <si>
    <t xml:space="preserve">FS-FUFIT-030</t>
  </si>
  <si>
    <t xml:space="preserve">กาวร้อน</t>
  </si>
  <si>
    <t xml:space="preserve">Hot glue</t>
  </si>
  <si>
    <t xml:space="preserve">AP-PNPI000</t>
  </si>
  <si>
    <t xml:space="preserve">FS-FUFIT-031</t>
  </si>
  <si>
    <t xml:space="preserve">Purpose spray</t>
  </si>
  <si>
    <t xml:space="preserve">สเปรย์เอนกประสงค์ SONAX</t>
  </si>
  <si>
    <t xml:space="preserve">Sonax multi -purpose spray</t>
  </si>
  <si>
    <t xml:space="preserve">FS-FUFIT-032</t>
  </si>
  <si>
    <t xml:space="preserve">Paint equipment </t>
  </si>
  <si>
    <t xml:space="preserve">ลูกกลิ้งทาสี (ใหญ่)</t>
  </si>
  <si>
    <t xml:space="preserve">Paint roller (large)</t>
  </si>
  <si>
    <t xml:space="preserve">FS-FUFIT-033</t>
  </si>
  <si>
    <t xml:space="preserve">แปรงทาสี</t>
  </si>
  <si>
    <t xml:space="preserve">Paint brush</t>
  </si>
  <si>
    <t xml:space="preserve">FS-FUFIT-034</t>
  </si>
  <si>
    <t xml:space="preserve">กระดาษแข็งรังผึ้ง(Honeycomb)</t>
  </si>
  <si>
    <t xml:space="preserve">Honeycomb cardboard</t>
  </si>
  <si>
    <t xml:space="preserve">AP-CMP000</t>
  </si>
  <si>
    <t xml:space="preserve">FS-FUFIT-035</t>
  </si>
  <si>
    <t xml:space="preserve">Stretch Film</t>
  </si>
  <si>
    <t xml:space="preserve">ฟิล์มยืด พันพาเลท 15</t>
  </si>
  <si>
    <t xml:space="preserve">Wrapped film, Pallet</t>
  </si>
  <si>
    <t xml:space="preserve">AP-YYG000</t>
  </si>
  <si>
    <t xml:space="preserve">FS-FUFIT-036</t>
  </si>
  <si>
    <t xml:space="preserve">EPS Foam</t>
  </si>
  <si>
    <t xml:space="preserve">EPS FOAM 710x1320x20mm./0.65 Ib G.ธรรมดา</t>
  </si>
  <si>
    <t xml:space="preserve">EPS FOAM 710x1320x20mm./0.65 IB G.</t>
  </si>
  <si>
    <t xml:space="preserve">FS-FUFIT-037</t>
  </si>
  <si>
    <t xml:space="preserve">EPS FOAM 812x1523x20mm./0.65 Ib G.ธรรมดา</t>
  </si>
  <si>
    <t xml:space="preserve">EPS FOAM 812x1523x20mm./0.65 IB G.</t>
  </si>
  <si>
    <t xml:space="preserve">AP-ATC000</t>
  </si>
  <si>
    <t xml:space="preserve">FS-FUFIT-038</t>
  </si>
  <si>
    <t xml:space="preserve">กาวเม็ด White hot melt 7640</t>
  </si>
  <si>
    <t xml:space="preserve">White Hot Melt 7640</t>
  </si>
  <si>
    <t xml:space="preserve">กิโลกรัม</t>
  </si>
  <si>
    <t xml:space="preserve">KG</t>
  </si>
  <si>
    <t xml:space="preserve">FS-FUFIT-039</t>
  </si>
  <si>
    <t xml:space="preserve">แปรงถ่าน Carbon brushes (BOSCH)</t>
  </si>
  <si>
    <t xml:space="preserve">Carbon Brushes batteries (Bosch)</t>
  </si>
  <si>
    <t xml:space="preserve">FS-FUFIT-040</t>
  </si>
  <si>
    <t xml:space="preserve">HM 9585.0 กาวเม็ดสีเหลือง ใช้กับเครื่องปิดขอบ</t>
  </si>
  <si>
    <t xml:space="preserve">HM 9585.0 Yellow granules Used with the edge closing machine</t>
  </si>
  <si>
    <t xml:space="preserve">AP-STN002</t>
  </si>
  <si>
    <t xml:space="preserve">FS-FUFIT-041</t>
  </si>
  <si>
    <t xml:space="preserve">สายลม PU 8*12 mm สีส้ม</t>
  </si>
  <si>
    <t xml:space="preserve">Wind PU 8*12 mm Orange</t>
  </si>
  <si>
    <t xml:space="preserve">เมตร</t>
  </si>
  <si>
    <t xml:space="preserve">M</t>
  </si>
  <si>
    <t xml:space="preserve">FS-FUFIT-042</t>
  </si>
  <si>
    <t xml:space="preserve">Grease </t>
  </si>
  <si>
    <t xml:space="preserve">จารบี TRANE #SUPER HT 5 กก</t>
  </si>
  <si>
    <t xml:space="preserve">Grease TRANE #SUPER HT 5 kg.</t>
  </si>
  <si>
    <t xml:space="preserve">กระปุก</t>
  </si>
  <si>
    <t xml:space="preserve">BOWL</t>
  </si>
  <si>
    <t xml:space="preserve">FS-FUFIT-043</t>
  </si>
  <si>
    <t xml:space="preserve">Staples</t>
  </si>
  <si>
    <t xml:space="preserve">ลูกแม๊กซ์ F20 VIGO</t>
  </si>
  <si>
    <t xml:space="preserve">Staples F20 VIGO</t>
  </si>
  <si>
    <t xml:space="preserve">FS-FUFIT-044</t>
  </si>
  <si>
    <t xml:space="preserve">ลูกแม๊กซ์ F30 VIGO</t>
  </si>
  <si>
    <t xml:space="preserve">Staples F30 VIGO</t>
  </si>
  <si>
    <t xml:space="preserve">FS-FUFIT-045</t>
  </si>
  <si>
    <t xml:space="preserve">ซิลิโคน V-Tech สีใส 24หลอด/ลัง</t>
  </si>
  <si>
    <t xml:space="preserve">V-Tech silicone, clear, 24 tubes/box</t>
  </si>
  <si>
    <t xml:space="preserve">FS-FUFIT-046</t>
  </si>
  <si>
    <t xml:space="preserve">ซิลิโคน V-Tech สีขาว 24หลอด/ลัง</t>
  </si>
  <si>
    <t xml:space="preserve">V-Tech silicone, white, 24 tubes/box</t>
  </si>
  <si>
    <t xml:space="preserve">FS-FUFIT-047</t>
  </si>
  <si>
    <t xml:space="preserve">ซิลิโคน (สีดำ)</t>
  </si>
  <si>
    <t xml:space="preserve">Silicone (Black)</t>
  </si>
  <si>
    <t xml:space="preserve">FS-FUFIT-048</t>
  </si>
  <si>
    <t xml:space="preserve">9089 เทปกาวOPP สีใส 2” x 100 y*45mic 72Pc/Box</t>
  </si>
  <si>
    <t xml:space="preserve">Clear Tape Tiger-45 2x100yards 90rolls/box</t>
  </si>
  <si>
    <t xml:space="preserve">FS-FUFIT-049</t>
  </si>
  <si>
    <t xml:space="preserve">เทปใส 3(บาง)"</t>
  </si>
  <si>
    <t xml:space="preserve">Clear tape 3(thin)"</t>
  </si>
  <si>
    <t xml:space="preserve">FS-FUFIT-050</t>
  </si>
  <si>
    <t xml:space="preserve">กระดาษกาวย่น 1.1/2</t>
  </si>
  <si>
    <t xml:space="preserve">Masking tape 1.1/2</t>
  </si>
  <si>
    <t xml:space="preserve">AP-CCR000</t>
  </si>
  <si>
    <t xml:space="preserve">FS-FUFIT-051</t>
  </si>
  <si>
    <t xml:space="preserve">เทปพันเกลียว</t>
  </si>
  <si>
    <t xml:space="preserve">Spiral tape</t>
  </si>
  <si>
    <t xml:space="preserve">FS-FUFIT-052</t>
  </si>
  <si>
    <t xml:space="preserve">เทปพันสายไฟ</t>
  </si>
  <si>
    <t xml:space="preserve">Wire tape</t>
  </si>
  <si>
    <t xml:space="preserve">FS-FUFIT-053</t>
  </si>
  <si>
    <t xml:space="preserve">เทปใส 2 บาง 48mmX45"</t>
  </si>
  <si>
    <t xml:space="preserve">Clear tape 2, thin 48mmx45 "</t>
  </si>
  <si>
    <t xml:space="preserve">FS-FUFIT-054</t>
  </si>
  <si>
    <t xml:space="preserve">เทปกาว 2 หน้าบาง 12 มม. 10หลา</t>
  </si>
  <si>
    <t xml:space="preserve">2 -sided adhesive tape 12 mm 10 yards</t>
  </si>
  <si>
    <t xml:space="preserve">FS-FUFIT-055</t>
  </si>
  <si>
    <t xml:space="preserve">Detergent</t>
  </si>
  <si>
    <t xml:space="preserve">ผงซักฟอกบรีส @ 3000 กรัม</t>
  </si>
  <si>
    <t xml:space="preserve">Breeze detergent @ 3000 grams</t>
  </si>
  <si>
    <t xml:space="preserve">ถุง</t>
  </si>
  <si>
    <t xml:space="preserve">BAG</t>
  </si>
  <si>
    <t xml:space="preserve">FS-FUFIT-056</t>
  </si>
  <si>
    <t xml:space="preserve">soap</t>
  </si>
  <si>
    <t xml:space="preserve">สบู่</t>
  </si>
  <si>
    <t xml:space="preserve">ก้อน</t>
  </si>
  <si>
    <t xml:space="preserve">BAR</t>
  </si>
  <si>
    <t xml:space="preserve">FS-FUFIT-057</t>
  </si>
  <si>
    <t xml:space="preserve">Hard broom</t>
  </si>
  <si>
    <t xml:space="preserve">ไม้กวาดแข็ง</t>
  </si>
  <si>
    <t xml:space="preserve">ด้าม</t>
  </si>
  <si>
    <t xml:space="preserve">HANDLE</t>
  </si>
  <si>
    <t xml:space="preserve">FS-FUFIT-058</t>
  </si>
  <si>
    <t xml:space="preserve">Soft broom</t>
  </si>
  <si>
    <t xml:space="preserve">ไม้กวาดอ่อน</t>
  </si>
  <si>
    <t xml:space="preserve">FS-FUFIT-059</t>
  </si>
  <si>
    <t xml:space="preserve">Chemical pen</t>
  </si>
  <si>
    <t xml:space="preserve">ปากกาเคมี น้ำเงิน</t>
  </si>
  <si>
    <t xml:space="preserve">Blue Chemical pen</t>
  </si>
  <si>
    <t xml:space="preserve">AP-COL000 </t>
  </si>
  <si>
    <t xml:space="preserve">FS-FUFIT-060</t>
  </si>
  <si>
    <t xml:space="preserve">ปากกาเคมี ดำ</t>
  </si>
  <si>
    <t xml:space="preserve">Black chemical pen</t>
  </si>
  <si>
    <t xml:space="preserve">FS-FUFIT-061</t>
  </si>
  <si>
    <t xml:space="preserve">Mop</t>
  </si>
  <si>
    <t xml:space="preserve">ไม้ถูพื้น</t>
  </si>
  <si>
    <t xml:space="preserve">FS-FUFIT-062</t>
  </si>
  <si>
    <t xml:space="preserve">ผ้าม๊อบ 12 นิ้ว</t>
  </si>
  <si>
    <t xml:space="preserve">12 inch mob fabric</t>
  </si>
  <si>
    <t xml:space="preserve">FS-FUFIT-063</t>
  </si>
  <si>
    <t xml:space="preserve">Garbage scoop</t>
  </si>
  <si>
    <t xml:space="preserve">ที่ตักขยะ (เหล็ก)</t>
  </si>
  <si>
    <t xml:space="preserve">Garbage scoop (steel)</t>
  </si>
  <si>
    <t xml:space="preserve">FS-FUFIT-064</t>
  </si>
  <si>
    <t xml:space="preserve">ที่ตักขยะ (พลาสติก)</t>
  </si>
  <si>
    <t xml:space="preserve">Garbage scoop (plastic)</t>
  </si>
  <si>
    <t xml:space="preserve">FS-FUFIT-065</t>
  </si>
  <si>
    <t xml:space="preserve">Brush</t>
  </si>
  <si>
    <t xml:space="preserve">แปรงซักผ้า</t>
  </si>
  <si>
    <t xml:space="preserve">Washing brush</t>
  </si>
  <si>
    <t xml:space="preserve">FS-FUFIT-066</t>
  </si>
  <si>
    <t xml:space="preserve">แปรง (ห้องน้ำ)</t>
  </si>
  <si>
    <t xml:space="preserve">Brush (bathroom)</t>
  </si>
  <si>
    <t xml:space="preserve">FS-FUFIT-067</t>
  </si>
  <si>
    <t xml:space="preserve">สมอแปรงขนทอง (ห้องน้ำ)</t>
  </si>
  <si>
    <t xml:space="preserve">Golden hair brush anchor (bathroom)</t>
  </si>
  <si>
    <t xml:space="preserve">FS-FUFIT-068</t>
  </si>
  <si>
    <t xml:space="preserve">ตัวตัดเทปใส</t>
  </si>
  <si>
    <t xml:space="preserve">Clear tape cutter</t>
  </si>
  <si>
    <t xml:space="preserve">FS-FUFIT-069</t>
  </si>
  <si>
    <t xml:space="preserve">สายลม PU 5*8 MM.</t>
  </si>
  <si>
    <t xml:space="preserve">Wind PU 5*8 MM.</t>
  </si>
  <si>
    <t xml:space="preserve">FS-FUFIT-070</t>
  </si>
  <si>
    <t xml:space="preserve">Cloth Colour Sheets</t>
  </si>
  <si>
    <t xml:space="preserve">ผ้าเย็บวนสีขาว 25 กก.</t>
  </si>
  <si>
    <t xml:space="preserve">White Cloth Colour Sheets 25 kg.</t>
  </si>
  <si>
    <t xml:space="preserve">กระสอบ</t>
  </si>
  <si>
    <t xml:space="preserve">SACK</t>
  </si>
  <si>
    <t xml:space="preserve">FS-FUFIT-071</t>
  </si>
  <si>
    <t xml:space="preserve">Cable tie</t>
  </si>
  <si>
    <t xml:space="preserve">เคเบิ้ลไทร์ 12นิ้ว</t>
  </si>
  <si>
    <t xml:space="preserve">Cable tie 12 inch</t>
  </si>
  <si>
    <t xml:space="preserve">ห่อ</t>
  </si>
  <si>
    <t xml:space="preserve">PACK</t>
  </si>
  <si>
    <t xml:space="preserve">FS-FUFIT-072</t>
  </si>
  <si>
    <t xml:space="preserve">เคเบิ้ลไทร์ 6นิ้ว</t>
  </si>
  <si>
    <t xml:space="preserve">Cable tie 6 inch</t>
  </si>
  <si>
    <t xml:space="preserve">FS-FUFIT-073</t>
  </si>
  <si>
    <t xml:space="preserve">Gloves</t>
  </si>
  <si>
    <t xml:space="preserve">ถุงมือผ้า 12/โหล</t>
  </si>
  <si>
    <t xml:space="preserve">Cloth gloves 12/dozen</t>
  </si>
  <si>
    <t xml:space="preserve">คู่</t>
  </si>
  <si>
    <t xml:space="preserve">PAIR</t>
  </si>
  <si>
    <t xml:space="preserve">FS-FUFIT-074</t>
  </si>
  <si>
    <t xml:space="preserve">Mask</t>
  </si>
  <si>
    <t xml:space="preserve">ผ้าปิดจมูก 12/โหล</t>
  </si>
  <si>
    <t xml:space="preserve">Nose mask 12/dozen</t>
  </si>
  <si>
    <t xml:space="preserve">FS-FUFIT-075</t>
  </si>
  <si>
    <t xml:space="preserve">Strap</t>
  </si>
  <si>
    <t xml:space="preserve">สายรัด (สีเหลือง)  12mm.*7.5kg.</t>
  </si>
  <si>
    <t xml:space="preserve">Strap (yellow) 12mm.*7.5kg.</t>
  </si>
  <si>
    <t xml:space="preserve">FS-FUFIT-076</t>
  </si>
  <si>
    <t xml:space="preserve">เคเบิ้ลไทร์ 8นิ้ว</t>
  </si>
  <si>
    <t xml:space="preserve">Cable tie 8 inch</t>
  </si>
  <si>
    <t xml:space="preserve">FS-FUFIT-077</t>
  </si>
  <si>
    <t xml:space="preserve">เคเบิ้ลไทร์ 10นิ้ว</t>
  </si>
  <si>
    <t xml:space="preserve">Cable tie 10 inch</t>
  </si>
  <si>
    <t xml:space="preserve">FS-FUFIT-078</t>
  </si>
  <si>
    <t xml:space="preserve">ถ่านหินเจีย BOSCH 00-06-019</t>
  </si>
  <si>
    <t xml:space="preserve">Coal Grinding BOSCH 00-06-019</t>
  </si>
  <si>
    <t xml:space="preserve">FS-FUFIT-080</t>
  </si>
  <si>
    <t xml:space="preserve">ชอล์กTOUTH-UPSTICK NO.3158</t>
  </si>
  <si>
    <t xml:space="preserve">Chalk TOUTH-UPSTTLCK NO.3158</t>
  </si>
  <si>
    <t xml:space="preserve">FS-FUFIT-081</t>
  </si>
  <si>
    <t xml:space="preserve">ลูกกลิ้งทาสี ขนาด 4"</t>
  </si>
  <si>
    <t xml:space="preserve">Paint roller size 4"</t>
  </si>
  <si>
    <t xml:space="preserve">FS-FUFIT-082</t>
  </si>
  <si>
    <t xml:space="preserve">แปรงทาสี 2"</t>
  </si>
  <si>
    <t xml:space="preserve">2" paint brush</t>
  </si>
  <si>
    <t xml:space="preserve">FS-FUFIT-083</t>
  </si>
  <si>
    <t xml:space="preserve">สายพาน B-76</t>
  </si>
  <si>
    <t xml:space="preserve">Belt B-76</t>
  </si>
  <si>
    <t xml:space="preserve">FS-FUFIT-084</t>
  </si>
  <si>
    <t xml:space="preserve">Switch Plate</t>
  </si>
  <si>
    <t xml:space="preserve">กรีน-กล่องหน้ากากลอย2x4</t>
  </si>
  <si>
    <t xml:space="preserve">Green - Switch Plate 2x4</t>
  </si>
  <si>
    <t xml:space="preserve">FS-FUFIT-085</t>
  </si>
  <si>
    <t xml:space="preserve">Receptacle</t>
  </si>
  <si>
    <t xml:space="preserve">กรีน-เต้ารับคู่มีกราวด์ panasonic15929</t>
  </si>
  <si>
    <t xml:space="preserve">Green - double Receptacle panasonic 15929</t>
  </si>
  <si>
    <t xml:space="preserve">FS-FUFIT-086</t>
  </si>
  <si>
    <t xml:space="preserve">กรีน-ฝา3ช่อง panasonic</t>
  </si>
  <si>
    <t xml:space="preserve">Green - Switch Plate 3 channels</t>
  </si>
  <si>
    <t xml:space="preserve">FS-FUFIT-089</t>
  </si>
  <si>
    <t xml:space="preserve">กาวลาเท็กซ์</t>
  </si>
  <si>
    <t xml:space="preserve">Langtenx glue</t>
  </si>
  <si>
    <t xml:space="preserve">FS-FUFIT-090</t>
  </si>
  <si>
    <t xml:space="preserve">ถุงมือถักเคลือบ PU กันบาดมือ Size L</t>
  </si>
  <si>
    <t xml:space="preserve">Cut resistant PU coated knitted gloves, size L</t>
  </si>
  <si>
    <t xml:space="preserve">FS-FUFIT-091</t>
  </si>
  <si>
    <t xml:space="preserve">EPS FOAM 740*115*20 mm</t>
  </si>
  <si>
    <t xml:space="preserve">AP-TMK000</t>
  </si>
  <si>
    <t xml:space="preserve">FS-FUFIT-094</t>
  </si>
  <si>
    <t xml:space="preserve">สกรูเกลียวปล่อยหัวเคเปอร์แฉกสกรู #8*1.1/2 F"</t>
  </si>
  <si>
    <t xml:space="preserve">Taper head self-tapping screw #8*1.1/2 F"</t>
  </si>
  <si>
    <t xml:space="preserve">FS-FUFIT-095</t>
  </si>
  <si>
    <t xml:space="preserve">Paper</t>
  </si>
  <si>
    <t xml:space="preserve">กระดาษลูกฟูก 2 ชั้น กว้าง 48 นน.10 กก"</t>
  </si>
  <si>
    <t xml:space="preserve">2 ply corrugated paper, width 48 lbs. 10 kg.</t>
  </si>
  <si>
    <t xml:space="preserve">FS-FUFIT-100</t>
  </si>
  <si>
    <t xml:space="preserve">WJ061025 Screw for feet ABS feet</t>
  </si>
  <si>
    <t xml:space="preserve">FS-FUFIT-102</t>
  </si>
  <si>
    <t xml:space="preserve">ข้อต่อ มม. 1/2"</t>
  </si>
  <si>
    <t xml:space="preserve">Coupling mm. 1/2"</t>
  </si>
  <si>
    <t xml:space="preserve">FS-FUFIT-103</t>
  </si>
  <si>
    <t xml:space="preserve">Plug</t>
  </si>
  <si>
    <t xml:space="preserve">พุกพลาสติก HC011079 ใส่บานพับ</t>
  </si>
  <si>
    <t xml:space="preserve">Plastic Plug HC011079 with hinge</t>
  </si>
  <si>
    <t xml:space="preserve">FS-FUFIT-104</t>
  </si>
  <si>
    <t xml:space="preserve">พุกพลาสติก HC031003 (พุกใส่แกนเกือกม้า)</t>
  </si>
  <si>
    <t xml:space="preserve">Plastic Plug HC031003 (Horseshoe cleat)</t>
  </si>
  <si>
    <t xml:space="preserve">FS-FUFIT-105</t>
  </si>
  <si>
    <t xml:space="preserve">DH041031 EPS foam 740*115*20 mm</t>
  </si>
  <si>
    <t xml:space="preserve">FS-FUFIT-108</t>
  </si>
  <si>
    <t xml:space="preserve">Earplug</t>
  </si>
  <si>
    <t xml:space="preserve">ที่อุดหู</t>
  </si>
  <si>
    <t xml:space="preserve">FS-FUFIT-109</t>
  </si>
  <si>
    <t xml:space="preserve">Hat</t>
  </si>
  <si>
    <t xml:space="preserve">หมวกผ้าแบบไม่มีตาข่าย</t>
  </si>
  <si>
    <t xml:space="preserve">Hat without mesh</t>
  </si>
  <si>
    <t xml:space="preserve">FS-FUFIT-110</t>
  </si>
  <si>
    <t xml:space="preserve">ผงซักฟอก 25กก.</t>
  </si>
  <si>
    <t xml:space="preserve">Detergent 25 kg.</t>
  </si>
  <si>
    <t xml:space="preserve">FS-FUFIT-111</t>
  </si>
  <si>
    <t xml:space="preserve">Nipple</t>
  </si>
  <si>
    <t xml:space="preserve">นิปเปิ้ล 1/2"</t>
  </si>
  <si>
    <t xml:space="preserve">Nipple 1/2</t>
  </si>
  <si>
    <t xml:space="preserve">FS-FUFIT-112</t>
  </si>
  <si>
    <t xml:space="preserve">กระดาษลูกฟูก 2 ชั้น กว้าง 48 นิ้ว นน 25 กก/ม้วน</t>
  </si>
  <si>
    <t xml:space="preserve">2 ply corrugated paper, width 48 lbs. 25 kg. /roll</t>
  </si>
  <si>
    <t xml:space="preserve">AP-SPS001 </t>
  </si>
  <si>
    <t xml:space="preserve">FS-FUFIT-113</t>
  </si>
  <si>
    <t xml:space="preserve">Canvas</t>
  </si>
  <si>
    <t xml:space="preserve">ผ้าใบรองพื้น 2x3ฟุต</t>
  </si>
  <si>
    <t xml:space="preserve">Canvas foundation 2x3 feet</t>
  </si>
  <si>
    <t xml:space="preserve">AP-BEE000</t>
  </si>
  <si>
    <t xml:space="preserve">FS-FUFIT-115</t>
  </si>
  <si>
    <t xml:space="preserve">Sticker</t>
  </si>
  <si>
    <t xml:space="preserve">สติ๊กเกอร์ ลาเบล 4x7cm. 1000pcs/roll</t>
  </si>
  <si>
    <t xml:space="preserve">Sticker label 4x7cm. 1000pcs/roll</t>
  </si>
  <si>
    <t xml:space="preserve">AP-JRP001</t>
  </si>
  <si>
    <t xml:space="preserve">FS-FUFIT-116</t>
  </si>
  <si>
    <t xml:space="preserve">เกลียวปล่อย JF #8x1.1/2"</t>
  </si>
  <si>
    <t xml:space="preserve">Tapping screw JF #8x1.1/2"</t>
  </si>
  <si>
    <t xml:space="preserve">FS-FUFIT-117</t>
  </si>
  <si>
    <t xml:space="preserve">Flat ring</t>
  </si>
  <si>
    <t xml:space="preserve">แหวนอีแปะมิลขาว M4</t>
  </si>
  <si>
    <t xml:space="preserve">White Flat ring M4</t>
  </si>
  <si>
    <t xml:space="preserve">FS-FUFIT-118</t>
  </si>
  <si>
    <t xml:space="preserve">Hose Clamp</t>
  </si>
  <si>
    <t xml:space="preserve">เข็มขัดรัดท่อ ขนาด 6 (140-160mm) แบบเหล็ก</t>
  </si>
  <si>
    <t xml:space="preserve">Hose clamp, size 6 (140-160mm), steel type</t>
  </si>
  <si>
    <t xml:space="preserve">FS-FUFIT-120</t>
  </si>
  <si>
    <t xml:space="preserve">ชอล์กTOUTH-UPSTICK NO.5309</t>
  </si>
  <si>
    <t xml:space="preserve">Chalk TOUTH-UPSTTLCK NO.5309</t>
  </si>
  <si>
    <t xml:space="preserve">FS-FUFIT-121</t>
  </si>
  <si>
    <t xml:space="preserve">ดอกสว่าน นาชิ 2.5</t>
  </si>
  <si>
    <t xml:space="preserve">Nashi drill 2.5</t>
  </si>
  <si>
    <t xml:space="preserve">FS-FUFIT-122</t>
  </si>
  <si>
    <t xml:space="preserve">ดอกสว่าน นาชิ 2.9</t>
  </si>
  <si>
    <t xml:space="preserve">Nashi drill 2.9</t>
  </si>
  <si>
    <t xml:space="preserve">FS-FUFIT-123</t>
  </si>
  <si>
    <t xml:space="preserve">ดอกสว่าน นาชิ 3.2</t>
  </si>
  <si>
    <t xml:space="preserve">Nashi drill 3.2</t>
  </si>
  <si>
    <t xml:space="preserve">FS-FUFIT-124</t>
  </si>
  <si>
    <t xml:space="preserve">ดอกสว่าน นาชิ 5.0</t>
  </si>
  <si>
    <t xml:space="preserve">Nashi drill 5.0</t>
  </si>
  <si>
    <t xml:space="preserve">FS-FUFIT-125</t>
  </si>
  <si>
    <t xml:space="preserve">ดอกสว่าน นาชิ 6.0</t>
  </si>
  <si>
    <t xml:space="preserve">Nashi drill 6.0</t>
  </si>
  <si>
    <t xml:space="preserve">FS-FUFIT-126</t>
  </si>
  <si>
    <t xml:space="preserve">ดอกสว่าน นาชิ 8.0</t>
  </si>
  <si>
    <t xml:space="preserve">Nashi drill 8.0</t>
  </si>
  <si>
    <t xml:space="preserve">FS-FUFIT-127</t>
  </si>
  <si>
    <t xml:space="preserve">ดอกสว่าน นาชิ 10</t>
  </si>
  <si>
    <t xml:space="preserve">Nashi drill 10</t>
  </si>
  <si>
    <t xml:space="preserve">FS-FUFIT-128</t>
  </si>
  <si>
    <t xml:space="preserve">ดอกสว่าน นาชิ 12</t>
  </si>
  <si>
    <t xml:space="preserve">Nashi drill bit 12</t>
  </si>
  <si>
    <t xml:space="preserve">FS-FUFIT-129</t>
  </si>
  <si>
    <t xml:space="preserve">ดอกสว่านโรตารี่</t>
  </si>
  <si>
    <t xml:space="preserve">Rotary drill bits</t>
  </si>
  <si>
    <t xml:space="preserve">FS-FUFIT-130</t>
  </si>
  <si>
    <t xml:space="preserve">Cutting blade</t>
  </si>
  <si>
    <t xml:space="preserve">ใบตัดกระจก</t>
  </si>
  <si>
    <t xml:space="preserve">Glass cutting blade</t>
  </si>
  <si>
    <t xml:space="preserve">FS-FUFIT-138</t>
  </si>
  <si>
    <t xml:space="preserve">ดอกสว่าน 35*70 (R)</t>
  </si>
  <si>
    <t xml:space="preserve">Drill 35*70 (R)</t>
  </si>
  <si>
    <t xml:space="preserve">FS-FUFIT-139</t>
  </si>
  <si>
    <t xml:space="preserve">ดอกสว่าน 3*70  (L)</t>
  </si>
  <si>
    <t xml:space="preserve">Drill 3*70 (L)</t>
  </si>
  <si>
    <t xml:space="preserve">FS-FUFIT-140</t>
  </si>
  <si>
    <t xml:space="preserve">ดอกสว่าน 3*70  (R)</t>
  </si>
  <si>
    <t xml:space="preserve">Drill 3*70 (R)</t>
  </si>
  <si>
    <t xml:space="preserve">FS-FUFIT-141</t>
  </si>
  <si>
    <t xml:space="preserve">ดอกสว่าน 6*70 (L)</t>
  </si>
  <si>
    <t xml:space="preserve">Drill 6*70 (L)</t>
  </si>
  <si>
    <t xml:space="preserve">FS-FUFIT-142</t>
  </si>
  <si>
    <t xml:space="preserve">ดอกสว่าน 6*70 (R)</t>
  </si>
  <si>
    <t xml:space="preserve">Drill 6*70 (R)</t>
  </si>
  <si>
    <t xml:space="preserve">FS-FUFIT-143</t>
  </si>
  <si>
    <t xml:space="preserve">ดอกสว่าน 8*70 (R)</t>
  </si>
  <si>
    <t xml:space="preserve">Drill 8*70 (R)</t>
  </si>
  <si>
    <t xml:space="preserve">FS-FUFIT-144</t>
  </si>
  <si>
    <t xml:space="preserve">ดอกสว่าน 8*70 (L)</t>
  </si>
  <si>
    <t xml:space="preserve">Drill 8*70 (L)</t>
  </si>
  <si>
    <t xml:space="preserve">FS-FUFIT-145</t>
  </si>
  <si>
    <t xml:space="preserve">ดอกสว่าน 20*70 (L)</t>
  </si>
  <si>
    <t xml:space="preserve">Drill 20*70 (L)</t>
  </si>
  <si>
    <t xml:space="preserve">FS-FUFIT-146</t>
  </si>
  <si>
    <t xml:space="preserve">ดอกสว่าน 20*70 (R)</t>
  </si>
  <si>
    <t xml:space="preserve">Drill 20*70 (R)</t>
  </si>
  <si>
    <t xml:space="preserve">FS-FUFIT-147</t>
  </si>
  <si>
    <t xml:space="preserve">ดอกสว่าน 15*70 (R)</t>
  </si>
  <si>
    <t xml:space="preserve">Drill 15*70 (R)</t>
  </si>
  <si>
    <t xml:space="preserve">FS-FUFIT-148</t>
  </si>
  <si>
    <t xml:space="preserve">D-720015302 ดอกเจาะ TCT D15xS10xL70-RH</t>
  </si>
  <si>
    <t xml:space="preserve">D-720015302 Drill TCT D15XS10xL70-RH</t>
  </si>
  <si>
    <t xml:space="preserve">FS-FUFIT-149</t>
  </si>
  <si>
    <t xml:space="preserve">ดอกสว่าน 16*70 (R)</t>
  </si>
  <si>
    <t xml:space="preserve">Drill 16*70 (R)</t>
  </si>
  <si>
    <t xml:space="preserve">FS-FUFIT-150</t>
  </si>
  <si>
    <t xml:space="preserve">ดอกสว่าน 16*70 (L)</t>
  </si>
  <si>
    <t xml:space="preserve">Drill 16*70 (L)</t>
  </si>
  <si>
    <t xml:space="preserve">ใบ</t>
  </si>
  <si>
    <t xml:space="preserve">FS-FUFIT-155</t>
  </si>
  <si>
    <t xml:space="preserve">ดอกเร้าเตอร์ 14*5/16</t>
  </si>
  <si>
    <t xml:space="preserve">Router 14*5/16</t>
  </si>
  <si>
    <t xml:space="preserve">FS-FUFIT-156</t>
  </si>
  <si>
    <t xml:space="preserve">ดอกเร้าเตอร์ 14*5/16 หัวลูกปืน</t>
  </si>
  <si>
    <t xml:space="preserve">Router bit 14*5/16 ball head</t>
  </si>
  <si>
    <t xml:space="preserve">FS-FUFIT-157</t>
  </si>
  <si>
    <t xml:space="preserve">ดอกเร้าเตอร์ 100-6</t>
  </si>
  <si>
    <t xml:space="preserve">Router 100-6</t>
  </si>
  <si>
    <t xml:space="preserve">FS-FUFIT-158</t>
  </si>
  <si>
    <t xml:space="preserve">D-720015303 ดอกเจาะ TCT D5xS10xL70-RH</t>
  </si>
  <si>
    <t xml:space="preserve">D-720015303 TCT drill bit D5xS10xL70-RH</t>
  </si>
  <si>
    <t xml:space="preserve">FS-FUFIT-159</t>
  </si>
  <si>
    <t xml:space="preserve">D-720015293 ดอกเจาะ TCT D5xS10xL70-LH</t>
  </si>
  <si>
    <t xml:space="preserve">D-720015293 TCT drill bit D5xS10xL70-LH</t>
  </si>
  <si>
    <t xml:space="preserve">FS-FUFIT-160</t>
  </si>
  <si>
    <t xml:space="preserve">ดอกสว่าน 30*70 (L)</t>
  </si>
  <si>
    <t xml:space="preserve">Drill 30*70 (L)</t>
  </si>
  <si>
    <t xml:space="preserve">FS-FUFIT-161</t>
  </si>
  <si>
    <t xml:space="preserve">ดอกเร้าเตอร์คาร์ไบด์ 12*30/70*12Z=2</t>
  </si>
  <si>
    <t xml:space="preserve">Carbide router bits 12*30/70*12Z=2</t>
  </si>
  <si>
    <t xml:space="preserve">FS-FUFIT-162</t>
  </si>
  <si>
    <t xml:space="preserve">ดอกเร้าเตอร์ D6*12.7*B15*L65</t>
  </si>
  <si>
    <t xml:space="preserve">Router D6*12.7*B15*L65</t>
  </si>
  <si>
    <t xml:space="preserve">FS-FUFIT-163</t>
  </si>
  <si>
    <t xml:space="preserve">ดอกเร้าเตอร์ D8*12.7*B26*L70 2T</t>
  </si>
  <si>
    <t xml:space="preserve">Router D8*12.7*B26*L70 2T</t>
  </si>
  <si>
    <t xml:space="preserve">FS-FUFIT-166</t>
  </si>
  <si>
    <t xml:space="preserve">ดอกเร้าเตอร์ TCT D8*12.7*B20*3T CNC</t>
  </si>
  <si>
    <t xml:space="preserve">Router TCT D8*12.7*B20*3T CNC</t>
  </si>
  <si>
    <t xml:space="preserve">FS-FUFIT-167</t>
  </si>
  <si>
    <t xml:space="preserve">ดอกเร้าเตอร์ TCT D6*12.7*B20*3T CNC</t>
  </si>
  <si>
    <t xml:space="preserve">Router TCT D6*12.7*B20*3T CNC</t>
  </si>
  <si>
    <t xml:space="preserve">FS-FUFIT-168</t>
  </si>
  <si>
    <t xml:space="preserve">Gun tongue</t>
  </si>
  <si>
    <t xml:space="preserve">ลิ้นปืน F30 SUPER 7 KING EUROX REDKING</t>
  </si>
  <si>
    <t xml:space="preserve">Gun tongue F30 SUPER 7 KING EUROX REDKING</t>
  </si>
  <si>
    <t xml:space="preserve">AP-HWH001</t>
  </si>
  <si>
    <t xml:space="preserve">FS-FUFIT-169</t>
  </si>
  <si>
    <t xml:space="preserve">ใบจิ๊กซอ (ตัดเหล็ก)</t>
  </si>
  <si>
    <t xml:space="preserve">Jigsaw blade (cutting iron)</t>
  </si>
  <si>
    <t xml:space="preserve">FS-FUFIT-170</t>
  </si>
  <si>
    <t xml:space="preserve">ใบจิ๊กซอ (ตัดไม้)</t>
  </si>
  <si>
    <t xml:space="preserve">Jigsaw blades (wood cutting)</t>
  </si>
  <si>
    <t xml:space="preserve">FS-FUFIT-171</t>
  </si>
  <si>
    <t xml:space="preserve">ชุดดอกสว่าน SDS Plus sct BOSCH</t>
  </si>
  <si>
    <t xml:space="preserve">SDS Plus sct drill bit set BOSCH</t>
  </si>
  <si>
    <t xml:space="preserve">FS-FUFIT-172</t>
  </si>
  <si>
    <t xml:space="preserve">ใบตัดโลหะ BOSCH #A30R 2G</t>
  </si>
  <si>
    <t xml:space="preserve">Metal cutting blade BOSCH #A30R 2G</t>
  </si>
  <si>
    <t xml:space="preserve">FS-FUFIT-173</t>
  </si>
  <si>
    <t xml:space="preserve">ใบเพชรตัดกระเบื้อง/เซรามิค BOSCH#ECO Un</t>
  </si>
  <si>
    <t xml:space="preserve">Diamond blade for cutting tiles/ceramics BOSCH#ECO Un</t>
  </si>
  <si>
    <t xml:space="preserve">FS-FUFIT-174</t>
  </si>
  <si>
    <t xml:space="preserve">Nut</t>
  </si>
  <si>
    <t xml:space="preserve">น๊อตฉากมือจับซ่อน (จีน)</t>
  </si>
  <si>
    <t xml:space="preserve">Concealed handle nut (China)</t>
  </si>
  <si>
    <t xml:space="preserve">FS-FUFIT-175</t>
  </si>
  <si>
    <t xml:space="preserve">ไขควงลองไฟ Champion No.7700</t>
  </si>
  <si>
    <t xml:space="preserve">Champion Long Light Screwdriver No.7700</t>
  </si>
  <si>
    <t xml:space="preserve">FS-FUFIT-176</t>
  </si>
  <si>
    <t xml:space="preserve">ดอกเราท์เตอร์ HI-TOP #20102 1/4x5/16</t>
  </si>
  <si>
    <t xml:space="preserve">Router HI-TOP #20102 1/4x5/16</t>
  </si>
  <si>
    <t xml:space="preserve">ดอก</t>
  </si>
  <si>
    <t xml:space="preserve">FS-FUFIT-177</t>
  </si>
  <si>
    <t xml:space="preserve">ดอกเราท์เตอร์ HI-TOP #10309 1/2x1/4x1-1/4</t>
  </si>
  <si>
    <t xml:space="preserve">Router HI-TOP #10309 1/2x1/4x1-1/4</t>
  </si>
  <si>
    <t xml:space="preserve">FS-FUFIT-178</t>
  </si>
  <si>
    <t xml:space="preserve">ดอกเราท์เตอร์ HI-TOP #20107 1/2x3/8</t>
  </si>
  <si>
    <t xml:space="preserve">Router HI-TOP #20107 1/2x3/8</t>
  </si>
  <si>
    <t xml:space="preserve">FS-FUFIT-179</t>
  </si>
  <si>
    <t xml:space="preserve">ดอกเราท์เตอร์ HI-TOP #10201 1/4x1/4x3/4</t>
  </si>
  <si>
    <t xml:space="preserve">Router HI-TOP #10201 1/4x1/4x3/4</t>
  </si>
  <si>
    <t xml:space="preserve">FS-FUFIT-180</t>
  </si>
  <si>
    <t xml:space="preserve">ดอกไขควง 65 mm.</t>
  </si>
  <si>
    <t xml:space="preserve">Screwdriver bit 65 mm.</t>
  </si>
  <si>
    <t xml:space="preserve">FS-FUFIT-181</t>
  </si>
  <si>
    <t xml:space="preserve">ดอกเร้าเตอร์คาร์ไบค์ฝัง D. 7*25/75*12 Z=2</t>
  </si>
  <si>
    <t xml:space="preserve">Carbide router bit embedded D. 7*25/75*12 Z=2</t>
  </si>
  <si>
    <t xml:space="preserve">FS-FUFIT-182</t>
  </si>
  <si>
    <t xml:space="preserve">ดอกไขควง 110 mm.</t>
  </si>
  <si>
    <t xml:space="preserve">Screwdriver bit 110 mm.</t>
  </si>
  <si>
    <t xml:space="preserve">FS-FUFIT-183</t>
  </si>
  <si>
    <t xml:space="preserve">น๊อตยึดกระจกสแตนเลส PK19-25</t>
  </si>
  <si>
    <t xml:space="preserve">Stainless Steel Glass Fixing Nut PK19-25</t>
  </si>
  <si>
    <t xml:space="preserve">AP-FTT000</t>
  </si>
  <si>
    <t xml:space="preserve">FS-FUFIT-184</t>
  </si>
  <si>
    <t xml:space="preserve">ดอกสว่าน 1/2*8</t>
  </si>
  <si>
    <t xml:space="preserve">Drill 1/2*8</t>
  </si>
  <si>
    <t xml:space="preserve">FS-FUFIT-185</t>
  </si>
  <si>
    <t xml:space="preserve">ดอกสว่าน 1/2*1/2</t>
  </si>
  <si>
    <t xml:space="preserve">Drill 1/2*1/2</t>
  </si>
  <si>
    <t xml:space="preserve">FS-FUFIT-186</t>
  </si>
  <si>
    <t xml:space="preserve">ดอกสว่าน 8 mm.</t>
  </si>
  <si>
    <t xml:space="preserve">Drill 8 mm.</t>
  </si>
  <si>
    <t xml:space="preserve">FS-FUFIT-187</t>
  </si>
  <si>
    <t xml:space="preserve">ดอกสว่าน 10 mm.</t>
  </si>
  <si>
    <t xml:space="preserve">Drill 10 mm.</t>
  </si>
  <si>
    <t xml:space="preserve">FS-FUFIT-188</t>
  </si>
  <si>
    <t xml:space="preserve">ดอกสว่าน 12 mm.</t>
  </si>
  <si>
    <t xml:space="preserve">Drill 12 mm.</t>
  </si>
  <si>
    <t xml:space="preserve">FS-FUFIT-189</t>
  </si>
  <si>
    <t xml:space="preserve">ดอกเร้าเตอร์ 1/2*3/8"</t>
  </si>
  <si>
    <t xml:space="preserve">Router 1/2*3/8"</t>
  </si>
  <si>
    <t xml:space="preserve">FS-FUFIT-190</t>
  </si>
  <si>
    <t xml:space="preserve">ดอกเร้าเตอร์ 1/2*1/2*2.1/2"D13 H63.5"</t>
  </si>
  <si>
    <t xml:space="preserve">Router 1/2*1/2*2.1/2"D13 H63.5"</t>
  </si>
  <si>
    <t xml:space="preserve">FS-FUFIT-191</t>
  </si>
  <si>
    <t xml:space="preserve">ปลั๊กตัวผู้ 3 ขา SP-2003 SAN</t>
  </si>
  <si>
    <t xml:space="preserve">3 pin male plug SP-2003 SAN</t>
  </si>
  <si>
    <t xml:space="preserve">FS-FUFIT-192</t>
  </si>
  <si>
    <t xml:space="preserve">ล้อไนล่อน (ลูกปืน) 4 - ขาตาย RTS"</t>
  </si>
  <si>
    <t xml:space="preserve">Nylon wheels , 4 ball bearing - slip wheels RTS"</t>
  </si>
  <si>
    <t xml:space="preserve">FS-FUFIT-193</t>
  </si>
  <si>
    <t xml:space="preserve">ล้อไนล่อน (ลูกปืน) 4 - ขาเป็น RTS"</t>
  </si>
  <si>
    <t xml:space="preserve">Nylon wheels , 4 ball bearing - spin wheels RTS"</t>
  </si>
  <si>
    <t xml:space="preserve">FS-FUFIT-194</t>
  </si>
  <si>
    <t xml:space="preserve">Safety glasses</t>
  </si>
  <si>
    <t xml:space="preserve">แว่นตาเซฟตี้ใส</t>
  </si>
  <si>
    <t xml:space="preserve">Clear safety glasses</t>
  </si>
  <si>
    <t xml:space="preserve">FS-FUFIT-195</t>
  </si>
  <si>
    <t xml:space="preserve">ปลั๊กไฟ 16A 250W</t>
  </si>
  <si>
    <t xml:space="preserve">Plug 16A 250W</t>
  </si>
  <si>
    <t xml:space="preserve">FS-FUFIT-197</t>
  </si>
  <si>
    <t xml:space="preserve">Cutter</t>
  </si>
  <si>
    <t xml:space="preserve">มีดคัตเตอร์</t>
  </si>
  <si>
    <t xml:space="preserve">FS-FUFIT-198</t>
  </si>
  <si>
    <t xml:space="preserve">ใบมีดคัตเตอร์ใหญ่ 60ใบ/กล่อง</t>
  </si>
  <si>
    <t xml:space="preserve">Cutter blade 18mm. (6 tubes)</t>
  </si>
  <si>
    <t xml:space="preserve">FS-FUFIT-199</t>
  </si>
  <si>
    <t xml:space="preserve">หัวน็อต 1/4</t>
  </si>
  <si>
    <t xml:space="preserve">1/4 nut</t>
  </si>
  <si>
    <t xml:space="preserve">FS-FUFIT-200</t>
  </si>
  <si>
    <t xml:space="preserve">ตะปูคอนกรีต ST20ขาเดี่นว ยาว20mm.</t>
  </si>
  <si>
    <t xml:space="preserve">Concrete nail ST 20 single, length 20mm.</t>
  </si>
  <si>
    <t xml:space="preserve">FS-FUFIT-201</t>
  </si>
  <si>
    <t xml:space="preserve">ลูกแม็ก PIN 20mm.</t>
  </si>
  <si>
    <t xml:space="preserve">Staples pin 20mm.</t>
  </si>
  <si>
    <t xml:space="preserve">FS-FUFIT-202</t>
  </si>
  <si>
    <t xml:space="preserve">สติกเกอร์-JRP-Ribbon Wax-110mm.*300m.</t>
  </si>
  <si>
    <t xml:space="preserve">Sticker -JRP-RBBON Wax-110mm.*300m.</t>
  </si>
  <si>
    <t xml:space="preserve">FS-FUFIT-204</t>
  </si>
  <si>
    <t xml:space="preserve">Plastic</t>
  </si>
  <si>
    <t xml:space="preserve">พลาสติกคลุมเฟอร์นิเจอร 15m*270m.</t>
  </si>
  <si>
    <t xml:space="preserve">Plastic cover furniture 15m*270m.</t>
  </si>
  <si>
    <t xml:space="preserve">FS-FUFIT-205</t>
  </si>
  <si>
    <t xml:space="preserve">ลูกแม็กซ์ F50</t>
  </si>
  <si>
    <t xml:space="preserve">Staples F50</t>
  </si>
  <si>
    <t xml:space="preserve">FS-FUFIT-206</t>
  </si>
  <si>
    <t xml:space="preserve">ใบเลื่อยอลูมิเนียม 305-120T-3.0/2.4-30</t>
  </si>
  <si>
    <t xml:space="preserve">Aluminum saw blade 305-120T-3.0/2.4-30</t>
  </si>
  <si>
    <t xml:space="preserve">FS-FUFIT-208</t>
  </si>
  <si>
    <t xml:space="preserve">ถุงมือผ้าแบบมีปุ่ม</t>
  </si>
  <si>
    <t xml:space="preserve">Blog gloves with buttons</t>
  </si>
  <si>
    <t xml:space="preserve">FS-FUFIT-210</t>
  </si>
  <si>
    <t xml:space="preserve">1550 ฟิล์มยืด 15micx50cmx300m</t>
  </si>
  <si>
    <t xml:space="preserve">Film stretched 15 macon 50cmx300m, weight 2.30 kg</t>
  </si>
  <si>
    <t xml:space="preserve">AP-CCR000 </t>
  </si>
  <si>
    <t xml:space="preserve">FS-FUFIT-211</t>
  </si>
  <si>
    <t xml:space="preserve">กาวเม็ดสีขาว Jowat</t>
  </si>
  <si>
    <t xml:space="preserve">White seed glue jowat ""</t>
  </si>
  <si>
    <t xml:space="preserve">FS-FUFIT-212</t>
  </si>
  <si>
    <t xml:space="preserve">ถุงมือผ้าทอ ขนาดเบอร์ 5 สีขาว 10โหล/แพ็ค</t>
  </si>
  <si>
    <t xml:space="preserve">Woven gloves, size 5, white 10 dozen/pack</t>
  </si>
  <si>
    <t xml:space="preserve">แพ็ค</t>
  </si>
  <si>
    <t xml:space="preserve">FS-FUFIT-215</t>
  </si>
  <si>
    <t xml:space="preserve">ข้อต่อตรงก.ใน ทล.1/2"</t>
  </si>
  <si>
    <t xml:space="preserve">Faucet Socket with Brass Thread 1/2"</t>
  </si>
  <si>
    <t xml:space="preserve">FS-FUFIT-216</t>
  </si>
  <si>
    <t xml:space="preserve">ข้องอ90บาง PVC 1.1/2"</t>
  </si>
  <si>
    <t xml:space="preserve">Elbow 90 thin PVC 1.1/2"</t>
  </si>
  <si>
    <t xml:space="preserve">FS-FUFIT-217</t>
  </si>
  <si>
    <t xml:space="preserve">Water tap</t>
  </si>
  <si>
    <t xml:space="preserve">ก๊อกสนาม Sanwa 1/2"</t>
  </si>
  <si>
    <t xml:space="preserve">Supatap Sanwa 1/2"</t>
  </si>
  <si>
    <t xml:space="preserve">FS-FUFIT-218</t>
  </si>
  <si>
    <t xml:space="preserve">เกลียวปล่อย JF #10x1.1/2"</t>
  </si>
  <si>
    <t xml:space="preserve">Tapping screw JF #10x1.1/2"</t>
  </si>
  <si>
    <t xml:space="preserve">FS-FUFIT-219</t>
  </si>
  <si>
    <t xml:space="preserve">เกลียวปล่อย JF #7x1"</t>
  </si>
  <si>
    <t xml:space="preserve">Tapping screw JF #7x1"</t>
  </si>
  <si>
    <t xml:space="preserve">FS-FUFIT-220</t>
  </si>
  <si>
    <t xml:space="preserve">เกลียวปล่อย JF #8x1"</t>
  </si>
  <si>
    <t xml:space="preserve">Tapping screw JF #8x1"</t>
  </si>
  <si>
    <t xml:space="preserve">FS-FUFIT-221</t>
  </si>
  <si>
    <t xml:space="preserve">แปรงลวดทองเหลือง 5แถว ตราสมอ</t>
  </si>
  <si>
    <t xml:space="preserve">Brass wire brush, 5 rows, Anchor brand</t>
  </si>
  <si>
    <t xml:space="preserve">FS-FUFIT-222</t>
  </si>
  <si>
    <t xml:space="preserve">กาวเม็ด สีขาว HG040020</t>
  </si>
  <si>
    <t xml:space="preserve">White seed glue, HG040020</t>
  </si>
  <si>
    <t xml:space="preserve">FS-FUFIT-223</t>
  </si>
  <si>
    <t xml:space="preserve">HM 9585.4 กาวเม็ดสีขาว</t>
  </si>
  <si>
    <t xml:space="preserve">HM 9585.4 White pigment glue</t>
  </si>
  <si>
    <t xml:space="preserve">FS-FUFIT-224</t>
  </si>
  <si>
    <t xml:space="preserve">Surface cleaner</t>
  </si>
  <si>
    <t xml:space="preserve">น้ำยาทำความสะอาดพื้นผิว AAA 20 ลิตร/แกลลอน</t>
  </si>
  <si>
    <t xml:space="preserve">AAA surface cleaner 20 liters/gallon</t>
  </si>
  <si>
    <t xml:space="preserve">AP-TFI000</t>
  </si>
  <si>
    <t xml:space="preserve">FS-FUFIT-225</t>
  </si>
  <si>
    <t xml:space="preserve">Hydraulic oil</t>
  </si>
  <si>
    <t xml:space="preserve">P-250109001 น้ำมันไฮโดริค AW32 (18L)</t>
  </si>
  <si>
    <t xml:space="preserve">P-250109001 Hydraulic oil AW32 (18L)</t>
  </si>
  <si>
    <t xml:space="preserve">ลิตร</t>
  </si>
  <si>
    <t xml:space="preserve">LITER</t>
  </si>
  <si>
    <t xml:space="preserve">FS-FUFIT-226</t>
  </si>
  <si>
    <t xml:space="preserve">End cap</t>
  </si>
  <si>
    <t xml:space="preserve">833.74.822 ฝาปิดหัว/ท้าย สำหรับราง</t>
  </si>
  <si>
    <t xml:space="preserve">833.74.822 Head/end cap for rail</t>
  </si>
  <si>
    <t xml:space="preserve">FS-FUFIT-227</t>
  </si>
  <si>
    <t xml:space="preserve">126.37.097 ตัวปิดปลายพลาสติก สีสแตนเลส (R)</t>
  </si>
  <si>
    <t xml:space="preserve">126.37.097 Plastic end cap, stainless steel color (R)</t>
  </si>
  <si>
    <t xml:space="preserve">FS-FUFIT-228</t>
  </si>
  <si>
    <t xml:space="preserve">126.37.098 ตัวปิดปลายพลาสติก สีสแตนเลส (L)</t>
  </si>
  <si>
    <t xml:space="preserve">126.37.098 Plastic end cap, stainless steel color (L)</t>
  </si>
  <si>
    <t xml:space="preserve">FS-FUFIT-229</t>
  </si>
  <si>
    <t xml:space="preserve">833.89.206 ข้อต่อไฟ LED สตริปไลท์ 8มม.</t>
  </si>
  <si>
    <t xml:space="preserve">833.89.206 LED strip light socket 8mm.</t>
  </si>
  <si>
    <t xml:space="preserve">FS-FUFIT-230</t>
  </si>
  <si>
    <t xml:space="preserve">833.89.187 ข้อต่อ 90 องศา ไฟ LED สตริปไลท์ 8มม.</t>
  </si>
  <si>
    <t xml:space="preserve">833.89.187 LED strip light elbow 8mm.</t>
  </si>
  <si>
    <t xml:space="preserve">FS-FUFIT-231</t>
  </si>
  <si>
    <t xml:space="preserve">Wire nut</t>
  </si>
  <si>
    <t xml:space="preserve">วายนัท สีแดง 100ชิ้น/กล่อง</t>
  </si>
  <si>
    <t xml:space="preserve">Red Wire nut 100pcs/box</t>
  </si>
  <si>
    <t xml:space="preserve">FS-FUFIT-232</t>
  </si>
  <si>
    <t xml:space="preserve">วายนัท สีเหลือง 100ชิ้น/กล่อง</t>
  </si>
  <si>
    <t xml:space="preserve">Yellow Wire nut 100pcs/box</t>
  </si>
  <si>
    <t xml:space="preserve">FS-FUFIT-233</t>
  </si>
  <si>
    <t xml:space="preserve">วายนัท สีเทา 50ชิ้น/กล่อง</t>
  </si>
  <si>
    <t xml:space="preserve">Grey Wire nut 100pcs/box</t>
  </si>
  <si>
    <t xml:space="preserve">FS-FUFIT-234</t>
  </si>
  <si>
    <t xml:space="preserve">JT4-30FWH สกรูยึดมือจับยาว 30มม.</t>
  </si>
  <si>
    <t xml:space="preserve">JT4-30FWH Handle fixing screw, length 30mm.</t>
  </si>
  <si>
    <t xml:space="preserve">FS-FUFIT-235</t>
  </si>
  <si>
    <t xml:space="preserve">EPE FOAM WHITE T1 mm. W1.3M. L150M.</t>
  </si>
  <si>
    <t xml:space="preserve">Epe Foam White T1 mm. W1.3m. L150m.</t>
  </si>
  <si>
    <t xml:space="preserve">AP-KPA000</t>
  </si>
  <si>
    <t xml:space="preserve">FS-FUFIT-236</t>
  </si>
  <si>
    <t xml:space="preserve">Screw Cover</t>
  </si>
  <si>
    <t xml:space="preserve">CAP007-LGR ฝาปิดสกรูจิ๋วหัวแฉกสีเทาอ่อน</t>
  </si>
  <si>
    <t xml:space="preserve">CAP007-LGR Phillips head screw cap, light gray</t>
  </si>
  <si>
    <t xml:space="preserve">FS-FUFIT-237</t>
  </si>
  <si>
    <t xml:space="preserve">Release agent </t>
  </si>
  <si>
    <t xml:space="preserve">CL 4910.0 Release agent (หน้า) 30ลิตร/ถัง</t>
  </si>
  <si>
    <t xml:space="preserve">CL 4910.0 Release Agent (page) 30 liters/tank</t>
  </si>
  <si>
    <t xml:space="preserve">ถัง</t>
  </si>
  <si>
    <t xml:space="preserve">TANK</t>
  </si>
  <si>
    <t xml:space="preserve">FS-FUFIT-238</t>
  </si>
  <si>
    <t xml:space="preserve">Cleaning agent </t>
  </si>
  <si>
    <t xml:space="preserve">CL 4930.0 Cleaning agent (หลัง) 30ลิตร/ถัง</t>
  </si>
  <si>
    <t xml:space="preserve">CL 4930.0 Cleaning Agent (back) 30 liters/tank</t>
  </si>
  <si>
    <t xml:space="preserve">FS-FUFIT-239</t>
  </si>
  <si>
    <t xml:space="preserve">Sticker-Label 2,000pcs/roll แกนขนาด 1.5"</t>
  </si>
  <si>
    <t xml:space="preserve">Sticker-Laabel 2,000PCS/Roll, a core size 1.5 "</t>
  </si>
  <si>
    <t xml:space="preserve">FS-FUFIT-240</t>
  </si>
  <si>
    <t xml:space="preserve">Wax</t>
  </si>
  <si>
    <t xml:space="preserve">Ribbon Premium Wax 80mm*300m</t>
  </si>
  <si>
    <t xml:space="preserve">Ribbon Premium Wax 80mm*300M</t>
  </si>
  <si>
    <t xml:space="preserve">FS-FUFIT-241</t>
  </si>
  <si>
    <t xml:space="preserve">Hinge</t>
  </si>
  <si>
    <t xml:space="preserve">306.00.005 ฐานบานพับกระจก สีดำเงา</t>
  </si>
  <si>
    <t xml:space="preserve">306.00.005 Black Mirror Hinge Base</t>
  </si>
  <si>
    <t xml:space="preserve">FS-FUFIT-242</t>
  </si>
  <si>
    <t xml:space="preserve">Flap Fittings</t>
  </si>
  <si>
    <t xml:space="preserve">315.59.024 ฝาครอบแขนบานพับกระจก สีดำเงา</t>
  </si>
  <si>
    <t xml:space="preserve">315.59.024 Glass hinge arm cover, glossy black</t>
  </si>
  <si>
    <t xml:space="preserve">FS-FUFIT-243</t>
  </si>
  <si>
    <t xml:space="preserve">315.59.091 สกรูสีดำ ใช้กับบานพับกระจก</t>
  </si>
  <si>
    <t xml:space="preserve">315.59.091 Black screws for glass hinges.</t>
  </si>
  <si>
    <t xml:space="preserve">FS-FUFIT-244</t>
  </si>
  <si>
    <t xml:space="preserve">315.59.081 ฝาครอบบานพับกระจก</t>
  </si>
  <si>
    <t xml:space="preserve">315.59.081 Glass hinge cover</t>
  </si>
  <si>
    <t xml:space="preserve">FS-FUFIT-245</t>
  </si>
  <si>
    <t xml:space="preserve">ชอล์กTOUTH-UPSTICK NO.4008</t>
  </si>
  <si>
    <t xml:space="preserve">Chalk TOUTH-UPSTTLCK NO.4008</t>
  </si>
  <si>
    <t xml:space="preserve">FS-FUFIT-246</t>
  </si>
  <si>
    <t xml:space="preserve">ชอล์กTOUTH-UPSTICK NO.3180</t>
  </si>
  <si>
    <t xml:space="preserve">Chalk TOUTH-UPSTTLCK NO.3180</t>
  </si>
  <si>
    <t xml:space="preserve">FS-FUFIT-247</t>
  </si>
  <si>
    <t xml:space="preserve">ชอล์กTOUTH-UPSTICK NO.1125</t>
  </si>
  <si>
    <t xml:space="preserve">Chalk TOUTH-UPSTTLCK NO.1125</t>
  </si>
  <si>
    <t xml:space="preserve">FS-FUFIT-248</t>
  </si>
  <si>
    <t xml:space="preserve">315.59.029 ตัวจำกัดมุมเปิดบานพับ</t>
  </si>
  <si>
    <t xml:space="preserve">315.59.029 Hinge opening angle limiter</t>
  </si>
  <si>
    <t xml:space="preserve">FS-FUFIT-249</t>
  </si>
  <si>
    <t xml:space="preserve">NBR-027 ถุงมือ NITRIE BLACK W 5.0G SIZE L</t>
  </si>
  <si>
    <t xml:space="preserve">NBR-027 NITRIE GLOVES BLACK W 5.0G SIZE L</t>
  </si>
  <si>
    <t xml:space="preserve">AP-PFS000</t>
  </si>
  <si>
    <t xml:space="preserve">FS-PULV-001</t>
  </si>
  <si>
    <t xml:space="preserve">005.24.412 SAND PAPER DRY POLISH800 6</t>
  </si>
  <si>
    <t xml:space="preserve">FS-PULV-002</t>
  </si>
  <si>
    <t xml:space="preserve">005.24.413 SAND PAPER DRY POLISH1000 6</t>
  </si>
  <si>
    <t xml:space="preserve">FS-PULV-003</t>
  </si>
  <si>
    <t xml:space="preserve">005.24.369 SAND PAPER DRY POLISH1500 6</t>
  </si>
  <si>
    <t xml:space="preserve">FS-PULV-007</t>
  </si>
  <si>
    <t xml:space="preserve">กระดาษทรายกลม 6+6รู SA331 หลังสักหลาด P.600</t>
  </si>
  <si>
    <t xml:space="preserve">Round sandpaper 6+6 holes SA331 felt back P.600"</t>
  </si>
  <si>
    <t xml:space="preserve">FS-PULV-008</t>
  </si>
  <si>
    <t xml:space="preserve">Wool ball</t>
  </si>
  <si>
    <t xml:space="preserve">Wool boll JS Mechanic 8 DH040979 ขนแกะ</t>
  </si>
  <si>
    <t xml:space="preserve">Wool boll JS Mechanic 8 DH040979 wool"</t>
  </si>
  <si>
    <t xml:space="preserve">FS-PULV-011</t>
  </si>
  <si>
    <t xml:space="preserve">กระดาษกาวย่น300mm40yds</t>
  </si>
  <si>
    <t xml:space="preserve">300mm 40yds wrinkled masking tape</t>
  </si>
  <si>
    <t xml:space="preserve">FS-PULV-013</t>
  </si>
  <si>
    <t xml:space="preserve">เศษผ้าสีขาว ขนาดA4</t>
  </si>
  <si>
    <t xml:space="preserve">A piece of white cloth, A4 size.</t>
  </si>
  <si>
    <t xml:space="preserve">AP-JPF000 </t>
  </si>
  <si>
    <t xml:space="preserve">FS-PULV-014</t>
  </si>
  <si>
    <t xml:space="preserve">ผ้าทรายสายพานแข็ง TX38 630x1530 P.240</t>
  </si>
  <si>
    <t xml:space="preserve">Hard belt sanding cloth TX38 630x1530 P.240</t>
  </si>
  <si>
    <t xml:space="preserve">FS-PULV-015</t>
  </si>
  <si>
    <t xml:space="preserve">Putty</t>
  </si>
  <si>
    <t xml:space="preserve">โจมาร์ สีโป้วแห้งเร็ว สีแดง ขนาด 1 กิโลกรัม</t>
  </si>
  <si>
    <t xml:space="preserve">Jomar Quick Dry Putty Red Size 1 kg.</t>
  </si>
  <si>
    <t xml:space="preserve">FS-PULV-016</t>
  </si>
  <si>
    <t xml:space="preserve">กระดาษกาวย่น 3/4x10yds"</t>
  </si>
  <si>
    <t xml:space="preserve">Masking tape 3/4x10yds"</t>
  </si>
  <si>
    <t xml:space="preserve">ลัง</t>
  </si>
  <si>
    <t xml:space="preserve">CRATE</t>
  </si>
  <si>
    <t xml:space="preserve">FS-PULV-017</t>
  </si>
  <si>
    <t xml:space="preserve">กระดาษกาวย่น 1x20yds  923B"</t>
  </si>
  <si>
    <t xml:space="preserve">Masking tape 1x20yds  923B"</t>
  </si>
  <si>
    <t xml:space="preserve">FS-PULV-018</t>
  </si>
  <si>
    <t xml:space="preserve">Polisher</t>
  </si>
  <si>
    <t xml:space="preserve">น้ำยาขัด Stainless Steel 3M</t>
  </si>
  <si>
    <t xml:space="preserve">Stainless Steel 3M abrasive</t>
  </si>
  <si>
    <t xml:space="preserve">FS-PULV-019</t>
  </si>
  <si>
    <t xml:space="preserve">สีโป้ว วอลพุตตี้ สีขาว</t>
  </si>
  <si>
    <t xml:space="preserve">Putty Walputty White</t>
  </si>
  <si>
    <t xml:space="preserve">แกลลอน</t>
  </si>
  <si>
    <t xml:space="preserve">GALLON</t>
  </si>
  <si>
    <t xml:space="preserve">FS-PULV-020</t>
  </si>
  <si>
    <t xml:space="preserve">005.23.672 กระดาษทรายขัดมือ#180</t>
  </si>
  <si>
    <t xml:space="preserve">005.23.672 Sandpaper #180</t>
  </si>
  <si>
    <t xml:space="preserve">FS-PULV-021</t>
  </si>
  <si>
    <t xml:space="preserve">005.26.581 กระดาษทรายขัดมือ#320</t>
  </si>
  <si>
    <t xml:space="preserve">005.26.581 Sandpaper #320</t>
  </si>
  <si>
    <t xml:space="preserve">FS-PULV-022</t>
  </si>
  <si>
    <t xml:space="preserve">005.23.674 กระดาษทรายขัดมือ#400</t>
  </si>
  <si>
    <t xml:space="preserve">005.23.674 Sandpaper #400</t>
  </si>
  <si>
    <t xml:space="preserve">FS-PULV-023</t>
  </si>
  <si>
    <t xml:space="preserve">Wool Pad</t>
  </si>
  <si>
    <t xml:space="preserve">ขนแกะ Wool Pad 3 (XT-41)"</t>
  </si>
  <si>
    <t xml:space="preserve">Wool Pad 3 (XT-41)"</t>
  </si>
  <si>
    <t xml:space="preserve">FS-PULV-024</t>
  </si>
  <si>
    <t xml:space="preserve">กรวยกรองสีตราเสือ #125 (1000ชิ้น)</t>
  </si>
  <si>
    <t xml:space="preserve">Tiger Paint Filter Cone #125 (1000pcs)</t>
  </si>
  <si>
    <t xml:space="preserve">AP-ATT000 </t>
  </si>
  <si>
    <t xml:space="preserve">FS-PULV-025</t>
  </si>
  <si>
    <t xml:space="preserve">775L กระดาษทรายกลม 320 50/กล สีม่วง</t>
  </si>
  <si>
    <t xml:space="preserve">775L Round sandpaper 320 50/box purple</t>
  </si>
  <si>
    <t xml:space="preserve">AP-BNT000</t>
  </si>
  <si>
    <t xml:space="preserve">FS-PULV-026</t>
  </si>
  <si>
    <t xml:space="preserve">775L กระดาษทรายกลม 400 50/กล สีม่วง</t>
  </si>
  <si>
    <t xml:space="preserve">775L Round sandpaper 400 50/box purple</t>
  </si>
  <si>
    <t xml:space="preserve">AP-KST000</t>
  </si>
  <si>
    <t xml:space="preserve">FS-PULV-027</t>
  </si>
  <si>
    <t xml:space="preserve">กระดาษทรายกลม 3M เบอร์ 600 (100แผ่น/กล่อง)</t>
  </si>
  <si>
    <t xml:space="preserve">Round sandpaper 3M No. 600 (100 sheets/box)</t>
  </si>
  <si>
    <t xml:space="preserve">FS-PULV-028</t>
  </si>
  <si>
    <t xml:space="preserve">M-8516 DIAMOND CUT COMPOUND 16oz.</t>
  </si>
  <si>
    <t xml:space="preserve">AP-MEG000</t>
  </si>
  <si>
    <t xml:space="preserve">FS-PULV-029</t>
  </si>
  <si>
    <t xml:space="preserve">EPS FOAM 710x1320x9mm. 0.6 lb/cu.ft เกรดธรรมดา</t>
  </si>
  <si>
    <t xml:space="preserve">EPS FOAM 710x1320x9mm. 0.6 lb/cu.ft Normal Grade</t>
  </si>
  <si>
    <t xml:space="preserve">FS-PULV-030</t>
  </si>
  <si>
    <t xml:space="preserve">สีโป๊วไม้ A380 4KG</t>
  </si>
  <si>
    <t xml:space="preserve">Wood Putty A380 4KG</t>
  </si>
  <si>
    <t xml:space="preserve">AP-DOC001 </t>
  </si>
  <si>
    <t xml:space="preserve">FS-PULV-031</t>
  </si>
  <si>
    <t xml:space="preserve">005.24.414 SAND DIS STF D150/48 P1200GR50</t>
  </si>
  <si>
    <t xml:space="preserve">FS-PULV-032</t>
  </si>
  <si>
    <t xml:space="preserve">คอปเปอร์ SP 40</t>
  </si>
  <si>
    <t xml:space="preserve">Copper SP 40</t>
  </si>
  <si>
    <t xml:space="preserve">FS-PULV-033</t>
  </si>
  <si>
    <t xml:space="preserve">ข้อต่อ PP40</t>
  </si>
  <si>
    <t xml:space="preserve">Socket PP40</t>
  </si>
  <si>
    <t xml:space="preserve">FS-PULV-034</t>
  </si>
  <si>
    <t xml:space="preserve">คอปเปอร์ 3 ทาง Mitto</t>
  </si>
  <si>
    <t xml:space="preserve">Mitto 3-way coupling</t>
  </si>
  <si>
    <t xml:space="preserve">FS-PULV-036</t>
  </si>
  <si>
    <t xml:space="preserve">775L กระดาษทรายกลม 180 50/กล สีม่วง</t>
  </si>
  <si>
    <t xml:space="preserve">775L Round sandpaper 180 50/box purple</t>
  </si>
  <si>
    <t xml:space="preserve">FS-PULV-037</t>
  </si>
  <si>
    <t xml:space="preserve">775L กระดาษทรายกลม 240 50/กล สีม่วง</t>
  </si>
  <si>
    <t xml:space="preserve">775L Round sandpaper 240 50/box purple</t>
  </si>
  <si>
    <t xml:space="preserve">FS-SSLV-002</t>
  </si>
  <si>
    <t xml:space="preserve">กระดาษทรายน้ำ #240(จีน)</t>
  </si>
  <si>
    <t xml:space="preserve">Water Sandpaper #240(China)</t>
  </si>
  <si>
    <t xml:space="preserve">FS-SSLV-003</t>
  </si>
  <si>
    <t xml:space="preserve">กระดาษทรายน้ำ #800(จีน)</t>
  </si>
  <si>
    <t xml:space="preserve">Water Sandpaper #800(China)</t>
  </si>
  <si>
    <t xml:space="preserve">FS-SSLV-004</t>
  </si>
  <si>
    <t xml:space="preserve">กระดาษทรายน้ำ #1500(จีน)</t>
  </si>
  <si>
    <t xml:space="preserve">Water Sandpaper #1500(China)</t>
  </si>
  <si>
    <t xml:space="preserve">FS-SSLV-005</t>
  </si>
  <si>
    <t xml:space="preserve">กระดาษทรายน้ำ #2000(จีน)</t>
  </si>
  <si>
    <t xml:space="preserve">Water Sandpaper #2000(China)</t>
  </si>
  <si>
    <t xml:space="preserve">FS-SSLV-006</t>
  </si>
  <si>
    <t xml:space="preserve">กระดาษทรายน้ำ RMC #240</t>
  </si>
  <si>
    <t xml:space="preserve">Water Sandpaper RMC #240</t>
  </si>
  <si>
    <t xml:space="preserve">AP-GWN000 </t>
  </si>
  <si>
    <t xml:space="preserve">FS-SSLV-007</t>
  </si>
  <si>
    <t xml:space="preserve">กระดาษทรายน้ำ RMC #800</t>
  </si>
  <si>
    <t xml:space="preserve">Water Sandpaper RMC #800</t>
  </si>
  <si>
    <t xml:space="preserve">FS-SSLV-008</t>
  </si>
  <si>
    <t xml:space="preserve">กระดาษทรายน้ำ RMC #1000</t>
  </si>
  <si>
    <t xml:space="preserve">Water Sandpaper RMC #1000</t>
  </si>
  <si>
    <t xml:space="preserve">FS-SSLV-009</t>
  </si>
  <si>
    <t xml:space="preserve">กระดาษทรายน้ำ RMC #2000</t>
  </si>
  <si>
    <t xml:space="preserve">Water Sandpaper RMC #2000</t>
  </si>
  <si>
    <t xml:space="preserve">FS-SSLV-010</t>
  </si>
  <si>
    <t xml:space="preserve">กระดาษทรายน้ำ RMC #2500</t>
  </si>
  <si>
    <t xml:space="preserve">Water Sandpaper RMC #2500</t>
  </si>
  <si>
    <t xml:space="preserve">FS-SSLV-011</t>
  </si>
  <si>
    <t xml:space="preserve">ลูกขัดขนแกะ ขนาด 8 W-4000"</t>
  </si>
  <si>
    <t xml:space="preserve">Wool polishing ball, size 8 W-4000"</t>
  </si>
  <si>
    <t xml:space="preserve">AP-TFI000 </t>
  </si>
  <si>
    <t xml:space="preserve">FS-SSLV-012</t>
  </si>
  <si>
    <t xml:space="preserve">กระดาษทรายกลม4 #24(F-226)"</t>
  </si>
  <si>
    <t xml:space="preserve">Round sandpaper 4 #24(F-226)"</t>
  </si>
  <si>
    <t xml:space="preserve">AP-SCP000 </t>
  </si>
  <si>
    <t xml:space="preserve">FS-SSLV-013</t>
  </si>
  <si>
    <t xml:space="preserve">กระดาษทรายกลม4 #80(F-226)"</t>
  </si>
  <si>
    <t xml:space="preserve">Round sandpaper 4 #80(F-226)"</t>
  </si>
  <si>
    <t xml:space="preserve">FS-SSLV-014</t>
  </si>
  <si>
    <t xml:space="preserve">Polishing Pad</t>
  </si>
  <si>
    <t xml:space="preserve">แผ่นขัดสีแดง 17 นิ้ว (ของใหม่)</t>
  </si>
  <si>
    <t xml:space="preserve">17 inch red polishing pad (new)</t>
  </si>
  <si>
    <t xml:space="preserve">FS-SSLV-015</t>
  </si>
  <si>
    <t xml:space="preserve">แผ่นขัดไดมอนดิสแบบบาง เบอร์ 20</t>
  </si>
  <si>
    <t xml:space="preserve">Diamond polishing pad, thin, size 20</t>
  </si>
  <si>
    <t xml:space="preserve">FS-SSLV-016</t>
  </si>
  <si>
    <t xml:space="preserve">แผ่นขัดไดมอนดิสแบบบาง เบอร์ 50</t>
  </si>
  <si>
    <t xml:space="preserve">Diamond polishing pad, thin, size 50</t>
  </si>
  <si>
    <t xml:space="preserve">FS-SSLV-017</t>
  </si>
  <si>
    <t xml:space="preserve">แผ่นขัดไดมอนดิสแบบบาง เบอร์ 100</t>
  </si>
  <si>
    <t xml:space="preserve">Diamond polishing pad, thin, size 100</t>
  </si>
  <si>
    <t xml:space="preserve">FS-SSLV-018</t>
  </si>
  <si>
    <t xml:space="preserve">แผ่นขัดไดมอนดิสแบบบาง เบอร์ 150</t>
  </si>
  <si>
    <t xml:space="preserve">Diamond polishing pad, thin, size 150</t>
  </si>
  <si>
    <t xml:space="preserve">FS-SSLV-019</t>
  </si>
  <si>
    <t xml:space="preserve">แผ่นขัดไดมอนดิสแบบบาง เบอร์ 300</t>
  </si>
  <si>
    <t xml:space="preserve">Diamond polishing pad, thin, size 300</t>
  </si>
  <si>
    <t xml:space="preserve">FS-SSLV-020</t>
  </si>
  <si>
    <t xml:space="preserve">แผ่นขัดไดมอนดิสแบบบาง เบอร์ 400</t>
  </si>
  <si>
    <t xml:space="preserve">Diamond polishing pad, thin, size 400</t>
  </si>
  <si>
    <t xml:space="preserve">FS-SSLV-021</t>
  </si>
  <si>
    <t xml:space="preserve">แผ่นขัดไดมอนดิสแบบบาง เบอร์ 800</t>
  </si>
  <si>
    <t xml:space="preserve">Diamond polishing pad, thin, size 800</t>
  </si>
  <si>
    <t xml:space="preserve">FS-SSLV-022</t>
  </si>
  <si>
    <t xml:space="preserve">Welding rod</t>
  </si>
  <si>
    <t xml:space="preserve">ลวดเชื่อม 2.6 (ยาวาต้า)</t>
  </si>
  <si>
    <t xml:space="preserve">Welding rod 2.6 (Yawata)</t>
  </si>
  <si>
    <t xml:space="preserve">FS-SSLV-023</t>
  </si>
  <si>
    <t xml:space="preserve">กระดาษทรายกลม 6 #80"</t>
  </si>
  <si>
    <t xml:space="preserve">Round sandpaper 6 #80"</t>
  </si>
  <si>
    <t xml:space="preserve">AP-JSM000 </t>
  </si>
  <si>
    <t xml:space="preserve">FS-SSLV-024</t>
  </si>
  <si>
    <t xml:space="preserve">กระดาษทรายกลม 6 #120"</t>
  </si>
  <si>
    <t xml:space="preserve">Round sandpaper 6 #120"</t>
  </si>
  <si>
    <t xml:space="preserve">FS-SSLV-025</t>
  </si>
  <si>
    <t xml:space="preserve">กระดาษทรายกลม 6 #320"</t>
  </si>
  <si>
    <t xml:space="preserve">Round sandpaper 6 #320"</t>
  </si>
  <si>
    <t xml:space="preserve">FS-SSLV-026</t>
  </si>
  <si>
    <t xml:space="preserve">กระดาษทรายกลม 6 #400"</t>
  </si>
  <si>
    <t xml:space="preserve">Round sandpaper 6 #400"</t>
  </si>
  <si>
    <t xml:space="preserve">FS-SSLV-027</t>
  </si>
  <si>
    <t xml:space="preserve">กระดาษทรายกลม 6 #600"</t>
  </si>
  <si>
    <t xml:space="preserve">Round sandpaper 6 #600"</t>
  </si>
  <si>
    <t xml:space="preserve">FS-SSLV-028</t>
  </si>
  <si>
    <t xml:space="preserve">กระดาษทรายกลม 6 #800"</t>
  </si>
  <si>
    <t xml:space="preserve">Round sandpaper 6 #800"</t>
  </si>
  <si>
    <t xml:space="preserve">FS-SSLV-029</t>
  </si>
  <si>
    <t xml:space="preserve">กระดาษทรายกลม 6 #1000"</t>
  </si>
  <si>
    <t xml:space="preserve">Round sandpaper 6 #1000"</t>
  </si>
  <si>
    <t xml:space="preserve">FS-SSLV-030</t>
  </si>
  <si>
    <t xml:space="preserve">005.24.379 กระดาษทรายกลม P240 HAFELE</t>
  </si>
  <si>
    <t xml:space="preserve">005.24.379 Round sandpaper P240 HAFELE</t>
  </si>
  <si>
    <t xml:space="preserve">FS-SSLV-031</t>
  </si>
  <si>
    <t xml:space="preserve">005.24.383 กระดาษทรายกลม P320 HAFELE</t>
  </si>
  <si>
    <t xml:space="preserve">005.24.383 Round sandpaper P320 HAFELE</t>
  </si>
  <si>
    <t xml:space="preserve">FS-SSLV-032</t>
  </si>
  <si>
    <t xml:space="preserve">005.24.411 กระดาษทรายกลม P400 HAFELE</t>
  </si>
  <si>
    <t xml:space="preserve">005.24.411 Round sandpaper P400 HAFELE</t>
  </si>
  <si>
    <t xml:space="preserve">FS-SSLV-033</t>
  </si>
  <si>
    <t xml:space="preserve">005.11.912 กระดาษทรายกลม S500 HAFELE</t>
  </si>
  <si>
    <t xml:space="preserve">005.11.912 Round sandpaper P500 HAFELE</t>
  </si>
  <si>
    <t xml:space="preserve">FS-SSLV-034</t>
  </si>
  <si>
    <t xml:space="preserve">005.11.911 กระดาษทรายกลม P1000 HAFELE</t>
  </si>
  <si>
    <t xml:space="preserve">005.11.911 Round sandpaper P1000 HAFELE</t>
  </si>
  <si>
    <t xml:space="preserve">FS-SSLV-035</t>
  </si>
  <si>
    <t xml:space="preserve">005.23.682 กระดาษทรายสี่เหลี่ยม P400 HAFELE</t>
  </si>
  <si>
    <t xml:space="preserve">005.23.682 Square sandpaper P400 HAFELE</t>
  </si>
  <si>
    <t xml:space="preserve">FS-SSLV-036</t>
  </si>
  <si>
    <t xml:space="preserve">005.24.405 กระดาษทรายกลม P60 HAFELE</t>
  </si>
  <si>
    <t xml:space="preserve">005.24.405 Round sandpaper P60 HAFELE</t>
  </si>
  <si>
    <t xml:space="preserve">FS-SSLV-037</t>
  </si>
  <si>
    <t xml:space="preserve">005.24.407 กระดาษทรายกลม P120 HAFELE</t>
  </si>
  <si>
    <t xml:space="preserve">005.24.407 Round sandpaper P120 HAFELE</t>
  </si>
  <si>
    <t xml:space="preserve">FS-SSLV-038</t>
  </si>
  <si>
    <t xml:space="preserve">005.23.678 กระดาษทรายสี่เหลี่ยม P80 HAFELE</t>
  </si>
  <si>
    <t xml:space="preserve">005.23.678 Square sandpaper P80 HAFELE</t>
  </si>
  <si>
    <t xml:space="preserve">FS-SSLV-039</t>
  </si>
  <si>
    <t xml:space="preserve">005.23.679 กระดาษทรายสี่เหลี่ยม P120 HAFELE</t>
  </si>
  <si>
    <t xml:space="preserve">005.23.679 Square sandpaper P120 HAFELE</t>
  </si>
  <si>
    <t xml:space="preserve">FS-SSLV-040</t>
  </si>
  <si>
    <t xml:space="preserve">005.24.510 กระดาษทรายสี่เหลี่ยม P240 HAFELE</t>
  </si>
  <si>
    <t xml:space="preserve">005.24.510 Square sandpaper P240 HAFELE</t>
  </si>
  <si>
    <t xml:space="preserve">FS-SSLV-044</t>
  </si>
  <si>
    <t xml:space="preserve">ตะปู 2นิ้ว</t>
  </si>
  <si>
    <t xml:space="preserve">2 inch nails</t>
  </si>
  <si>
    <t xml:space="preserve">FS-SSLV-045</t>
  </si>
  <si>
    <t xml:space="preserve">005.23.681 กระดาษทรายสี่เหลี่ยม P320 HAFELE</t>
  </si>
  <si>
    <t xml:space="preserve">005.23.681 Square sandpaper P320 HAFELE</t>
  </si>
  <si>
    <t xml:space="preserve">FS-SSLV-046</t>
  </si>
  <si>
    <t xml:space="preserve">KX167 ผ้าทราย 1020*2000 #80</t>
  </si>
  <si>
    <t xml:space="preserve">KX167 Sand cloth 1020*2000 #80</t>
  </si>
  <si>
    <t xml:space="preserve">FS-SSLV-047</t>
  </si>
  <si>
    <t xml:space="preserve">KX167 ผ้าทราย 1020*2000 #120</t>
  </si>
  <si>
    <t xml:space="preserve">KX167 Sand cloth 1020*2000 #120</t>
  </si>
  <si>
    <t xml:space="preserve">FS-SSLV-048</t>
  </si>
  <si>
    <t xml:space="preserve">KX167 ผ้าทราย 1020*2000 #240</t>
  </si>
  <si>
    <t xml:space="preserve">KX167 Sand cloth 1020*2000 #240</t>
  </si>
  <si>
    <t xml:space="preserve">FS-SSLV-049</t>
  </si>
  <si>
    <t xml:space="preserve">KX167 ผ้าทราย 1020*2000 #400</t>
  </si>
  <si>
    <t xml:space="preserve">KX167 Sand cloth 1020*2000 #400</t>
  </si>
  <si>
    <t xml:space="preserve">FS-SSLV-050</t>
  </si>
  <si>
    <t xml:space="preserve">ผ้าทราย #180 (ไทย)</t>
  </si>
  <si>
    <t xml:space="preserve">Sand cloth #180 (Thai)</t>
  </si>
  <si>
    <t xml:space="preserve">FS-SSLV-053</t>
  </si>
  <si>
    <t xml:space="preserve">ลันล้า (BLUE WAX) #333MR</t>
  </si>
  <si>
    <t xml:space="preserve">BLUE WAX #333MR</t>
  </si>
  <si>
    <t xml:space="preserve">FS-SSLV-056</t>
  </si>
  <si>
    <t xml:space="preserve">ขี้ผึ้งขัดพื้น BOSNY กีวี่</t>
  </si>
  <si>
    <t xml:space="preserve">BOSNY floor polishing wax</t>
  </si>
  <si>
    <t xml:space="preserve">FS-SSLV-057</t>
  </si>
  <si>
    <t xml:space="preserve">กระดาษทารายกลม 6#240"</t>
  </si>
  <si>
    <t xml:space="preserve">Round sandpaper 6#240"</t>
  </si>
  <si>
    <t xml:space="preserve">FS-SSLV-058</t>
  </si>
  <si>
    <t xml:space="preserve">น้ำยาปัดเงา #3</t>
  </si>
  <si>
    <t xml:space="preserve">Polishing solution #3</t>
  </si>
  <si>
    <t xml:space="preserve">FS-SSLV-059</t>
  </si>
  <si>
    <t xml:space="preserve">Sandpaper Remover</t>
  </si>
  <si>
    <t xml:space="preserve">น้ำยาลบรอยกระดาษทราย M-85</t>
  </si>
  <si>
    <t xml:space="preserve">Sandpaper Remover M-85</t>
  </si>
  <si>
    <t xml:space="preserve">FS-SSLV-061</t>
  </si>
  <si>
    <t xml:space="preserve">กาวแท่งสีใส</t>
  </si>
  <si>
    <t xml:space="preserve">Clear glue stick</t>
  </si>
  <si>
    <t xml:space="preserve">FS-SSLV-062</t>
  </si>
  <si>
    <t xml:space="preserve">น้ำยาขัดเงาหินแกรนิต 1 ลิตร</t>
  </si>
  <si>
    <t xml:space="preserve">Granite polisher 1 liter</t>
  </si>
  <si>
    <t xml:space="preserve">FS-SSLV-063</t>
  </si>
  <si>
    <t xml:space="preserve">เทปกระดาษเล็ก1นิ้ว</t>
  </si>
  <si>
    <t xml:space="preserve">1 inch small paper tape</t>
  </si>
  <si>
    <t xml:space="preserve">FS-SSLV-064</t>
  </si>
  <si>
    <t xml:space="preserve">กาว 2 หน้าโฟม (หนา)</t>
  </si>
  <si>
    <t xml:space="preserve">Double-sided foam glue (thick)</t>
  </si>
  <si>
    <t xml:space="preserve">FS-SSLV-065</t>
  </si>
  <si>
    <t xml:space="preserve">Aluminum foil</t>
  </si>
  <si>
    <t xml:space="preserve">อลูมิเนียมฟอยส์ 2</t>
  </si>
  <si>
    <t xml:space="preserve">Aluminum foil 2</t>
  </si>
  <si>
    <t xml:space="preserve">FS-SSLV-067</t>
  </si>
  <si>
    <t xml:space="preserve">ผ้าขนหนู 9*9 (ขาว)</t>
  </si>
  <si>
    <t xml:space="preserve">Towel 9*9 (White)</t>
  </si>
  <si>
    <t xml:space="preserve">ผืน</t>
  </si>
  <si>
    <t xml:space="preserve">CLOTH</t>
  </si>
  <si>
    <t xml:space="preserve">FS-SSLV-068</t>
  </si>
  <si>
    <t xml:space="preserve">ผ้าขนหนู 12*12 (ขาว)</t>
  </si>
  <si>
    <t xml:space="preserve">Towel 12*12 (White)</t>
  </si>
  <si>
    <t xml:space="preserve">FS-SSLV-069</t>
  </si>
  <si>
    <t xml:space="preserve">ผ้าไมโครไฟเบอร์ 16*16 (สี)</t>
  </si>
  <si>
    <t xml:space="preserve">Microfiber cloth 16*16 (color)</t>
  </si>
  <si>
    <t xml:space="preserve">FS-SSLV-070</t>
  </si>
  <si>
    <t xml:space="preserve">ผ้าขนหนู-แม่พิมพ์</t>
  </si>
  <si>
    <t xml:space="preserve">Towel-mold</t>
  </si>
  <si>
    <t xml:space="preserve">AP-SRL000</t>
  </si>
  <si>
    <t xml:space="preserve">FS-SSLV-071</t>
  </si>
  <si>
    <t xml:space="preserve">ถ่านหินเจียเครื่องปัด CB-100A</t>
  </si>
  <si>
    <t xml:space="preserve">Coal Grinding Flapper CB-100A</t>
  </si>
  <si>
    <t xml:space="preserve">FS-SSLV-072</t>
  </si>
  <si>
    <t xml:space="preserve">ถ่านหินเจียเครื่องปั่น CB-419A</t>
  </si>
  <si>
    <t xml:space="preserve">Coal Grinding Blender CB-419A</t>
  </si>
  <si>
    <t xml:space="preserve">FS-SSLV-073</t>
  </si>
  <si>
    <t xml:space="preserve">ถ่านหินเจียเครื่องเจียร CB-411A</t>
  </si>
  <si>
    <t xml:space="preserve">Coal Grinding Machine CB-411A</t>
  </si>
  <si>
    <t xml:space="preserve">FS-SSLV-074</t>
  </si>
  <si>
    <t xml:space="preserve">Water sucker</t>
  </si>
  <si>
    <t xml:space="preserve">ตัวดูดน้ำ</t>
  </si>
  <si>
    <t xml:space="preserve">FS-SSLV-075</t>
  </si>
  <si>
    <t xml:space="preserve">ถ้วยพลาสติกสีขาว ใหญ่</t>
  </si>
  <si>
    <t xml:space="preserve">Large white plastic cup</t>
  </si>
  <si>
    <t xml:space="preserve">FS-SSLV-076</t>
  </si>
  <si>
    <t xml:space="preserve">ถ้วยพลาสติกสีขาว เล็ก</t>
  </si>
  <si>
    <t xml:space="preserve">Small white plastic cup</t>
  </si>
  <si>
    <t xml:space="preserve">FS-SSLV-077</t>
  </si>
  <si>
    <t xml:space="preserve">Water dipper</t>
  </si>
  <si>
    <t xml:space="preserve">ขันพลาสติก มีด้าม</t>
  </si>
  <si>
    <t xml:space="preserve">Plastic dipper with handle</t>
  </si>
  <si>
    <t xml:space="preserve">FS-SSLV-078</t>
  </si>
  <si>
    <t xml:space="preserve">ขันสแตนเลส มีด้าม</t>
  </si>
  <si>
    <t xml:space="preserve">Stainless steel dipper with handle</t>
  </si>
  <si>
    <t xml:space="preserve">FS-SSLV-079</t>
  </si>
  <si>
    <t xml:space="preserve">ไส้กรองหน้ากาก</t>
  </si>
  <si>
    <t xml:space="preserve">Mask filter</t>
  </si>
  <si>
    <t xml:space="preserve">FS-SSLV-080</t>
  </si>
  <si>
    <t xml:space="preserve">ตะปู 1.1/2</t>
  </si>
  <si>
    <t xml:space="preserve">Nails 1.1/2</t>
  </si>
  <si>
    <t xml:space="preserve">FS-SSLV-081</t>
  </si>
  <si>
    <t xml:space="preserve">หน้ากาก (พ่น)</t>
  </si>
  <si>
    <t xml:space="preserve">Mask (spray)</t>
  </si>
  <si>
    <t xml:space="preserve">FS-SSLV-082</t>
  </si>
  <si>
    <t xml:space="preserve">หน้ากากเจียร์</t>
  </si>
  <si>
    <t xml:space="preserve">Grinding mask</t>
  </si>
  <si>
    <t xml:space="preserve">FS-SSLV-083</t>
  </si>
  <si>
    <t xml:space="preserve">ผ้าเทป</t>
  </si>
  <si>
    <t xml:space="preserve">FS-SSLV-086</t>
  </si>
  <si>
    <t xml:space="preserve">Apron</t>
  </si>
  <si>
    <t xml:space="preserve">ผ้ากันเปื้อน (ผ้า)</t>
  </si>
  <si>
    <t xml:space="preserve">An apron (fabric)</t>
  </si>
  <si>
    <t xml:space="preserve">FS-SSLV-087</t>
  </si>
  <si>
    <t xml:space="preserve">ผ้ากันเปื้อน (หนัง)</t>
  </si>
  <si>
    <t xml:space="preserve">An apron (leather)</t>
  </si>
  <si>
    <t xml:space="preserve">AP-STP000</t>
  </si>
  <si>
    <t xml:space="preserve">FS-SSLV-088</t>
  </si>
  <si>
    <t xml:space="preserve">Basin</t>
  </si>
  <si>
    <t xml:space="preserve">กะละมัง</t>
  </si>
  <si>
    <t xml:space="preserve">FS-SSLV-090</t>
  </si>
  <si>
    <t xml:space="preserve">Bottle</t>
  </si>
  <si>
    <t xml:space="preserve">ขวดซอส</t>
  </si>
  <si>
    <t xml:space="preserve">FS-SSLV-093</t>
  </si>
  <si>
    <t xml:space="preserve">หมวกโม่ง (ไหมพรม)</t>
  </si>
  <si>
    <t xml:space="preserve">Robber (yarn)</t>
  </si>
  <si>
    <t xml:space="preserve">FS-SSLV-094</t>
  </si>
  <si>
    <t xml:space="preserve">หมวกสีขาว (ผ้า)</t>
  </si>
  <si>
    <t xml:space="preserve">White hat (fabric)</t>
  </si>
  <si>
    <t xml:space="preserve">FS-SSLV-095</t>
  </si>
  <si>
    <t xml:space="preserve">Dotter</t>
  </si>
  <si>
    <t xml:space="preserve">ตีนตุ๊กแก</t>
  </si>
  <si>
    <t xml:space="preserve">FS-SSLV-096</t>
  </si>
  <si>
    <t xml:space="preserve">ถ้วยพลาสติกใส 7ออนซ์</t>
  </si>
  <si>
    <t xml:space="preserve">Clear plastic cups 7 oz</t>
  </si>
  <si>
    <t xml:space="preserve">FS-SSLV-098</t>
  </si>
  <si>
    <t xml:space="preserve">แก้วพลาสติก 4 ออนซ์1X50</t>
  </si>
  <si>
    <t xml:space="preserve">Plastic cup 4 ounce 1x50</t>
  </si>
  <si>
    <t xml:space="preserve">FS-SSLV-103</t>
  </si>
  <si>
    <t xml:space="preserve">เคเบิ้ลไทร์ 4นิ้ว</t>
  </si>
  <si>
    <t xml:space="preserve">4 inch cable tie</t>
  </si>
  <si>
    <t xml:space="preserve">FS-SSLV-104</t>
  </si>
  <si>
    <t xml:space="preserve">Sponge</t>
  </si>
  <si>
    <t xml:space="preserve">ฟองน้ำก้อนใหญ่</t>
  </si>
  <si>
    <t xml:space="preserve">Large sponge</t>
  </si>
  <si>
    <t xml:space="preserve">FS-SSLV-105</t>
  </si>
  <si>
    <t xml:space="preserve">Fuzz</t>
  </si>
  <si>
    <t xml:space="preserve">ฝอย</t>
  </si>
  <si>
    <t xml:space="preserve">fuzz</t>
  </si>
  <si>
    <t xml:space="preserve">FS-SSLV-108</t>
  </si>
  <si>
    <t xml:space="preserve">ถุงมือแพทย์ (เซฟการ์ด)</t>
  </si>
  <si>
    <t xml:space="preserve">Medical gloves (saving cards)</t>
  </si>
  <si>
    <t xml:space="preserve">FS-SSLV-109</t>
  </si>
  <si>
    <t xml:space="preserve">ถุงมือยางส้ม</t>
  </si>
  <si>
    <t xml:space="preserve">Orange rubber gloves</t>
  </si>
  <si>
    <t xml:space="preserve">FS-SSLV-110</t>
  </si>
  <si>
    <t xml:space="preserve">Rubber tube</t>
  </si>
  <si>
    <t xml:space="preserve">สายยาง</t>
  </si>
  <si>
    <t xml:space="preserve">FS-SSLV-111</t>
  </si>
  <si>
    <t xml:space="preserve">เทปผ้าพันนิ้ว</t>
  </si>
  <si>
    <t xml:space="preserve">Finger wrapped tape</t>
  </si>
  <si>
    <t xml:space="preserve">AP-SPS000 </t>
  </si>
  <si>
    <t xml:space="preserve">FS-SSLV-112</t>
  </si>
  <si>
    <t xml:space="preserve">Straw</t>
  </si>
  <si>
    <t xml:space="preserve">เชือกฟาง</t>
  </si>
  <si>
    <t xml:space="preserve">FS-SSLV-114</t>
  </si>
  <si>
    <t xml:space="preserve">ขวดทรงกลมกระบอก(006)สีใส 500มล.ฝาขาว</t>
  </si>
  <si>
    <t xml:space="preserve">Cylinder bottle (006) clear color 500 ml.</t>
  </si>
  <si>
    <t xml:space="preserve">AP-BPP000</t>
  </si>
  <si>
    <t xml:space="preserve">FS-SSLV-115</t>
  </si>
  <si>
    <t xml:space="preserve">ขวดแก้ว สีใส 50 Ml. ฝาอลูมิเนียมม้วนขอบ</t>
  </si>
  <si>
    <t xml:space="preserve">Clear glass bottle 50 ml. Aluminum lid roll the edge.</t>
  </si>
  <si>
    <t xml:space="preserve">FS-SSLV-119</t>
  </si>
  <si>
    <t xml:space="preserve">Starter</t>
  </si>
  <si>
    <t xml:space="preserve">สตาร์ทเตอร์</t>
  </si>
  <si>
    <t xml:space="preserve">FS-SSLV-120</t>
  </si>
  <si>
    <t xml:space="preserve">ซิลิโคน V-Tech สีใส</t>
  </si>
  <si>
    <t xml:space="preserve">Clear V-Tech silicone</t>
  </si>
  <si>
    <t xml:space="preserve">FS-SSLV-121</t>
  </si>
  <si>
    <t xml:space="preserve">ซิลิโคน V-Tech สีขาว</t>
  </si>
  <si>
    <t xml:space="preserve">White V-Tech silicone</t>
  </si>
  <si>
    <t xml:space="preserve">FS-SSLV-123</t>
  </si>
  <si>
    <t xml:space="preserve">เทปใส 2 100 หลา"</t>
  </si>
  <si>
    <t xml:space="preserve">Clear tape 2 100 yards "</t>
  </si>
  <si>
    <t xml:space="preserve">FS-SSLV-124</t>
  </si>
  <si>
    <t xml:space="preserve">เทปใส 3 x 45 หลา (บาง)"</t>
  </si>
  <si>
    <t xml:space="preserve">Clear tape 3 x 45 yards (thin) "</t>
  </si>
  <si>
    <t xml:space="preserve">FS-SSLV-128</t>
  </si>
  <si>
    <t xml:space="preserve">เทปใส 2 บาง 48mmX45yds"</t>
  </si>
  <si>
    <t xml:space="preserve">FS-SSLV-130</t>
  </si>
  <si>
    <t xml:space="preserve">ผงซักฟอกโปรเขียว @ 3000 กรัม</t>
  </si>
  <si>
    <t xml:space="preserve">Detergent @ 3000 grams</t>
  </si>
  <si>
    <t xml:space="preserve">FS-SSLV-137</t>
  </si>
  <si>
    <t xml:space="preserve">ผ้าม๊อบ 12</t>
  </si>
  <si>
    <t xml:space="preserve">12 inch mop fabric</t>
  </si>
  <si>
    <t xml:space="preserve">FS-SSLV-144</t>
  </si>
  <si>
    <t xml:space="preserve">สายลม PU 6.5*10 MM.</t>
  </si>
  <si>
    <t xml:space="preserve">FS-SSLV-147</t>
  </si>
  <si>
    <t xml:space="preserve">เคเบิ้ลไทร์ 6</t>
  </si>
  <si>
    <t xml:space="preserve">FS-SSLV-151</t>
  </si>
  <si>
    <t xml:space="preserve">เคเบิ้ลไทร์ 8</t>
  </si>
  <si>
    <t xml:space="preserve">FS-SSLV-152</t>
  </si>
  <si>
    <t xml:space="preserve">เคเบิ้ลไทร์ 10</t>
  </si>
  <si>
    <t xml:space="preserve">FS-SSLV-153</t>
  </si>
  <si>
    <t xml:space="preserve">ลูกล้อขัดใยสังเคราะห์#80</t>
  </si>
  <si>
    <t xml:space="preserve">Synthetic polished wheel#80</t>
  </si>
  <si>
    <t xml:space="preserve">FS-SSLV-155</t>
  </si>
  <si>
    <t xml:space="preserve">Chemical Product</t>
  </si>
  <si>
    <t xml:space="preserve">ACETONE @ 160 Kg.</t>
  </si>
  <si>
    <t xml:space="preserve">Acetone @ 160 kg.</t>
  </si>
  <si>
    <t xml:space="preserve">AP-ALL000 </t>
  </si>
  <si>
    <t xml:space="preserve">FS-SSLV-156</t>
  </si>
  <si>
    <t xml:space="preserve">ลูกล้อขัดใยสังเคราะห์#120</t>
  </si>
  <si>
    <t xml:space="preserve">Synthetic polished wheel#120</t>
  </si>
  <si>
    <t xml:space="preserve">FS-SSLV-157</t>
  </si>
  <si>
    <t xml:space="preserve">ลูกล้อขัดใยสังเคราะห์#240</t>
  </si>
  <si>
    <t xml:space="preserve">Synthetic polished wheel#240</t>
  </si>
  <si>
    <t xml:space="preserve">FS-SSLV-158</t>
  </si>
  <si>
    <t xml:space="preserve">ลูกล้อขัดใยสังเคราะห์#400</t>
  </si>
  <si>
    <t xml:space="preserve">Synthetic polished wheel#400</t>
  </si>
  <si>
    <t xml:space="preserve">FS-SSLV-159</t>
  </si>
  <si>
    <t xml:space="preserve">Ladle</t>
  </si>
  <si>
    <t xml:space="preserve">กระบวยตักสีแบบขอเกี่ยว</t>
  </si>
  <si>
    <t xml:space="preserve">Color ladle with hook</t>
  </si>
  <si>
    <t xml:space="preserve">FS-SSLV-160</t>
  </si>
  <si>
    <t xml:space="preserve">Cotton Pad</t>
  </si>
  <si>
    <t xml:space="preserve">ผ้าสำลี 12 POND (44)"</t>
  </si>
  <si>
    <t xml:space="preserve">12 pond cotton pads (44) "</t>
  </si>
  <si>
    <t xml:space="preserve">หลา</t>
  </si>
  <si>
    <t xml:space="preserve">YARD</t>
  </si>
  <si>
    <t xml:space="preserve">AP-KAK000</t>
  </si>
  <si>
    <t xml:space="preserve">FS-SSLV-161</t>
  </si>
  <si>
    <t xml:space="preserve">ลูกขัดขนแกะ 82 หน้า ขนเหลือง"</t>
  </si>
  <si>
    <t xml:space="preserve">Glaspery 82 yellow fur face "</t>
  </si>
  <si>
    <t xml:space="preserve">AP-JSM000</t>
  </si>
  <si>
    <t xml:space="preserve">FS-SSLV-162</t>
  </si>
  <si>
    <t xml:space="preserve">Cleaning Spray</t>
  </si>
  <si>
    <t xml:space="preserve">สเปย์ทำความสะอาดขัดเงาสแตนเลส600ML3M</t>
  </si>
  <si>
    <t xml:space="preserve">Space cleaning stainless steel 600ml3m</t>
  </si>
  <si>
    <t xml:space="preserve">FS-SSLV-163</t>
  </si>
  <si>
    <t xml:space="preserve">Air blow gun</t>
  </si>
  <si>
    <t xml:space="preserve">ปืนฉีดลมด้านพลาสติก 4นิ้ว</t>
  </si>
  <si>
    <t xml:space="preserve">4 -inch plastic air blow gun</t>
  </si>
  <si>
    <t xml:space="preserve">FS-SSLV-164</t>
  </si>
  <si>
    <t xml:space="preserve">Angle bar</t>
  </si>
  <si>
    <t xml:space="preserve">ฉากเหล็ก 12 นิ้ว</t>
  </si>
  <si>
    <t xml:space="preserve">12 inch steel angle bar</t>
  </si>
  <si>
    <t xml:space="preserve">FS-SSLV-166</t>
  </si>
  <si>
    <t xml:space="preserve">Pressa Crocora </t>
  </si>
  <si>
    <t xml:space="preserve">#1335เพรสต้าโครม่า1500โพลิช(#133532)</t>
  </si>
  <si>
    <t xml:space="preserve">#1335 Pressa Crocora 1500 Poly (#133532)</t>
  </si>
  <si>
    <t xml:space="preserve">FS-SSLV-167</t>
  </si>
  <si>
    <t xml:space="preserve">Module</t>
  </si>
  <si>
    <t xml:space="preserve">005.23.608 MODULE SD E/A CT26/36</t>
  </si>
  <si>
    <t xml:space="preserve">005.23.608 Module SD E/a CT26/36</t>
  </si>
  <si>
    <t xml:space="preserve">FS-SSLV-168</t>
  </si>
  <si>
    <t xml:space="preserve">Garbage bags</t>
  </si>
  <si>
    <t xml:space="preserve">005.23.749 SELFC. FILTERSACK SC FIS-CT48/5 ถุงขยะ</t>
  </si>
  <si>
    <t xml:space="preserve">005.23.749 Selfc. Filtersck SC FIS-CCT48/5 garbage bags</t>
  </si>
  <si>
    <t xml:space="preserve">FS-SSLV-169</t>
  </si>
  <si>
    <t xml:space="preserve">หัวน๊อตมิลดำ M12*1.75</t>
  </si>
  <si>
    <t xml:space="preserve">Hexagon Bolt Black M12*1.75</t>
  </si>
  <si>
    <t xml:space="preserve">FS-SSLV-170</t>
  </si>
  <si>
    <t xml:space="preserve">แหวนอีแปะ 1/2</t>
  </si>
  <si>
    <t xml:space="preserve">Flat ring 1/2</t>
  </si>
  <si>
    <t xml:space="preserve">FS-SSLV-171</t>
  </si>
  <si>
    <t xml:space="preserve">KX167 ผ้าทราย 1020*2000 #40</t>
  </si>
  <si>
    <t xml:space="preserve">KX167 Sand fabric 1020*2000 #40</t>
  </si>
  <si>
    <t xml:space="preserve">FS-SSLV-173</t>
  </si>
  <si>
    <t xml:space="preserve">Cylinder</t>
  </si>
  <si>
    <t xml:space="preserve">กระบอกฉีดยา 300 มล. ไซริงค์</t>
  </si>
  <si>
    <t xml:space="preserve">300ml syringe cylinder</t>
  </si>
  <si>
    <t xml:space="preserve">FS-SSLV-174</t>
  </si>
  <si>
    <t xml:space="preserve">กระบอกฉีดยา 500 มล. ไซริงค์</t>
  </si>
  <si>
    <t xml:space="preserve">500 ml syringe cylinder</t>
  </si>
  <si>
    <t xml:space="preserve">FS-SSLV-175</t>
  </si>
  <si>
    <t xml:space="preserve">ขวดอะซิโตน 24 ml หัวฝา Press</t>
  </si>
  <si>
    <t xml:space="preserve">24 ml acetone bottle</t>
  </si>
  <si>
    <t xml:space="preserve">FS-SSLV-177</t>
  </si>
  <si>
    <t xml:space="preserve">เทปใส 2 x 45 หลา (บาง)"</t>
  </si>
  <si>
    <t xml:space="preserve">Clear tape 2 x 45 yards (thin) "</t>
  </si>
  <si>
    <t xml:space="preserve">FS-SSLV-179</t>
  </si>
  <si>
    <t xml:space="preserve">กาวอีพ๊อกซี AB-20-PNP</t>
  </si>
  <si>
    <t xml:space="preserve">Epoxes AB-20-PNP</t>
  </si>
  <si>
    <t xml:space="preserve">FS-SSLV-180</t>
  </si>
  <si>
    <t xml:space="preserve">005.24.408 กระดาษทรายกลมP180 HAFELE</t>
  </si>
  <si>
    <t xml:space="preserve">005.24.408 Sandpaper P180 Hafele</t>
  </si>
  <si>
    <t xml:space="preserve">FS-SSLV-183</t>
  </si>
  <si>
    <t xml:space="preserve">น้ำยาปัดเงา M-6601 QUICK DETAILER M-66 1 GAL</t>
  </si>
  <si>
    <t xml:space="preserve">M-6601 Quick Detailer M-66 1 GAL</t>
  </si>
  <si>
    <t xml:space="preserve">FS-SSLV-187</t>
  </si>
  <si>
    <t xml:space="preserve">Dust trap bags</t>
  </si>
  <si>
    <t xml:space="preserve">005.22.141 ถุงดักฝุ่น</t>
  </si>
  <si>
    <t xml:space="preserve">005.22.141 Dust trap bags</t>
  </si>
  <si>
    <t xml:space="preserve">FS-SSTOOL-003</t>
  </si>
  <si>
    <t xml:space="preserve">Grinding wheel</t>
  </si>
  <si>
    <t xml:space="preserve">ใบเจียร์ 4 บาง (MAKITA)"</t>
  </si>
  <si>
    <t xml:space="preserve">Grinding wheel 4 thin (MAKITA)"</t>
  </si>
  <si>
    <t xml:space="preserve">FS-SSTOOL-004</t>
  </si>
  <si>
    <t xml:space="preserve">ใบตัดแห้ง 4 YOS"</t>
  </si>
  <si>
    <t xml:space="preserve">Dry cutting blade 4 YOS"</t>
  </si>
  <si>
    <t xml:space="preserve">AP-TPK001 </t>
  </si>
  <si>
    <t xml:space="preserve">FS-SSTOOL-005</t>
  </si>
  <si>
    <t xml:space="preserve">ใบเจียร์เหล็ก 4 (หนา)"</t>
  </si>
  <si>
    <t xml:space="preserve">Steel grinding wheel 4 (thick)"</t>
  </si>
  <si>
    <t xml:space="preserve">FS-SSTOOL-006</t>
  </si>
  <si>
    <t xml:space="preserve">ใบตัดเหล็ก 4 บาง"</t>
  </si>
  <si>
    <t xml:space="preserve">4 thin steel cutting blades</t>
  </si>
  <si>
    <t xml:space="preserve">FS-SSTOOL-007</t>
  </si>
  <si>
    <t xml:space="preserve">ใบตัดเหล็ก 14นิ้ว</t>
  </si>
  <si>
    <t xml:space="preserve">14 inch steel cutting blade</t>
  </si>
  <si>
    <t xml:space="preserve">FS-SSTOOL-008</t>
  </si>
  <si>
    <t xml:space="preserve">ใบตัดปูน 4 นิ้ว Golden lion(ของใหม่)</t>
  </si>
  <si>
    <t xml:space="preserve">Cement cutting blade 4 inches Golden lion (new)</t>
  </si>
  <si>
    <t xml:space="preserve">FS-SSTOOL-009</t>
  </si>
  <si>
    <t xml:space="preserve">ปลั๊กสตั๊ดโบล์ท ST 5/16(ST516)"</t>
  </si>
  <si>
    <t xml:space="preserve">Stud Bolt Plug ST 5/16(ST516)"</t>
  </si>
  <si>
    <t xml:space="preserve">FS-SSTOOL-010</t>
  </si>
  <si>
    <t xml:space="preserve">ใบตัด(กลม)</t>
  </si>
  <si>
    <t xml:space="preserve">Cutting blade (round)</t>
  </si>
  <si>
    <t xml:space="preserve">FS-SSTOOL-011</t>
  </si>
  <si>
    <t xml:space="preserve">ใบตัดเพชร 4 แห้ง D-05197 Makita"</t>
  </si>
  <si>
    <t xml:space="preserve">Diamond cutting disc 4 dry D-05197 Makita"</t>
  </si>
  <si>
    <t xml:space="preserve">FS-SSTOOL-012</t>
  </si>
  <si>
    <t xml:space="preserve">ใบเจียร์ BOSCH#A24S</t>
  </si>
  <si>
    <t xml:space="preserve">Grinding wheel BOSCH#A24S</t>
  </si>
  <si>
    <t xml:space="preserve">FS-SSTOOL-013</t>
  </si>
  <si>
    <t xml:space="preserve">หัวน็อตมิลดำ M12-1.75</t>
  </si>
  <si>
    <t xml:space="preserve">Hexagon Bolt Black M12-1.75</t>
  </si>
  <si>
    <t xml:space="preserve">FS-SSTOOL-014</t>
  </si>
  <si>
    <t xml:space="preserve">ใบตัดปูน 4นิ้ว</t>
  </si>
  <si>
    <t xml:space="preserve">4 inch cement cutting blade</t>
  </si>
  <si>
    <t xml:space="preserve">FS-SSTOOL-015</t>
  </si>
  <si>
    <t xml:space="preserve">Buttering Trowel</t>
  </si>
  <si>
    <t xml:space="preserve">เกรียงก่อ</t>
  </si>
  <si>
    <t xml:space="preserve">FS-SSTOOL-016</t>
  </si>
  <si>
    <t xml:space="preserve">ดอกเราท์เตอร์ HI-TOP DY60205 #1/4*1/2</t>
  </si>
  <si>
    <t xml:space="preserve">Router HI-TOP DY60205 #1/4*1/2</t>
  </si>
  <si>
    <t xml:space="preserve">FS-SSTOOL-017</t>
  </si>
  <si>
    <t xml:space="preserve">เหล็กโป๊ว 2.5</t>
  </si>
  <si>
    <t xml:space="preserve">Putty 2.5</t>
  </si>
  <si>
    <t xml:space="preserve">FS-SSTOOL-018</t>
  </si>
  <si>
    <t xml:space="preserve">เหล็กโป๊ว 4นิ้ว</t>
  </si>
  <si>
    <t xml:space="preserve">Putty 4"</t>
  </si>
  <si>
    <t xml:space="preserve">FS-SSTOOL-019</t>
  </si>
  <si>
    <t xml:space="preserve">เหล็กโป๊ว 3 สแตนเลส"</t>
  </si>
  <si>
    <t xml:space="preserve">Putty 3 Stainless Steel"</t>
  </si>
  <si>
    <t xml:space="preserve">FS-SSTOOL-020</t>
  </si>
  <si>
    <t xml:space="preserve">เหล็กโป๊ว 4 สแตนเลส"</t>
  </si>
  <si>
    <t xml:space="preserve">Putty 4 Stainless Steel"</t>
  </si>
  <si>
    <t xml:space="preserve">FS-SSTOOL-021</t>
  </si>
  <si>
    <t xml:space="preserve">เหล็กโป๊ว 5 สแตนเลส"</t>
  </si>
  <si>
    <t xml:space="preserve">Putty 5 Stainless Steel"</t>
  </si>
  <si>
    <t xml:space="preserve">FS-SSTOOL-022</t>
  </si>
  <si>
    <t xml:space="preserve">กระบอกตวง 10</t>
  </si>
  <si>
    <t xml:space="preserve">Measuring cylinder 10</t>
  </si>
  <si>
    <t xml:space="preserve">FS-SSTOOL-023</t>
  </si>
  <si>
    <t xml:space="preserve">กระบอกตวง 50</t>
  </si>
  <si>
    <t xml:space="preserve">Measuring cylinder 50</t>
  </si>
  <si>
    <t xml:space="preserve">FS-SSTOOL-024</t>
  </si>
  <si>
    <t xml:space="preserve">กระบอกตวง 250</t>
  </si>
  <si>
    <t xml:space="preserve">Measuring cylinder 250</t>
  </si>
  <si>
    <t xml:space="preserve">AP-ASC000</t>
  </si>
  <si>
    <t xml:space="preserve">FS-SSTOOL-025</t>
  </si>
  <si>
    <t xml:space="preserve">สายพาน B-47</t>
  </si>
  <si>
    <t xml:space="preserve">Belt B-47</t>
  </si>
  <si>
    <t xml:space="preserve">FS-SSTOOL-026</t>
  </si>
  <si>
    <t xml:space="preserve">สายพาน A-36, 45</t>
  </si>
  <si>
    <t xml:space="preserve">Belt A-36, 45</t>
  </si>
  <si>
    <t xml:space="preserve">FS-SSTOOL-027</t>
  </si>
  <si>
    <t xml:space="preserve">สายพาน A-47   A-31</t>
  </si>
  <si>
    <t xml:space="preserve">Belt A-47 A-31</t>
  </si>
  <si>
    <t xml:space="preserve">FS-SSTOOL-028</t>
  </si>
  <si>
    <t xml:space="preserve">ถ่านหินเจียรเครื่องเจาะ CB-85A</t>
  </si>
  <si>
    <t xml:space="preserve">CB-85A drilling machine</t>
  </si>
  <si>
    <t xml:space="preserve">FS-SSTOOL-034</t>
  </si>
  <si>
    <t xml:space="preserve">ดอกเร้าเตอร์ 1/2*3/8 Z2 D9052 H25"</t>
  </si>
  <si>
    <t xml:space="preserve">Router 1/2*3/8 Z2 D9052 H25"</t>
  </si>
  <si>
    <t xml:space="preserve">FS-SSTOOL-041</t>
  </si>
  <si>
    <t xml:space="preserve">ปลั๊กไฟ 16A 250V</t>
  </si>
  <si>
    <t xml:space="preserve">Power plug 16A 250V</t>
  </si>
  <si>
    <t xml:space="preserve">FS-SSTOOL-043</t>
  </si>
  <si>
    <t xml:space="preserve">ใบมีดคัตเตอร์ 18mm. (หลอด 6ใบ)</t>
  </si>
  <si>
    <t xml:space="preserve">FS-SSTOOL-046</t>
  </si>
  <si>
    <t xml:space="preserve">กระบอกตวงรูปชมพู่ 500 ml.</t>
  </si>
  <si>
    <t xml:space="preserve">Measuring cylinder in the shape of a rose apple 500 ml.</t>
  </si>
  <si>
    <t xml:space="preserve">FS-SSTOOL-047</t>
  </si>
  <si>
    <t xml:space="preserve">File</t>
  </si>
  <si>
    <t xml:space="preserve">ตะไบท้องปลิง 8 นิ้ว</t>
  </si>
  <si>
    <t xml:space="preserve">Half round file 8 inch</t>
  </si>
  <si>
    <t xml:space="preserve">RM-FUFIT-001</t>
  </si>
  <si>
    <t xml:space="preserve">Clothesline</t>
  </si>
  <si>
    <t xml:space="preserve">ราวกางกาง#001 38x47x7cm(จีน)</t>
  </si>
  <si>
    <t xml:space="preserve">Frame-FTT-AA35BR-Horseshoe shelf leveler</t>
  </si>
  <si>
    <t xml:space="preserve">RM-FUFIT-002</t>
  </si>
  <si>
    <t xml:space="preserve">Cabinet</t>
  </si>
  <si>
    <t xml:space="preserve">โครงตู้-0-0-ตัวปรับระดับชั้นเกือกม้าสีขาว</t>
  </si>
  <si>
    <t xml:space="preserve">Cabinet frame-0-0-White horseshoe shelf adjuster</t>
  </si>
  <si>
    <t xml:space="preserve">RM-FUFIT-003</t>
  </si>
  <si>
    <t xml:space="preserve">PB07 12 YE-เหล็กฉาก4รู21x40x1.2มม</t>
  </si>
  <si>
    <t xml:space="preserve">PB07 12 YE - Angle iron 4 holes 21x40x1.2 mm</t>
  </si>
  <si>
    <t xml:space="preserve">RM-FUFIT-004</t>
  </si>
  <si>
    <t xml:space="preserve">Steel</t>
  </si>
  <si>
    <t xml:space="preserve">ติดตั้ง-0-0-แป้นสี่เหลี่ยม8รู 60*116*2มม.</t>
  </si>
  <si>
    <t xml:space="preserve">Installed-0-0-square keypad 8 holes 60*116*2 mm.</t>
  </si>
  <si>
    <t xml:space="preserve">RM-FUFIT-005</t>
  </si>
  <si>
    <t xml:space="preserve">บานซิงค์-0-0-เหล็กฉาก 8 รู (สีรุ้ง)</t>
  </si>
  <si>
    <t xml:space="preserve">Zinc Door-0-0-Steel Angle 8 Holes (Rainbow Color)</t>
  </si>
  <si>
    <t xml:space="preserve">RM-FUFIT-006</t>
  </si>
  <si>
    <t xml:space="preserve">โครงตู้-Haf-401.30.636-อปบานเลื่อนประตูไม้รางบน</t>
  </si>
  <si>
    <t xml:space="preserve">Cabinet frame-Haf-401.30.636-Sliding wooden door top rail</t>
  </si>
  <si>
    <t xml:space="preserve">RM-FUFIT-007</t>
  </si>
  <si>
    <t xml:space="preserve">โครงตู้-0-0-แป้นรับชั้น ติดตั้งแบบซ่อน</t>
  </si>
  <si>
    <t xml:space="preserve">Cabinet frame-0-0-backboard hidden installation</t>
  </si>
  <si>
    <t xml:space="preserve">RM-FUFIT-008</t>
  </si>
  <si>
    <t xml:space="preserve">2SP03-T14 ปุ่มรับชั้นพลาสติก(ใส)</t>
  </si>
  <si>
    <t xml:space="preserve">2SP03-T14 Plastic shelf button (transparent)</t>
  </si>
  <si>
    <t xml:space="preserve">RM-FUFIT-009</t>
  </si>
  <si>
    <t xml:space="preserve">โครงตู้-0-0-ปุ่มรับชั้นเหล็กพร้อมปลอก</t>
  </si>
  <si>
    <t xml:space="preserve">Cabinet frame-0-0-Steel shelf button with sheath</t>
  </si>
  <si>
    <t xml:space="preserve">RM-FUFIT-010</t>
  </si>
  <si>
    <t xml:space="preserve">โครงตู้-0-0-ปุ่มรับชั้น Sekura8สีนิคเกิ้ล</t>
  </si>
  <si>
    <t xml:space="preserve">Cabinet Frame-0-0-Receiving Button Sekura 8 nickel color</t>
  </si>
  <si>
    <t xml:space="preserve">RM-FUFIT-011</t>
  </si>
  <si>
    <t xml:space="preserve">Driver</t>
  </si>
  <si>
    <t xml:space="preserve">ไฟ-Haf-833.71.788-หม้อแปลงEU PLUG 2000 MM.</t>
  </si>
  <si>
    <t xml:space="preserve">833.71.788 DRIVER 24V/20W W.EU-PLUG 2000MM</t>
  </si>
  <si>
    <t xml:space="preserve">RM-FUFIT-012</t>
  </si>
  <si>
    <t xml:space="preserve">โครงตู้-FTT-2S14 04107 CH-ปุ่มรับชั้นกระจกใส6mm</t>
  </si>
  <si>
    <t xml:space="preserve">Cabinet frame-FTT-2S14 04107 CH-Clear glass shelf 6mm</t>
  </si>
  <si>
    <t xml:space="preserve">RM-FUFIT-013</t>
  </si>
  <si>
    <t xml:space="preserve">โครงตู้-FTT-CAP007-ฝาปิดสกรูจิ๋วหัวแฉกน้ำตาล</t>
  </si>
  <si>
    <t xml:space="preserve">Frame-FTT-CAP007-Brown Phillips Head Screw Cover</t>
  </si>
  <si>
    <t xml:space="preserve">RM-FUFIT-014</t>
  </si>
  <si>
    <t xml:space="preserve">โครงตู้-FTT-CAP007-ฝาปิดสกรูจิ๋วหัวแฉกสีครีม</t>
  </si>
  <si>
    <t xml:space="preserve">Frame-FTT-CAP007-Cream Phillips Head Screw Cover</t>
  </si>
  <si>
    <t xml:space="preserve">RM-FUFIT-015</t>
  </si>
  <si>
    <t xml:space="preserve">โครงตู้-FTT-CAP007-ฝาปิดสกรูจิ๋วหัวแฉกสีดำ</t>
  </si>
  <si>
    <t xml:space="preserve">Frame-FTT-CAP007-Black Phillips Head Screw Cover</t>
  </si>
  <si>
    <t xml:space="preserve">RM-FUFIT-016</t>
  </si>
  <si>
    <t xml:space="preserve">โครงตู้-FTT-CAP007-ฝาปิดสกรูจิ๋วหัวแฉกสีขาว</t>
  </si>
  <si>
    <t xml:space="preserve">Frame-FTT-CAP007-White Phillips Head Screw Cover</t>
  </si>
  <si>
    <t xml:space="preserve">RM-FUFIT-017</t>
  </si>
  <si>
    <t xml:space="preserve">Basket</t>
  </si>
  <si>
    <t xml:space="preserve">ตะแกรงเครื่องประดับ#200 83x56x9cm(จีน)</t>
  </si>
  <si>
    <t xml:space="preserve">833.72.790 WARDROBE TUBE ALU.SILVC.2500MM</t>
  </si>
  <si>
    <t xml:space="preserve">RM-FUFIT-018</t>
  </si>
  <si>
    <t xml:space="preserve">ตะแกรงเครื่องประดับ#300 83x56x9cm(จีน)</t>
  </si>
  <si>
    <t xml:space="preserve">Frame-FTT-0-Large Horseshoe Cover (Cream)</t>
  </si>
  <si>
    <t xml:space="preserve">RM-FUFIT-019</t>
  </si>
  <si>
    <t xml:space="preserve">โครงตู้-FTT-CAP009-ฝาปิดเกือกม้าใหญ่ (สีดำ)</t>
  </si>
  <si>
    <t xml:space="preserve">Frame-FTT-CAP009-Large Horseshoe Cover (Black)</t>
  </si>
  <si>
    <t xml:space="preserve">RM-FUFIT-020</t>
  </si>
  <si>
    <t xml:space="preserve">โครงตู้-FTT-CAP009-ฝาปิดเกือกม้าใหญ่สีน้ำตาล</t>
  </si>
  <si>
    <t xml:space="preserve">Frame-FTT-CAP009-Large horseshoe cover in brown</t>
  </si>
  <si>
    <t xml:space="preserve">RM-FUFIT-021</t>
  </si>
  <si>
    <t xml:space="preserve">โครงตู้-Haf-262.24.153-ฝาปิดเฮ้าส์ซิ่งRAL007</t>
  </si>
  <si>
    <t xml:space="preserve">262.24.153 COVER CAP MINIFIX 15 BROWN</t>
  </si>
  <si>
    <t xml:space="preserve">RM-FUFIT-022</t>
  </si>
  <si>
    <t xml:space="preserve">โครงตู้-Haf-262.24.751-ฝาปิดเฮ้าส์ซิ่ง RAL 9010</t>
  </si>
  <si>
    <t xml:space="preserve">262.24.751 COVER CAP MINIFIX 15 WHITE</t>
  </si>
  <si>
    <t xml:space="preserve">RM-FUFIT-023</t>
  </si>
  <si>
    <t xml:space="preserve">บานพับ-0-0-อุปกรณ์ยึดในตู้ Lift OMat</t>
  </si>
  <si>
    <t xml:space="preserve">Hinge-0-0-Lift OMat Cabinet Attachment</t>
  </si>
  <si>
    <t xml:space="preserve">RM-FUFIT-024</t>
  </si>
  <si>
    <t xml:space="preserve">บานพับ-0-0-อุปกรณ์ยึดสำหรับบานไม้</t>
  </si>
  <si>
    <t xml:space="preserve">Hinge-0-0-Fixing device for wooden doors</t>
  </si>
  <si>
    <t xml:space="preserve">RM-FUFIT-025</t>
  </si>
  <si>
    <t xml:space="preserve">โครงตู้-0-0-ลูกล้อ บนล่าง</t>
  </si>
  <si>
    <t xml:space="preserve">Cabinet frame-0-0-castors on the bottom</t>
  </si>
  <si>
    <t xml:space="preserve">RM-FUFIT-026</t>
  </si>
  <si>
    <t xml:space="preserve">โครงตู้-Haf-401.30.331-อปกันกระแทกติดกับรางล่าง</t>
  </si>
  <si>
    <t xml:space="preserve">401.30.331 DOWN RAIL DAMPER VF80 PL.GR.</t>
  </si>
  <si>
    <t xml:space="preserve">RM-FUFIT-027</t>
  </si>
  <si>
    <t xml:space="preserve">LED strip light</t>
  </si>
  <si>
    <t xml:space="preserve">ไฟ-Haf-833.73.121-LED2013 12V/4.8W/M 32K/CRI80</t>
  </si>
  <si>
    <t xml:space="preserve">833.73.121 LED2043 12V/4.8W/M 30K/CRI82/5M</t>
  </si>
  <si>
    <t xml:space="preserve">RM-FUFIT-028</t>
  </si>
  <si>
    <t xml:space="preserve">โครงตู้-จีน-0-เฮ้าส์ซิงค์แบบไม่มีขอบ สีดำ</t>
  </si>
  <si>
    <t xml:space="preserve">Frame-China-0-house sink frameless black</t>
  </si>
  <si>
    <t xml:space="preserve">RM-FUFIT-029</t>
  </si>
  <si>
    <t xml:space="preserve">โครงตู้-0-0-คิ้วกันแมลง 90 cm แถบตีนตุ๊กแก</t>
  </si>
  <si>
    <t xml:space="preserve">Cabinet frame-0-0-insect trim 90 cm gecko feet tab</t>
  </si>
  <si>
    <t xml:space="preserve">RM-FUFIT-030</t>
  </si>
  <si>
    <t xml:space="preserve">โครงตู้-จีน-0-ตัวแขวนตูลอยแบบซ่อน ฝาปิดสีขาว</t>
  </si>
  <si>
    <t xml:space="preserve">Cabinet frame-China-0-Hidden hanging cabinet, white lid</t>
  </si>
  <si>
    <t xml:space="preserve">ชั้น</t>
  </si>
  <si>
    <t xml:space="preserve">PCS.</t>
  </si>
  <si>
    <t xml:space="preserve">RM-FUFIT-031</t>
  </si>
  <si>
    <t xml:space="preserve">ไฟ-0-0-สายไฟเส้น LED ใหม่ NOV 12W/6500K (5เมตร)</t>
  </si>
  <si>
    <t xml:space="preserve">FIRE-0-0-NEW LED LINE NOV 12W/6500K (5m)</t>
  </si>
  <si>
    <t xml:space="preserve">RM-FUFIT-032</t>
  </si>
  <si>
    <t xml:space="preserve">ไฟ-Haf-833.74.172- สายไฟเส้น LED สีขาว 15M.</t>
  </si>
  <si>
    <t xml:space="preserve">833.74.172 LED2042 12V/4.8W/M 40K/CRI83/PL.WH./15M</t>
  </si>
  <si>
    <t xml:space="preserve">RM-FUFIT-033</t>
  </si>
  <si>
    <t xml:space="preserve">ไฟ-Haf-833.74.171- สายไฟเส้น LED สีเหลือง 15M.</t>
  </si>
  <si>
    <t xml:space="preserve">833.74.171 LED2042 12V/4.8W/M 30K/CRI83/PL.WH./15M</t>
  </si>
  <si>
    <t xml:space="preserve">RM-FUFIT-034</t>
  </si>
  <si>
    <t xml:space="preserve">ตะแกรง-0-0-คว่ำแก้ว</t>
  </si>
  <si>
    <t xml:space="preserve">Sieve-0-0-Upside Down Glass</t>
  </si>
  <si>
    <t xml:space="preserve">RM-FUFIT-035</t>
  </si>
  <si>
    <t xml:space="preserve">ตะแกรง-0-0-เสียบฝาหม้อ</t>
  </si>
  <si>
    <t xml:space="preserve">Sieve-0-0-plug the lid of the pot</t>
  </si>
  <si>
    <t xml:space="preserve">RM-FUFIT-036</t>
  </si>
  <si>
    <t xml:space="preserve">ตะแกรง-0-0-เก็บขวด</t>
  </si>
  <si>
    <t xml:space="preserve">Sieve-0-0-Keep the bottle</t>
  </si>
  <si>
    <t xml:space="preserve">RM-FUFIT-037</t>
  </si>
  <si>
    <t xml:space="preserve">โครงตู้-Haf-401.30.131-อุปกรณ์บานเลื่อน VF80</t>
  </si>
  <si>
    <t xml:space="preserve">401.30.131 FITT.SET VF80 FOR 3DRS</t>
  </si>
  <si>
    <t xml:space="preserve">RM-FUFIT-038</t>
  </si>
  <si>
    <t xml:space="preserve">โครงตู้-0-0-ชุดจัดเก็บOrgastore820สีเงิน900</t>
  </si>
  <si>
    <t xml:space="preserve">Cabinet frame-0-0-Orgastore820 storage unit, silver 900</t>
  </si>
  <si>
    <t xml:space="preserve">RM-FUFIT-039</t>
  </si>
  <si>
    <t xml:space="preserve">บานพับ-Hettich-S8099CD0 1B2 9071575-ขารองหนุนเงิน</t>
  </si>
  <si>
    <t xml:space="preserve">Hinge-Hettich-S8099CD0 1B2 9071575-Silver Support Pin</t>
  </si>
  <si>
    <t xml:space="preserve">AP-PCS000</t>
  </si>
  <si>
    <t xml:space="preserve">RM-FUFIT-040</t>
  </si>
  <si>
    <t xml:space="preserve">Spoon tray</t>
  </si>
  <si>
    <t xml:space="preserve">ตะแกรง-FTT-TRA21 45 50 -ถาดวางช้อนสีเทา45cm.</t>
  </si>
  <si>
    <t xml:space="preserve">Sieve-FTT-TRA21 45 50 -Gray spoon tray 45cm.</t>
  </si>
  <si>
    <t xml:space="preserve">RM-FUFIT-041</t>
  </si>
  <si>
    <t xml:space="preserve">ตะแกรง-FTT-0-ถาดวางช้อนสีเทา50cm.(430*485*50mm.)</t>
  </si>
  <si>
    <t xml:space="preserve">Sieve-FTT-0-Gray Spoon Tray 50cm.(430*485*50mm.)</t>
  </si>
  <si>
    <t xml:space="preserve">RM-FUFIT-042</t>
  </si>
  <si>
    <t xml:space="preserve">Switch</t>
  </si>
  <si>
    <t xml:space="preserve">ไฟ-Haf-833.89.106-สวิตซ์กระดก</t>
  </si>
  <si>
    <t xml:space="preserve">833.89.106 ROCKER SWITCH PL.BLA. D=15MM</t>
  </si>
  <si>
    <t xml:space="preserve">RM-FUFIT-043</t>
  </si>
  <si>
    <t xml:space="preserve">ตะแกรง-FTT-TRA21 80 50 -ถาดวางช้อนสีเทา80cm.</t>
  </si>
  <si>
    <t xml:space="preserve">Sieve-FTT-TRA21 80 50 -Gray spoon tray 80cm.</t>
  </si>
  <si>
    <t xml:space="preserve">Sellable</t>
  </si>
  <si>
    <t xml:space="preserve">RM-FUFIT-044</t>
  </si>
  <si>
    <t xml:space="preserve">ถาดวางช้อน-FTT-TRA21 60 50 -ถาดวางช้อนสีเทา60cm.</t>
  </si>
  <si>
    <t xml:space="preserve">Spoon tray-FTT-TRA21 60 50 -Gray spoon tray 60cm.</t>
  </si>
  <si>
    <t xml:space="preserve">RM-FUFIT-045</t>
  </si>
  <si>
    <t xml:space="preserve">ตะแกรง-FTT-TRA21 90 50-ถาดวางช้อนสีเทา90cm.</t>
  </si>
  <si>
    <t xml:space="preserve">Sieve-FTT-TRA21 90 50-gray spoon tray 90cm.</t>
  </si>
  <si>
    <t xml:space="preserve">RM-FUFIT-046</t>
  </si>
  <si>
    <t xml:space="preserve">ตะแกรง-0-0-ถาดอลูมิเนียมรองใต้วิ้ง567*535(ตู้60)</t>
  </si>
  <si>
    <t xml:space="preserve">Grille-0-0-Aluminum tray under the wink 567*535 (cabinet 60)</t>
  </si>
  <si>
    <t xml:space="preserve">RM-FUFIT-047</t>
  </si>
  <si>
    <t xml:space="preserve">ตะแกรง-0-0-ถาดอลูมิเนียมรองใต้วิ้ง767*535(ตู้80)</t>
  </si>
  <si>
    <t xml:space="preserve">Grille-0-0-Aluminum tray under the wink 767*535 (cabinet 80)</t>
  </si>
  <si>
    <t xml:space="preserve">AP-IOD000</t>
  </si>
  <si>
    <t xml:space="preserve">RM-FUFIT-048</t>
  </si>
  <si>
    <t xml:space="preserve">ตะแกรง-0-0-ถาดอลูมิเนียมรองใต้วิ้ง867*535(ตู้90)</t>
  </si>
  <si>
    <t xml:space="preserve">Grille-0-0-Aluminum tray under the wink 867*535 (cabinet 90)</t>
  </si>
  <si>
    <t xml:space="preserve">RM-FUFIT-049</t>
  </si>
  <si>
    <t xml:space="preserve">โครงตู้-Haf-544.14.547-แผ่นพลาสติกรองใต้ซิงค์</t>
  </si>
  <si>
    <t xml:space="preserve">544.14.547 PLASTIC UNDER SINK LINERS767MM</t>
  </si>
  <si>
    <t xml:space="preserve">RM-FUFIT-050</t>
  </si>
  <si>
    <t xml:space="preserve">โครงตู้-Haf-281.41.907-ปุ่มรับชั้นกระจกเหล็ก</t>
  </si>
  <si>
    <t xml:space="preserve">281.41.907 GL-SHELF SUPP.GALV/TRANS.7/5MM</t>
  </si>
  <si>
    <t xml:space="preserve">RM-FUFIT-051</t>
  </si>
  <si>
    <t xml:space="preserve">Handle</t>
  </si>
  <si>
    <t xml:space="preserve">มือจับ-Haf-152.52.031-มือจับประตูแบบฝังทองแดงรม</t>
  </si>
  <si>
    <t xml:space="preserve">152.52.031 FLUSH HANDLE ANT.COPP.140/45MM</t>
  </si>
  <si>
    <t xml:space="preserve">RM-FUFIT-052</t>
  </si>
  <si>
    <t xml:space="preserve">โครงตู้-Haf-544.14.548-แผ่นพลาสติกรองใต้ซิ้ง#90</t>
  </si>
  <si>
    <t xml:space="preserve">544.14.548 PLASTIC UNDER SINK LINERS861MM</t>
  </si>
  <si>
    <t xml:space="preserve">RM-FUFIT-053</t>
  </si>
  <si>
    <t xml:space="preserve">ไฟ-จีน-0-ปลั๊กไฟPop up</t>
  </si>
  <si>
    <t xml:space="preserve">Fire-China-0-Pop up Power Socket</t>
  </si>
  <si>
    <t xml:space="preserve">RM-FUFIT-054</t>
  </si>
  <si>
    <t xml:space="preserve">ติดตั้ง-0-0-สกรูเกลียวปล่อยหัวเตเปอร์แฉกสกรู#1 1/2</t>
  </si>
  <si>
    <t xml:space="preserve">INSTALL-0-0-Taper head self-tapping screw #1 1/2</t>
  </si>
  <si>
    <t xml:space="preserve">RM-FUFIT-055</t>
  </si>
  <si>
    <t xml:space="preserve">โครงตู้-กรีน-0-พุกพลาสติก No.8 1กล่อง/100ตัว</t>
  </si>
  <si>
    <t xml:space="preserve">Cabinet frame-Green-0-Plastic Plug No.8 1box/100pcs</t>
  </si>
  <si>
    <t xml:space="preserve">RM-FUFIT-056</t>
  </si>
  <si>
    <t xml:space="preserve">ติดตั้ง-กรีน-0-มินิบอลวาล์ว ผผ.1/2 sanwa 2ทาง</t>
  </si>
  <si>
    <t xml:space="preserve">Install-Green-0-Mini ball valve pha.1/2 sanwa 2 way</t>
  </si>
  <si>
    <t xml:space="preserve">RM-FUFIT-057</t>
  </si>
  <si>
    <t xml:space="preserve">โครงตู้-Haf-803.33.757-ตัวรับราวแขวนเสื้อ ทรงรี</t>
  </si>
  <si>
    <t xml:space="preserve">803.33.757 OVAL-SIDE PANEL SUPP.ZI. NP.</t>
  </si>
  <si>
    <t xml:space="preserve">RM-FUFIT-058</t>
  </si>
  <si>
    <t xml:space="preserve">โครงตู้-0-0-ขาปรับตู้ครัว 9.15 ซม. สีขาว คลิปเสียบ</t>
  </si>
  <si>
    <t xml:space="preserve">Cabinet frame-0-0-kitchen adjustable legs 9.15 cm. white, clip in</t>
  </si>
  <si>
    <t xml:space="preserve">RM-FUFIT-059</t>
  </si>
  <si>
    <t xml:space="preserve">โครงตู้-IO-0-คลิปล็อคพลาสติก (สีขาว)</t>
  </si>
  <si>
    <t xml:space="preserve">Cabinet Frame-IO-0-Plastic Clip Lock (White)</t>
  </si>
  <si>
    <t xml:space="preserve">RM-FUFIT-060</t>
  </si>
  <si>
    <t xml:space="preserve">โครงตู้-IO-0-ขาปรับตู้ครัว 10cm ขาว คลิปล็อค</t>
  </si>
  <si>
    <t xml:space="preserve">Cabinet frame-IO-0-Adjustable leg for kitchen cabinet 10cm, white, clip lock</t>
  </si>
  <si>
    <t xml:space="preserve">RM-FUFIT-061</t>
  </si>
  <si>
    <t xml:space="preserve">โครงตู้-FTT-HC02-หูแขวนตู้ครัว</t>
  </si>
  <si>
    <t xml:space="preserve">Cabinet frame-FTT-HC02-hook for hanging kitchen cabinets</t>
  </si>
  <si>
    <t xml:space="preserve">RM-FUFIT-062</t>
  </si>
  <si>
    <t xml:space="preserve">โครงตู้-IO-0-ขาปรับตู้ครัวพลาสติก 10 ซม.(สีดำ)+ไม้</t>
  </si>
  <si>
    <t xml:space="preserve">Cabinet frame-IO-0-Adjustable legs for kitchen cabinet, plastic 10 cm.(black)+wood</t>
  </si>
  <si>
    <t xml:space="preserve">RM-FUFIT-063</t>
  </si>
  <si>
    <t xml:space="preserve">โครงตู้-IO-0-คลิปล็อคขาตู้ พลาสติกดำใช้คู่062+ไม้</t>
  </si>
  <si>
    <t xml:space="preserve">Cabinet frame-IO-0-clip lock legs Black plastic, double use 062 + wood</t>
  </si>
  <si>
    <t xml:space="preserve">RM-FUFIT-064</t>
  </si>
  <si>
    <t xml:space="preserve">Waste bin</t>
  </si>
  <si>
    <t xml:space="preserve">ติดตั้ง-FTT-5KY02 WH 14L-ถังขยะสแตนเลส 14 ลิตร</t>
  </si>
  <si>
    <t xml:space="preserve">Install-FTT-5KY02 WH 14L-Stainless Steel Trash Can 14 Liters</t>
  </si>
  <si>
    <t xml:space="preserve">RM-FUFIT-065</t>
  </si>
  <si>
    <t xml:space="preserve">โครงตู้-0-0-ตัวต่อแผ่นรองตู้ครัว10.มุม90สีเทา</t>
  </si>
  <si>
    <t xml:space="preserve">Cabinet frame-0-0-Kitchen cabinet backing connector 10.90 corner gray</t>
  </si>
  <si>
    <t xml:space="preserve">RM-FUFIT-066</t>
  </si>
  <si>
    <t xml:space="preserve">Water hose</t>
  </si>
  <si>
    <t xml:space="preserve">ติดตั้ง-กรีน-MY SSB26-สายน้ำดีSS 26</t>
  </si>
  <si>
    <t xml:space="preserve">Install-Green-MY SSB26-Water hose SS 26</t>
  </si>
  <si>
    <t xml:space="preserve">RM-FUFIT-067</t>
  </si>
  <si>
    <t xml:space="preserve">Drawer Runners</t>
  </si>
  <si>
    <t xml:space="preserve">ลิ้นชัก-จีน-0-รางลิ้นชัก 16 (45mm.)</t>
  </si>
  <si>
    <t xml:space="preserve">Drawer-China-0-drawer runner 16 (45mm.)</t>
  </si>
  <si>
    <t xml:space="preserve">RM-FUFIT-068</t>
  </si>
  <si>
    <t xml:space="preserve">ติดตั้ง-0-0-ข้อต่อตรง บาง SCG 1 1/2สีฟ้า</t>
  </si>
  <si>
    <t xml:space="preserve">Install-0-0-Straight Coupling Bang SCG 1 1/2 Blue</t>
  </si>
  <si>
    <t xml:space="preserve">RM-FUFIT-069</t>
  </si>
  <si>
    <t xml:space="preserve">ติดตั้ง-กรีน-BRASS CITY 1/2 MF -ข้อต่อตรง</t>
  </si>
  <si>
    <t xml:space="preserve">Install-Green-BRASS CITY 1/2 MF -Straight Coupling</t>
  </si>
  <si>
    <t xml:space="preserve">RM-FUFIT-070</t>
  </si>
  <si>
    <t xml:space="preserve">ติดตั้ง-0-0-ข้อต่อตรง บาง SCG 2 สีฟ้า</t>
  </si>
  <si>
    <t xml:space="preserve">Install-0-0-Straight Coupling Bang SCG 2 Blue</t>
  </si>
  <si>
    <t xml:space="preserve">RM-FUFIT-071</t>
  </si>
  <si>
    <t xml:space="preserve">ติดตั้ง-0-0-ข้อ90 บาง SCG 1 1/2 สีฟ้า</t>
  </si>
  <si>
    <t xml:space="preserve">Install-0-0-Article 90 Bang SCG 1 1/2 Blue</t>
  </si>
  <si>
    <t xml:space="preserve">RM-FUFIT-072</t>
  </si>
  <si>
    <t xml:space="preserve">ติดตั้ง-0-0-ข้อ90 บาง SCG 1/2 สีฟ้า</t>
  </si>
  <si>
    <t xml:space="preserve">Install-0-0-Article 90 Bang SCG 1/2 Blue</t>
  </si>
  <si>
    <t xml:space="preserve">RM-FUFIT-073</t>
  </si>
  <si>
    <t xml:space="preserve">ติดตั้ง-0-0-ข้อ90 บาง SCG 2 สีฟ้า</t>
  </si>
  <si>
    <t xml:space="preserve">Install-0-0-Article 90 Bang SCG 2 Blue</t>
  </si>
  <si>
    <t xml:space="preserve">RM-FUFIT-074</t>
  </si>
  <si>
    <t xml:space="preserve">ลิ้นชัก-จีน-GR201 400-รางลิ้นชัก</t>
  </si>
  <si>
    <t xml:space="preserve">Drawer-China-GR201 400-drawer rails</t>
  </si>
  <si>
    <t xml:space="preserve">RM-FUFIT-075</t>
  </si>
  <si>
    <t xml:space="preserve">ลิ้นชัก-จีน-GR202 400-รางลิ้นชัก</t>
  </si>
  <si>
    <t xml:space="preserve">Drawer-China-GR202 400-drawer rails</t>
  </si>
  <si>
    <t xml:space="preserve">RM-FUFIT-076</t>
  </si>
  <si>
    <t xml:space="preserve">ลิ้นชัก-Haf-552.49.336-SLIM WALL SET GR 120/550</t>
  </si>
  <si>
    <t xml:space="preserve">552.49.336 SLIM WALL SET ANT 120/550MM</t>
  </si>
  <si>
    <t xml:space="preserve">RM-FUFIT-077</t>
  </si>
  <si>
    <t xml:space="preserve">โครงตู้-FTT-5501.1-แผ่นปิดขาตู้ครัวสีซิลเวอร</t>
  </si>
  <si>
    <t xml:space="preserve">Cabinet frame-FTT-5501.1-Kitchen cabinet leg cover, silver color</t>
  </si>
  <si>
    <t xml:space="preserve">RM-FUFIT-078</t>
  </si>
  <si>
    <t xml:space="preserve">โครงตู้-จีน-0-แผงอลูมิเนียมสูง10ซม.ยาว4ม</t>
  </si>
  <si>
    <t xml:space="preserve">Cabinet frame-China-0-Aluminum panel, height 10 cm, length 4 m</t>
  </si>
  <si>
    <t xml:space="preserve">RM-FUFIT-079</t>
  </si>
  <si>
    <t xml:space="preserve">ลิ้นชัก-Haf-552.56.505-ALTO GR.35KG. H84/500MM</t>
  </si>
  <si>
    <t xml:space="preserve">552.56.505 ALTO GR.35KG. H84/500MM. BLUM VERSION</t>
  </si>
  <si>
    <t xml:space="preserve">RM-FUFIT-080</t>
  </si>
  <si>
    <t xml:space="preserve">บานพับ-จีน-DTC-บานพับกลางขอบ Soft closed 3.5m.</t>
  </si>
  <si>
    <t xml:space="preserve">Hinge-China-DTC-Hinge in the middle edge Soft closed 3.5m.</t>
  </si>
  <si>
    <t xml:space="preserve">RM-FUFIT-081</t>
  </si>
  <si>
    <t xml:space="preserve">บานพับ-จีน-0-UTA</t>
  </si>
  <si>
    <t xml:space="preserve">Hinge-China-0-UTA</t>
  </si>
  <si>
    <t xml:space="preserve">RM-FUFIT-082</t>
  </si>
  <si>
    <t xml:space="preserve">บานพับ-จีน-0-DIGO</t>
  </si>
  <si>
    <t xml:space="preserve">Hinge-China-0-DIGO</t>
  </si>
  <si>
    <t xml:space="preserve">RM-FUFIT-083</t>
  </si>
  <si>
    <t xml:space="preserve">บานพับ-Hettich-8645I-SENSYS+ขารองหนุน</t>
  </si>
  <si>
    <t xml:space="preserve">Hinge-Hettich-8645I-SENSYS+Support leg</t>
  </si>
  <si>
    <t xml:space="preserve">RM-FUFIT-084</t>
  </si>
  <si>
    <t xml:space="preserve">บานพับ-Hettich-8638I SENSYS-บานAlu 1B2 9072524</t>
  </si>
  <si>
    <t xml:space="preserve">Hinge-Hettich-8638I SENSYS - Bloom Alu 1B2 9072524</t>
  </si>
  <si>
    <t xml:space="preserve">RM-FUFIT-085</t>
  </si>
  <si>
    <t xml:space="preserve">ลิ้นชัก-Haf-552.56.504-ALTO GR.35KG. H84/450MM.</t>
  </si>
  <si>
    <t xml:space="preserve">552.56.504 ALTO GR.35KG. H84/450MM.</t>
  </si>
  <si>
    <t xml:space="preserve">RM-FUFIT-086</t>
  </si>
  <si>
    <t xml:space="preserve">ลิ้นชัก-Hettich-1C8 779070SI S-ชุดข้างลิ้นชักสูง</t>
  </si>
  <si>
    <t xml:space="preserve">Drawer-Hettich-1C8 779070SI S-high drawer side set</t>
  </si>
  <si>
    <t xml:space="preserve">RM-FUFIT-087</t>
  </si>
  <si>
    <t xml:space="preserve">โครงตู้-Haf-372.33.722-บานยก</t>
  </si>
  <si>
    <t xml:space="preserve">372.33.722 FREE UP WH.380-500/6.3-11.8</t>
  </si>
  <si>
    <t xml:space="preserve">RM-FUFIT-088</t>
  </si>
  <si>
    <t xml:space="preserve">ลิ้นชัก-Hettich-สูง 70-ข้อต่อลิ้นชักซ่อน</t>
  </si>
  <si>
    <t xml:space="preserve">Drawer-Hettich-High 70-Concealed Drawer Joint</t>
  </si>
  <si>
    <t xml:space="preserve">RM-FUFIT-089</t>
  </si>
  <si>
    <t xml:space="preserve">ลิ้นชัก-Hettich-H70-แผงหน้าลิ้นชัก</t>
  </si>
  <si>
    <t xml:space="preserve">Drawer-Hettich-H70-Drawer front panel</t>
  </si>
  <si>
    <t xml:space="preserve">RM-FUFIT-090</t>
  </si>
  <si>
    <t xml:space="preserve">ลิ้นชัก-0-0-ยึดรางลิ้นชัก (Quadvo) ซ้าย</t>
  </si>
  <si>
    <t xml:space="preserve">Drawer-0-0-Fastening the drawer slide (Quadvo) left</t>
  </si>
  <si>
    <t xml:space="preserve">RM-FUFIT-091</t>
  </si>
  <si>
    <t xml:space="preserve">ลิ้นชัก-0-0-ยึดรางลิ้นชัก (Quadvo) ขวา</t>
  </si>
  <si>
    <t xml:space="preserve">Drawer-0-0-Fixing drawer slide (Quadvo) right</t>
  </si>
  <si>
    <t xml:space="preserve">RM-FUFIT-092</t>
  </si>
  <si>
    <t xml:space="preserve">Divider</t>
  </si>
  <si>
    <t xml:space="preserve">ลิ้นชัก-0-0-ตัวยึดราวกั้นแบ่งช่อง</t>
  </si>
  <si>
    <t xml:space="preserve">Drawer-0-0-Frame for divider rail</t>
  </si>
  <si>
    <t xml:space="preserve">RM-FUFIT-093</t>
  </si>
  <si>
    <t xml:space="preserve">ลิ้นชัก-0-0-ตัวกั้นแบ่งช่องย่อย</t>
  </si>
  <si>
    <t xml:space="preserve">Drawer-0-0-Sub-compartment stopper</t>
  </si>
  <si>
    <t xml:space="preserve">RM-FUFIT-094</t>
  </si>
  <si>
    <t xml:space="preserve">ลิ้นชัก-Hettich-0-ชุดข้างลิ้นชักสูง 144มม.สีเทา</t>
  </si>
  <si>
    <t xml:space="preserve">Drawer-Hettich-0-Drawer side set, height 144mm. Gray</t>
  </si>
  <si>
    <t xml:space="preserve">RM-FUFIT-095</t>
  </si>
  <si>
    <t xml:space="preserve">ลิ้นชัก-Hettich-0-ชุดข้างลิ้นชักสูง 70 มม เทาเข้ม</t>
  </si>
  <si>
    <t xml:space="preserve">Drawer-Hettich-0-Drawer sides, height 70 mm. dark gray.</t>
  </si>
  <si>
    <t xml:space="preserve">RM-FUFIT-096</t>
  </si>
  <si>
    <t xml:space="preserve">ลิ้นชัก-Hettich-1C8 779244HSI S-ชุดข้างลิ้นชักสูง</t>
  </si>
  <si>
    <t xml:space="preserve">Drawer-Hettich-1C8 779244HSI S-high drawer side set</t>
  </si>
  <si>
    <t xml:space="preserve">RM-FUFIT-097</t>
  </si>
  <si>
    <t xml:space="preserve">มือจับ-จีน-H 219-มือจับตัวC ยาว3m.สีดำ</t>
  </si>
  <si>
    <t xml:space="preserve">Handle-China-H 219-C-handle, length 3m., black color</t>
  </si>
  <si>
    <t xml:space="preserve">RM-FUFIT-098</t>
  </si>
  <si>
    <t xml:space="preserve">มือจับ-จีน-H 219-มือจับตัวC ยาว3m.สีเทา</t>
  </si>
  <si>
    <t xml:space="preserve">Handle-China-H 219-C-handle, length 3m. Gray</t>
  </si>
  <si>
    <t xml:space="preserve">RM-FUFIT-099</t>
  </si>
  <si>
    <t xml:space="preserve">มือจับ-จีน-H 220 -มือจับตัวL ยาว3m.สีดำ</t>
  </si>
  <si>
    <t xml:space="preserve">Handle-China-H 220 -L-handle, length 3m., black color.</t>
  </si>
  <si>
    <t xml:space="preserve">RM-FUFIT-100</t>
  </si>
  <si>
    <t xml:space="preserve">มือจับ-จีน-H 220-มือจับตัวL ยาว3m.สีเทา</t>
  </si>
  <si>
    <t xml:space="preserve">Handle-China-H 220-Handle L shape, length 3m. Gray</t>
  </si>
  <si>
    <t xml:space="preserve">RM-FUFIT-101</t>
  </si>
  <si>
    <t xml:space="preserve">มือจับ-จีน-A3382-มือจับตู้สูงตัวLยาว3m.สีดำ</t>
  </si>
  <si>
    <t xml:space="preserve">Handle-China-A3382-High cabinet handle, L shape, length 3m. Black.</t>
  </si>
  <si>
    <t xml:space="preserve">RM-FUFIT-102</t>
  </si>
  <si>
    <t xml:space="preserve">มือจับ-จีน-A3382-มือจับตู้สูงตัวLยาว3m.สีเงิน</t>
  </si>
  <si>
    <t xml:space="preserve">Handle-China-A3382-L shape cabinet handle, length 3m, silver color.</t>
  </si>
  <si>
    <t xml:space="preserve">RM-FUFIT-103</t>
  </si>
  <si>
    <t xml:space="preserve">มือจับ-จีน-A3381-มือจับตู้สูงตัวCยาว3m.สีดำ</t>
  </si>
  <si>
    <t xml:space="preserve">Handle-China-A3381-C height cabinet handle, length 3m., black color.</t>
  </si>
  <si>
    <t xml:space="preserve">RM-FUFIT-104</t>
  </si>
  <si>
    <t xml:space="preserve">มือจับ-จีน-A3381-มือจับตู้สูงตัวCยาว3m.สีเงิน</t>
  </si>
  <si>
    <t xml:space="preserve">Handle-China-A3381-C height cabinet handle, length 3m., silver color.</t>
  </si>
  <si>
    <t xml:space="preserve">RM-FUFIT-105</t>
  </si>
  <si>
    <t xml:space="preserve">มือจับ-จีน-0-มือจับตู้สูงตัวL ยาว 2.5m.สีดำ</t>
  </si>
  <si>
    <t xml:space="preserve">Handle-China-0-L height cabinet handle, length 2.5m., black color.</t>
  </si>
  <si>
    <t xml:space="preserve">RM-FUFIT-106</t>
  </si>
  <si>
    <t xml:space="preserve">มือจับ-จีน-0-มือจับตู้สูงตัวL ยาว 2.5m. สีเทา</t>
  </si>
  <si>
    <t xml:space="preserve">Handle-China-0-L shape cabinet handle, length 2.5m. Gray</t>
  </si>
  <si>
    <t xml:space="preserve">RM-FUFIT-107</t>
  </si>
  <si>
    <t xml:space="preserve">มือจับ-จีน-0-มือจับตู้สูงตัวC ยาว2.5m.สีดำ</t>
  </si>
  <si>
    <t xml:space="preserve">Handle-China-0-Cabinet Handle, Height, C, Length 2.5m., Black Color</t>
  </si>
  <si>
    <t xml:space="preserve">RM-FUFIT-108</t>
  </si>
  <si>
    <t xml:space="preserve">มือจับ-จีน-0-มือจับตู้สูงตัวC-ยาว 2.5m. สีเทา</t>
  </si>
  <si>
    <t xml:space="preserve">Handle-China-0-C-Channel High Cabinet Handle-Length 2.5m. Gray</t>
  </si>
  <si>
    <t xml:space="preserve">RM-FUFIT-109</t>
  </si>
  <si>
    <t xml:space="preserve">มือจับ-จีน-0-มือจับเฟรมกระจก ยาว1.25m. สีดำ</t>
  </si>
  <si>
    <t xml:space="preserve">Handle-China-0-Glass frame handle, length 1.25m., black color</t>
  </si>
  <si>
    <t xml:space="preserve">RM-FUFIT-110</t>
  </si>
  <si>
    <t xml:space="preserve">มือจับ-จีน-0-มือจับเฟรมกระจก ยาว 1.25m.สีทอง</t>
  </si>
  <si>
    <t xml:space="preserve">Handle-China-0-Glass frame handle, length 1.25m., gold color.</t>
  </si>
  <si>
    <t xml:space="preserve">RM-FUFIT-111</t>
  </si>
  <si>
    <t xml:space="preserve">มือจับ-จีน-0-มือจับเฟรมกระจก ยาว 2.5m. สีดำ</t>
  </si>
  <si>
    <t xml:space="preserve">Handle-China-0-Glass frame handle, length 2.5m., black color</t>
  </si>
  <si>
    <t xml:space="preserve">RM-FUFIT-112</t>
  </si>
  <si>
    <t xml:space="preserve">มือจับ-จีน-0-มือจับเฟรมกระจก ยาว2.5m. สีทอง</t>
  </si>
  <si>
    <t xml:space="preserve">Handle-China-0-Glass frame handle, length 2.5m., gold color.</t>
  </si>
  <si>
    <t xml:space="preserve">RM-FUFIT-113</t>
  </si>
  <si>
    <t xml:space="preserve">มือจับ-จีน-0-มือจับเฟรมกระจก ยาว3m. สีดำ</t>
  </si>
  <si>
    <t xml:space="preserve">Handle-China-0-Glass frame handle, length 3m., black color</t>
  </si>
  <si>
    <t xml:space="preserve">RM-FUFIT-114</t>
  </si>
  <si>
    <t xml:space="preserve">มือจับ-จีน-0-มือจับเฟรมกระจก ยาว3m. สีทอง</t>
  </si>
  <si>
    <t xml:space="preserve">Handle-China-0-Glass frame handle, length 3m., gold color.</t>
  </si>
  <si>
    <t xml:space="preserve">RM-FUFIT-115</t>
  </si>
  <si>
    <t xml:space="preserve">ลิ้นชัก-จีน-0-รางลิ้นชักลูกปืน45*18,45*14Softclose</t>
  </si>
  <si>
    <t xml:space="preserve">Drawer-China-0-Bearing drawer runner 45*18,45*14 Softclose</t>
  </si>
  <si>
    <t xml:space="preserve">RM-FUFIT-116</t>
  </si>
  <si>
    <t xml:space="preserve">อลูมิเนียม-จีน-0-เหล็กฉาก4รู สำหรับยึดมือจับ</t>
  </si>
  <si>
    <t xml:space="preserve">Aluminum-China-0-4 hole angle steel for holding the handle</t>
  </si>
  <si>
    <t xml:space="preserve">RM-FUFIT-117</t>
  </si>
  <si>
    <t xml:space="preserve">อลูมิเนียม-จีน-0-เหล็กฉาก4รูมือจับเฟรมกระจก</t>
  </si>
  <si>
    <t xml:space="preserve">Aluminum-China-0-Steel Angle 4 Holes Glass Frame Handle</t>
  </si>
  <si>
    <t xml:space="preserve">RM-FUFIT-118</t>
  </si>
  <si>
    <t xml:space="preserve">Aluminum</t>
  </si>
  <si>
    <t xml:space="preserve">อลูมิเนียม-จีน-H219-ปิดข้างมือจับ C สีดำ</t>
  </si>
  <si>
    <t xml:space="preserve">Aluminum-China-H219-Cover side handle C black</t>
  </si>
  <si>
    <t xml:space="preserve">RM-FUFIT-119</t>
  </si>
  <si>
    <t xml:space="preserve">อลูมิเนียม-จีน-H219-ปิดข้างมือจับ C สีเทา</t>
  </si>
  <si>
    <t xml:space="preserve">Aluminum-China-H219-Cover side handle C grey</t>
  </si>
  <si>
    <t xml:space="preserve">RM-FUFIT-120</t>
  </si>
  <si>
    <t xml:space="preserve">อลูมิเนียม-จีน-H220-ปิดข้างมือจับ L สีดำ</t>
  </si>
  <si>
    <t xml:space="preserve">Aluminum-China-H220-Close side handle L black</t>
  </si>
  <si>
    <t xml:space="preserve">RM-FUFIT-121</t>
  </si>
  <si>
    <t xml:space="preserve">อลูมิเนียม-จีน-H220-ปิดข้างมือจับL สีเทา</t>
  </si>
  <si>
    <t xml:space="preserve">Aluminum-China-H220-Close side handle L grey</t>
  </si>
  <si>
    <t xml:space="preserve">RM-FUFIT-122</t>
  </si>
  <si>
    <t xml:space="preserve">อลูมิเนียม-จีน-H220-มุมขอบนอก สีดำ</t>
  </si>
  <si>
    <t xml:space="preserve">Aluminum-China-H220-Black outer edge corner</t>
  </si>
  <si>
    <t xml:space="preserve">RM-FUFIT-123</t>
  </si>
  <si>
    <t xml:space="preserve">อลูมิเนียม-จีน-H220-มุมขอบนอก สีเทา</t>
  </si>
  <si>
    <t xml:space="preserve">Aluminum-China-H220-Grey outer edge corner</t>
  </si>
  <si>
    <t xml:space="preserve">RM-FUFIT-124</t>
  </si>
  <si>
    <t xml:space="preserve">อลูมิเนียม-จีน-0-มุมขอบใน สีดำ</t>
  </si>
  <si>
    <t xml:space="preserve">Aluminum-China-0-inner edge corner black</t>
  </si>
  <si>
    <t xml:space="preserve">RM-FUFIT-125</t>
  </si>
  <si>
    <t xml:space="preserve">อลูมิเนียม-จีน-0-มุมขอบใน สีเทา</t>
  </si>
  <si>
    <t xml:space="preserve">Aluminum-China-0-inner edge corner grey</t>
  </si>
  <si>
    <t xml:space="preserve">RM-FUFIT-126</t>
  </si>
  <si>
    <t xml:space="preserve">ลิ้นชัก-Haf-552.64.559-รางลิ้นชักGR.35KG. H84/450M</t>
  </si>
  <si>
    <t xml:space="preserve">Drawer-Haf-552.64.559-drawer runner GR.35KG. H84/450M</t>
  </si>
  <si>
    <t xml:space="preserve">RM-FUFIT-127</t>
  </si>
  <si>
    <t xml:space="preserve">มือจับ-จีน-7205-160CP</t>
  </si>
  <si>
    <t xml:space="preserve">Handle-China-7205-160CP</t>
  </si>
  <si>
    <t xml:space="preserve">RM-FUFIT-128</t>
  </si>
  <si>
    <t xml:space="preserve">มือจับ-จีน-7090-160CP</t>
  </si>
  <si>
    <t xml:space="preserve">Handle-China-7090-160CP</t>
  </si>
  <si>
    <t xml:space="preserve">RM-FUFIT-129</t>
  </si>
  <si>
    <t xml:space="preserve">มือจับ-จีน-7040-160CP</t>
  </si>
  <si>
    <t xml:space="preserve">Handle-China-7040-160CP</t>
  </si>
  <si>
    <t xml:space="preserve">AP-HWA000</t>
  </si>
  <si>
    <t xml:space="preserve">RM-FUFIT-130</t>
  </si>
  <si>
    <t xml:space="preserve">มือจับ-จีน-7170-160CP</t>
  </si>
  <si>
    <t xml:space="preserve">Handle-China-7170-160CP</t>
  </si>
  <si>
    <t xml:space="preserve">RM-FUFIT-131</t>
  </si>
  <si>
    <t xml:space="preserve">มือจับ-จีน-7040-160BNL</t>
  </si>
  <si>
    <t xml:space="preserve">Handle-China-7040-160BNL</t>
  </si>
  <si>
    <t xml:space="preserve">RM-FUFIT-132</t>
  </si>
  <si>
    <t xml:space="preserve">ลิ้นชัก-Haf-552.66.585-รางลิ้นชัก Drawer H86</t>
  </si>
  <si>
    <t xml:space="preserve">Drawer-Haf-552.66.585-drawer runner Drawer H86</t>
  </si>
  <si>
    <t xml:space="preserve">RM-FUFIT-133</t>
  </si>
  <si>
    <t xml:space="preserve">ลิ้นชัก-Haf-552.49.345-ลิ้นชัก SLIM WALL H.170</t>
  </si>
  <si>
    <t xml:space="preserve">552.49.345 SLIM WALL SET ANT. 170/500MM</t>
  </si>
  <si>
    <t xml:space="preserve">RM-FUFIT-134</t>
  </si>
  <si>
    <t xml:space="preserve">มือจับ-จีน-0-295*10*36</t>
  </si>
  <si>
    <t xml:space="preserve">Handle-China-0-295*10*36</t>
  </si>
  <si>
    <t xml:space="preserve">RM-FUFIT-135</t>
  </si>
  <si>
    <t xml:space="preserve">มือจับ-จีน-0-395*10*36</t>
  </si>
  <si>
    <t xml:space="preserve">Handle-China-0-395*10*36</t>
  </si>
  <si>
    <t xml:space="preserve">RM-FUFIT-136</t>
  </si>
  <si>
    <t xml:space="preserve">มือจับ-จีน-0-595*10*36</t>
  </si>
  <si>
    <t xml:space="preserve">Handle-China-0-595*10*36</t>
  </si>
  <si>
    <t xml:space="preserve">RM-FUFIT-137</t>
  </si>
  <si>
    <t xml:space="preserve">ลิ้นชัก-Haf-552.49.335-ลิ้นชักSLIM WALL</t>
  </si>
  <si>
    <t xml:space="preserve">552.49.335 SLIM WALL SET ANT 120/500MM</t>
  </si>
  <si>
    <t xml:space="preserve">RM-FUFIT-138</t>
  </si>
  <si>
    <t xml:space="preserve">ถาดวางช้อน-FTT-TRA21 70 50-ถาดวางช้อน 700 mm</t>
  </si>
  <si>
    <t xml:space="preserve">Spoon tray-FTT-TRA21 70 50-spoon tray 700 mm</t>
  </si>
  <si>
    <t xml:space="preserve">RM-FUFIT-139</t>
  </si>
  <si>
    <t xml:space="preserve">Appliances</t>
  </si>
  <si>
    <t xml:space="preserve">ติดตั้ง-ไต้หวัน-DR7790ASXL SAKURA-เครื่องดูดควัน</t>
  </si>
  <si>
    <t xml:space="preserve">Install-Taiwan-DR7790ASXL SAKURA-hood</t>
  </si>
  <si>
    <t xml:space="preserve">RM-FUFIT-140</t>
  </si>
  <si>
    <t xml:space="preserve">ติดตั้ง-ไต้หวัน-0-ซิงค์หลุด1207R 2หลุม</t>
  </si>
  <si>
    <t xml:space="preserve">Install-Taiwan-0-sync holes 1207R 2 holes</t>
  </si>
  <si>
    <t xml:space="preserve">RM-FUFIT-141</t>
  </si>
  <si>
    <t xml:space="preserve">ติดตั้ง-ไต้หวัน-Q7565AWXL-เครื่องอบแห้งจาน</t>
  </si>
  <si>
    <t xml:space="preserve">Install-Taiwan-Q7565AWXL-Dish Dryer</t>
  </si>
  <si>
    <t xml:space="preserve">RM-FUFIT-142</t>
  </si>
  <si>
    <t xml:space="preserve">ติดตั้ง-0-0-เตาแก๊ส</t>
  </si>
  <si>
    <t xml:space="preserve">Install-0-0-Gas Stove</t>
  </si>
  <si>
    <t xml:space="preserve">RM-FUFIT-143</t>
  </si>
  <si>
    <t xml:space="preserve">Chair</t>
  </si>
  <si>
    <t xml:space="preserve">เก้าอี้-CHE-DC001-เก้าอี้ ช็อกโกแลต</t>
  </si>
  <si>
    <t xml:space="preserve">Chair-CHE-DC001-Chocolate Chair</t>
  </si>
  <si>
    <t xml:space="preserve">AP-CHE000</t>
  </si>
  <si>
    <t xml:space="preserve">RM-FUFIT-144</t>
  </si>
  <si>
    <t xml:space="preserve">โครงตู้-Haf-637.15.004-ชุดขาปรับตู้ สีดำ 150mm</t>
  </si>
  <si>
    <t xml:space="preserve">637.15.004 CABINET ADJ.LEG PLAST. 140/170MM.</t>
  </si>
  <si>
    <t xml:space="preserve">RM-FUFIT-145</t>
  </si>
  <si>
    <t xml:space="preserve">Air Vent </t>
  </si>
  <si>
    <t xml:space="preserve">บานซิงค์-FTT-VG03 300-ช่องระบายอากาศ อลูมิเนียม</t>
  </si>
  <si>
    <t xml:space="preserve">Door Sync-FTT-VG03 300-Air Vent Aluminum</t>
  </si>
  <si>
    <t xml:space="preserve">RM-FUFIT-146</t>
  </si>
  <si>
    <t xml:space="preserve">บานซิงค์-FTT-VG03 200-ช่องระบายอากาศ อลูมิเนียม</t>
  </si>
  <si>
    <t xml:space="preserve">Door Sync-FTT-VG03 200-Air vent, aluminum</t>
  </si>
  <si>
    <t xml:space="preserve">RM-FUFIT-147</t>
  </si>
  <si>
    <t xml:space="preserve">โครงตู้-Blum-38/7-ปุ่มกดกระเด้งหัวแม่เหล็ก 6 สีเทา</t>
  </si>
  <si>
    <t xml:space="preserve">Cabinet Frame-Blum-38/7-Bounce Button Magnetic Head 6 Gray</t>
  </si>
  <si>
    <t xml:space="preserve">AP-BUI000</t>
  </si>
  <si>
    <t xml:space="preserve">RM-FUFIT-148</t>
  </si>
  <si>
    <t xml:space="preserve">โครงตู้-Haf-372.91.471-ปุ่มกดกระเด้ง 22N 34N</t>
  </si>
  <si>
    <t xml:space="preserve">372.91.471 PUSH CATCHES 22N-34N</t>
  </si>
  <si>
    <t xml:space="preserve">RM-FUFIT-149</t>
  </si>
  <si>
    <t xml:space="preserve">เก้าอี้-CHE-DC 001-เก้าอี้ ขาว</t>
  </si>
  <si>
    <t xml:space="preserve">Chair-CHE-DC 001-Chair White</t>
  </si>
  <si>
    <t xml:space="preserve">RM-FUFIT-150</t>
  </si>
  <si>
    <t xml:space="preserve">ติดตั้ง-0-0-สายน้ำดี  16</t>
  </si>
  <si>
    <t xml:space="preserve">Install-0-0-Water Line 16</t>
  </si>
  <si>
    <t xml:space="preserve">RM-FUFIT-151</t>
  </si>
  <si>
    <t xml:space="preserve">ลิ้นชัก-Haf-552.35.365-ลิ้นชัก Slim wall 80/500</t>
  </si>
  <si>
    <t xml:space="preserve">552.35.365 SLIM WALL SET DARK GREY. SOFT CLOSE 80X500MM</t>
  </si>
  <si>
    <t xml:space="preserve">RM-FUFIT-152</t>
  </si>
  <si>
    <t xml:space="preserve">โครงตู้-0-0-ช่องร้อยสายไฟ (กลม) สีน้ำตาล</t>
  </si>
  <si>
    <t xml:space="preserve">Cabinet Frame-0-0-Wire Conduit (Round) Brown</t>
  </si>
  <si>
    <t xml:space="preserve">RM-FUFIT-153</t>
  </si>
  <si>
    <t xml:space="preserve">CO01-WH ช่องร้อยสายไฟ (กลม) สีขาว</t>
  </si>
  <si>
    <t xml:space="preserve">CO01-WH Wire conduit (round) white</t>
  </si>
  <si>
    <t xml:space="preserve">RM-FUFIT-154</t>
  </si>
  <si>
    <t xml:space="preserve">Bracket</t>
  </si>
  <si>
    <t xml:space="preserve">ไฟ-Haf-833.74.825-อุปกรณ์รับรางโปรไฟล์ไฟ LED</t>
  </si>
  <si>
    <t xml:space="preserve">833.74.825 BRACKET FOR PRO 833.74.812</t>
  </si>
  <si>
    <t xml:space="preserve">RM-FUFIT-155</t>
  </si>
  <si>
    <t xml:space="preserve">ไฟ-Haf-833.74.826-ฝาปิดหัว ท้ายรางโปรไฟล์ไฟ LED</t>
  </si>
  <si>
    <t xml:space="preserve">833.74.826 MOUNT PLATE FOR 833.74.812</t>
  </si>
  <si>
    <t xml:space="preserve">RM-FUFIT-156</t>
  </si>
  <si>
    <t xml:space="preserve">บานพับ-Hettich-1B2 9082774-ฝาปิดแขนบานพับพร้อมโลโก</t>
  </si>
  <si>
    <t xml:space="preserve">Hinge-Hettich-1B2 9082774-Hinged arm cover with logo</t>
  </si>
  <si>
    <t xml:space="preserve">RM-FUFIT-157</t>
  </si>
  <si>
    <t xml:space="preserve">บานพับ-Hettich-1B2 9082614-ฝาปิดถ้วยบานพับ สีเงิน</t>
  </si>
  <si>
    <t xml:space="preserve">Hinge-Hettich-1B2 9082614-Hinged cup lid, silver</t>
  </si>
  <si>
    <t xml:space="preserve">RM-FUFIT-159</t>
  </si>
  <si>
    <t xml:space="preserve">มือจับ-Haf-155.00.500-สีทอง</t>
  </si>
  <si>
    <t xml:space="preserve">155.00.500 HAND.ZI.GOLDCOL.POL.158X28MM</t>
  </si>
  <si>
    <t xml:space="preserve">RM-FUFIT-160</t>
  </si>
  <si>
    <t xml:space="preserve">มือจับ-Haf-115.93.104-STAINLESS STEEL MATT BRUS</t>
  </si>
  <si>
    <t xml:space="preserve">115.93.104 HANDLE ST.ST.C.C160MM H=36MM</t>
  </si>
  <si>
    <t xml:space="preserve">RM-FUFIT-161</t>
  </si>
  <si>
    <t xml:space="preserve">ไฟ-Haf-833.72.855-ฝาปิดแบบสี่เหลี่ยมพร้อมรูร้อย</t>
  </si>
  <si>
    <t xml:space="preserve">833.72.855 END CAP PL.SILVC.</t>
  </si>
  <si>
    <t xml:space="preserve">RM-FUFIT-162</t>
  </si>
  <si>
    <t xml:space="preserve">มือจับ-Haf-115.93.108-BRUSHED STAINLESS STEEL</t>
  </si>
  <si>
    <t xml:space="preserve">115.93.108 HANDLE ST.ST.C.C288MM H=36MM</t>
  </si>
  <si>
    <t xml:space="preserve">RM-FUFIT-163</t>
  </si>
  <si>
    <t xml:space="preserve">ตะแกรง-Haf-549.03.222-ตะแกรงลิ้นชัก</t>
  </si>
  <si>
    <t xml:space="preserve">549.03.222 PULL OUT BASKET ST. CHR 450 MM</t>
  </si>
  <si>
    <t xml:space="preserve">RM-FUFIT-164</t>
  </si>
  <si>
    <t xml:space="preserve">ตะแกรง-Haf-502.12.023-ถังขยะติดตั้งหน้าบาน15ลิตร</t>
  </si>
  <si>
    <t xml:space="preserve">502.12.023 WASTE BIN STAINL.ST./WHITE 15L</t>
  </si>
  <si>
    <t xml:space="preserve">RM-FUFIT-165</t>
  </si>
  <si>
    <t xml:space="preserve">ตะแกรง-Haf-545.48.262-ตะแกรงในตู้อ่างล้างจาน</t>
  </si>
  <si>
    <t xml:space="preserve">Sieve-Haf-545.48.262-Grain in the sink cabinet</t>
  </si>
  <si>
    <t xml:space="preserve">RM-FUFIT-167</t>
  </si>
  <si>
    <t xml:space="preserve">ตะแกรง-Haf-545.46.200-MAGAZ.HOLD. CHR.POL</t>
  </si>
  <si>
    <t xml:space="preserve">545.46.200 MAGAZ.HOLD. CHR.POL.343X190X272MM</t>
  </si>
  <si>
    <t xml:space="preserve">RM-FUFIT-168</t>
  </si>
  <si>
    <t xml:space="preserve">ตะแกรง-Haf-521.55.320-ตะแกรงคว่ำจานติดผนัง</t>
  </si>
  <si>
    <t xml:space="preserve">521.55.320 MULTI-PURP.BASK.CHR. 450X290X180</t>
  </si>
  <si>
    <t xml:space="preserve">RM-FUFIT-169</t>
  </si>
  <si>
    <t xml:space="preserve">ตะแกรง-Haf-522.33.210-RAIL ST.CHR.POL. 16/1000M</t>
  </si>
  <si>
    <t xml:space="preserve">522.33.210 RAIL ST.CHR.POL. 16/1000MM</t>
  </si>
  <si>
    <t xml:space="preserve">RM-FUFIT-170</t>
  </si>
  <si>
    <t xml:space="preserve">โครงตู้-0-HC991003-สกรูเกลียวปล่อยหัวแฉก 8*5/8</t>
  </si>
  <si>
    <t xml:space="preserve">Cabinet frame-0-HC991003- Phillips head screw 8*5/8</t>
  </si>
  <si>
    <t xml:space="preserve">RM-FUFIT-171</t>
  </si>
  <si>
    <t xml:space="preserve">ตะแกรง-Haf-545.21.289-SUPP.BRACKET KIT W/ 2END</t>
  </si>
  <si>
    <t xml:space="preserve">545.21.289 SUPP.BRACKET KIT W/ 2END CAPS</t>
  </si>
  <si>
    <t xml:space="preserve">RM-FUFIT-172</t>
  </si>
  <si>
    <t xml:space="preserve">ติดตั้ง-กรีน-0-มินิบอลวาลว์ ผผผ.1/2 Sanwa 3ทาง</t>
  </si>
  <si>
    <t xml:space="preserve">Install-Green-0-Mini Ball Valve DP.1/2 Sanwa 3 way</t>
  </si>
  <si>
    <t xml:space="preserve">RM-FUFIT-173</t>
  </si>
  <si>
    <t xml:space="preserve">ตะแกรง-Haf-522.29.210-SPICE VESSEL CHROME CAP</t>
  </si>
  <si>
    <t xml:space="preserve">522.29.210 SPICE VESSEL CHROME CAP 5 PCS</t>
  </si>
  <si>
    <t xml:space="preserve">RM-FUFIT-174</t>
  </si>
  <si>
    <t xml:space="preserve">ลิ้นชัก-Haf-433.03.120-C RUNNER B30F GALV.+D250</t>
  </si>
  <si>
    <t xml:space="preserve">433.03.120 C-RUNNER B30F GALV.+D250MM</t>
  </si>
  <si>
    <t xml:space="preserve">RM-FUFIT-175</t>
  </si>
  <si>
    <t xml:space="preserve">ตะแกรง-Haf-521.84.210-FRUIT BASK.CHR.POL</t>
  </si>
  <si>
    <t xml:space="preserve">521.84.210 FRUIT BASK.CHR.POL.304X302X485MM.</t>
  </si>
  <si>
    <t xml:space="preserve">RM-FUFIT-176</t>
  </si>
  <si>
    <t xml:space="preserve">ตะแกรง-Haf-521.84.220-FRUIT BASK.CHR.POL</t>
  </si>
  <si>
    <t xml:space="preserve">521.84.220 FRUIT BASK.CHR.POL.300X172X138MM.</t>
  </si>
  <si>
    <t xml:space="preserve">RM-FUFIT-177</t>
  </si>
  <si>
    <t xml:space="preserve">ตะแกรง-Haf-485.42.310-FRUIT BASKET ST.CHR</t>
  </si>
  <si>
    <t xml:space="preserve">485.42.310 FRUIT BASKET ST.CHR.240X240X140MM</t>
  </si>
  <si>
    <t xml:space="preserve">RM-FUFIT-178</t>
  </si>
  <si>
    <t xml:space="preserve">ติดตั้ง-0-0-ข้อต่อตรงหนา ฟ้า 3/4</t>
  </si>
  <si>
    <t xml:space="preserve">Install-0-0-Thick straight connector, blue 3/4</t>
  </si>
  <si>
    <t xml:space="preserve">RM-FUFIT-179</t>
  </si>
  <si>
    <t xml:space="preserve">ตะแกรง-Haf-549.03.145-ตะแกรงบานดึงเก็บหม้อ</t>
  </si>
  <si>
    <t xml:space="preserve">549.03.145 FRONT P-OUT BAS 18" STST 800MM</t>
  </si>
  <si>
    <t xml:space="preserve">RM-FUFIT-180</t>
  </si>
  <si>
    <t xml:space="preserve">ตะแกรง-Haf-549.03.155-ตะแกรงบานดึงค่ำจาน</t>
  </si>
  <si>
    <t xml:space="preserve">549.03.155 FRONT PULL-OUT DISH BAS.STST800MM</t>
  </si>
  <si>
    <t xml:space="preserve">RM-FUFIT-181</t>
  </si>
  <si>
    <t xml:space="preserve">ตะแกรง-Haf-521.84.221-ARCH FRUIT BASK.CHR.POL.</t>
  </si>
  <si>
    <t xml:space="preserve">521.84.221 ARCH FRUIT BASK.CHR.POL.</t>
  </si>
  <si>
    <t xml:space="preserve">RM-FUFIT-182</t>
  </si>
  <si>
    <t xml:space="preserve">บานพับ-0-88/247,80N-โช๊คอัพแก๊สรุ่น</t>
  </si>
  <si>
    <t xml:space="preserve">Hinge-0-88/247,80N-Shock Absorber Gas Model</t>
  </si>
  <si>
    <t xml:space="preserve">RM-FUFIT-183</t>
  </si>
  <si>
    <t xml:space="preserve">Sensor switch</t>
  </si>
  <si>
    <t xml:space="preserve">ไฟ-Haf-833.89.128-สวิตซ์เซนต์เซอร์ประตู</t>
  </si>
  <si>
    <t xml:space="preserve">833.89.128 DOOR SENSOR SWITCH PL SIL BC D=12MM</t>
  </si>
  <si>
    <t xml:space="preserve">RM-FUFIT-184</t>
  </si>
  <si>
    <t xml:space="preserve">Key</t>
  </si>
  <si>
    <t xml:space="preserve">ลิ้นชัก-Haf-482.01.106-กุญแจล็อคลิ้นชักชนิดลิ้น</t>
  </si>
  <si>
    <t xml:space="preserve">482.01.106 DIY RIMLOCK DR SYMO "E" NI.PL.</t>
  </si>
  <si>
    <t xml:space="preserve">RM-FUFIT-185</t>
  </si>
  <si>
    <t xml:space="preserve">ไฟ-Haf-833.89.142-สายไฟสำหรับสวิตซ์เซนเซอร์</t>
  </si>
  <si>
    <t xml:space="preserve">833.89.142 MODULAR LEAD BLACK 2000MM</t>
  </si>
  <si>
    <t xml:space="preserve">RM-FUFIT-186</t>
  </si>
  <si>
    <t xml:space="preserve">Distributor </t>
  </si>
  <si>
    <t xml:space="preserve">ไฟ-Haf-833.74.751-กล่องขยายสัญญาณแบบ 3 ช่อง</t>
  </si>
  <si>
    <t xml:space="preserve">833.74.751 3-WAY DISR.SWITCH 12V/20A WG/BLA 2M</t>
  </si>
  <si>
    <t xml:space="preserve">RM-FUFIT-187</t>
  </si>
  <si>
    <t xml:space="preserve">ไฟ-Haf-833.89.107-สวิตซ์แบบกด</t>
  </si>
  <si>
    <t xml:space="preserve">833.89.107 PUSH SWITCH PL.GRAY D=12MM</t>
  </si>
  <si>
    <t xml:space="preserve">RM-FUFIT-188</t>
  </si>
  <si>
    <t xml:space="preserve">Aluminium Profiles</t>
  </si>
  <si>
    <t xml:space="preserve">ไฟ-Haf-833.72.845-รางโปรไฟล์อลูมิเนียมสตริปไลท์LED</t>
  </si>
  <si>
    <t xml:space="preserve">833.72.845 REC.MT.EXTRUS.ALU.SILVE.2500MM</t>
  </si>
  <si>
    <t xml:space="preserve">RM-FUFIT-189</t>
  </si>
  <si>
    <t xml:space="preserve">ไฟ-Haf-833.73.739- ไฟสติปไลท์LED 14mm.12V 20ANG 20</t>
  </si>
  <si>
    <t xml:space="preserve">833.73.739 LEAD RIBBON 14MM 12V 20AWG 2000MM</t>
  </si>
  <si>
    <t xml:space="preserve">RM-FUFIT-190</t>
  </si>
  <si>
    <t xml:space="preserve">ไฟ-Haf-833.71.786-หม้อแปลง12V/40W EU PLUG2000mm.</t>
  </si>
  <si>
    <t xml:space="preserve">833.71.786 DRIVER 12V/40W W.EU-PLUG 2000MM</t>
  </si>
  <si>
    <t xml:space="preserve">RM-FUFIT-191</t>
  </si>
  <si>
    <t xml:space="preserve">Sink edge</t>
  </si>
  <si>
    <t xml:space="preserve">บานซิงค์-0-0-ขอบบานซิงค์ เตาแก๊ส 2.1 เมตร</t>
  </si>
  <si>
    <t xml:space="preserve">Zinc door-0-0-Sink edge, gas stove 2.1 meters</t>
  </si>
  <si>
    <t xml:space="preserve">RM-FUFIT-192</t>
  </si>
  <si>
    <t xml:space="preserve">บานซิงค์-0-0-ขอบบานซิงค์ บานเดียว 2.4 เมตร</t>
  </si>
  <si>
    <t xml:space="preserve">Sync door-0-0-Edge of sync door, one door 2.4 m.</t>
  </si>
  <si>
    <t xml:space="preserve">RM-FUFIT-193</t>
  </si>
  <si>
    <t xml:space="preserve">บานซิงค์-0-0-ขอบบานซิงค์ ใต้เตาแก๊ส 3 เมตร</t>
  </si>
  <si>
    <t xml:space="preserve">Zinc door-0-0-sink edge, under the gas stove 3 meters</t>
  </si>
  <si>
    <t xml:space="preserve">RM-FUFIT-194</t>
  </si>
  <si>
    <t xml:space="preserve">อลูมิเนียม-จีน-H220-มุมขอบนอก (สีเทาเข้ม) H220</t>
  </si>
  <si>
    <t xml:space="preserve">Aluminum-China-H220-Outer corner (dark grey) H220</t>
  </si>
  <si>
    <t xml:space="preserve">RM-FUFIT-195</t>
  </si>
  <si>
    <t xml:space="preserve">Pipe clip</t>
  </si>
  <si>
    <t xml:space="preserve">ติดตั้ง-0-0-คลิปจับท่อ ก้ามปู 20 PVC ท่อน้ำไทย</t>
  </si>
  <si>
    <t xml:space="preserve">Install-0-0-Clip to catch pipe, Claw 20 PVC, Thai water pipes</t>
  </si>
  <si>
    <t xml:space="preserve">RM-FUFIT-196</t>
  </si>
  <si>
    <t xml:space="preserve">ติดตั้ง-0-0-คลิปจับท่อ ก้ามปู 25 PVC ท่อน้ำไทย</t>
  </si>
  <si>
    <t xml:space="preserve">Install-0-0-Clip for pipe clamp, 25 PVC pipe, Thai water pipe</t>
  </si>
  <si>
    <t xml:space="preserve">RM-FUFIT-197</t>
  </si>
  <si>
    <t xml:space="preserve">ติดตั้ง-0-0-คลิปจับท่อ ก้ามปู 18(1/2)NPI</t>
  </si>
  <si>
    <t xml:space="preserve">INSTALL-0-0-Clip, pipe clamp, caliper 18(1/2)NPI</t>
  </si>
  <si>
    <t xml:space="preserve">RM-FUFIT-198</t>
  </si>
  <si>
    <t xml:space="preserve">ติดตั้ง-0-0-ข้อ90บาง scg บางสีฟ้า35(1.1/4)</t>
  </si>
  <si>
    <t xml:space="preserve">Install-0-0-Article 90, some scg, some blue 35(1.1/4)</t>
  </si>
  <si>
    <t xml:space="preserve">RM-FUFIT-199</t>
  </si>
  <si>
    <t xml:space="preserve">ติดตั้ง-0-0-ข้อต่อตรงscg 35 บาง สีฟ้า(1.1/4)</t>
  </si>
  <si>
    <t xml:space="preserve">Install-0-0-Straight Coupling scg 35 Thin Blue (1.1/4)</t>
  </si>
  <si>
    <t xml:space="preserve">RM-FUFIT-200</t>
  </si>
  <si>
    <t xml:space="preserve">ติดตั้ง-0-0-ข้อ90 บาง ท่อน้ำไทย 3 สีฟ้า</t>
  </si>
  <si>
    <t xml:space="preserve">Install-0-0-Article 90 Bang Thai Water Pipe 3 Blue</t>
  </si>
  <si>
    <t xml:space="preserve">RM-FUFIT-201</t>
  </si>
  <si>
    <t xml:space="preserve">บานซิงค์-0-0-ขอบบานซิงค์ บานคู่ 3.2 เมตร</t>
  </si>
  <si>
    <t xml:space="preserve">Sync Door-0-0-Edge of Sync Door, Double Door 3.2 m.</t>
  </si>
  <si>
    <t xml:space="preserve">RM-FUFIT-202</t>
  </si>
  <si>
    <t xml:space="preserve">ติดตั้ง-0-0-สามทางPVC หนา สีฟ้า18(1/2)</t>
  </si>
  <si>
    <t xml:space="preserve">Install-0-0-Three Way PVC Thick Blue 18(1/2)</t>
  </si>
  <si>
    <t xml:space="preserve">RM-FUFIT-204</t>
  </si>
  <si>
    <t xml:space="preserve">โครงตู้-0-HC990007-สกรูเกลียวปล่อยหัวแฉก 8*1.1/4 H</t>
  </si>
  <si>
    <t xml:space="preserve">Cabinet frame-0-HC990007-Plug head screw 8*1.1/4 H</t>
  </si>
  <si>
    <t xml:space="preserve">RM-FUFIT-205</t>
  </si>
  <si>
    <t xml:space="preserve">ติดตั้ง-0-0-ข้อต่อตรงลด PVC 40*25(1.1/2*1)</t>
  </si>
  <si>
    <t xml:space="preserve">Install-0-0-Straight Coupling PVC 40*25(1.1/2*1)</t>
  </si>
  <si>
    <t xml:space="preserve">RM-FUFIT-206</t>
  </si>
  <si>
    <t xml:space="preserve">มือจับ-FTT-0-1P004 1</t>
  </si>
  <si>
    <t xml:space="preserve">Handle-FTT-0-1P004 1</t>
  </si>
  <si>
    <t xml:space="preserve">RM-FUFIT-207</t>
  </si>
  <si>
    <t xml:space="preserve">Drawer underlay</t>
  </si>
  <si>
    <t xml:space="preserve">ติดตั้ง-จีน-0-แผ่นรองใต้ลิ้นชัก ม้วน0.5*15m.</t>
  </si>
  <si>
    <t xml:space="preserve">Install-China-0-Pad under the drawer roll 0.5*15m.</t>
  </si>
  <si>
    <t xml:space="preserve">RM-FUFIT-208</t>
  </si>
  <si>
    <t xml:space="preserve">ติดตั้ง-จีน-0-สติกเกอร์ปิดเกือกมา สีOaK</t>
  </si>
  <si>
    <t xml:space="preserve">Install-China-0-Shoe Cover Sticker, Oak Color</t>
  </si>
  <si>
    <t xml:space="preserve">ดวง</t>
  </si>
  <si>
    <t xml:space="preserve">DISK</t>
  </si>
  <si>
    <t xml:space="preserve">RM-FUFIT-209</t>
  </si>
  <si>
    <t xml:space="preserve">ติดตั้ง-0-0-ข้อต่อตรง หนา scg 18(1/2) สีฟ้า</t>
  </si>
  <si>
    <t xml:space="preserve">Install-0-0-Straight Coupling Thickness scg 18(1/2) Blue</t>
  </si>
  <si>
    <t xml:space="preserve">RM-FUFIT-211</t>
  </si>
  <si>
    <t xml:space="preserve">โครงตู้-จีน-0-ตัวต่อแผ่นรองตู้ครัว9.5 ซม.มุม90 เทา</t>
  </si>
  <si>
    <t xml:space="preserve">Cabinet frame-China-0-Kitchen plate connector 9.5 cm. Corner 90 gray</t>
  </si>
  <si>
    <t xml:space="preserve">RM-FUFIT-212</t>
  </si>
  <si>
    <t xml:space="preserve">โครงตู้-0-1C2 9131155-รางลิ้นชักลูกปืน2ตอน</t>
  </si>
  <si>
    <t xml:space="preserve">Cabinet Frame-0-1C2 9131155-Bearing drawer slides, 2 sections</t>
  </si>
  <si>
    <t xml:space="preserve">RM-FUFIT-213</t>
  </si>
  <si>
    <t xml:space="preserve">โครงตู้-0-1B19076462RC-บานพับถ้วยกระจกMM6204ในขอบ</t>
  </si>
  <si>
    <t xml:space="preserve">Cabinet frame-0-1B19076462RC-Glass cup hinge MM6204 in edge</t>
  </si>
  <si>
    <t xml:space="preserve">RM-FUFIT-214</t>
  </si>
  <si>
    <t xml:space="preserve">โครงตู้-Haf-372.91.732-บานเปิดขึ้นFL FFREE FL</t>
  </si>
  <si>
    <t xml:space="preserve">372.91.732 FLF FREE FLAP3.15 F ALU WH.</t>
  </si>
  <si>
    <t xml:space="preserve">RM-FUFIT-215</t>
  </si>
  <si>
    <t xml:space="preserve">บานพับ-Haf-306.00.008-บานพับทับขอบNickleดำเงาsoft</t>
  </si>
  <si>
    <t xml:space="preserve">306.00.008 DAMP.HIN.FULL.EXT.BL.GAL.35MM</t>
  </si>
  <si>
    <t xml:space="preserve">RM-FUFIT-216</t>
  </si>
  <si>
    <t xml:space="preserve">432.20.933 รางรับข้างปิดนุ่มนวลรับ นน. 30กก. 400มม</t>
  </si>
  <si>
    <t xml:space="preserve">432.20.933 B-RUNNER S 30F+D GALV.400MM</t>
  </si>
  <si>
    <t xml:space="preserve">RM-FUFIT-217</t>
  </si>
  <si>
    <t xml:space="preserve">ลิ้นชัก-Haf-432.20.935-รางลิ้นชักระบบสองตอน500mm.</t>
  </si>
  <si>
    <t xml:space="preserve">Drawer-Haf-432.20.935-Double-section drawer runner, 500mm.</t>
  </si>
  <si>
    <t xml:space="preserve">RM-FUFIT-218</t>
  </si>
  <si>
    <t xml:space="preserve">432.20.931 รางรับข้างสองตอนรับ นน. 30กก. 300มม.</t>
  </si>
  <si>
    <t xml:space="preserve">432.20.931 B-RUNNER S 30F+D GALV.300MM</t>
  </si>
  <si>
    <t xml:space="preserve">RM-FUFIT-219</t>
  </si>
  <si>
    <t xml:space="preserve">ลิ้นชัก-Haf-552.49.386-ชุดอุปกรณ์ราวด้านข้าง500mm.</t>
  </si>
  <si>
    <t xml:space="preserve">552.49.386 SQUARE RAILLING500MM ST.ANT.</t>
  </si>
  <si>
    <t xml:space="preserve">RM-FUFIT-220</t>
  </si>
  <si>
    <t xml:space="preserve">ลิ้นชัก-Haf-552.49.320-ราวขวางกันขวดยาว1200mm.</t>
  </si>
  <si>
    <t xml:space="preserve">552.49.320 CROSS RAILING1200MM ALU.ANT.</t>
  </si>
  <si>
    <t xml:space="preserve">RM-FUFIT-221</t>
  </si>
  <si>
    <t xml:space="preserve">ลิ้นชัก-Haf-552.49.325-ตัวยึดราวขวาง</t>
  </si>
  <si>
    <t xml:space="preserve">552.49.325 T-CONNECTOR PLASTIC ANTHRACITE</t>
  </si>
  <si>
    <t xml:space="preserve">RM-FUFIT-222</t>
  </si>
  <si>
    <t xml:space="preserve">ลิ้นชัก-Haf-552.49.590-อุปกรณ์แบ่งกั้นช่อง</t>
  </si>
  <si>
    <t xml:space="preserve">552.49.590 SHORT PLASTIC DIVIDER ANT.</t>
  </si>
  <si>
    <t xml:space="preserve">RM-FUFIT-223</t>
  </si>
  <si>
    <t xml:space="preserve">โครงตู้-0-0-เข้ามุมพลาสติกเคลือบอลูมิเนียมสูง10 ซม</t>
  </si>
  <si>
    <t xml:space="preserve">Cabinet frame-0-0-Aluminium-coated plastic corner, height 10 cm.</t>
  </si>
  <si>
    <t xml:space="preserve">RM-FUFIT-224</t>
  </si>
  <si>
    <t xml:space="preserve">โครงตู้-0-1AL63300PG3-เฟรมสีพิ้งค์โกลด์แฮร์ลาย3.1M</t>
  </si>
  <si>
    <t xml:space="preserve">Cabinet Frame-0-1AL63300PG3-Pink Gold Hair Frame 3.1M Pattern</t>
  </si>
  <si>
    <t xml:space="preserve">RM-FUFIT-225</t>
  </si>
  <si>
    <t xml:space="preserve">โครงตู้-0-1AL25-PEมุมเฟรม62x62x2.6mm.สีซิงค์ขาว250</t>
  </si>
  <si>
    <t xml:space="preserve">Cabinet frame-0-1AL25-PE frame corner 62x62x2.6mm. White zinc color 250</t>
  </si>
  <si>
    <t xml:space="preserve">AP-BEST00</t>
  </si>
  <si>
    <t xml:space="preserve">RM-FUFIT-232</t>
  </si>
  <si>
    <t xml:space="preserve">โครงตู้-TMC-HC991267-ปุ่มกันกระแทก</t>
  </si>
  <si>
    <t xml:space="preserve">Cabinet frame-TMC-HC991267-shock button</t>
  </si>
  <si>
    <t xml:space="preserve">RM-FUFIT-233</t>
  </si>
  <si>
    <t xml:space="preserve">โครงตู้-Haf-564.53.182-Alusplashสีขาว</t>
  </si>
  <si>
    <t xml:space="preserve">564.53.182 A.SPL.GRAPHITE GR ARC WH3100X1500MM</t>
  </si>
  <si>
    <t xml:space="preserve">RM-FUFIT-237</t>
  </si>
  <si>
    <t xml:space="preserve">ติดตั้ง-FTT-BHD07 115 ZN-เหล็กฉากรูปตัวT</t>
  </si>
  <si>
    <t xml:space="preserve">Install-FTT-BHD07 115 ZN-T-angle steel</t>
  </si>
  <si>
    <t xml:space="preserve">RM-FUFIT-238</t>
  </si>
  <si>
    <t xml:space="preserve">ลิ้นชัก-0-1C2 9221508-รางสีซิ้งค์ 40กก/400mm</t>
  </si>
  <si>
    <t xml:space="preserve">Drawer-0-1C2 9221508-Sink Rail 40kg/400mm</t>
  </si>
  <si>
    <t xml:space="preserve">RM-FUFIT-239</t>
  </si>
  <si>
    <t xml:space="preserve">โครงตู้-IO-A06 03-คลิปเสียบขาตู้พลาสติกสีดำ-อลู</t>
  </si>
  <si>
    <t xml:space="preserve">Cabinet Frame-IO-A06 03-Plastic leg clip, black-aluminum</t>
  </si>
  <si>
    <t xml:space="preserve">RM-FUFIT-240</t>
  </si>
  <si>
    <t xml:space="preserve">โครงตู้-0-0-สกรูJF4 8ใช้สำหรับเฟรมกระจก</t>
  </si>
  <si>
    <t xml:space="preserve">Cabinet frame-0-0-Screw JF48 used for glass frame.</t>
  </si>
  <si>
    <t xml:space="preserve">RM-FUFIT-241</t>
  </si>
  <si>
    <t xml:space="preserve">โครงตู้-0-0-สกรูเกลียวปล่อยหัวเตเปอร์แฉกสกรู #8*1F</t>
  </si>
  <si>
    <t xml:space="preserve">Cabinet frame-0-0-Taper head self-tapping screw #8*1F</t>
  </si>
  <si>
    <t xml:space="preserve">RM-FUFIT-242</t>
  </si>
  <si>
    <t xml:space="preserve">ตะแกรง-PCS-7VS 7055 500-ชุดตู้สูงตะแกรง500mm.</t>
  </si>
  <si>
    <t xml:space="preserve">Grille-PCS-7VS 7055 500-Set of high cabinet grille 500mm.</t>
  </si>
  <si>
    <t xml:space="preserve">RM-FUFIT-243</t>
  </si>
  <si>
    <t xml:space="preserve">ถาดวางช้อน-PCS-7VS 7549 PL-ชุดตู้มุม ถาด900mm.ซ้าย</t>
  </si>
  <si>
    <t xml:space="preserve">Spoon tray-PCS-7VS 7549 BL- corner cabinet set, tray 900mm. left</t>
  </si>
  <si>
    <t xml:space="preserve">RM-FUFIT-244</t>
  </si>
  <si>
    <t xml:space="preserve">ลิ้นชัก-Hettich-0-แผ่นหน้าลิ้นชักอะลูมิเนียม</t>
  </si>
  <si>
    <t xml:space="preserve">Drawer-Hettich-0-Aluminum drawer front</t>
  </si>
  <si>
    <t xml:space="preserve">RM-FUFIT-245</t>
  </si>
  <si>
    <t xml:space="preserve">บานพับ-Haf-306.00.010-บานพับในขอบ soft close</t>
  </si>
  <si>
    <t xml:space="preserve">306.00.010 DAMP.HIN.INSET BL.GAL.35MM</t>
  </si>
  <si>
    <t xml:space="preserve">RM-FUFIT-246</t>
  </si>
  <si>
    <t xml:space="preserve">บานพับ-Haf-306.00.009-บานพับกลางขอบ soft close</t>
  </si>
  <si>
    <t xml:space="preserve">306.00.009 DAMP.HIN.HALF OVE.BL.GAL.35MM</t>
  </si>
  <si>
    <t xml:space="preserve">RM-FUFIT-247</t>
  </si>
  <si>
    <t xml:space="preserve">โครงตู้-จีน-0-อุปกรณ์ยึดหน้าบานกันโก่ง2.1ม สีทอง</t>
  </si>
  <si>
    <t xml:space="preserve">Cabinet frame-China-0-Anti-buckle front door fixing 2.1m gold color</t>
  </si>
  <si>
    <t xml:space="preserve">RM-FUFIT-248</t>
  </si>
  <si>
    <t xml:space="preserve">โครงตู้-จีน-0-อุปกรณ์ยึดหน้าบานกันโก่ง2.44ม สีทอง</t>
  </si>
  <si>
    <t xml:space="preserve">Cabinet frame-China-0-Anti-buckle front door fixing 2.44 m gold</t>
  </si>
  <si>
    <t xml:space="preserve">RM-FUFIT-249</t>
  </si>
  <si>
    <t xml:space="preserve">โครงตู้-จีน-0-อุปกรณ์ยึดหน้าบานกันโก่ง2.78ม สีทอง</t>
  </si>
  <si>
    <t xml:space="preserve">Cabinet frame-China-0-Anti-buckle front door fixing 2.78 m gold</t>
  </si>
  <si>
    <t xml:space="preserve">RM-FUFIT-250</t>
  </si>
  <si>
    <t xml:space="preserve">โครงตู้-จีน-0-ใช้กับอุปกรณ์ยึดหน้าบานกันโก่ง</t>
  </si>
  <si>
    <t xml:space="preserve">Cabinet frame-China-0-Used with the device to fix the door to prevent deflection.</t>
  </si>
  <si>
    <t xml:space="preserve">RM-FUFIT-251</t>
  </si>
  <si>
    <t xml:space="preserve">เส้นอะลูมิเนียมตู้ซิงค์ ยาว3ม.-จีน</t>
  </si>
  <si>
    <t xml:space="preserve">Chinese Cabinet Frame Line Aluminum for Sink Cabinet 3 mm. Gray</t>
  </si>
  <si>
    <t xml:space="preserve">RM-FUFIT-252</t>
  </si>
  <si>
    <t xml:space="preserve">โครงตู้-จีน-0-กันกระแทกหน้าบาน 3ม สีใส ใช้กับอลู</t>
  </si>
  <si>
    <t xml:space="preserve">Cabinet frame-China-0-Anti-shock, front door 3 m, clear color, use with alu.</t>
  </si>
  <si>
    <t xml:space="preserve">RM-FUFIT-253</t>
  </si>
  <si>
    <t xml:space="preserve">โครงตู้-จีน-0-ชุดอุปกรณ์ยึดหน้าบานกันโก่งพลาสติก</t>
  </si>
  <si>
    <t xml:space="preserve">Cabinet frame-China-0-Accessories for fixing the front of the plastic door</t>
  </si>
  <si>
    <t xml:space="preserve">RM-FUFIT-254</t>
  </si>
  <si>
    <t xml:space="preserve">โครงตู้-จีน-0-ขาปรับตู้95 120 cm.สีดำ</t>
  </si>
  <si>
    <t xml:space="preserve">Cabinet frame-China-0-Adjustable legs 95 120 cm. Black</t>
  </si>
  <si>
    <t xml:space="preserve">RM-FUFIT-255</t>
  </si>
  <si>
    <t xml:space="preserve">อลูมิเนียม-จีน-0-ราวแขวนเสื้อ 3ม สีดำ</t>
  </si>
  <si>
    <t xml:space="preserve">Aluminum-China-0-coat rack 3m black</t>
  </si>
  <si>
    <t xml:space="preserve">RM-FUFIT-256</t>
  </si>
  <si>
    <t xml:space="preserve">Hanger</t>
  </si>
  <si>
    <t xml:space="preserve">อลูมิเนียม-จีน-0-ตัวรับราวแขวนสีดำ</t>
  </si>
  <si>
    <t xml:space="preserve">Aluminum-China-0-Black Hanger Holder</t>
  </si>
  <si>
    <t xml:space="preserve">RM-FUFIT-257</t>
  </si>
  <si>
    <t xml:space="preserve">Fall protection</t>
  </si>
  <si>
    <t xml:space="preserve">อลูมิเนียม-จีน-0-อลูมิเนียมกันตก3ม สีเทา</t>
  </si>
  <si>
    <t xml:space="preserve">Aluminum-China-0-Aluminum Fall Protection 3m Gray</t>
  </si>
  <si>
    <t xml:space="preserve">RM-FUFIT-258</t>
  </si>
  <si>
    <t xml:space="preserve">อลูมิเนียม-จีน-0-แผงปิดขาตู้ครัว+ยางปิดขาตู้3.6ดำ</t>
  </si>
  <si>
    <t xml:space="preserve">Aluminum-China-0-Kitchen Cabinet Leg Cover + Cabinet Leg Cover 3.6 Black</t>
  </si>
  <si>
    <t xml:space="preserve">RM-FUFIT-259</t>
  </si>
  <si>
    <t xml:space="preserve">อลูมิเนียม-จีน-0-ตัวปิดมุม90องศา-สีดำ</t>
  </si>
  <si>
    <t xml:space="preserve">Aluminum-China-0-90 degree corner cover-black</t>
  </si>
  <si>
    <t xml:space="preserve">RM-FUFIT-260</t>
  </si>
  <si>
    <t xml:space="preserve">อลูมิเนียม-0-0-ตัวต่อ90องศา 3ม สีดำ</t>
  </si>
  <si>
    <t xml:space="preserve">Aluminum-0-0-90 degree connector 3m black</t>
  </si>
  <si>
    <t xml:space="preserve">RM-FUFIT-261</t>
  </si>
  <si>
    <t xml:space="preserve">อลูมิเนียม-จีน-0-ข้อต่อปรับ45องศา3ม สีดำ</t>
  </si>
  <si>
    <t xml:space="preserve">Aluminum-China-0-45 degree adjustable joint 3m black</t>
  </si>
  <si>
    <t xml:space="preserve">RM-FUFIT-262</t>
  </si>
  <si>
    <t xml:space="preserve">Rubber cover</t>
  </si>
  <si>
    <t xml:space="preserve">อลูมิเนียม-จีน-0-ยางปิดขาตู้3ม สี Rose gold</t>
  </si>
  <si>
    <t xml:space="preserve">Aluminum-China-0-rubber cover for cabinet legs 3m, rose gold color</t>
  </si>
  <si>
    <t xml:space="preserve">RM-FUFIT-263</t>
  </si>
  <si>
    <t xml:space="preserve">อลูมิเนียม-จีน-0-ตัวปิดมุม90องศา3ม สี Rose gold</t>
  </si>
  <si>
    <t xml:space="preserve">Aluminum-China-0-90 degree corner cover 3m Rose gold color</t>
  </si>
  <si>
    <t xml:space="preserve">RM-FUFIT-264</t>
  </si>
  <si>
    <t xml:space="preserve">อลูมิเนียม-จีน-0-ตัวต่อมุม90องศา3ม สี Rose gold</t>
  </si>
  <si>
    <t xml:space="preserve">Aluminum-China-0-90 degree Corner Connector 3m Rose gold</t>
  </si>
  <si>
    <t xml:space="preserve">RM-FUFIT-265</t>
  </si>
  <si>
    <t xml:space="preserve">อลูมิเนียม-จีน-0-ข้อต่อปรับ45องศา3ม สี Rose gold</t>
  </si>
  <si>
    <t xml:space="preserve">Aluminum-China-0-45 degree adjustable joint 3m Rose gold color</t>
  </si>
  <si>
    <t xml:space="preserve">RM-FUFIT-266</t>
  </si>
  <si>
    <t xml:space="preserve">อลูมิเนียม-จีน-0-แผงอลูมิเนียม+ยางปิดขาตู้3ม สีเทา</t>
  </si>
  <si>
    <t xml:space="preserve">Aluminum-China-0-Aluminum panel + rubber cover for cabinet legs 3 m gray</t>
  </si>
  <si>
    <t xml:space="preserve">RM-FUFIT-267</t>
  </si>
  <si>
    <t xml:space="preserve">อลูมิเนียม-จีน-0-ตัวปิดมุม90องศา3ม สีเทา</t>
  </si>
  <si>
    <t xml:space="preserve">Aluminum-China-0-90 degree corner cover 3m gray</t>
  </si>
  <si>
    <t xml:space="preserve">RM-FUFIT-268</t>
  </si>
  <si>
    <t xml:space="preserve">อลูมิเนียม-จีน-0-ตัวต่อมุม90องศา3ม สีเทา</t>
  </si>
  <si>
    <t xml:space="preserve">Aluminum-China-0-90 Degree Corner Connector 3m Gray</t>
  </si>
  <si>
    <t xml:space="preserve">RM-FUFIT-269</t>
  </si>
  <si>
    <t xml:space="preserve">อลูมิเนียม-จีน-0-ตัวต่อปรับ45องศา3ม สีเทา</t>
  </si>
  <si>
    <t xml:space="preserve">Aluminum-China-0-Adjustable Adapter 45° 3m Gray</t>
  </si>
  <si>
    <t xml:space="preserve">RM-FUFIT-270</t>
  </si>
  <si>
    <t xml:space="preserve">อลูมิเนียม-จีน-0-แผง+ยางรองแผ่นปิดขาตู้3ม.RG</t>
  </si>
  <si>
    <t xml:space="preserve">Aluminum-China-0-Panel+Rubber, cover, legs, cabinet 3 m.RG</t>
  </si>
  <si>
    <t xml:space="preserve">RM-FUFIT-271</t>
  </si>
  <si>
    <t xml:space="preserve">อลูมิเนียม-จีน-0-มือจับตัว C 3ม สี Rose gold</t>
  </si>
  <si>
    <t xml:space="preserve">Aluminum-China-0-Handle C body 3m Rose gold color</t>
  </si>
  <si>
    <t xml:space="preserve">RM-FUFIT-272</t>
  </si>
  <si>
    <t xml:space="preserve">อลูมิเนียม-จีน-0-มือจับตัว L 3ม สี Rose gold</t>
  </si>
  <si>
    <t xml:space="preserve">Aluminum-China-0-Handle L shape 3m Rose gold color</t>
  </si>
  <si>
    <t xml:space="preserve">RM-FUFIT-273</t>
  </si>
  <si>
    <t xml:space="preserve">อลูมิเนียม-จีน-0-มือจับตัว T 2.78ม สี Gold</t>
  </si>
  <si>
    <t xml:space="preserve">Aluminum-China-0-Handle T-Handle 2.78m Gold Color</t>
  </si>
  <si>
    <t xml:space="preserve">RM-FUFIT-274</t>
  </si>
  <si>
    <t xml:space="preserve">อลูมิเนียม-จีน-0-ตัวค้ำกระจก 3ม สี Gold</t>
  </si>
  <si>
    <t xml:space="preserve">Aluminum-China-0-Glass Support 3m Gold Color</t>
  </si>
  <si>
    <t xml:space="preserve">RM-FUFIT-275</t>
  </si>
  <si>
    <t xml:space="preserve">อลูมิเนียม-จีน-0-แผ่นชั้นซ่อนไฟได้ 3ม สี Gold</t>
  </si>
  <si>
    <t xml:space="preserve">Aluminum-China-0-Flexible shelf 3m, gold color</t>
  </si>
  <si>
    <t xml:space="preserve">RM-FUFIT-276</t>
  </si>
  <si>
    <t xml:space="preserve">อลูมิเนียม-จีน-0-กันตกชั้นรองเท้า 3ม สี Gold</t>
  </si>
  <si>
    <t xml:space="preserve">Aluminum-China-0-Floor Protection 3m Gold Color</t>
  </si>
  <si>
    <t xml:space="preserve">RM-FUFIT-277</t>
  </si>
  <si>
    <t xml:space="preserve">อลูมิเนียม-จีน-0-3ม สี Gold</t>
  </si>
  <si>
    <t xml:space="preserve">Aluminum-China-0-3m Gold Color</t>
  </si>
  <si>
    <t xml:space="preserve">RM-FUFIT-279</t>
  </si>
  <si>
    <t xml:space="preserve">อลูมิเนียม-จีน-0-เส้นต่อเป็นราวพาดกางเกง3ม สีเทา</t>
  </si>
  <si>
    <t xml:space="preserve">Aluminum-China-0-Line is connected as a trouser rail 3 m. Gray</t>
  </si>
  <si>
    <t xml:space="preserve">RM-FUFIT-280</t>
  </si>
  <si>
    <t xml:space="preserve">อลูมิเนียม-จีน-0-เส้นต่อเป็นราวพาดกางเกงแบบใส่ไฟได</t>
  </si>
  <si>
    <t xml:space="preserve">Aluminum-China-0-Line is connected as a light-up trouser rail.</t>
  </si>
  <si>
    <t xml:space="preserve">RM-FUFIT-281</t>
  </si>
  <si>
    <t xml:space="preserve">พุกไม้ 8*35 mm (5000 ตัว/ถุง)</t>
  </si>
  <si>
    <t xml:space="preserve">Wood Plug 8*35 mm (5000 pieces/bag)</t>
  </si>
  <si>
    <t xml:space="preserve">RM-FUFIT-285</t>
  </si>
  <si>
    <t xml:space="preserve">โครงตู้-0-1AL46300PG3-โปรไฟล์อลูครัวแอล สีพิงค์โกล</t>
  </si>
  <si>
    <t xml:space="preserve">Cabinet frame-0-1AL46300PG3-Aluminum profile, pink gold color</t>
  </si>
  <si>
    <t xml:space="preserve">RM-FUFIT-287</t>
  </si>
  <si>
    <t xml:space="preserve">ถาดวางช้อน-Hettich-7VS 7549 PR-ชุดตู้มุม ถาด 900mm</t>
  </si>
  <si>
    <t xml:space="preserve">Spoon tray-Hettich-7VS 7549 PR-corner cabinet set 900mm tray</t>
  </si>
  <si>
    <t xml:space="preserve">RM-FUFIT-288</t>
  </si>
  <si>
    <t xml:space="preserve">ไฟ-Haf-833.74.337-LED2062 12V/4.8W/M 30K/CRI90</t>
  </si>
  <si>
    <t xml:space="preserve">833.74.337 LED2062 12V/4.8W/M 30K/CRI90/5M</t>
  </si>
  <si>
    <t xml:space="preserve">RM-FUFIT-289</t>
  </si>
  <si>
    <t xml:space="preserve">ไฟ-Haf-833.74.338-LED2062 12V/4.8W/M 40K/CRI90</t>
  </si>
  <si>
    <t xml:space="preserve">833.74.338 LED2062 12V/4.8W/M 40K/CRI90/5M</t>
  </si>
  <si>
    <t xml:space="preserve">RM-FUFIT-290</t>
  </si>
  <si>
    <t xml:space="preserve">ลิ้นชัก-Haf-432.20.930-รางลิ้นชัก B RUNNER S</t>
  </si>
  <si>
    <t xml:space="preserve">Drawer-Haf-432.20.930-drawer runner B RUNNER S</t>
  </si>
  <si>
    <t xml:space="preserve">RM-FUFIT-291</t>
  </si>
  <si>
    <t xml:space="preserve">โครงตู้-FTT-PA0003 BL-ตะปูตอกขาโต๊ะ</t>
  </si>
  <si>
    <t xml:space="preserve">Cabinet Frame-FTT-PA0003 BL-nail nailed table legs</t>
  </si>
  <si>
    <t xml:space="preserve">RM-FUFIT-292</t>
  </si>
  <si>
    <t xml:space="preserve">โครงตู้-FTT-5501.1-แผ่นปิดขาตู้ครัวสีซิลเวอร์10x4</t>
  </si>
  <si>
    <t xml:space="preserve">Cabinet Frame-FTT-5501.1-Kitchen Cabinet Leg Cover Silver 10x4</t>
  </si>
  <si>
    <t xml:space="preserve">RM-FUFIT-293</t>
  </si>
  <si>
    <t xml:space="preserve">อลูมิเนียม-Hettich-1AL2030300BL-มือจับอลูมิเนียม</t>
  </si>
  <si>
    <t xml:space="preserve">Aluminum-Hettich-1AL2030300BL-Aluminum handle</t>
  </si>
  <si>
    <t xml:space="preserve">RM-FUFIT-294</t>
  </si>
  <si>
    <t xml:space="preserve">ตะแกรง-Haf-522.44.261-ตะแกรงคว่ำจานติดผนัง620mm</t>
  </si>
  <si>
    <t xml:space="preserve">522.44.261 PLATE&amp;FLAT RACK W.HOOK620MM</t>
  </si>
  <si>
    <t xml:space="preserve">RM-FUFIT-295</t>
  </si>
  <si>
    <t xml:space="preserve">ตะแกรง-Haf-521.50.214-ราวแขวน 16/1200 mm.</t>
  </si>
  <si>
    <t xml:space="preserve">521.50.214 RAILING SET CHR.POL. 16/1200MM</t>
  </si>
  <si>
    <t xml:space="preserve">RM-FUFIT-296</t>
  </si>
  <si>
    <t xml:space="preserve">โครงตู้-0-0-สกรูเกลียวปล่อยหัวเตเปอร์แฉกสกรู #8*11</t>
  </si>
  <si>
    <t xml:space="preserve">Cabinet frame-0-0-Taper head self-tapping screw #8*11</t>
  </si>
  <si>
    <t xml:space="preserve">RM-FUFIT-297</t>
  </si>
  <si>
    <t xml:space="preserve">โครงตู้-จีน-0-ยางรองขาตู้</t>
  </si>
  <si>
    <t xml:space="preserve">Cabinet frame-China-0-Rubber leg support</t>
  </si>
  <si>
    <t xml:space="preserve">RM-FUFIT-298</t>
  </si>
  <si>
    <t xml:space="preserve">ตะแกรง-Hettich-7VS 7549 PR-ชุดตู้มุม150</t>
  </si>
  <si>
    <t xml:space="preserve">Grille-Hettich-7VS 7549 PR-corner set 150</t>
  </si>
  <si>
    <t xml:space="preserve">RM-FUFIT-300</t>
  </si>
  <si>
    <t xml:space="preserve">โครงตู้-FTT-5502.1-ตัวต่อเข้ามุม 90 องศา</t>
  </si>
  <si>
    <t xml:space="preserve">Cabinet frame-FTT-5502.1-90 degree corner connector</t>
  </si>
  <si>
    <t xml:space="preserve">RM-FUFIT-301</t>
  </si>
  <si>
    <t xml:space="preserve">ติดตั้ง-Hettich-7VS 90003643-ถังขยะแบบดึง 500มม</t>
  </si>
  <si>
    <t xml:space="preserve">Fitted-Hettich-7VS 90003643-500mm pull bin</t>
  </si>
  <si>
    <t xml:space="preserve">RM-FUFIT-302</t>
  </si>
  <si>
    <t xml:space="preserve">ตะแกรง-Hettich-7VS 90002894-ตะแกรงคว่ำจาน 900มม.</t>
  </si>
  <si>
    <t xml:space="preserve">Sieve-Hettich-7VS 90002894-Disher 900mm.</t>
  </si>
  <si>
    <t xml:space="preserve">RM-FUFIT-303</t>
  </si>
  <si>
    <t xml:space="preserve">ลิ้นชัก-Haf-433.10.445-รางลิ้นชักแบบซ่อน450mm.</t>
  </si>
  <si>
    <t xml:space="preserve">Drawer-Haf-433.10.445-hidden drawer slide 450mm.</t>
  </si>
  <si>
    <t xml:space="preserve">RM-FUFIT-304</t>
  </si>
  <si>
    <t xml:space="preserve">Logo</t>
  </si>
  <si>
    <t xml:space="preserve">โลโก้-0-0-LAVAREDO สีเงิน</t>
  </si>
  <si>
    <t xml:space="preserve">Logo-0-0-LAVAREDO Silver</t>
  </si>
  <si>
    <t xml:space="preserve">RM-FUFIT-307</t>
  </si>
  <si>
    <t xml:space="preserve">โครงตู้-SSW-เหล็กเส้น49.2cm-หนา5.3มิล+น๊อต1/4(4)</t>
  </si>
  <si>
    <t xml:space="preserve">Cabinet frame-SSW-Steel Line49.2 cm-thickness 5.3 mm + bolt 1/4 (4)</t>
  </si>
  <si>
    <t xml:space="preserve">AP-SSW000</t>
  </si>
  <si>
    <t xml:space="preserve">RM-FUFIT-308</t>
  </si>
  <si>
    <t xml:space="preserve">โครงตู้-Haf-489.41.006-ซีลประตูยาง EPDM รูปตัว</t>
  </si>
  <si>
    <t xml:space="preserve">489.41.006 E SHAPE WHITE 3M ADHEN 2X2.5M</t>
  </si>
  <si>
    <t xml:space="preserve">RM-FUFIT-309</t>
  </si>
  <si>
    <t xml:space="preserve">กล่อง-Haf-0-ใส่ตู้รองเท้า(ตู้ใหญ่) 2150*460*150</t>
  </si>
  <si>
    <t xml:space="preserve">Box-Haf-0-insert shoe cabinet (big cabinet) 2150*460*150</t>
  </si>
  <si>
    <t xml:space="preserve">RM-FUFIT-310</t>
  </si>
  <si>
    <t xml:space="preserve">กล่อง-Haf-0-ใส่รองเท้า1770*460*150 mm</t>
  </si>
  <si>
    <t xml:space="preserve">Box-Haf-0-shoe holder 1770*460*150 mm</t>
  </si>
  <si>
    <t xml:space="preserve">RM-FUFIT-311</t>
  </si>
  <si>
    <t xml:space="preserve">Layer box</t>
  </si>
  <si>
    <t xml:space="preserve">กล่อง-0-0-Layer box 840*700*90 mm 3 ชั้น</t>
  </si>
  <si>
    <t xml:space="preserve">Box-0-0-Layer box 840*700*90 mm 3 layers</t>
  </si>
  <si>
    <t xml:space="preserve">RM-FUFIT-312</t>
  </si>
  <si>
    <t xml:space="preserve">กล่อง-0-0-Layer box 1435*700*90 mm 3 ชั้น</t>
  </si>
  <si>
    <t xml:space="preserve">Box-0-0-Layer box 1435*700*90 mm 3 layers</t>
  </si>
  <si>
    <t xml:space="preserve">RM-FUFIT-313</t>
  </si>
  <si>
    <t xml:space="preserve">กล่อง-0-0-Layer box 1135*700*90 mm 3 ชั้น</t>
  </si>
  <si>
    <t xml:space="preserve">Box-0-0-Layer box 1135*700*90 mm 3 layers</t>
  </si>
  <si>
    <t xml:space="preserve">RM-FUFIT-314</t>
  </si>
  <si>
    <t xml:space="preserve">ติดตั้ง-0-506-สติ๊กเกอร์ปิดเกือกม้าสีขาว1แผ่น/54ดว</t>
  </si>
  <si>
    <t xml:space="preserve">INSTALL-0-506-White horseshoe cover sticker 1 sheet/54D</t>
  </si>
  <si>
    <t xml:space="preserve">RM-FUFIT-315</t>
  </si>
  <si>
    <t xml:space="preserve">ติดตั้ง-จีน-51-3สติ๊กเกอร์ปิดเกือกม้า สีGraphite</t>
  </si>
  <si>
    <t xml:space="preserve">Install-China-51-3 Horseshoe Cover Sticker Graphite Color</t>
  </si>
  <si>
    <t xml:space="preserve">RM-FUFIT-316</t>
  </si>
  <si>
    <t xml:space="preserve">ติดตั้ง-จีน-352-สติ๊กเกอร์ปิดเกือกม้า สีAsh</t>
  </si>
  <si>
    <t xml:space="preserve">Install-China-352-Horseshoe Cover Sticker Ash Color</t>
  </si>
  <si>
    <t xml:space="preserve">RM-FUFIT-317</t>
  </si>
  <si>
    <t xml:space="preserve">ติดตั้ง-จีน-524-สติ๊กเกอร์ปิดเกือกม้า สีTeak</t>
  </si>
  <si>
    <t xml:space="preserve">Install-China-524-Horseshoe Cover Sticker Teak Color</t>
  </si>
  <si>
    <t xml:space="preserve">RM-FUFIT-318</t>
  </si>
  <si>
    <t xml:space="preserve">ตะแกรง-จีน-0-ตะแกรงถังแก๊ส</t>
  </si>
  <si>
    <t xml:space="preserve">Grate-China-0-Gas tank grate</t>
  </si>
  <si>
    <t xml:space="preserve">RM-FUFIT-319</t>
  </si>
  <si>
    <t xml:space="preserve">ตะแกรง-จีน-0-ตะแกรงคว่ำจานตู้แขวน900</t>
  </si>
  <si>
    <t xml:space="preserve">Rack-China-0-Dishes rack, hanging cabinet 900</t>
  </si>
  <si>
    <t xml:space="preserve">RM-FUFIT-320</t>
  </si>
  <si>
    <t xml:space="preserve">ไฟ-Haf-833.89.300-รางไฟเฉียง</t>
  </si>
  <si>
    <t xml:space="preserve">833.89.300 DIFFUSER LINEAR LENS</t>
  </si>
  <si>
    <t xml:space="preserve">RM-FUFIT-321</t>
  </si>
  <si>
    <t xml:space="preserve">มือจับ-FTT-PB26 SS-ฉากแสตนเลส</t>
  </si>
  <si>
    <t xml:space="preserve">Handle-FITT-PB26 SS-stainless steel scene</t>
  </si>
  <si>
    <t xml:space="preserve">RM-FUFIT-322</t>
  </si>
  <si>
    <t xml:space="preserve">Wire storage</t>
  </si>
  <si>
    <t xml:space="preserve">ไฟ-FTT-CO 50 080-ช่องเก็บสายไฟ</t>
  </si>
  <si>
    <t xml:space="preserve">Fire-FTT-CO 50 080-Wire storage compartment</t>
  </si>
  <si>
    <t xml:space="preserve">RM-FUFIT-326</t>
  </si>
  <si>
    <t xml:space="preserve">Paper box</t>
  </si>
  <si>
    <t xml:space="preserve">กล่อง-SSP-เกรด KA125-กล่อง5ชั้น733x1346x73mm.</t>
  </si>
  <si>
    <t xml:space="preserve">Box-SSP-grade KA125-Box 5 layers 733x1346x73mm.</t>
  </si>
  <si>
    <t xml:space="preserve">AP-SSP000</t>
  </si>
  <si>
    <t xml:space="preserve">RM-FUFIT-327</t>
  </si>
  <si>
    <t xml:space="preserve">ตะแกรง-Hettich-7VS 4525 300S-ตู้สูงแบบเซฟไฟร์300mm</t>
  </si>
  <si>
    <t xml:space="preserve">Grille-Hettich-7VS 4525 300S-Safefire 300mm high cabinet</t>
  </si>
  <si>
    <t xml:space="preserve">RM-FUFIT-328</t>
  </si>
  <si>
    <t xml:space="preserve">มือจับ-FTT-1AL2030300BL-โปร์ไฟล์อลูมิเนียม</t>
  </si>
  <si>
    <t xml:space="preserve">Handle-FTT-1AL2030300BL-Aluminum Profile</t>
  </si>
  <si>
    <t xml:space="preserve">RM-FUFIT-329</t>
  </si>
  <si>
    <t xml:space="preserve">432.20.932 รางรับข้างปิดนุ่มนวลรับ นน. 30กก. 350มม</t>
  </si>
  <si>
    <t xml:space="preserve">432.20.932 B-RUNNER S 30F+D GALV.350MM</t>
  </si>
  <si>
    <t xml:space="preserve">RM-FUFIT-330</t>
  </si>
  <si>
    <t xml:space="preserve">ลิ้นชัก-FTT-1C2 9221508-รางลิ้นชักลูกปืน 400</t>
  </si>
  <si>
    <t xml:space="preserve">Drawer-FTT-1C2 9221508-Bearing drawer slide 400</t>
  </si>
  <si>
    <t xml:space="preserve">RM-FUFIT-331</t>
  </si>
  <si>
    <t xml:space="preserve">โครงตู้-FTT-748.013.100-ขาตู้</t>
  </si>
  <si>
    <t xml:space="preserve">Cabinet frame-FTT-748.013.100-cabinet legs</t>
  </si>
  <si>
    <t xml:space="preserve">RM-FUFIT-332</t>
  </si>
  <si>
    <t xml:space="preserve">ตะแกรง-Haf-545.93.431-ตะแกรงตู้สูง</t>
  </si>
  <si>
    <t xml:space="preserve">545.93.431 TANDEM PTY 450X1700MM ST. ANT.</t>
  </si>
  <si>
    <t xml:space="preserve">RM-FUFIT-333</t>
  </si>
  <si>
    <t xml:space="preserve">Mirror</t>
  </si>
  <si>
    <t xml:space="preserve">ตะแกรง-Haf-499.98.202-กระจกห้องน้ำ LED 900X900</t>
  </si>
  <si>
    <t xml:space="preserve">499.98.202 LED BATHROOM MIRROR 900X900</t>
  </si>
  <si>
    <t xml:space="preserve">RM-FUFIT-334</t>
  </si>
  <si>
    <t xml:space="preserve">ตะแกรง-Haf-807.95.103-ถาดเก็บเครื่องประดับ</t>
  </si>
  <si>
    <t xml:space="preserve">807.95.103 JEWEL BOX MOCCA 800MM.</t>
  </si>
  <si>
    <t xml:space="preserve">RM-FUFIT-335</t>
  </si>
  <si>
    <t xml:space="preserve">ตะแกรง-FTT-5KY03-ถังขยะบานเปิดสีขาว</t>
  </si>
  <si>
    <t xml:space="preserve">Grid-FTT-5KY03-Rubbish Bin with Doors White</t>
  </si>
  <si>
    <t xml:space="preserve">RM-FUFIT-336</t>
  </si>
  <si>
    <t xml:space="preserve">โครงตู้-Haf-940.81.007-Telescopic 80/2HAWA</t>
  </si>
  <si>
    <t xml:space="preserve">940.81.007 TELESCOPIC 80/2 DW=500-1200MM</t>
  </si>
  <si>
    <t xml:space="preserve">RM-FUFIT-337</t>
  </si>
  <si>
    <t xml:space="preserve">มือจับ-Haf-152.52.000-FLush handle</t>
  </si>
  <si>
    <t xml:space="preserve">152.52.000 FLUSH HANDLE STST.MATT 84X23MM</t>
  </si>
  <si>
    <t xml:space="preserve">RM-FUFIT-338</t>
  </si>
  <si>
    <t xml:space="preserve">โครงตู้-Haf-232.38.920-Rim lock</t>
  </si>
  <si>
    <t xml:space="preserve">232.38.920 RIM LOCK ZN.AL. D18XL22</t>
  </si>
  <si>
    <t xml:space="preserve">RM-FUFIT-339</t>
  </si>
  <si>
    <t xml:space="preserve">มือจับ-Haf-481.21.937-มือจับอลูมิเนียม</t>
  </si>
  <si>
    <t xml:space="preserve">481.21.937 PROF.GRIP ALU.COPPER 3000 MM</t>
  </si>
  <si>
    <t xml:space="preserve">RM-FUFIT-340</t>
  </si>
  <si>
    <t xml:space="preserve">มือจับ-Pun-031 35 OF-มือจับกลมสีทอง</t>
  </si>
  <si>
    <t xml:space="preserve">Handle-Pun-031 35 OF-Gold Round Handle</t>
  </si>
  <si>
    <t xml:space="preserve">AP-PUN000</t>
  </si>
  <si>
    <t xml:space="preserve">RM-FUFIT-341</t>
  </si>
  <si>
    <t xml:space="preserve">Downlight housing</t>
  </si>
  <si>
    <t xml:space="preserve">ไฟ-Haf-833.72.302-โคมดาวไลท์หน้ากลม</t>
  </si>
  <si>
    <t xml:space="preserve">833.72.302 LED2047 12V/3.0W 50K/CRI90/CHRPOL./2M</t>
  </si>
  <si>
    <t xml:space="preserve">RM-FUFIT-342</t>
  </si>
  <si>
    <t xml:space="preserve">ตะแกรง-Hettich-1C5.13307-ถาดวางช้อน800mm</t>
  </si>
  <si>
    <t xml:space="preserve">Sieve-Hettich-1C5.13307-spoon tray 800mm</t>
  </si>
  <si>
    <t xml:space="preserve">RM-FUFIT-343</t>
  </si>
  <si>
    <t xml:space="preserve">ตะแกรง-Haf-549.24.620-ตะแกรงบานดึง150mm.</t>
  </si>
  <si>
    <t xml:space="preserve">549.24.620 BASE U.P-OUT2-TIER STYLE ANT.</t>
  </si>
  <si>
    <t xml:space="preserve">RM-FUFIT-344</t>
  </si>
  <si>
    <t xml:space="preserve">ตะแกรง-Haf-549.25.982-ตะแกรงบานดึง300mm.</t>
  </si>
  <si>
    <t xml:space="preserve">549.25.982 COOKINGAGENT FRONT SIL. ANTHRACITE</t>
  </si>
  <si>
    <t xml:space="preserve">RM-FUFIT-345</t>
  </si>
  <si>
    <t xml:space="preserve">ติดตั้ง-Haf-570.26.320-ซิงค์ล้างจาน</t>
  </si>
  <si>
    <t xml:space="preserve">570.26.320 SUBLINE 700-U ANTHRACITE INFIN</t>
  </si>
  <si>
    <t xml:space="preserve">RM-FUFIT-346</t>
  </si>
  <si>
    <t xml:space="preserve">ติดตั้ง-Haf-566.11.241-ก๊อกน้ำ</t>
  </si>
  <si>
    <t xml:space="preserve">566.11.241 SINK TAP SPOUT H281 MM BR BLM</t>
  </si>
  <si>
    <t xml:space="preserve">RM-FUFIT-347</t>
  </si>
  <si>
    <t xml:space="preserve">Slip Mat</t>
  </si>
  <si>
    <t xml:space="preserve">ติดตั้ง-บูลอินเตอร์-กราไฟท์-แผ่นกันลื่นสีเทาเข้ม</t>
  </si>
  <si>
    <t xml:space="preserve">Install-Blue Inter-Graphite-Anti-Slip Mat Dark Gray</t>
  </si>
  <si>
    <t xml:space="preserve">RM-FUFIT-348</t>
  </si>
  <si>
    <t xml:space="preserve">ตะแกรง-Haf-545.55.961-DISPENSA JUNIOR III 300</t>
  </si>
  <si>
    <t xml:space="preserve">545.55.961 DISPENSA JUNIOR III 300 MM UBOX</t>
  </si>
  <si>
    <t xml:space="preserve">RM-FUFIT-349</t>
  </si>
  <si>
    <t xml:space="preserve">ตะแกรง-Haf-546.51.431-ตะแกรงตู้สูงDISPENSA 300/180</t>
  </si>
  <si>
    <t xml:space="preserve">546.51.431 DISPENSA 300/1800-2200ST.ANT.</t>
  </si>
  <si>
    <t xml:space="preserve">RM-FUFIT-350</t>
  </si>
  <si>
    <t xml:space="preserve">ตะแกรง-Haf-545.94.632-ตะแกรงตู้สูงบานสวิง500*1700</t>
  </si>
  <si>
    <t xml:space="preserve">545.94.632 TANDEM PTY 500X1700MM STYLE</t>
  </si>
  <si>
    <t xml:space="preserve">RM-FUFIT-351</t>
  </si>
  <si>
    <t xml:space="preserve">ตะแกรง-Haf-545.93.433-ตะแกรงตู้สูงบานสวิง500*1700</t>
  </si>
  <si>
    <t xml:space="preserve">545.93.433 TANDEM PTY 500X1700MM ST. ANT.</t>
  </si>
  <si>
    <t xml:space="preserve">RM-FUFIT-352</t>
  </si>
  <si>
    <t xml:space="preserve">ตะแกรง-Haf-549.03.244  -ตะแกรงยึดหน้าบาน600</t>
  </si>
  <si>
    <t xml:space="preserve">549.03.204 FRONT P-OUT BASKET ST.CHR 600MM</t>
  </si>
  <si>
    <t xml:space="preserve">RM-FUFIT-353</t>
  </si>
  <si>
    <t xml:space="preserve">ตะแกรง-Haf-504.68.623-ตะแกรงชุดiMoveแบบชั้นคู่ตู้6</t>
  </si>
  <si>
    <t xml:space="preserve">504.68.623 IMOVE ST. WHITE DOUBLE 600 MM</t>
  </si>
  <si>
    <t xml:space="preserve">RM-FUFIT-354</t>
  </si>
  <si>
    <t xml:space="preserve">ตะแกรง-Haf-504.68.323-ตะแกรงชุดiMoveแบบชั้นคู่ตู้6</t>
  </si>
  <si>
    <t xml:space="preserve">504.68.323 IMOVE ST.ANT. DOUBLE 600MM</t>
  </si>
  <si>
    <t xml:space="preserve">RM-FUFIT-355</t>
  </si>
  <si>
    <t xml:space="preserve">549.03.245 ตะแกรงคว่ำหม้อ ยึดหน้าบาน 800มม.</t>
  </si>
  <si>
    <t xml:space="preserve">549.03.245 FRONT P-OUT BAS 18" ST.CH 800MM</t>
  </si>
  <si>
    <t xml:space="preserve">RM-FUFIT-356</t>
  </si>
  <si>
    <t xml:space="preserve">ตะแกรง-Haf-549.03.156-ตะแกรงคว่ำจาน 900</t>
  </si>
  <si>
    <t xml:space="preserve">549.03.156 FRONT PULL-OUT DISH BAS.STST900MM</t>
  </si>
  <si>
    <t xml:space="preserve">RM-FUFIT-357</t>
  </si>
  <si>
    <t xml:space="preserve">บานยก-Haf-372.91.371-บานยกFREE FLAP 1.7 107 B</t>
  </si>
  <si>
    <t xml:space="preserve">372.91.371 FLF FREE FLAP 1.7 107 B ANTHRACITE</t>
  </si>
  <si>
    <t xml:space="preserve">RM-FUFIT-358</t>
  </si>
  <si>
    <t xml:space="preserve">บานยก-Haf-372.37.314- บานยกFREE FOLD G4 ANTHRA 710</t>
  </si>
  <si>
    <t xml:space="preserve">372.37.314 FREE FOLD G4 ANTHRA 710-790/5.2-10.3</t>
  </si>
  <si>
    <t xml:space="preserve">RM-FUFIT-359</t>
  </si>
  <si>
    <t xml:space="preserve">บานยก-Haf-372.37.315-บานยกFREE FOLD G5 ANTHRA</t>
  </si>
  <si>
    <t xml:space="preserve">372.37.315 FREE FOLD G5 ANTHRA 710-790/8.7-17.2</t>
  </si>
  <si>
    <t xml:space="preserve">RM-FUFIT-360</t>
  </si>
  <si>
    <t xml:space="preserve">บานยก-Haf-372.37.753-บานยกFREE FOLD WH.710 790/5.2</t>
  </si>
  <si>
    <t xml:space="preserve">372.37.753 FREE FOLD WH.710-790/5.2-10.3</t>
  </si>
  <si>
    <t xml:space="preserve">RM-FUFIT-361</t>
  </si>
  <si>
    <t xml:space="preserve">บานยก-Haf-372.37.794-บานยกFREE FOLD WH.960 1010/6.</t>
  </si>
  <si>
    <t xml:space="preserve">372.37.794 FREE FOLD WH.960-1010/6.5-12.8</t>
  </si>
  <si>
    <t xml:space="preserve">RM-FUFIT-362</t>
  </si>
  <si>
    <t xml:space="preserve">บานยก-Haf-372.37.323-บานยกFREEFOLD K5 ANTHRA 960 1</t>
  </si>
  <si>
    <t xml:space="preserve">372.37.323 FREEFOLD K5 ANTHRA 960-1010/6.5-12.8</t>
  </si>
  <si>
    <t xml:space="preserve">RM-FUFIT-363</t>
  </si>
  <si>
    <t xml:space="preserve">บานยก-Haf-372.33.313+372.33.696-บานสวิง+แกนขวาง</t>
  </si>
  <si>
    <t xml:space="preserve">372.33.313+372.33.696 Swing door + cross axis</t>
  </si>
  <si>
    <t xml:space="preserve">RM-FUFIT-364</t>
  </si>
  <si>
    <t xml:space="preserve">บานยก-Haf-372.33.312+372.33.692-FREE UP R2+แกนขวาง</t>
  </si>
  <si>
    <t xml:space="preserve">372.33.312+372.33.692 FREE UP R2 + cross axis</t>
  </si>
  <si>
    <t xml:space="preserve">RM-FUFIT-365</t>
  </si>
  <si>
    <t xml:space="preserve">ลิ้นชัก-Haf-552.49.316+552.53.495-ชุดลิ้นชัก+แกน</t>
  </si>
  <si>
    <t xml:space="preserve">552.49.316+552.53.495 Drawer + core set</t>
  </si>
  <si>
    <t xml:space="preserve">RM-FUFIT-366</t>
  </si>
  <si>
    <t xml:space="preserve">ลิ้นชัก-Haf-552.49.316,386,590,325,320-ชุดลิ้นชัก</t>
  </si>
  <si>
    <t xml:space="preserve">552.49.316,386,590,325,320 drawer set</t>
  </si>
  <si>
    <t xml:space="preserve">RM-FUFIT-367</t>
  </si>
  <si>
    <t xml:space="preserve">ตะแกรง-Haf-549.24.620-ตะแกรงแบบบาร์ สีแอนทราไซค์</t>
  </si>
  <si>
    <t xml:space="preserve">RM-FUFIT-368</t>
  </si>
  <si>
    <t xml:space="preserve">ตะแกรง-Hettich-7VS 6650 300S-ตะแกรงตู้สูง300</t>
  </si>
  <si>
    <t xml:space="preserve">Grille-Hettich-7VS 6650 300S-High cabinet grille 300</t>
  </si>
  <si>
    <t xml:space="preserve">RM-FUFIT-369</t>
  </si>
  <si>
    <t xml:space="preserve">ตะแกรง-Hettich-7VS 7672 300-ตะแกรง300</t>
  </si>
  <si>
    <t xml:space="preserve">Grille-Hettich-7VS 7672 300-Grill 300</t>
  </si>
  <si>
    <t xml:space="preserve">RM-FUFIT-370</t>
  </si>
  <si>
    <t xml:space="preserve">Folding steps</t>
  </si>
  <si>
    <t xml:space="preserve">ตะแกรง-Haf-505.04.310-บรรได</t>
  </si>
  <si>
    <t xml:space="preserve">505.04.310 FOLD.STEPSTOOL ST.ANTHRACITE</t>
  </si>
  <si>
    <t xml:space="preserve">RM-FUFIT-371</t>
  </si>
  <si>
    <t xml:space="preserve">ตะแกรง-FTT-5KY04 GR-ถังขยะสีเหลี่ยม สีเทา</t>
  </si>
  <si>
    <t xml:space="preserve">Grating-FTT-5KY04 GR-Square trash bin, gray</t>
  </si>
  <si>
    <t xml:space="preserve">RM-FUFIT-372</t>
  </si>
  <si>
    <t xml:space="preserve">ตะแกรง-Hettich-13304-ถาดวางช้อนปรับระดับได้ 450 mm</t>
  </si>
  <si>
    <t xml:space="preserve">Sieve-Hettich-13304-Adjustable spoon tray 450 mm</t>
  </si>
  <si>
    <t xml:space="preserve">RM-FUFIT-373</t>
  </si>
  <si>
    <t xml:space="preserve">ตะแกรง-Hettich-7VS 3693 600-ถังขยะ</t>
  </si>
  <si>
    <t xml:space="preserve">Sieve-Hettich-7VS 3693 600-Trash</t>
  </si>
  <si>
    <t xml:space="preserve">RM-FUFIT-374</t>
  </si>
  <si>
    <t xml:space="preserve">ตะแกรง-Hettich-7VS 7055 600-ตะแกรงตู้สูง600 planer</t>
  </si>
  <si>
    <t xml:space="preserve">Grille-Hettich-7VS 7055 600-High cabinet grill 600 planer</t>
  </si>
  <si>
    <t xml:space="preserve">RM-FUFIT-375</t>
  </si>
  <si>
    <t xml:space="preserve">ตะแกรง-Hettich-7VS 7055 600S-ตะแกรงตู้สูง600 saphi</t>
  </si>
  <si>
    <t xml:space="preserve">Grille-Hettich-7VS 7055 600S-High cabinet grill 600 saphi</t>
  </si>
  <si>
    <t xml:space="preserve">RM-FUFIT-376</t>
  </si>
  <si>
    <t xml:space="preserve">ตะแกรง-Hettich-13306-ถาดวางช้อนปรับระดับได้ 600 mm</t>
  </si>
  <si>
    <t xml:space="preserve">Sieve-Hettich-13306-Adjustable spoon tray 600 mm</t>
  </si>
  <si>
    <t xml:space="preserve">RM-FUFIT-377</t>
  </si>
  <si>
    <t xml:space="preserve">ตะแกรง-FTT-5KY02 SS 08L-ถังขยะ8ลิตร</t>
  </si>
  <si>
    <t xml:space="preserve">Grate-FTT-5KY02 SS 08L-8L waste bin</t>
  </si>
  <si>
    <t xml:space="preserve">RM-FUFIT-378</t>
  </si>
  <si>
    <t xml:space="preserve">ตะแกรง-Hettich-13307-ถาดวางช้อนปรับระดับได้ 800 mm</t>
  </si>
  <si>
    <t xml:space="preserve">Sieve-Hettich-13307-Adjustable spoon tray 800 mm</t>
  </si>
  <si>
    <t xml:space="preserve">RM-FUFIT-379</t>
  </si>
  <si>
    <t xml:space="preserve">ตะแกรง-Haf-548.24.101-ตะแกรงปรับระดับ 900</t>
  </si>
  <si>
    <t xml:space="preserve">548.24.101 2LAYERS REVO800MM BAS. STST.</t>
  </si>
  <si>
    <t xml:space="preserve">RM-FUFIT-380</t>
  </si>
  <si>
    <t xml:space="preserve">ตะแกรง-Hettich-7VS 7549 PR-ตะแกรงเข้ามุมฝั่งขวา</t>
  </si>
  <si>
    <t xml:space="preserve">Grille-Hettich-7VS 7549 PR-right corner grille</t>
  </si>
  <si>
    <t xml:space="preserve">RM-FUFIT-381</t>
  </si>
  <si>
    <t xml:space="preserve">ตะแกรง-Hettich-7VS 7549 PL-ตะแกรงเข้ามุมฝั่งซ้าย</t>
  </si>
  <si>
    <t xml:space="preserve">Grille-Hettich-7VS 7549 PL-left corner grille</t>
  </si>
  <si>
    <t xml:space="preserve">RM-FUFIT-382</t>
  </si>
  <si>
    <t xml:space="preserve">ตะแกรง-Hettich-13308-ถาดวางช้อนปรับระดับได้ 900 mm</t>
  </si>
  <si>
    <t xml:space="preserve">Sieve-Hettich-13308-Adjustable spoon tray 900 mm</t>
  </si>
  <si>
    <t xml:space="preserve">RM-FUFIT-383</t>
  </si>
  <si>
    <t xml:space="preserve">ตะแกรง-Haf-522.44.186+522.53.206+547.65.214-ตะแกรง</t>
  </si>
  <si>
    <t xml:space="preserve">522.44.186+522.53.206+547.65.214 grille</t>
  </si>
  <si>
    <t xml:space="preserve">RM-FUFIT-384</t>
  </si>
  <si>
    <t xml:space="preserve">อลูมิเนียม-จีน-0-แผ่นปิดขาตู้ครัวสีดำ 3 ม.ใส่ไฟได้</t>
  </si>
  <si>
    <t xml:space="preserve">Aluminum-China-0-Black kitchen cabinet leg cover 3 m.</t>
  </si>
  <si>
    <t xml:space="preserve">RM-FUFIT-385</t>
  </si>
  <si>
    <t xml:space="preserve">ตะแกรง-Haf-549.03.156-ตะแกรงคว่ำจาน900</t>
  </si>
  <si>
    <t xml:space="preserve">RM-FUFIT-386</t>
  </si>
  <si>
    <t xml:space="preserve">ตะแกรง-Haf-522.44.184+522.53.206-ชุดตะแกรงคว่ำจาน</t>
  </si>
  <si>
    <t xml:space="preserve">522.44.184+522.53.206 Dish drainer set</t>
  </si>
  <si>
    <t xml:space="preserve">RM-FUFIT-387</t>
  </si>
  <si>
    <t xml:space="preserve">ตะแกรง-Hettich-7VS 90006745-ตะแกรงเข้ามุมฝั่งขวา</t>
  </si>
  <si>
    <t xml:space="preserve">Grating-Hettich-7VS 90006745-Right corner grille</t>
  </si>
  <si>
    <t xml:space="preserve">RM-FUFIT-388</t>
  </si>
  <si>
    <t xml:space="preserve">ตะแกรง-Hettich-7VS 90006744-ตะแกรงเข้ามุมฝั่งซ้าย</t>
  </si>
  <si>
    <t xml:space="preserve">Grating-Hettich-7VS 90006744-Channel grille on the left side</t>
  </si>
  <si>
    <t xml:space="preserve">RM-FUFIT-389</t>
  </si>
  <si>
    <t xml:space="preserve">สติกเกอร์-BPK-ขนาดA4-สติกเกอร์แปะกล่อง#4824</t>
  </si>
  <si>
    <t xml:space="preserve">Sticker-BPK-A4 Size-Box Sticker #4824</t>
  </si>
  <si>
    <t xml:space="preserve">RM-FUFIT-390</t>
  </si>
  <si>
    <t xml:space="preserve">สติกเกอร์-BPK-ขนาด6*21cm.-สติกเกอร์แปะกล่อง#4824</t>
  </si>
  <si>
    <t xml:space="preserve">Sticker-BPK-Size 6*21cm.-Box Sticker #4824</t>
  </si>
  <si>
    <t xml:space="preserve">RM-FUFIT-391</t>
  </si>
  <si>
    <t xml:space="preserve">สติกเกอร์-BPK-ขนาดA4-สติกเกอร์แปะกล่อง#5628</t>
  </si>
  <si>
    <t xml:space="preserve">Sticker-BPK-A4 Size-Box Sticker #5628</t>
  </si>
  <si>
    <t xml:space="preserve">RM-FUFIT-392</t>
  </si>
  <si>
    <t xml:space="preserve">สติกเกอร์-BPK-ขนาด6*21cm.-สติกเกอร์แปะกล่อง#5628</t>
  </si>
  <si>
    <t xml:space="preserve">Sticker-BPK-Size 6*21cm.-Box Sticker #5628</t>
  </si>
  <si>
    <t xml:space="preserve">RM-FUFIT-393</t>
  </si>
  <si>
    <t xml:space="preserve">ถุง-PCP-HDPE Bag 35Mic-712*1423mm.</t>
  </si>
  <si>
    <t xml:space="preserve">Bag-PCP-HDPE Bag 35Mic-712*1423mm.</t>
  </si>
  <si>
    <t xml:space="preserve">RM-FUFIT-394</t>
  </si>
  <si>
    <t xml:space="preserve">อลูมิเนียม-จีน-0-ฝาปิดมือจับอลูมิเนียมเสียบLสีดำ</t>
  </si>
  <si>
    <t xml:space="preserve">Aluminum-China-0-Aluminum handle cover, L plug, black</t>
  </si>
  <si>
    <t xml:space="preserve">RM-FUFIT-395</t>
  </si>
  <si>
    <t xml:space="preserve">อลูมิเนียม-จีน-0-ตัวต่อแผ่นปิดขา สีดำ</t>
  </si>
  <si>
    <t xml:space="preserve">Aluminum-China-0-Connecting plate cover, black</t>
  </si>
  <si>
    <t xml:space="preserve">RM-FUFIT-396</t>
  </si>
  <si>
    <t xml:space="preserve">อลูมิเนียม-จีน-H220-มือจับ L ใส่ไฟได้</t>
  </si>
  <si>
    <t xml:space="preserve">Aluminum-China-H220-L handle with light</t>
  </si>
  <si>
    <t xml:space="preserve">RM-FUFIT-397</t>
  </si>
  <si>
    <t xml:space="preserve">อลูมิเนียม-จีน-H219-มือจับ C ใส่ไฟได้</t>
  </si>
  <si>
    <t xml:space="preserve">Aluminum-China-H219-C handle with light</t>
  </si>
  <si>
    <t xml:space="preserve">RM-FUFIT-398</t>
  </si>
  <si>
    <t xml:space="preserve">ไฟ-จีน-0-ไฟLEDสีเหลือง</t>
  </si>
  <si>
    <t xml:space="preserve">Lights-China-0-Yellow LED</t>
  </si>
  <si>
    <t xml:space="preserve">RM-FUFIT-399</t>
  </si>
  <si>
    <t xml:space="preserve">ไฟ-จีน-0-ไฟLED สีขาว</t>
  </si>
  <si>
    <t xml:space="preserve">Lights-China-0-White LED</t>
  </si>
  <si>
    <t xml:space="preserve">RM-FUFIT-400</t>
  </si>
  <si>
    <t xml:space="preserve">ไฟ-จีน-0-หม้อแปลง 60วัตต์</t>
  </si>
  <si>
    <t xml:space="preserve">Power-China-0-Transformer 60W</t>
  </si>
  <si>
    <t xml:space="preserve">RM-FUFIT-401</t>
  </si>
  <si>
    <t xml:space="preserve">ไฟ-จีน-0-สายไฟLEAD</t>
  </si>
  <si>
    <t xml:space="preserve">Lights-China-0-Wiring LEAD</t>
  </si>
  <si>
    <t xml:space="preserve">RM-FUFIT-402</t>
  </si>
  <si>
    <t xml:space="preserve">ไฟ-จีน-0-สวิตซ์ไฟ</t>
  </si>
  <si>
    <t xml:space="preserve">light-china-0-light switch</t>
  </si>
  <si>
    <t xml:space="preserve">RM-FUFIT-403</t>
  </si>
  <si>
    <t xml:space="preserve">อลูมิเนียม-จีน-0-เฟรมอลูมิเนียมกระจกใหญ่ สีดำ3ม.</t>
  </si>
  <si>
    <t xml:space="preserve">Aluminum-China-0-Aluminium frame, large glass, black 3 m.</t>
  </si>
  <si>
    <t xml:space="preserve">RM-FUFIT-404</t>
  </si>
  <si>
    <t xml:space="preserve">อลูมิเนียม-จีน-0-เหล็กฉากยึดเฟรมกระจก</t>
  </si>
  <si>
    <t xml:space="preserve">Aluminum-China-0-Steel Glass Frame Bracket</t>
  </si>
  <si>
    <t xml:space="preserve">RM-FUFIT-405</t>
  </si>
  <si>
    <t xml:space="preserve">อลูมิเนียม-จีน-0-มือจับ G ยาว 3ม.</t>
  </si>
  <si>
    <t xml:space="preserve">Aluminum-China-0-Handle G, length 3 m.</t>
  </si>
  <si>
    <t xml:space="preserve">RM-FUFIT-406</t>
  </si>
  <si>
    <t xml:space="preserve">อลูมิเนียม-จีน-0-ปิดข้างมือจับ G</t>
  </si>
  <si>
    <t xml:space="preserve">Aluminum-China-0-Close side handle G</t>
  </si>
  <si>
    <t xml:space="preserve">RM-FUFIT-407</t>
  </si>
  <si>
    <t xml:space="preserve">อลูมิเนียม-FTT-1AL63BL1-มือจับอลูเนียมสีดำเงา</t>
  </si>
  <si>
    <t xml:space="preserve">Aluminum-FTT-1AL63BL1-glossy black aluminum handle</t>
  </si>
  <si>
    <t xml:space="preserve">RM-FUFIT-408</t>
  </si>
  <si>
    <t xml:space="preserve">โครงตู้-FTT-M4x10มม.-สกรู</t>
  </si>
  <si>
    <t xml:space="preserve">Cabinet Frame-FTT-M4x10mm.-Screws</t>
  </si>
  <si>
    <t xml:space="preserve">RM-FUFIT-409</t>
  </si>
  <si>
    <t xml:space="preserve">Alusplash</t>
  </si>
  <si>
    <t xml:space="preserve">อลูมิเนียม-Haf-564.53.202-Alusplash Space Silver</t>
  </si>
  <si>
    <t xml:space="preserve">564.53.202 A.SPL.SIL BR SPACE SIL 3100X1500MM</t>
  </si>
  <si>
    <t xml:space="preserve">RM-FUFIT-410</t>
  </si>
  <si>
    <t xml:space="preserve">ตะแกรง-Haf-540.27.297-ตะแกรง600mm.</t>
  </si>
  <si>
    <t xml:space="preserve">540.27.297 INT.P-OUT CLAS.600MM W.SPACER</t>
  </si>
  <si>
    <t xml:space="preserve">RM-FUFIT-411</t>
  </si>
  <si>
    <t xml:space="preserve">ตะแกรง-Haf-540.27.295-ตะแกรง500mm.</t>
  </si>
  <si>
    <t xml:space="preserve">540.27.295 INT.P-OUT CLAS.500MM W.SPACER</t>
  </si>
  <si>
    <t xml:space="preserve">RM-FUFIT-412</t>
  </si>
  <si>
    <t xml:space="preserve">ตะแกรง-Haf-505.72.990-CARRIER</t>
  </si>
  <si>
    <t xml:space="preserve">505.72.990 CARRIER ST.ALUF 480X330X48MM</t>
  </si>
  <si>
    <t xml:space="preserve">RM-FUFIT-413</t>
  </si>
  <si>
    <t xml:space="preserve">ตะแกรง-Haf-549.03.254-ชุดตะแกรงคว่ำจานบานเปิด600mm</t>
  </si>
  <si>
    <t xml:space="preserve">549.03.254 PULL-OUT DISH BASKET STST600MM</t>
  </si>
  <si>
    <t xml:space="preserve">RM-FUFIT-414</t>
  </si>
  <si>
    <t xml:space="preserve">ตะแกรง-Haf-549.36.500-ราวแขวนกระทะ415mm.</t>
  </si>
  <si>
    <t xml:space="preserve">549.36.500 PAN HANGER ST.GR.75X520X110MM</t>
  </si>
  <si>
    <t xml:space="preserve">RM-FUFIT-415</t>
  </si>
  <si>
    <t xml:space="preserve">ตะแกรง-Haf-523.00.301-ชุดรางโปรไฟล์สำหรับแขวนครัว</t>
  </si>
  <si>
    <t xml:space="preserve">523.00.301 KITCHEN RAIL BLACK 800X16X50MM</t>
  </si>
  <si>
    <t xml:space="preserve">RM-FUFIT-416</t>
  </si>
  <si>
    <t xml:space="preserve">โครงตู้-0-0-สกรูเกลียวปล่อยหัวเตเปอร์แฉกสกรู #8*2</t>
  </si>
  <si>
    <t xml:space="preserve">Cabinet frame-0-0-Taper head self-tapping screw #8*2</t>
  </si>
  <si>
    <t xml:space="preserve">RM-FUFIT-417</t>
  </si>
  <si>
    <t xml:space="preserve">ตะแกรง-Haf-523.00.350-ชั้นวางฝาปิดภาชนะ</t>
  </si>
  <si>
    <t xml:space="preserve">523.00.350 LIDS HOLDER BLACK 305X72X375MM</t>
  </si>
  <si>
    <t xml:space="preserve">RM-FUFIT-418</t>
  </si>
  <si>
    <t xml:space="preserve">ตะแกรง-Haf-544.05.241-ที่แขวนแก้วไวน์</t>
  </si>
  <si>
    <t xml:space="preserve">544.05.241 QUAD WINE GLASS HOLD. CHR.POL.</t>
  </si>
  <si>
    <t xml:space="preserve">RM-FUFIT-419</t>
  </si>
  <si>
    <t xml:space="preserve">ตะแกรง-Haf-549.03.256-ชุดตะแกรงคว่ำจานบานเปิด900mm</t>
  </si>
  <si>
    <t xml:space="preserve">549.03.256 PULL-OUT DISH BASKET STST900MM</t>
  </si>
  <si>
    <t xml:space="preserve">RM-FUFIT-420</t>
  </si>
  <si>
    <t xml:space="preserve">ตะแกรง-Haf-552.35.362-Drawer slim Wall 80*350</t>
  </si>
  <si>
    <t xml:space="preserve">552.35.362 SLIM WALL SET DARK GREY. SOFT CLOSE 80X350MM</t>
  </si>
  <si>
    <t xml:space="preserve">RM-FUFIT-421</t>
  </si>
  <si>
    <t xml:space="preserve">ตะแกรง-Haf-504.68.315-ชุดตู้ติดผนังระบบดึงลง300mm.</t>
  </si>
  <si>
    <t xml:space="preserve">504.68.315 IMOVE ST.ANT. SINGLE 900MM</t>
  </si>
  <si>
    <t xml:space="preserve">RM-FUFIT-422</t>
  </si>
  <si>
    <t xml:space="preserve">ตะแกรง-Haf-549.34.053-ชุดอเนกประสงค์บางดึง300mm.</t>
  </si>
  <si>
    <t xml:space="preserve">549.34.053 MUL.FUNCTION BAS.300MM STST.</t>
  </si>
  <si>
    <t xml:space="preserve">RM-FUFIT-423</t>
  </si>
  <si>
    <t xml:space="preserve">ตะแกรง-Haf-548.93.113-ตะแกรงตู้สู้300mm.</t>
  </si>
  <si>
    <t xml:space="preserve">548.93.113 P-OUT PANTRY300/1790-2085 STST.</t>
  </si>
  <si>
    <t xml:space="preserve">RM-FUFIT-424</t>
  </si>
  <si>
    <t xml:space="preserve">ตะแกรง-Haf-549.24.333-ตะแกรงแขวนผ้า 150mm.</t>
  </si>
  <si>
    <t xml:space="preserve">549.24.333 BASE UNIT TOWEL RAIL STYLE 3DX</t>
  </si>
  <si>
    <t xml:space="preserve">RM-FUFIT-425</t>
  </si>
  <si>
    <t xml:space="preserve">มือจับ-Haf-116.22.343-มือจับสีดำแมท</t>
  </si>
  <si>
    <t xml:space="preserve">116.22.343 HANDLE BLACK MATT 136X27X10MM.</t>
  </si>
  <si>
    <t xml:space="preserve">RM-FUFIT-426</t>
  </si>
  <si>
    <t xml:space="preserve">ตะแกรง-Haf-545.93.435-ชุดตู้สูงสวิงบางเปิด600mm.</t>
  </si>
  <si>
    <t xml:space="preserve">545.93.435 TANDEM PTY 600X1700MM ST. ANT.</t>
  </si>
  <si>
    <t xml:space="preserve">RM-FUFIT-427</t>
  </si>
  <si>
    <t xml:space="preserve">545.13.951 ชุดใส่อุปกรณ์อาหารแบบดึง สีขาว 300มม.</t>
  </si>
  <si>
    <t xml:space="preserve">545.13.951 PULL-OUT COOKING AGENT ST.SILV</t>
  </si>
  <si>
    <t xml:space="preserve">RM-FUFIT-428</t>
  </si>
  <si>
    <t xml:space="preserve">โครงตู้-Haf-940.40.070-ไกด์ล่างชนิดเหล็กฉาก</t>
  </si>
  <si>
    <t xml:space="preserve">940.40.070 FLOOR GUIDE CONFORT 120</t>
  </si>
  <si>
    <t xml:space="preserve">RM-FUFIT-429</t>
  </si>
  <si>
    <t xml:space="preserve">มือจับ-Haf-152.52.051-มือจับประตูแบบฝัง</t>
  </si>
  <si>
    <t xml:space="preserve">152.52.051 FLUSH HANDLE ST.ST.MATT 140/45MM</t>
  </si>
  <si>
    <t xml:space="preserve">RM-FUFIT-430</t>
  </si>
  <si>
    <t xml:space="preserve">โครงตู้-จีน-0-ยางกันน้ำปิดแผ่นปิดขาตู้3.8*3.2เมตร</t>
  </si>
  <si>
    <t xml:space="preserve">Cabinet frame-China-0-Waterproof rubber cover the legs of the cabinet 3.8*3.2 m.</t>
  </si>
  <si>
    <t xml:space="preserve">RM-FUFIT-431</t>
  </si>
  <si>
    <t xml:space="preserve">อลูมิเนียม-Haf-589.22.600-ก๊อกผสมอ่างล้างหน้า</t>
  </si>
  <si>
    <t xml:space="preserve">Aluminum-Haf-589.22.600-Basin Mixer Faucet</t>
  </si>
  <si>
    <t xml:space="preserve">RM-FUFIT-432</t>
  </si>
  <si>
    <t xml:space="preserve">บานยก-Haf-372.91.321-บานยกฝาปิดครอบสีเทา</t>
  </si>
  <si>
    <t xml:space="preserve">372.91.321 FLF FREE FLAP1.7 B ALU GREY</t>
  </si>
  <si>
    <t xml:space="preserve">RM-FUFIT-433</t>
  </si>
  <si>
    <t xml:space="preserve">ไฟ-Haf-833.74.812-รางไฟเข้ามุมอลูมิเนียม</t>
  </si>
  <si>
    <t xml:space="preserve">833.74.812 SURFACE PROFILE CORNER MILKY 2500MM</t>
  </si>
  <si>
    <t xml:space="preserve">RM-FUFIT-434</t>
  </si>
  <si>
    <t xml:space="preserve">ไฟ-Haf-833.74.822-ตัวปิดรางไฟเข้ามุม</t>
  </si>
  <si>
    <t xml:space="preserve">833.74.822 END CAP FOR PRO 833.74.812</t>
  </si>
  <si>
    <t xml:space="preserve">RM-FUFIT-435</t>
  </si>
  <si>
    <t xml:space="preserve">มือจับ-Haf-155.00.230-HANDLE ZI.ALUCOL. 174X46MM</t>
  </si>
  <si>
    <t xml:space="preserve">155.00.230 HANDLE ZI.ALUCOL. 174X46MM</t>
  </si>
  <si>
    <t xml:space="preserve">RM-FUFIT-436</t>
  </si>
  <si>
    <t xml:space="preserve">ลิ้นชัก-Haf-504.68.623-ชุดตู้ติดผนังระบบดึงลง</t>
  </si>
  <si>
    <t xml:space="preserve">RM-FUFIT-437</t>
  </si>
  <si>
    <t xml:space="preserve">ลิ้นชัก-Haf-549.24.320-ชุดตู้เตี้ยดึงบานเปิด</t>
  </si>
  <si>
    <t xml:space="preserve">549.24.320 BASE UNIT P-OUT 2-TIER STYLE 3DX</t>
  </si>
  <si>
    <t xml:space="preserve">RM-FUFIT-438</t>
  </si>
  <si>
    <t xml:space="preserve">โครงตู้-Hettich-7VS 7432 RL-ชุดตู้เข้ามุม</t>
  </si>
  <si>
    <t xml:space="preserve">Frame-Hettich-7VS 7432 RL-Corner Cabinet Set</t>
  </si>
  <si>
    <t xml:space="preserve">RM-FUFIT-439</t>
  </si>
  <si>
    <t xml:space="preserve">ถาดวางช้อน-Hettich-1C8 9194887-ถาดวางช้อน</t>
  </si>
  <si>
    <t xml:space="preserve">Spoon tray-Hettich-1C8 9194887-spoon tray</t>
  </si>
  <si>
    <t xml:space="preserve">RM-FUFIT-440</t>
  </si>
  <si>
    <t xml:space="preserve">โครงตู้-Haf-502.70.252-ถังขยะแบบ2ช่องพร้อมอุปกรณ์</t>
  </si>
  <si>
    <t xml:space="preserve">502.70.252 WASTE BIN SWIV.DOOR GREY 2X15L</t>
  </si>
  <si>
    <t xml:space="preserve">RM-FUFIT-441</t>
  </si>
  <si>
    <t xml:space="preserve">กล่อง-SSP-เกรด KA125-กล่อง5ชั้น835x1549x73mm.</t>
  </si>
  <si>
    <t xml:space="preserve">Box-SSP-grade KA125-Box 5 layers 835x1549x73mm.</t>
  </si>
  <si>
    <t xml:space="preserve">RM-FUFIT-442</t>
  </si>
  <si>
    <t xml:space="preserve">บานพับ-Haf-365.67.360-ตัวล็อคบานพับข้อศอก</t>
  </si>
  <si>
    <t xml:space="preserve">365.67.360 CLOSING CLAMP PL.BLACK</t>
  </si>
  <si>
    <t xml:space="preserve">RM-FUFIT-443</t>
  </si>
  <si>
    <t xml:space="preserve">บานพับ-Haf-342.66.730-บานพับ บานเปิดลง</t>
  </si>
  <si>
    <t xml:space="preserve">342.66.730 FLAP HINGE ZI.NI.PL</t>
  </si>
  <si>
    <t xml:space="preserve">RM-FUFIT-444</t>
  </si>
  <si>
    <t xml:space="preserve">บานพับ-Haf-365.55.615-บานพับ ข้อศอก ซ้าย</t>
  </si>
  <si>
    <t xml:space="preserve">365.55.615 FLAP BRAKE STAR-STOP L. 176MM</t>
  </si>
  <si>
    <t xml:space="preserve">RM-FUFIT-445</t>
  </si>
  <si>
    <t xml:space="preserve">บานพับ-Haf-365.55.605-บานพับ ข้อศอก ขวา</t>
  </si>
  <si>
    <t xml:space="preserve">365.55.605 FLAP BRAKE STAR-STOP R. 176MM</t>
  </si>
  <si>
    <t xml:space="preserve">RM-FUFIT-446</t>
  </si>
  <si>
    <t xml:space="preserve">มือจับ-Haf-481.21.943-เฟรมมือจับ 3ม.</t>
  </si>
  <si>
    <t xml:space="preserve">481.21.943 PROF.GRIP ALU.CHAMPAGNE 3000 MM</t>
  </si>
  <si>
    <t xml:space="preserve">RM-FUFIT-447</t>
  </si>
  <si>
    <t xml:space="preserve">อลูมิเนียม-Haf-564.53.232-Alu Splash Blud Bird</t>
  </si>
  <si>
    <t xml:space="preserve">564.53.232 A.SPL.BLUE BIRD LATTE 3100X1500MM</t>
  </si>
  <si>
    <t xml:space="preserve">RM-FUFIT-448</t>
  </si>
  <si>
    <t xml:space="preserve">Interconnect</t>
  </si>
  <si>
    <t xml:space="preserve">ไฟ-Haf-833.73.767-สายต่อระหว่างสตริปไลท์3.5A/20AWG</t>
  </si>
  <si>
    <t xml:space="preserve">833.73.767 INTERCONNECT.LEAD BLACK 50MM 3.5A</t>
  </si>
  <si>
    <t xml:space="preserve">RM-FUFIT-449</t>
  </si>
  <si>
    <t xml:space="preserve">มือจับ-BUA-H5808 128-มือจับ128*37.5*152*14</t>
  </si>
  <si>
    <t xml:space="preserve">Handle-BUA-H5808 128-handle 128*37.5*152*14</t>
  </si>
  <si>
    <t xml:space="preserve">RM-FUFIT-450</t>
  </si>
  <si>
    <t xml:space="preserve">ราวแขวน-Haf-801.33.906-ราวแขวงตู้เสื้อผ้า</t>
  </si>
  <si>
    <t xml:space="preserve">801.33.906 OVA-WARDR.TUBE GROOVE ALU ANOD.3M</t>
  </si>
  <si>
    <t xml:space="preserve">RM-FUFIT-451</t>
  </si>
  <si>
    <t xml:space="preserve">มือจับ-Haf-481.21.935-เฟรมมือจับ สีแชมเปญอโดนไดซ์</t>
  </si>
  <si>
    <t xml:space="preserve">481.21.935 PROF.GRIP ALU.CHAMPAGNE 3000 MM</t>
  </si>
  <si>
    <t xml:space="preserve">RM-FUFIT-452</t>
  </si>
  <si>
    <t xml:space="preserve">บานเลื่อน-Haf-940.80.012-ลูกล้อ สกรู M10</t>
  </si>
  <si>
    <t xml:space="preserve">Sliding door-Haf-940.80.012-caster screw M10</t>
  </si>
  <si>
    <t xml:space="preserve">RM-FUFIT-453</t>
  </si>
  <si>
    <t xml:space="preserve">Sliding door fittings</t>
  </si>
  <si>
    <t xml:space="preserve">บานเลื่อน-Haf-940.80.022-แผ่นเพลทแขวนบาน+M10</t>
  </si>
  <si>
    <t xml:space="preserve">940.80.022 TWO-WAY SUSPENSION JUNIOR 80</t>
  </si>
  <si>
    <t xml:space="preserve">RM-FUFIT-454</t>
  </si>
  <si>
    <t xml:space="preserve">บานเลื่อน-Haf-940.80.040-ตัวหยุดบานปรับแข็ง.อ่อน</t>
  </si>
  <si>
    <t xml:space="preserve">940.80.040 TRACK STOP ADJUST RETAIN FORCE</t>
  </si>
  <si>
    <t xml:space="preserve">RM-FUFIT-455</t>
  </si>
  <si>
    <t xml:space="preserve">บานเลื่อน-Haf-940.40.051-กันชนยางติดผนัง</t>
  </si>
  <si>
    <t xml:space="preserve">940.40.051 RUBBER WALL BUFFER FOR SCR.-ON</t>
  </si>
  <si>
    <t xml:space="preserve">RM-FUFIT-456</t>
  </si>
  <si>
    <t xml:space="preserve">บานเลื่อน-Haf-940.40.031-อุปกรณ์กันแก่วง(ไกด์ล่าง)</t>
  </si>
  <si>
    <t xml:space="preserve">940.40.031 FLOOR GUIDE PLASTIC BLACK</t>
  </si>
  <si>
    <t xml:space="preserve">RM-FUFIT-457</t>
  </si>
  <si>
    <t xml:space="preserve">บานเลื่อน-Haf-940.40.091-อุปกรณ์ปรับบานขึ้น ลง</t>
  </si>
  <si>
    <t xml:space="preserve">940.40.091 VERTICAL ADJUSTMENT PIN</t>
  </si>
  <si>
    <t xml:space="preserve">RM-FUFIT-458</t>
  </si>
  <si>
    <t xml:space="preserve">บานเลื่อน-Haf-940.80.600-รางบนอลูมิเนียม 6000mm.</t>
  </si>
  <si>
    <t xml:space="preserve">940.80.600 JUNIOR 80 RUNNER RAIL ALU 6.0M</t>
  </si>
  <si>
    <t xml:space="preserve">RM-FUFIT-459</t>
  </si>
  <si>
    <t xml:space="preserve">ตะแกรง-Haf-545.94.552-ตะแกรงบานดึงตู้สูง60cm.</t>
  </si>
  <si>
    <t xml:space="preserve">545.94.552 TANDEM PTY 600X1700MM STYLE</t>
  </si>
  <si>
    <t xml:space="preserve">RM-FUFIT-460</t>
  </si>
  <si>
    <t xml:space="preserve">บานพับ-Haf-1B2 9091753 1-ทับขอบมุมเปิด 95+ขาหนุน</t>
  </si>
  <si>
    <t xml:space="preserve">Hinge-Haf-1B2 9091753 1-Overlap the open corner 95+Support leg</t>
  </si>
  <si>
    <t xml:space="preserve">RM-FUFIT-464</t>
  </si>
  <si>
    <t xml:space="preserve">ถาดวางช้อน-FTT-TRA21 40 50-ถาดวางช้อนสีเทา40cm.</t>
  </si>
  <si>
    <t xml:space="preserve">Spoon tray-FTT-TRA21 40 50-gray spoon tray 40cm.</t>
  </si>
  <si>
    <t xml:space="preserve">RM-FUFIT-465</t>
  </si>
  <si>
    <t xml:space="preserve">มือจับ-FTT-1AL63300BL-เฟรมสีดำ 3.1ม.</t>
  </si>
  <si>
    <t xml:space="preserve">Handle-FTT-1AL63300BL-Black Frame 3.1m.</t>
  </si>
  <si>
    <t xml:space="preserve">RM-FUFIT-466</t>
  </si>
  <si>
    <t xml:space="preserve">มือจับ-FTT-1AL34300BL-เฟรม+มือจับ สีดำ 3.1ม.</t>
  </si>
  <si>
    <t xml:space="preserve">Handle-FTT-1AL34300BL-Frame+Handle Black 3.1 m.</t>
  </si>
  <si>
    <t xml:space="preserve">RM-FUFIT-467</t>
  </si>
  <si>
    <t xml:space="preserve">โครงตู้-FTT-PA003-WH ตะปูตอกขาโต๊ะ(คู่)</t>
  </si>
  <si>
    <t xml:space="preserve">Cabinet Frame-FTT-PA003-WH Nails for table legs (pair)</t>
  </si>
  <si>
    <t xml:space="preserve">RM-FUFIT-468</t>
  </si>
  <si>
    <t xml:space="preserve">มือจับ-Haf-155.00.781-HANDLE ST.NICK.BRU.168X35MM</t>
  </si>
  <si>
    <t xml:space="preserve">155.00.781 HANDLE ST.NICK.BRU.168X35MM</t>
  </si>
  <si>
    <t xml:space="preserve">RM-FUFIT-470</t>
  </si>
  <si>
    <t xml:space="preserve">มือจับ-Haf-116.11.514-HANDLE BRASS MATT BR.198X40</t>
  </si>
  <si>
    <t xml:space="preserve">116.11.514 HANDLE BRASS MATT BR.198X40MMHANDLE BRASS MATT BR.198X40MM</t>
  </si>
  <si>
    <t xml:space="preserve">RM-FUFIT-471</t>
  </si>
  <si>
    <t xml:space="preserve">มือจับ-Haf-126.37.001-HANDLE PROF. C ST/ST 2500MM</t>
  </si>
  <si>
    <t xml:space="preserve">126.37.001 HANDLE PROF. C ST/ST 2500MM</t>
  </si>
  <si>
    <t xml:space="preserve">RM-FUFIT-472</t>
  </si>
  <si>
    <t xml:space="preserve">มือจับ-Haf-126.36.001-HANDLE PROF. C ST/ST 2500MM</t>
  </si>
  <si>
    <t xml:space="preserve">126.36.001 HANDLE PROF. C ST/ST 2500MM</t>
  </si>
  <si>
    <t xml:space="preserve">RM-FUFIT-473</t>
  </si>
  <si>
    <t xml:space="preserve">Drawer</t>
  </si>
  <si>
    <t xml:space="preserve">ลิ้นชัก-Haf-552.53.495-แผงหน้าลิ้นชัก</t>
  </si>
  <si>
    <t xml:space="preserve">552.53.495 INNER FR.COVER SET DARK GR.H80</t>
  </si>
  <si>
    <t xml:space="preserve">RM-FUFIT-474</t>
  </si>
  <si>
    <t xml:space="preserve">ลิ้นชัก-Haf-552.53.439-แผงหน้าตกแต่ง</t>
  </si>
  <si>
    <t xml:space="preserve">552.53.439 ALU.FR.PANEL FOR GLASS DARK GR 1200MM</t>
  </si>
  <si>
    <t xml:space="preserve">RM-FUFIT-475</t>
  </si>
  <si>
    <t xml:space="preserve">ตะแกรง-Haf-545.53.763-ตะแกรงบานดึง LH261X590MM</t>
  </si>
  <si>
    <t xml:space="preserve">545.53.763 BASE UNIT STYLE LH261X590MM SV</t>
  </si>
  <si>
    <t xml:space="preserve">RM-FUFIT-476</t>
  </si>
  <si>
    <t xml:space="preserve">ตะแกรง-Haf-545.53.762-ตะแกรงบานดึง RH261X590MM</t>
  </si>
  <si>
    <t xml:space="preserve">545.53.762 BASE UNIT STYLE RH261X590MM SV</t>
  </si>
  <si>
    <t xml:space="preserve">RM-FUFIT-477</t>
  </si>
  <si>
    <t xml:space="preserve">ตะแกรง-Haf-548.21.012-ชุดตะแกรงเข้ามุม L900</t>
  </si>
  <si>
    <t xml:space="preserve">548.21.012 L-FRONT P-OUT CORNER 900 STST.</t>
  </si>
  <si>
    <t xml:space="preserve">RM-FUFIT-478</t>
  </si>
  <si>
    <t xml:space="preserve">ตะแกรง-Haf-548.93.113-ชุดตะแกรงตู้สูง 300</t>
  </si>
  <si>
    <t xml:space="preserve">RM-FUFIT-479</t>
  </si>
  <si>
    <t xml:space="preserve">บานพับ-Haf-927.01.303-SWING DOOR HINGE NI.PL.150MM</t>
  </si>
  <si>
    <t xml:space="preserve">927.01.303 SWING DOOR HINGE ST.ST.150MM</t>
  </si>
  <si>
    <t xml:space="preserve">RM-FUFIT-480</t>
  </si>
  <si>
    <t xml:space="preserve">ตะแกรง-Haf-545.13.951-ตะแกรงบานดึง สีขาว</t>
  </si>
  <si>
    <t xml:space="preserve">RM-FUFIT-481</t>
  </si>
  <si>
    <t xml:space="preserve">ไฟ-Haf-833.72.050-LED2027 12V/2.6W WW SILVC.</t>
  </si>
  <si>
    <t xml:space="preserve">833.72.050 LED2027 12V/2.6W WW SILVC.</t>
  </si>
  <si>
    <t xml:space="preserve">RM-FUFIT-482</t>
  </si>
  <si>
    <t xml:space="preserve">ตะแกรง-Haf-545.22.240-ตะแกรง 300mm.</t>
  </si>
  <si>
    <t xml:space="preserve">545.22.240 CLIP-ON BASKET CHR. 210X470X75MM</t>
  </si>
  <si>
    <t xml:space="preserve">RM-FUFIT-483</t>
  </si>
  <si>
    <t xml:space="preserve">โครงตู้-Haf-545.21.241-metal sliderpiece470X35X500</t>
  </si>
  <si>
    <t xml:space="preserve">545.21.241 FL.UNIT EXT.ALUCOL. 470X35X550MM</t>
  </si>
  <si>
    <t xml:space="preserve">RM-FUFIT-484</t>
  </si>
  <si>
    <t xml:space="preserve">โครงตู้-Haf-545.21.293-ฉากยึดหน้าบาน 90 องศา</t>
  </si>
  <si>
    <t xml:space="preserve">545.21.293 FRONT BRACKET 90 DEG. SILVCOL.</t>
  </si>
  <si>
    <t xml:space="preserve">RM-FUFIT-485</t>
  </si>
  <si>
    <t xml:space="preserve">มือจับ-Haf-126.37.997-ตัวปิดปลายมือจับ L (ขวา)</t>
  </si>
  <si>
    <t xml:space="preserve">126.37.997 ENDCAP PL.SILV.RH.</t>
  </si>
  <si>
    <t xml:space="preserve">RM-FUFIT-486</t>
  </si>
  <si>
    <t xml:space="preserve">มือจับ-Haf-126.37.998-ตัวปิดปลายมือจับ L (ซ้าย)</t>
  </si>
  <si>
    <t xml:space="preserve">126.37.998 CORNER CAP SILVER L.</t>
  </si>
  <si>
    <t xml:space="preserve">RM-FUFIT-487</t>
  </si>
  <si>
    <t xml:space="preserve">มือจับ-Haf-126.37.996-ตัวปิดปลายมือจับ C</t>
  </si>
  <si>
    <t xml:space="preserve">126.37.996 CORNER CAP SILVER</t>
  </si>
  <si>
    <t xml:space="preserve">RM-FUFIT-488</t>
  </si>
  <si>
    <t xml:space="preserve">โครงตู้-Haf-126.37.990-ฉากยึด 90 องศา</t>
  </si>
  <si>
    <t xml:space="preserve">126.37.990 FIXING BRACKET STST. 44X44MM</t>
  </si>
  <si>
    <t xml:space="preserve">RM-FUFIT-489</t>
  </si>
  <si>
    <t xml:space="preserve">ถังขยะ-Hettich  -7VS 90003643-ถังขยะแบบดึง 500มม.</t>
  </si>
  <si>
    <t xml:space="preserve">Garbage bin-Hettich -7VS 90003643-Pull bin 500mm.</t>
  </si>
  <si>
    <t xml:space="preserve">RM-FUFIT-490</t>
  </si>
  <si>
    <t xml:space="preserve">มือจับ-Haf-115.66.051-สีดำด้าน</t>
  </si>
  <si>
    <t xml:space="preserve">115.66.051 KNOB ZI.BLACK MATT 31X28MM</t>
  </si>
  <si>
    <t xml:space="preserve">RM-FUFIT-491</t>
  </si>
  <si>
    <t xml:space="preserve">ก๊อกน้ำ-Haf-566.33.230-ก๊อกเดี่ยงวอ่างล้างจาน</t>
  </si>
  <si>
    <t xml:space="preserve">Faucet-Haf-566.33.230-Single Sink Faucet</t>
  </si>
  <si>
    <t xml:space="preserve">RM-FUFIT-492</t>
  </si>
  <si>
    <t xml:space="preserve">กล่อง-PTP-กล่องLavaredo-525x675x150mm.</t>
  </si>
  <si>
    <t xml:space="preserve">Box-PTP-Box Lavaredo-525x675x150mm.</t>
  </si>
  <si>
    <t xml:space="preserve">AP-PTP000</t>
  </si>
  <si>
    <t xml:space="preserve">RM-FUFIT-493</t>
  </si>
  <si>
    <t xml:space="preserve">กล่อง-PTP-กล่องLavaredo-625x825x150mm.</t>
  </si>
  <si>
    <t xml:space="preserve">Box-PTP-Box Lavaredo-625x825x150mm.</t>
  </si>
  <si>
    <t xml:space="preserve">RM-FUFIT-494</t>
  </si>
  <si>
    <t xml:space="preserve">กล่อง-PTP-กล่องLavaredo-625x1035x150mm</t>
  </si>
  <si>
    <t xml:space="preserve">Box-PTP-Box Lavaredo-625x1035x150mm.</t>
  </si>
  <si>
    <t xml:space="preserve">RM-FUFIT-495</t>
  </si>
  <si>
    <t xml:space="preserve">ไฟ-Haf-833.74.812-รางไฟเข้ามุม</t>
  </si>
  <si>
    <t xml:space="preserve">RM-FUFIT-496</t>
  </si>
  <si>
    <t xml:space="preserve">ไฟ-Haf-833.74.822-ฝาปิดหัวรางไฟ</t>
  </si>
  <si>
    <t xml:space="preserve">RM-FUFIT-497</t>
  </si>
  <si>
    <t xml:space="preserve">ไฟ-Haf-833.74.825-ที่ยึด</t>
  </si>
  <si>
    <t xml:space="preserve">RM-FUFIT-498</t>
  </si>
  <si>
    <t xml:space="preserve">ไฟ-Haf-833.74.826-แผ่นเหล็กสำหรับติดตั้ง</t>
  </si>
  <si>
    <t xml:space="preserve">RM-FUFIT-499</t>
  </si>
  <si>
    <t xml:space="preserve">โครงตู้-0-0-แผ่นรองใต้ซิงค์ W665xL680มม.</t>
  </si>
  <si>
    <t xml:space="preserve">Cabinet frame-0-0-sink pad W665xL680mm.</t>
  </si>
  <si>
    <t xml:space="preserve">RM-FUFIT-500</t>
  </si>
  <si>
    <t xml:space="preserve">ไฟ-Haf-833.72.283-ไฟ LED 12V/3.2w Nick matt</t>
  </si>
  <si>
    <t xml:space="preserve">833.72.283 LED2020 12V/3.2W CW NICK.MATT</t>
  </si>
  <si>
    <t xml:space="preserve">RM-FUFIT-501</t>
  </si>
  <si>
    <t xml:space="preserve">ไฟ-Haf-833.72.800-ฝาครอบไฟ LED Nick matt</t>
  </si>
  <si>
    <t xml:space="preserve">833.72.800 SURF.RING ZI.SILVC.F.LED 2020</t>
  </si>
  <si>
    <t xml:space="preserve">RM-FUFIT-502</t>
  </si>
  <si>
    <t xml:space="preserve">ไฟ-Haf-833.71.785-หม้อแปลง</t>
  </si>
  <si>
    <t xml:space="preserve">833.71.785 DRIVER 12V/20W W.EU-PLUG 2000MM</t>
  </si>
  <si>
    <t xml:space="preserve">RM-FUFIT-503</t>
  </si>
  <si>
    <t xml:space="preserve">ก๊อกน้ำ-Haf-565.70.347-ซิงค์+ก๊อก</t>
  </si>
  <si>
    <t xml:space="preserve">565.70.347 BLANCO SUMMER SET2</t>
  </si>
  <si>
    <t xml:space="preserve">RM-FUFIT-504</t>
  </si>
  <si>
    <t xml:space="preserve">ติดตั้ง-FTT-5KY02 55 14L-ถังขยะสแตนเลส 14 ลิตร</t>
  </si>
  <si>
    <t xml:space="preserve">Install-FTT-5KY02 55 14L-Stainless Steel Trash Can 14 Liters</t>
  </si>
  <si>
    <t xml:space="preserve">RM-FUFIT-505</t>
  </si>
  <si>
    <t xml:space="preserve">โครงตู้-0-#7*5/8F-สกรูเกลียวปล่อยหัวเตเปอร์แฉกสกรู</t>
  </si>
  <si>
    <t xml:space="preserve">Cabinet frame-0-#7*5/8F-Taper head self-tapping screw</t>
  </si>
  <si>
    <t xml:space="preserve">RM-FUFIT-506</t>
  </si>
  <si>
    <t xml:space="preserve">ลิ้นชัก-Haf-552.35.363-Slim wall 800x400mm.</t>
  </si>
  <si>
    <t xml:space="preserve">552.35.363 SLIM WALL SET DARK GREY. SOFT CLOSE 80X400MM</t>
  </si>
  <si>
    <t xml:space="preserve">RM-FUFIT-507</t>
  </si>
  <si>
    <t xml:space="preserve">ตะแกรง-Hettich-7VS 6400 300S-ชุดตะแกรงตู้เตี้ย</t>
  </si>
  <si>
    <t xml:space="preserve">Grille-Hettich-7VS 6400 300S-Set for low cabinet</t>
  </si>
  <si>
    <t xml:space="preserve">RM-FUFIT-508</t>
  </si>
  <si>
    <t xml:space="preserve">มือจับ-Haf-126.27.303-มือจับอลูมิเนียมโปร์ไฟล์</t>
  </si>
  <si>
    <t xml:space="preserve">126.27.303 PROF.GRIP ALU.BLACK MATT 3 M</t>
  </si>
  <si>
    <t xml:space="preserve">RM-FUFIT-509</t>
  </si>
  <si>
    <t xml:space="preserve">Hettich-1C2-9221511 รางลูกปืน 500มม.</t>
  </si>
  <si>
    <t xml:space="preserve">Hettich-1C2-9221511 Bearing rail 500mm.</t>
  </si>
  <si>
    <t xml:space="preserve">AP-PCS000 </t>
  </si>
  <si>
    <t xml:space="preserve">RM-FUFIT-510</t>
  </si>
  <si>
    <t xml:space="preserve">ลิ้นชัก-FTT-1C2 9221505-รางลิ้นชักลูกปืน 300</t>
  </si>
  <si>
    <t xml:space="preserve">Drawer-FTT-1C2 9221505-Bearing drawer slide 300</t>
  </si>
  <si>
    <t xml:space="preserve">RM-FUFIT-514</t>
  </si>
  <si>
    <t xml:space="preserve">ไฟ-Haf-833.89.092-ฝาครอบ Senson</t>
  </si>
  <si>
    <t xml:space="preserve">833.89.092 HOUSING PL.SILV. 48X16MM</t>
  </si>
  <si>
    <t xml:space="preserve">RM-FUFIT-515</t>
  </si>
  <si>
    <t xml:space="preserve">ตะแกรง-Haf-549.03.234-ชุดตะแกรงบานเปิด</t>
  </si>
  <si>
    <t xml:space="preserve">549.03.234 PULL-OUT BAS 18" ST.CH 600MM</t>
  </si>
  <si>
    <t xml:space="preserve">RM-FUFIT-516</t>
  </si>
  <si>
    <t xml:space="preserve">ลิ้นชัก-Haf-494.02.725-รางลิ้นชักพร้อมกดกระเด้ง</t>
  </si>
  <si>
    <t xml:space="preserve">Drawer-Haf-494.02.725-drawer runner with push-pull</t>
  </si>
  <si>
    <t xml:space="preserve">RM-FUFIT-517</t>
  </si>
  <si>
    <t xml:space="preserve">ลิ้นชัก-Haf-552.35.363-Slim wall 80x400mm.</t>
  </si>
  <si>
    <t xml:space="preserve">RM-FUFIT-518</t>
  </si>
  <si>
    <t xml:space="preserve">ลิ้นชัก-Haf-481.21.934-มือจับแบบฝัง</t>
  </si>
  <si>
    <t xml:space="preserve">481.21.934 PROF.GRIP ALU.SILVER MIRROR3000MM</t>
  </si>
  <si>
    <t xml:space="preserve">RM-FUFIT-519</t>
  </si>
  <si>
    <t xml:space="preserve">ลิ้นชัก-FTT-1C2 9221511-รางลิ้นชักลูกปืน 400</t>
  </si>
  <si>
    <t xml:space="preserve">Drawer-FTT-1C2 9221511-Bearing drawer slide 400</t>
  </si>
  <si>
    <t xml:space="preserve">RM-FUFIT-520</t>
  </si>
  <si>
    <t xml:space="preserve">มือจับ-FTT-1CS04 200-มือจับ</t>
  </si>
  <si>
    <t xml:space="preserve">Handle-FTT-1CS04 200-Handle</t>
  </si>
  <si>
    <t xml:space="preserve">RM-FUFIT-521</t>
  </si>
  <si>
    <t xml:space="preserve">มือจับ-FTT-1CS04 168-มือจับ</t>
  </si>
  <si>
    <t xml:space="preserve">Handle-FTT-1CS04 168-Handle</t>
  </si>
  <si>
    <t xml:space="preserve">RM-FUFIT-522</t>
  </si>
  <si>
    <t xml:space="preserve">มือจับ-FTT-1PO621WH-มือจับ</t>
  </si>
  <si>
    <t xml:space="preserve">Handle-FTT-1PO621WH-Handle</t>
  </si>
  <si>
    <t xml:space="preserve">RM-FUFIT-523</t>
  </si>
  <si>
    <t xml:space="preserve">มือจับ-Haf-106.62.216-HANDLE ZI.CHR.POL.176X28MM</t>
  </si>
  <si>
    <t xml:space="preserve">106.62.216 HANDLE ZI.CHR.POL.176X28MM</t>
  </si>
  <si>
    <t xml:space="preserve">RM-FUFIT-524</t>
  </si>
  <si>
    <t xml:space="preserve">มือจับ-Haf-134.07.219-ปุ่มจับสีโครมเงา</t>
  </si>
  <si>
    <t xml:space="preserve">134.07.219 KNOB ZI.CHR.POL./WHITE 34X27MM</t>
  </si>
  <si>
    <t xml:space="preserve">RM-FUFIT-525</t>
  </si>
  <si>
    <t xml:space="preserve">เตาแก๊ส-Haf-495.06.053-HH HZQ 97B4</t>
  </si>
  <si>
    <t xml:space="preserve">Gas stove -HF-495.06.053-HzQ 97B4</t>
  </si>
  <si>
    <t xml:space="preserve">RM-FUFIT-526</t>
  </si>
  <si>
    <t xml:space="preserve">เครื่องดูดควัน-Haf-495.38.237-HOOD ST.ST.900MM</t>
  </si>
  <si>
    <t xml:space="preserve">495.38.237 DIY CHIMNEY HOOD ST.ST.900MM</t>
  </si>
  <si>
    <t xml:space="preserve">RM-FUFIT-527</t>
  </si>
  <si>
    <t xml:space="preserve">เตาอบ+ไมโครเวฟ-Haf-495.06.430-The Oven Set6</t>
  </si>
  <si>
    <t xml:space="preserve">495.06.430 DIY OVEN AND MICROWAVE SET 4</t>
  </si>
  <si>
    <t xml:space="preserve">RM-FUFIT-528</t>
  </si>
  <si>
    <t xml:space="preserve">ก๊อกน้ำ-Haf-495.62.033-ก๊อกเดี๋ยวอ่างล้างจาน</t>
  </si>
  <si>
    <t xml:space="preserve">Faucet-Haf-495.62.033-Single Sink Faucet</t>
  </si>
  <si>
    <t xml:space="preserve">RM-FUFIT-529</t>
  </si>
  <si>
    <t xml:space="preserve">ก๊อกน้ำ-Haf-495.50.003-ก๊อกน้ำ</t>
  </si>
  <si>
    <t xml:space="preserve">495.50.003 FAUCETS FOR SINK ST.ST.MATT</t>
  </si>
  <si>
    <t xml:space="preserve">RM-FUFIT-530</t>
  </si>
  <si>
    <t xml:space="preserve">เตาอบ-HSI-B0727E10X-เตาอบ</t>
  </si>
  <si>
    <t xml:space="preserve">Oven -HSI-B0727E10X-oven</t>
  </si>
  <si>
    <t xml:space="preserve">AP-HSI000</t>
  </si>
  <si>
    <t xml:space="preserve">RM-FUFIT-531</t>
  </si>
  <si>
    <t xml:space="preserve">HOOD+เตา -HSI-TH64E4BG+IT321SYB-เตา+Hood</t>
  </si>
  <si>
    <t xml:space="preserve">Hood -HSI-TH64E4BG+IT321SYB-Hood</t>
  </si>
  <si>
    <t xml:space="preserve">RM-FUFIT-533</t>
  </si>
  <si>
    <t xml:space="preserve">ตะแกรง-Haf-549.34.022-ชุดตะแกรงบานดึง 150mm.</t>
  </si>
  <si>
    <t xml:space="preserve">549.34.022 15CM NARROW BASKET STST.</t>
  </si>
  <si>
    <t xml:space="preserve">RM-FUFIT-534</t>
  </si>
  <si>
    <t xml:space="preserve">ลิ้นชัก-Haf-423.54.503-รางลิ้นชัก SOFT ROLLER 30 W</t>
  </si>
  <si>
    <t xml:space="preserve">Drawer-Haf-423.54.503-drawer runner SOFT ROLLER 30 W</t>
  </si>
  <si>
    <t xml:space="preserve">RM-FUFIT-535</t>
  </si>
  <si>
    <t xml:space="preserve">อลูมิเนียม-จีน-FY 20031203-อลูมิเนียมกันโกร่งยาว3m</t>
  </si>
  <si>
    <t xml:space="preserve">Aluminum-China-FY 20031203-Aluminum Anti Corrosion Length 3m</t>
  </si>
  <si>
    <t xml:space="preserve">RM-FUFIT-536</t>
  </si>
  <si>
    <t xml:space="preserve">ลิ้นชัก-Haf-432.20.934-รางลูกปืน450mm.กัลวาไนซ์</t>
  </si>
  <si>
    <t xml:space="preserve">432.20.934 B-RUNNER S 30F+D GALV.450MM</t>
  </si>
  <si>
    <t xml:space="preserve">RM-FUFIT-537</t>
  </si>
  <si>
    <t xml:space="preserve">ลิ้นชัก-Haf-494.04.220-รางลูกปืน200mm.กัลวาไนซ์</t>
  </si>
  <si>
    <t xml:space="preserve">494.04.220 SOFT-ROLLER 30 KTS GALV. 200MM</t>
  </si>
  <si>
    <t xml:space="preserve">RM-FUFIT-538</t>
  </si>
  <si>
    <t xml:space="preserve">ลิ้นชัก-Haf-552.35.364-SLIM WALL SET DARK GREYSOFT</t>
  </si>
  <si>
    <t xml:space="preserve">552.35.364 SLIM WALL SET DARK GREY. SOFT CLOSE 80X450MM</t>
  </si>
  <si>
    <t xml:space="preserve">RM-FUFIT-539</t>
  </si>
  <si>
    <t xml:space="preserve">บานเปิด-Haf-372.91.722-FLF FREE FLAP1.7 C ALU WHIT</t>
  </si>
  <si>
    <t xml:space="preserve">372.91.722 FLF FREE FLAP1.7 C ALU WHITE</t>
  </si>
  <si>
    <t xml:space="preserve">RM-FUFIT-540</t>
  </si>
  <si>
    <t xml:space="preserve">ตะแกรง-Haf-549.03.145-FRONT P OUT BAS 18 STST 800"</t>
  </si>
  <si>
    <t xml:space="preserve">RM-FUFIT-541</t>
  </si>
  <si>
    <t xml:space="preserve">โครงตู้-Hettich-2G1 ML027353-โช๊คอัพแก๊สรุ่นMaste</t>
  </si>
  <si>
    <t xml:space="preserve">Cabinet frame-Hettich-2G1 ML027353-maste gas shock absorber</t>
  </si>
  <si>
    <t xml:space="preserve">RM-FUFIT-542</t>
  </si>
  <si>
    <t xml:space="preserve">โครงตู้-Hettich-2G8 9073RT-อุปกรณ์ยึดในตู้</t>
  </si>
  <si>
    <t xml:space="preserve">Cabinet frame-Hettich-2G8 9073RT-Cabinet mounting device</t>
  </si>
  <si>
    <t xml:space="preserve">RM-FUFIT-543</t>
  </si>
  <si>
    <t xml:space="preserve">โครงตู้-Hettich-2G8 6871SU-อุปกรณ์ยึดสำหรับบานไม้</t>
  </si>
  <si>
    <t xml:space="preserve">Cabinet frame-Hettich-2G8 6871SU-Fastening device for timber panels</t>
  </si>
  <si>
    <t xml:space="preserve">RM-FUFIT-544</t>
  </si>
  <si>
    <t xml:space="preserve">บานพับ-Haf-315.24.750-METALL.5000SM FOL165</t>
  </si>
  <si>
    <t xml:space="preserve">315.24.750 METALL.5000SM FOL165 D48/6.8UM</t>
  </si>
  <si>
    <t xml:space="preserve">RM-FUFIT-545</t>
  </si>
  <si>
    <t xml:space="preserve">บานพับ-Haf-315.25.730-METALL.5000 SM 90 D</t>
  </si>
  <si>
    <t xml:space="preserve">315.25.730 METALL.5000 SM 90 D ST.35MM</t>
  </si>
  <si>
    <t xml:space="preserve">RM-FUFIT-546</t>
  </si>
  <si>
    <t xml:space="preserve">บานพับ-Haf-315.98.712-ฐานบานพับ MONT.PL.METALLA SM</t>
  </si>
  <si>
    <t xml:space="preserve">315.98.712 MONT.PL.METALLA SM ST.S2MM8UM</t>
  </si>
  <si>
    <t xml:space="preserve">RM-FUFIT-548</t>
  </si>
  <si>
    <t xml:space="preserve">ตะแกรง-FTT-575.016.100 (R)-ตะแกรงบานดึง 100มม.</t>
  </si>
  <si>
    <t xml:space="preserve">Grating-FTT-575.016.100 (R)-Hinged grille 100mm.</t>
  </si>
  <si>
    <t xml:space="preserve">RM-FUFIT-549</t>
  </si>
  <si>
    <t xml:space="preserve">ตะแกรง-Hettich-7VS 6400 300P-ชุดตะแกรงSUB Side300</t>
  </si>
  <si>
    <t xml:space="preserve">Grille-Hettich-7VS 6400 300P-Grill KitSUB Side300</t>
  </si>
  <si>
    <t xml:space="preserve">RM-FUFIT-550</t>
  </si>
  <si>
    <t xml:space="preserve">ถาดวางช้อน-Hettich-1C5 13308-ถาดวางช้อนปรับช่องได้</t>
  </si>
  <si>
    <t xml:space="preserve">Spoon tray-Hettich-1C5 13308-Adjustable cutlery tray</t>
  </si>
  <si>
    <t xml:space="preserve">RM-FUFIT-551</t>
  </si>
  <si>
    <t xml:space="preserve">ลิ้นชัก-Hettich-1C2 9221506-รางลิ้นชักลูกปืนสองตอน</t>
  </si>
  <si>
    <t xml:space="preserve">Drawer-Hettich-1C2 9221506-Double ball bearing drawer slides</t>
  </si>
  <si>
    <t xml:space="preserve">RM-FUFIT-552</t>
  </si>
  <si>
    <t xml:space="preserve">ลิ้นชัก-Hettich-1C2 9221510-รางลิ้นชักลูกปืนสองตอน</t>
  </si>
  <si>
    <t xml:space="preserve">Drawer-Hettich-1C2 9221510-Double ball bearing drawer slides</t>
  </si>
  <si>
    <t xml:space="preserve">RM-FUFIT-553</t>
  </si>
  <si>
    <t xml:space="preserve">โครงตู้-FTT-LEG01 15 WH-ขาตู้ 15ซม.</t>
  </si>
  <si>
    <t xml:space="preserve">Cabinet frame-FTT-LEG01 15 WH- cabinet legs 15 cm.</t>
  </si>
  <si>
    <t xml:space="preserve">RM-FUFIT-554</t>
  </si>
  <si>
    <t xml:space="preserve">โครงตู้-FTT-5501.15 4-ปิดขาตู้ 15ซม.</t>
  </si>
  <si>
    <t xml:space="preserve">Cabinet frame-FTT-5501.15 4-close the legs 15 cm.</t>
  </si>
  <si>
    <t xml:space="preserve">RM-FUFIT-555</t>
  </si>
  <si>
    <t xml:space="preserve">โครงตู้-FTT-5502.1 15-ปิดมุม 15ซม.</t>
  </si>
  <si>
    <t xml:space="preserve">Cabinet frame-FTT-5502.1 15-Close corner 15 cm.</t>
  </si>
  <si>
    <t xml:space="preserve">RM-FUFIT-556</t>
  </si>
  <si>
    <t xml:space="preserve">ไฟ-Haf-833.72.844-รางโปรไฟล์อลูมิเนียม สีขุ่น</t>
  </si>
  <si>
    <t xml:space="preserve">833.72.844 RECESS PROFILE MILKY 2500MM</t>
  </si>
  <si>
    <t xml:space="preserve">RM-FUFIT-557</t>
  </si>
  <si>
    <t xml:space="preserve">มือจับ-FTT-1CL04005096-มือจับ</t>
  </si>
  <si>
    <t xml:space="preserve">Handle-FTT-1CL04005096-Handle</t>
  </si>
  <si>
    <t xml:space="preserve">RM-FUFIT-558</t>
  </si>
  <si>
    <t xml:space="preserve">ไฟ-Haf-155.01.300-HANDLE STST.MATT 106X35MM</t>
  </si>
  <si>
    <t xml:space="preserve">155.01.300 HANDLE STST.MATT 106X35MM</t>
  </si>
  <si>
    <t xml:space="preserve">RM-FUFIT-559</t>
  </si>
  <si>
    <t xml:space="preserve">ไฟ-Haf-833.89.129-MOTION DETECTOR PL SILV D=12MM</t>
  </si>
  <si>
    <t xml:space="preserve">833.89.129 MOTION DETECTOR PL SILV D=12MM</t>
  </si>
  <si>
    <t xml:space="preserve">RM-FUFIT-560</t>
  </si>
  <si>
    <t xml:space="preserve">ไฟ-Haf-833.89.140-MODULAR LEAD BLACK 500MM</t>
  </si>
  <si>
    <t xml:space="preserve">833.89.140 MODULAR LEAD BLACK 500MM</t>
  </si>
  <si>
    <t xml:space="preserve">RM-FUFIT-561</t>
  </si>
  <si>
    <t xml:space="preserve">ไฟ-Haf-833.89.059-DOOR CONTACT SWITCH PL BL D.12MM</t>
  </si>
  <si>
    <t xml:space="preserve">833.89.059 DOOR CONTACT SWITCH PL BL D.12MM</t>
  </si>
  <si>
    <t xml:space="preserve">RM-FUFIT-562</t>
  </si>
  <si>
    <t xml:space="preserve">โครงตู้-Hettich-7VS 90006744-ชุดตู้เข้ามุมRailซ้าย</t>
  </si>
  <si>
    <t xml:space="preserve">Cabinet frame-Hettich-7VS 90006744-Rail left corner cabinet set</t>
  </si>
  <si>
    <t xml:space="preserve">RM-FUFIT-563</t>
  </si>
  <si>
    <t xml:space="preserve">ติดตั้ง-FTT-5KY04GR-ถังขยะ</t>
  </si>
  <si>
    <t xml:space="preserve">Install-FTT-5KY04GR-Trash</t>
  </si>
  <si>
    <t xml:space="preserve">RM-FUFIT-564</t>
  </si>
  <si>
    <t xml:space="preserve">ตะแกรง-Haf-549.03.143-FRONT P OUT BAS 18 STST 500"</t>
  </si>
  <si>
    <t xml:space="preserve">549.03.143 FRONT P-OUT BAS 18" STST 500MM</t>
  </si>
  <si>
    <t xml:space="preserve">RM-FUFIT-565</t>
  </si>
  <si>
    <t xml:space="preserve">ไฟ-Haf-833.74.363-LED2068 12V/9.6W/M 30K/CRI90/5M (1M UNIT)</t>
  </si>
  <si>
    <t xml:space="preserve">833.74.363 LED2068 12V/9.6W/M 30K/CRI90/5M (1M UNIT)</t>
  </si>
  <si>
    <t xml:space="preserve">RM-FUFIT-566</t>
  </si>
  <si>
    <t xml:space="preserve">ตะแกรง-Haf-549.34.021-20CM NARROW BASKET STST.</t>
  </si>
  <si>
    <t xml:space="preserve">549.34.021 20CM NARROW BASKET STST.</t>
  </si>
  <si>
    <t xml:space="preserve">RM-FUFIT-567</t>
  </si>
  <si>
    <t xml:space="preserve">ตะแกรง-Haf-575.016.150R-ตะแกรงบานดึง 150มม.</t>
  </si>
  <si>
    <t xml:space="preserve">Grille-Haf-575.016.150R-Pull Grille 150mm.</t>
  </si>
  <si>
    <t xml:space="preserve">RM-FUFIT-568</t>
  </si>
  <si>
    <t xml:space="preserve">บานพับ-Haf-311.01.090-บานพับกลางขอบ 110 องศา</t>
  </si>
  <si>
    <t xml:space="preserve">311.01.090 ME.A FUL.ST.NP.110 SOF.W.MO.H2</t>
  </si>
  <si>
    <t xml:space="preserve">RM-FUFIT-569</t>
  </si>
  <si>
    <t xml:space="preserve">ลูกล้อ-FTT-CF1.5G N-ล้อแป้น</t>
  </si>
  <si>
    <t xml:space="preserve">Castor-FTT-CF1.5G N-pad wheel</t>
  </si>
  <si>
    <t xml:space="preserve">RM-FUFIT-570</t>
  </si>
  <si>
    <t xml:space="preserve">บานพับ-Haf-306.00.009-บานพับกลางขอบ สีดำเงา</t>
  </si>
  <si>
    <t xml:space="preserve">RM-FUFIT-571</t>
  </si>
  <si>
    <t xml:space="preserve">โครงตู้-Haf-263.66.558-ปุ่มรับชั้น</t>
  </si>
  <si>
    <t xml:space="preserve">263.66.558 SHELF FASTENER TAB V 19 NP.</t>
  </si>
  <si>
    <t xml:space="preserve">RM-FUFIT-572</t>
  </si>
  <si>
    <t xml:space="preserve">บานพับ-Haf-342.87.600-บานพับตู้เข้ามุมบานเฟี้ยม 60</t>
  </si>
  <si>
    <t xml:space="preserve">342.87.600 CLIP TOP CORNER CAB.45/9.5 S</t>
  </si>
  <si>
    <t xml:space="preserve">RM-FUFIT-573</t>
  </si>
  <si>
    <t xml:space="preserve">บานพับ-Haf-342.21.910-ฐานรองบานพับแบบปีก</t>
  </si>
  <si>
    <t xml:space="preserve">342.21.910 C-PL.CLIP-TOP/CLIP ST.S 0MM</t>
  </si>
  <si>
    <t xml:space="preserve">RM-FUFIT-574</t>
  </si>
  <si>
    <t xml:space="preserve">โครงตู้-0-AA35 BR-อุปกรณ์เกือกม้าแบบตบลงสีน้ำตาล</t>
  </si>
  <si>
    <t xml:space="preserve">Cabinet Frame-0-AA35 BR-Brown slap-down horseshoe gear</t>
  </si>
  <si>
    <t xml:space="preserve">RM-FUFIT-575</t>
  </si>
  <si>
    <t xml:space="preserve">โครงตู้-0-AA35 WH-อุปกณ์เกือกม้าแบบตบลง สีขาว</t>
  </si>
  <si>
    <t xml:space="preserve">Cabinet Frame-0-AA35 White</t>
  </si>
  <si>
    <t xml:space="preserve">RM-FUFIT-576</t>
  </si>
  <si>
    <t xml:space="preserve">โครงตู้-0-AA219-เดือยโลหะ (ใช้กับ AA35)</t>
  </si>
  <si>
    <t xml:space="preserve">Cabinet frame-0-AA219-metal dowel (use with AA35)</t>
  </si>
  <si>
    <t xml:space="preserve">RM-FUFIT-577</t>
  </si>
  <si>
    <t xml:space="preserve">บานพับ-Haf-306.00.050-บานพับทับขอบ Non soft</t>
  </si>
  <si>
    <t xml:space="preserve">306.00.050 MET. 500SM FOL 110 48/6 ND BL.PL. H0</t>
  </si>
  <si>
    <t xml:space="preserve">RM-FUFIT-580</t>
  </si>
  <si>
    <t xml:space="preserve">โครงตู้-Hettich-1E1 9064890-น๊อคดาวน์ สีขาว</t>
  </si>
  <si>
    <t xml:space="preserve">Cabinet frame-Hettich-1E1 9064890-Knock down, white</t>
  </si>
  <si>
    <t xml:space="preserve">RM-FUFIT-581</t>
  </si>
  <si>
    <t xml:space="preserve">โครงตู้-Hettich-1E1 9021847-เดือยโลหะ</t>
  </si>
  <si>
    <t xml:space="preserve">Cabinet frame-Hettich-1E1 9021847-Metal Dowel</t>
  </si>
  <si>
    <t xml:space="preserve">RM-FUFIT-582</t>
  </si>
  <si>
    <t xml:space="preserve">ไฟ-Haf-833.89.142-สายไฟสำหรับแยกส่วนสวิตซ์BLACK 2</t>
  </si>
  <si>
    <t xml:space="preserve">RM-FUFIT-583</t>
  </si>
  <si>
    <t xml:space="preserve">Power socket</t>
  </si>
  <si>
    <t xml:space="preserve">ไฟ-Haf-822.92.071-เต้าเสียบไฟฟ้า</t>
  </si>
  <si>
    <t xml:space="preserve">822.92.071 POWERDOCK W.USB/UN SOCK. ST ST</t>
  </si>
  <si>
    <t xml:space="preserve">RM-FUFIT-585</t>
  </si>
  <si>
    <t xml:space="preserve">ติดตั้ง-จีน-0-พุกรับชั้น10x145mm.</t>
  </si>
  <si>
    <t xml:space="preserve">Install-China-0-Plug support 10x145mm.</t>
  </si>
  <si>
    <t xml:space="preserve">RM-FUFIT-586</t>
  </si>
  <si>
    <t xml:space="preserve">ไฟ-Haf-833.72.280-LED ดาวนไลท์ 3000K สีนิกเกิ้ลด้า</t>
  </si>
  <si>
    <t xml:space="preserve">833.72.280 LED2020 12V/3.2W WW NICK.MATT</t>
  </si>
  <si>
    <t xml:space="preserve">RM-FUFIT-587</t>
  </si>
  <si>
    <t xml:space="preserve">ไฟ-Haf-833.72.802-ฝาครอบไฟ LED สีโครมเงา</t>
  </si>
  <si>
    <t xml:space="preserve">833.72.802 SURF.RING ZI.CHROME F.LED 2020</t>
  </si>
  <si>
    <t xml:space="preserve">RM-FUFIT-588</t>
  </si>
  <si>
    <t xml:space="preserve">ตะแกรง-Haf-549.34.055-ตะแกรงอเนกประสงค์บานดึง400</t>
  </si>
  <si>
    <t xml:space="preserve">549.34.055 MUL.FUNCTION BAS.400MM STST.</t>
  </si>
  <si>
    <t xml:space="preserve">RM-FUFIT-590</t>
  </si>
  <si>
    <t xml:space="preserve">ตะแกรง-Haf-549.34.221-ชุดตะแกรงเหล็กบานดึง 200มม.</t>
  </si>
  <si>
    <t xml:space="preserve">549.34.221 20CM NARROW BASKET ST.CHR.</t>
  </si>
  <si>
    <t xml:space="preserve">RM-FUFIT-592</t>
  </si>
  <si>
    <t xml:space="preserve">โครงตู้-0-0-SUP03 อุปกรณ์รับชั้น</t>
  </si>
  <si>
    <t xml:space="preserve">Cabinet frame-0-0-SUP03 receiving equipment</t>
  </si>
  <si>
    <t xml:space="preserve">RM-FUFIT-593</t>
  </si>
  <si>
    <t xml:space="preserve">433.10.450 รางลิ้นชักสองตอนรับใต้ 500มม.</t>
  </si>
  <si>
    <t xml:space="preserve">433.10.450 Two drawer runners under 500mm.</t>
  </si>
  <si>
    <t xml:space="preserve">RM-FUFIT-594</t>
  </si>
  <si>
    <t xml:space="preserve">มือจับ-Haf-126.22.103-มือจับอลูมิดนียม ยาว 3M</t>
  </si>
  <si>
    <t xml:space="preserve">126.22.103 PROF.GRIP ALU.COPPER 3 M</t>
  </si>
  <si>
    <t xml:space="preserve">RM-FUFIT-595</t>
  </si>
  <si>
    <t xml:space="preserve">มือจับ-FTT-1C023 2 096-มือจับ TWO TONE</t>
  </si>
  <si>
    <t xml:space="preserve">Handle-FTT-1C023 2 096-Handle TWO TONE</t>
  </si>
  <si>
    <t xml:space="preserve">RM-FUFIT-596</t>
  </si>
  <si>
    <t xml:space="preserve">โครงตู้-0-VG03 300-ฝาระบายอากาศ</t>
  </si>
  <si>
    <t xml:space="preserve">Cabinet Frame-0-VG03 300-Ventilation cap</t>
  </si>
  <si>
    <t xml:space="preserve">RM-FUFIT-597</t>
  </si>
  <si>
    <t xml:space="preserve">โครงตู้-0-EXHT 15115W-เกือกม้า 15x11.5มม.สีขาว</t>
  </si>
  <si>
    <t xml:space="preserve">Cabinet Frame-0-EXHT 15115W-Horseshoe 15x11.5 mm. white</t>
  </si>
  <si>
    <t xml:space="preserve">AP-PSI000</t>
  </si>
  <si>
    <t xml:space="preserve">RM-FUFIT-598</t>
  </si>
  <si>
    <t xml:space="preserve">โครงตู้-0-SCW 24-แกนเกือกม้า24มม. สีขาว</t>
  </si>
  <si>
    <t xml:space="preserve">Cabinet Frame-0-SCW 24-Horseshoe axle 24 mm. white</t>
  </si>
  <si>
    <t xml:space="preserve">RM-FUFIT-599</t>
  </si>
  <si>
    <t xml:space="preserve">116.11.516 มือจับสีทองเหลืองปัดด้าน กว้าง 249มม.</t>
  </si>
  <si>
    <t xml:space="preserve">116.11.516 HANDLE BRASS MATT BR.294X40MM</t>
  </si>
  <si>
    <t xml:space="preserve">RM-FUFIT-600</t>
  </si>
  <si>
    <t xml:space="preserve">116.11.512 มือจับสีทองเหลืองปัดด้าน กว้าง 134มม.</t>
  </si>
  <si>
    <t xml:space="preserve">116.11.512 HANDLE BRASS MATT BR.134X40MM</t>
  </si>
  <si>
    <t xml:space="preserve">RM-FUFIT-601</t>
  </si>
  <si>
    <t xml:space="preserve">136.76.810 ปุ่มจับสีทองเหลืองปัดด้าน</t>
  </si>
  <si>
    <t xml:space="preserve">136.76.810 KNOB BRASS MAT. BRUSH.25X25MM</t>
  </si>
  <si>
    <t xml:space="preserve">RM-FUFIT-602</t>
  </si>
  <si>
    <t xml:space="preserve">Hool</t>
  </si>
  <si>
    <t xml:space="preserve">ขอเกี่ยว HK03-3</t>
  </si>
  <si>
    <t xml:space="preserve">Hook HK03-3</t>
  </si>
  <si>
    <t xml:space="preserve">RM-FUFIT-603</t>
  </si>
  <si>
    <t xml:space="preserve">565.68.350 ก็อกน้ำ BLANCOLINUS-S ANTHRACITE</t>
  </si>
  <si>
    <t xml:space="preserve">565.68.350 BLANCOLINUS-S ANTHRACITE</t>
  </si>
  <si>
    <t xml:space="preserve">RM-FUFIT-604</t>
  </si>
  <si>
    <t xml:space="preserve">433.10.445 รางลิ้นชักสองตอนรับใต้ 450มม.</t>
  </si>
  <si>
    <t xml:space="preserve">433.10.450 Two drawer runners under 450mm.</t>
  </si>
  <si>
    <t xml:space="preserve">RM-FUFIT-606</t>
  </si>
  <si>
    <t xml:space="preserve">Powerdock</t>
  </si>
  <si>
    <t xml:space="preserve">822.92.071 เต้าเสียบไฟฟ้า</t>
  </si>
  <si>
    <t xml:space="preserve">RM-FUFIT-607</t>
  </si>
  <si>
    <t xml:space="preserve">541.32.620 ตะแกรงเข้ามุม เปิดขวา 600-750/450MM</t>
  </si>
  <si>
    <t xml:space="preserve">541.32.620 LEMANS II STY.RH.600-750/450MM</t>
  </si>
  <si>
    <t xml:space="preserve">RM-FUFIT-608</t>
  </si>
  <si>
    <t xml:space="preserve">549.34.220 ตะแกรงเหล็กบานดึง 150มม.</t>
  </si>
  <si>
    <t xml:space="preserve">549.34.220 15CM NARROW BASKET ST.CHR.</t>
  </si>
  <si>
    <t xml:space="preserve">RM-FUFIT-609</t>
  </si>
  <si>
    <t xml:space="preserve">485.50.003 ก๊อกน้ำ</t>
  </si>
  <si>
    <t xml:space="preserve">485.50.003 COLD TAP F.SINK BRA.CHR.H290MM</t>
  </si>
  <si>
    <t xml:space="preserve">RM-FUFIT-610</t>
  </si>
  <si>
    <t xml:space="preserve">485.61.002 ก๊อกน้ำ</t>
  </si>
  <si>
    <t xml:space="preserve">485.61.002 LONG SLEEVE COLD WATER TAP ST.ST.MATT</t>
  </si>
  <si>
    <t xml:space="preserve">RM-FUFIT-611</t>
  </si>
  <si>
    <t xml:space="preserve">833.74.825 ที่ยึดรางเข้ามุม</t>
  </si>
  <si>
    <t xml:space="preserve">RM-FUFIT-612</t>
  </si>
  <si>
    <t xml:space="preserve">833.74.826 แผ่นเหล็กสำหรับติดตั้งรางเข้ามุม</t>
  </si>
  <si>
    <t xml:space="preserve">RM-FUFIT-613</t>
  </si>
  <si>
    <t xml:space="preserve">LED Strip Lights</t>
  </si>
  <si>
    <t xml:space="preserve">833.88.129 LEAD LOOX5 สำหรับไดรเวอร์3S 12V</t>
  </si>
  <si>
    <t xml:space="preserve">833.88.129 LEAD LOOX5 FOR DRIVER3S 12V</t>
  </si>
  <si>
    <t xml:space="preserve">RM-FUFIT-614</t>
  </si>
  <si>
    <t xml:space="preserve">575.016.150L ตะแกรงบานดึง 150มม.</t>
  </si>
  <si>
    <t xml:space="preserve">575.016.150L Pull-out grille 150mm.</t>
  </si>
  <si>
    <t xml:space="preserve">RM-FUFIT-615</t>
  </si>
  <si>
    <t xml:space="preserve">549.03.146 ตะแกรงสแตนเลสคว่ำจาน 900มม.</t>
  </si>
  <si>
    <t xml:space="preserve">549.03.146 FRONT P-OUT BAS 18" STST 900MM</t>
  </si>
  <si>
    <t xml:space="preserve">RM-FUFIT-616</t>
  </si>
  <si>
    <t xml:space="preserve">549.03.156 ชุดตะแกรงคว่ำจานบานดึง 900มม.</t>
  </si>
  <si>
    <t xml:space="preserve">RM-FUFIT-617</t>
  </si>
  <si>
    <t xml:space="preserve">315.07.009 บานพับในขอบสีนิกเกิ้ล ปิดแบบนุ่มนวล</t>
  </si>
  <si>
    <t xml:space="preserve">315.07.009 MET.INSET.40MM.95.SOFT CL. SM</t>
  </si>
  <si>
    <t xml:space="preserve">RM-FUFIT-618</t>
  </si>
  <si>
    <t xml:space="preserve">7VS-90006745 ชุดตู้เข้ามุม Rail ขวา</t>
  </si>
  <si>
    <t xml:space="preserve">7VS-90006745 Right Rail Corner Cabinet Set</t>
  </si>
  <si>
    <t xml:space="preserve">RM-FUFIT-619</t>
  </si>
  <si>
    <t xml:space="preserve">549.03.155 ชุดตะแกรงคว่ำจาน บานดึง 800มม.</t>
  </si>
  <si>
    <t xml:space="preserve">RM-FUFIT-620</t>
  </si>
  <si>
    <t xml:space="preserve">433.10.430 รางลิ้นชักสองตอนรับใต้ 300มม.</t>
  </si>
  <si>
    <t xml:space="preserve">433.10.450 Two drawer runners under 300mm.</t>
  </si>
  <si>
    <t xml:space="preserve">RM-FUFIT-621</t>
  </si>
  <si>
    <t xml:space="preserve">315.98.710 ฐานบานพับสีนิกเกิ้ล 3000/5000 SM</t>
  </si>
  <si>
    <t xml:space="preserve">315.98.710 MONT.PL.METALLA SM ST.S0MM8UM</t>
  </si>
  <si>
    <t xml:space="preserve">RM-FUFIT-622</t>
  </si>
  <si>
    <t xml:space="preserve">126.27.906 โปรไฟล์อลูมิเนียม สีเงินอโนไดซ์</t>
  </si>
  <si>
    <t xml:space="preserve">126.27.906 PROF.GRIP ALU.SILV.ANO3000MM</t>
  </si>
  <si>
    <t xml:space="preserve">RM-FUFIT-623</t>
  </si>
  <si>
    <t xml:space="preserve">433.10.440 รางลิ้นชักสองตอนรับใต้ 400มม.</t>
  </si>
  <si>
    <t xml:space="preserve">433.10.450 Two drawer runners under 400mm.</t>
  </si>
  <si>
    <t xml:space="preserve">RM-FUFIT-624</t>
  </si>
  <si>
    <t xml:space="preserve">กล่องKA125/M ใส่ตู้แขวน พิมพ์ตามแบบ</t>
  </si>
  <si>
    <t xml:space="preserve">KA125/M box, put the hanging cabinet according to the design.</t>
  </si>
  <si>
    <t xml:space="preserve">RM-FUFIT-625</t>
  </si>
  <si>
    <t xml:space="preserve">กล่องKI125/M ใส่ตู้ล่างแบบที่ 1 พิมพ์ตามแบบ</t>
  </si>
  <si>
    <t xml:space="preserve">Box KI125/M put the lower cabinet type 1 as in the design.</t>
  </si>
  <si>
    <t xml:space="preserve">RM-FUFIT-626</t>
  </si>
  <si>
    <t xml:space="preserve">กล่องKT125/M ใส่ตู้ล่างแบบที่ 2 พิมพ์ตามแบบ</t>
  </si>
  <si>
    <t xml:space="preserve">Box KT125/M put the lower cabinet type 2 according to the design</t>
  </si>
  <si>
    <t xml:space="preserve">RM-FUFIT-627</t>
  </si>
  <si>
    <t xml:space="preserve">402.23.000 ชุดรางเลื่อน FITTING S 6 IF 55 2D</t>
  </si>
  <si>
    <t xml:space="preserve">402.23.000 FITTING S 6 IF 55 2D</t>
  </si>
  <si>
    <t xml:space="preserve">RM-FUFIT-628</t>
  </si>
  <si>
    <t xml:space="preserve">546.51.433 ชุดตู้สูงบานดึง 400มม.</t>
  </si>
  <si>
    <t xml:space="preserve">546.51.433 DISPENSA 400/1800-2200ST.ANT.</t>
  </si>
  <si>
    <t xml:space="preserve">RM-FUFIT-632</t>
  </si>
  <si>
    <t xml:space="preserve">1CL04005096 IMP มือจับขาตั้งสีทอง 96x150mm.</t>
  </si>
  <si>
    <t xml:space="preserve">1CL04005096 IMP handle stand gold 96x150mm.</t>
  </si>
  <si>
    <t xml:space="preserve">RM-FUFIT-633</t>
  </si>
  <si>
    <t xml:space="preserve">1CL04005160 IMP มือจับขาตั้งสีทอง 160x250mm.</t>
  </si>
  <si>
    <t xml:space="preserve">1CL04005160 IMP handle stand gold 160x250mm.</t>
  </si>
  <si>
    <t xml:space="preserve">RM-FUFIT-634</t>
  </si>
  <si>
    <t xml:space="preserve">1CL04005256 IMP มือจับขาตั้งสีทอง 256x400mm.</t>
  </si>
  <si>
    <t xml:space="preserve">1CL04005256 IMP Handle stand gold 256x400mm.</t>
  </si>
  <si>
    <t xml:space="preserve">RM-FUFIT-635</t>
  </si>
  <si>
    <t xml:space="preserve">495.35.306 ตะแกรงตู้สูงสวิงบานเปิด 450มม.</t>
  </si>
  <si>
    <t xml:space="preserve">495.35.306 SWIVEL PANTRY 450/1820MM ST.CHR.</t>
  </si>
  <si>
    <t xml:space="preserve">RM-FUFIT-636</t>
  </si>
  <si>
    <t xml:space="preserve">495.50.094 ก๊อกเดี่ยวแบบก้านโยก สีดำ</t>
  </si>
  <si>
    <t xml:space="preserve">495.50.094 KITCHEN TAP PULLOUT 2F L215</t>
  </si>
  <si>
    <t xml:space="preserve">RM-FUFIT-637</t>
  </si>
  <si>
    <t xml:space="preserve">495.34.174 ตะแกรงคว่ำจานแบบยึดผนัง</t>
  </si>
  <si>
    <t xml:space="preserve">495.34.174 WALL MOUNTING PLATE RACK 800X250X315 MM</t>
  </si>
  <si>
    <t xml:space="preserve">RM-FUFIT-638</t>
  </si>
  <si>
    <t xml:space="preserve">TRA20-40 ถาดวางช้อน 400มม. (330x481x51มม.)</t>
  </si>
  <si>
    <t xml:space="preserve">TRA20-40 Spoon Tray 400mm. (330x481x51mm)</t>
  </si>
  <si>
    <t xml:space="preserve">RM-FUFIT-639</t>
  </si>
  <si>
    <t xml:space="preserve">1H00700500P IMP ปุ่มจับ สีทอง(6816-KNOB)</t>
  </si>
  <si>
    <t xml:space="preserve">1H00700500P IMP Knob Gold(6816-KNOB)</t>
  </si>
  <si>
    <t xml:space="preserve">RM-FUFIT-640</t>
  </si>
  <si>
    <t xml:space="preserve">1H007005128 มือจับ สีทอง 128มม.</t>
  </si>
  <si>
    <t xml:space="preserve">1H007005128 IMP Handle Gold(6816-128)</t>
  </si>
  <si>
    <t xml:space="preserve">RM-FUFIT-641</t>
  </si>
  <si>
    <t xml:space="preserve">1H007005192 IMP มือจับ สีทอง(6816-192)</t>
  </si>
  <si>
    <t xml:space="preserve">1H007005192 IMP Handle Gold(6816-192)</t>
  </si>
  <si>
    <t xml:space="preserve">RM-FUFIT-642</t>
  </si>
  <si>
    <t xml:space="preserve">822.92.071 ปลั๊กป๊อปอัพ</t>
  </si>
  <si>
    <t xml:space="preserve">RM-FUFIT-643</t>
  </si>
  <si>
    <t xml:space="preserve">LT025-4-4 ปลั๊กสากล 4 ช่อง</t>
  </si>
  <si>
    <t xml:space="preserve">LT025-4-4 universal plug 4 outlets</t>
  </si>
  <si>
    <t xml:space="preserve">RM-FUFIT-644</t>
  </si>
  <si>
    <t xml:space="preserve">7VS-7512-150 ชุดตะแกรงเครื่องปรุง 150มม.</t>
  </si>
  <si>
    <t xml:space="preserve">7VS-7512-150 Condiment rack set 150mm.</t>
  </si>
  <si>
    <t xml:space="preserve">RM-FUFIT-645</t>
  </si>
  <si>
    <t xml:space="preserve">7VS-90006745 ชุดตะแกรงตู้เข้ามุม Rail ขวา</t>
  </si>
  <si>
    <t xml:space="preserve">7VS-90006745 Right-hand corner cabinet grille set</t>
  </si>
  <si>
    <t xml:space="preserve">RM-FUFIT-646</t>
  </si>
  <si>
    <t xml:space="preserve">7VS-4525-300S ชุดตะแกรงตู้สูง Saphir</t>
  </si>
  <si>
    <t xml:space="preserve">7VS-4525-300S Saphir high cabinet grille set</t>
  </si>
  <si>
    <t xml:space="preserve">RM-FUFIT-647</t>
  </si>
  <si>
    <t xml:space="preserve">504.68.915 ชุดตู้ติดผนัง IMOVE แบบชั้นเดี่ยว 900มม</t>
  </si>
  <si>
    <t xml:space="preserve">504.68.915 IMOVE ST.SILVER SINGLE 900MM</t>
  </si>
  <si>
    <t xml:space="preserve">RM-FUFIT-648</t>
  </si>
  <si>
    <t xml:space="preserve">1H002005128 มือจับ สีทอง(1901-128) ซิงค์ อัลลอย</t>
  </si>
  <si>
    <t xml:space="preserve">1H002005128 Handle Gold(1901-128) Zinc Alloy</t>
  </si>
  <si>
    <t xml:space="preserve">RM-FUFIT-649</t>
  </si>
  <si>
    <t xml:space="preserve">1H002005096 มือจับ สีทอง(1901-96) ซิงค์ อัลลอย</t>
  </si>
  <si>
    <t xml:space="preserve">1H002005096 Handle Gold(1901-96) Zinc Alloy</t>
  </si>
  <si>
    <t xml:space="preserve">RM-FUFIT-650</t>
  </si>
  <si>
    <t xml:space="preserve">1H01000500P ปุ่มจับสีทองแฮร์ไลน์ 30x26x13.5มม.</t>
  </si>
  <si>
    <t xml:space="preserve">1H01000500P Hairline gold handle 30x26x13.5mm.</t>
  </si>
  <si>
    <t xml:space="preserve">RM-FUFIT-651</t>
  </si>
  <si>
    <t xml:space="preserve">1H002005192 มือจับ สีทอง(1901-192) ซิงค์ อัลลอย</t>
  </si>
  <si>
    <t xml:space="preserve">1H002005192 Handle Gold(1901-192) Zinc Alloy</t>
  </si>
  <si>
    <t xml:space="preserve">RM-FUFIT-652</t>
  </si>
  <si>
    <t xml:space="preserve">566.33.270 ก๊อกเดี่ยว SIGMA</t>
  </si>
  <si>
    <t xml:space="preserve">566.33.270 S-LEVER KITCHEN TAP.BR.CHR</t>
  </si>
  <si>
    <t xml:space="preserve">RM-FUFIT-654</t>
  </si>
  <si>
    <t xml:space="preserve">548.21.002 ชุดตะแกรงเข้ามุมบานดึง หมุนขวา 900มม.</t>
  </si>
  <si>
    <t xml:space="preserve">548.21.002 R-FRONT P-OUT CORNER 900 STST.</t>
  </si>
  <si>
    <t xml:space="preserve">RM-FUFIT-655</t>
  </si>
  <si>
    <t xml:space="preserve">1E1-9066718 น๊อคดาวน์ สีน้ำตาล</t>
  </si>
  <si>
    <t xml:space="preserve">1E1-9066718 Knock-down Brown</t>
  </si>
  <si>
    <t xml:space="preserve">RM-FUFIT-656</t>
  </si>
  <si>
    <t xml:space="preserve">ปุ่มมือจับ No.1P113-BL</t>
  </si>
  <si>
    <t xml:space="preserve">Button handle No.1P113-BL</t>
  </si>
  <si>
    <t xml:space="preserve">RM-FUFIT-657</t>
  </si>
  <si>
    <t xml:space="preserve">483.02.551 บานพับถ้วย 105/45 Soft Closing</t>
  </si>
  <si>
    <t xml:space="preserve">483.02.551 DIY MET5000 105 SOFT POS.45 35MM</t>
  </si>
  <si>
    <t xml:space="preserve">RM-FUFIT-658</t>
  </si>
  <si>
    <t xml:space="preserve">A40-LBXP-OG-M ชุดลิ็นชักสีเทา 500มม. รับนน 40กก</t>
  </si>
  <si>
    <t xml:space="preserve">A40-LBXP-OG-M Gray drawer set 500 mm. load 40 kg.</t>
  </si>
  <si>
    <t xml:space="preserve">RM-FUFIT-659</t>
  </si>
  <si>
    <t xml:space="preserve">ชุดบานพับริมทับขอบ เปิด 110องศา</t>
  </si>
  <si>
    <t xml:space="preserve">Hinge set, edge over the edge, open 110 degrees</t>
  </si>
  <si>
    <t xml:space="preserve">RM-FUFIT-662</t>
  </si>
  <si>
    <t xml:space="preserve">432.60.914 รางลูกปืนกดกระเด้ง 500mm. สีกัลวาไนซ์</t>
  </si>
  <si>
    <t xml:space="preserve">432.60.914 SOFT ROL.FULL.EX.PUSH 30KG 500MM</t>
  </si>
  <si>
    <t xml:space="preserve">RM-FUFIT-663</t>
  </si>
  <si>
    <t xml:space="preserve">1H014005128 มือจับสีทอง</t>
  </si>
  <si>
    <t xml:space="preserve">1H014005128 gold handle</t>
  </si>
  <si>
    <t xml:space="preserve">RM-FUFIT-664</t>
  </si>
  <si>
    <t xml:space="preserve">433.10.435 รางลิ้นชักสองตอนรับใต้ 350มม.</t>
  </si>
  <si>
    <t xml:space="preserve">433.10.450 Two drawer runners under 350mm.</t>
  </si>
  <si>
    <t xml:space="preserve">RM-FUFIT-665</t>
  </si>
  <si>
    <t xml:space="preserve">1C3-9111238(5929-31) รางรับใต้ แบบกดกระเด้ง 350มม.</t>
  </si>
  <si>
    <t xml:space="preserve">1C3-9111238(5929-31) Undercarriage rail, push-pull type 350mm.</t>
  </si>
  <si>
    <t xml:space="preserve">RM-FUFIT-667</t>
  </si>
  <si>
    <t xml:space="preserve">1H003005128 มือจับสีทอง(1810-128)ซิงค์อัลลอย</t>
  </si>
  <si>
    <t xml:space="preserve">1H003005128 Gold Handle (1810-128) Zinc Alloy</t>
  </si>
  <si>
    <t xml:space="preserve">RM-FUFIT-668</t>
  </si>
  <si>
    <t xml:space="preserve">PIRA02.6.16K ราวรูปไข่ 15x1.6มม.x6ม.</t>
  </si>
  <si>
    <t xml:space="preserve">PIRA02.6.16K oval handrail 15x1.6mm.x6m.</t>
  </si>
  <si>
    <t xml:space="preserve">RM-FUFIT-669</t>
  </si>
  <si>
    <t xml:space="preserve">EA10.2 หูรับราว 15มม. ซิ้งค์ชุบนิกเกิ้ล 3 รู</t>
  </si>
  <si>
    <t xml:space="preserve">EA10.2, ear support 15mm, zinc plated nickel, 3 holes</t>
  </si>
  <si>
    <t xml:space="preserve">RM-FUFIT-670</t>
  </si>
  <si>
    <t xml:space="preserve">EA14-CH หูรับราวกลาง 15มม. สีโครเมี่ยม</t>
  </si>
  <si>
    <t xml:space="preserve">EA14-CH Center rail 15mm. Chrome color.</t>
  </si>
  <si>
    <t xml:space="preserve">RM-FUFIT-671</t>
  </si>
  <si>
    <t xml:space="preserve">WJ081126 บานพับ DTC 155 องศา</t>
  </si>
  <si>
    <t xml:space="preserve">WJ081126 155 degree DTC hinge</t>
  </si>
  <si>
    <t xml:space="preserve">RM-FUFIT-672</t>
  </si>
  <si>
    <t xml:space="preserve">WJ081125 บานพับ DTC 270 องศา</t>
  </si>
  <si>
    <t xml:space="preserve">WJ081125 270 degree DTC hinge</t>
  </si>
  <si>
    <t xml:space="preserve">RM-FUFIT-673</t>
  </si>
  <si>
    <t xml:space="preserve">1SE14005 มือจับเปลือกหอย ทองด้าน</t>
  </si>
  <si>
    <t xml:space="preserve">Handle 1SE14005</t>
  </si>
  <si>
    <t xml:space="preserve">RM-FUFIT-674</t>
  </si>
  <si>
    <t xml:space="preserve">มือจับ 1H010005160</t>
  </si>
  <si>
    <t xml:space="preserve">Handle 1H010005160</t>
  </si>
  <si>
    <t xml:space="preserve">RM-FUFIT-675</t>
  </si>
  <si>
    <t xml:space="preserve">495.42.389 ถาดวางช้อนสีขาว 950X500MM</t>
  </si>
  <si>
    <t xml:space="preserve">495.42.389 CUTL.TRAY WH. 950X500MM</t>
  </si>
  <si>
    <t xml:space="preserve">RM-FUFIT-676</t>
  </si>
  <si>
    <t xml:space="preserve">495.42.345 ถาดวางช้อนสีขาว 450X500MM</t>
  </si>
  <si>
    <t xml:space="preserve">495.42.345 CUTL.TRAY WH. 450X500MM</t>
  </si>
  <si>
    <t xml:space="preserve">RM-FUFIT-677</t>
  </si>
  <si>
    <t xml:space="preserve">549.03.142 ตะแกรงคว่ำจานสแตนเลสบานดึง 450มม.</t>
  </si>
  <si>
    <t xml:space="preserve">549.03.142 FRONT P-OUT BAS 18" STST 450MM</t>
  </si>
  <si>
    <t xml:space="preserve">RM-FUFIT-678</t>
  </si>
  <si>
    <t xml:space="preserve">1CL04005128 IMP มือจับขาตั้ง สีทอง 128 x200mm.</t>
  </si>
  <si>
    <t xml:space="preserve">1CL04005128 IMP handle stand gold color 128 x200mm.</t>
  </si>
  <si>
    <t xml:space="preserve">RM-FUFIT-679</t>
  </si>
  <si>
    <t xml:space="preserve">VG03-400 IMP ช่องระบายอลู 80x400x14.5mm.</t>
  </si>
  <si>
    <t xml:space="preserve">VG03-400 IMP Aluminum vent 80x400x14.5mm.</t>
  </si>
  <si>
    <t xml:space="preserve">RM-FUFIT-680</t>
  </si>
  <si>
    <t xml:space="preserve">541.29.480 ชั้นวางสวิงเข้ามุม</t>
  </si>
  <si>
    <t xml:space="preserve">541.29.480 LEMANS II ANT.STY.RH600-750/450MM</t>
  </si>
  <si>
    <t xml:space="preserve">RM-FUFIT-681</t>
  </si>
  <si>
    <t xml:space="preserve">1PA021-BL IMP ปุ่มจับ สีดำด้าน (625-BL)</t>
  </si>
  <si>
    <t xml:space="preserve">1PA021-BL IMP Knob Matte Black (625-BL)</t>
  </si>
  <si>
    <t xml:space="preserve">RM-FUFIT-682</t>
  </si>
  <si>
    <t xml:space="preserve">1H013099096 IMP มือจับสีดำด้าน 96 มม</t>
  </si>
  <si>
    <t xml:space="preserve">1H013099096 IMP matt black handle 96mm</t>
  </si>
  <si>
    <t xml:space="preserve">RM-FUFIT-683</t>
  </si>
  <si>
    <t xml:space="preserve">372.37.543 อุปกรณ์บางเปิดเฟี้ยม Free fold</t>
  </si>
  <si>
    <t xml:space="preserve">372.37.543 FREE FOLD GR.650-730/5.8-11.6</t>
  </si>
  <si>
    <t xml:space="preserve">RM-FUFIT-684</t>
  </si>
  <si>
    <t xml:space="preserve">ตัวต่อแผ่นรองตู้ครัว ยาว 2ม.</t>
  </si>
  <si>
    <t xml:space="preserve">Connector for kitchen cabinet, length 2 m.</t>
  </si>
  <si>
    <t xml:space="preserve">RM-FUFIT-685</t>
  </si>
  <si>
    <t xml:space="preserve">Aluminum Profiles</t>
  </si>
  <si>
    <t xml:space="preserve">SDC25-6 รางอลูมิเนียมร่องเดี่ยว ยาว 6ม.</t>
  </si>
  <si>
    <t xml:space="preserve">SDC25-6 single groove aluminum rail, length 6 m.</t>
  </si>
  <si>
    <t xml:space="preserve">RM-FUFIT-686</t>
  </si>
  <si>
    <t xml:space="preserve">ชุดรางสองตอน MOVENTO ยาว 500มม.</t>
  </si>
  <si>
    <t xml:space="preserve">MOVENTO two-section rail set, length 500mm.</t>
  </si>
  <si>
    <t xml:space="preserve">RM-FUFIT-687</t>
  </si>
  <si>
    <t xml:space="preserve">ชุดรางสองตอน MOVENTO ยาว 350มม.</t>
  </si>
  <si>
    <t xml:space="preserve">MOVENTO two-section rail set, length 350mm.</t>
  </si>
  <si>
    <t xml:space="preserve">RM-FUFIT-688</t>
  </si>
  <si>
    <t xml:space="preserve">MLC-100WT กดกระเด้งสีขาวไม่มีแม่เหล็ก</t>
  </si>
  <si>
    <t xml:space="preserve">MLC-100WT white bouncing press without magnet</t>
  </si>
  <si>
    <t xml:space="preserve">RM-FUFIT-689</t>
  </si>
  <si>
    <t xml:space="preserve">1C3-9111242 รางลูกปืนรับใต้ แบบกดกระเด้ง 500มม.</t>
  </si>
  <si>
    <t xml:space="preserve">1C3-9111242 Undercarriage bearing track, push-pull type, 500mm.</t>
  </si>
  <si>
    <t xml:space="preserve">RM-FUFIT-690</t>
  </si>
  <si>
    <t xml:space="preserve">483.98.044 โช๊คบานเปิดขึ้น soft close สีเงิน</t>
  </si>
  <si>
    <t xml:space="preserve">483.98.044 GAS SPRING SOFT SIL.150N.UPSTAY</t>
  </si>
  <si>
    <t xml:space="preserve">RM-FUFIT-691</t>
  </si>
  <si>
    <t xml:space="preserve">SDC32045 อุปกรณ์บานเลื่อน</t>
  </si>
  <si>
    <t xml:space="preserve">SDC32045 sliding device</t>
  </si>
  <si>
    <t xml:space="preserve">RM-FUFIT-692</t>
  </si>
  <si>
    <t xml:space="preserve">7VS-7549-PR ชุดตู้มุม ถาดสีเทา 900mm.ขวา</t>
  </si>
  <si>
    <t xml:space="preserve">7VS-7549-PR corner cabinet set, gray tray 900mm. right</t>
  </si>
  <si>
    <t xml:space="preserve">RM-FUFIT-693</t>
  </si>
  <si>
    <t xml:space="preserve">1H009005128 IMP มือจับสีทอง 128 มม</t>
  </si>
  <si>
    <t xml:space="preserve">1H009005128 IMP 128mm gold handle</t>
  </si>
  <si>
    <t xml:space="preserve">RM-FUFIT-694</t>
  </si>
  <si>
    <t xml:space="preserve">548.93.113 ตะแกรงตู้สูง 300มม.</t>
  </si>
  <si>
    <t xml:space="preserve">RM-FUFIT-695</t>
  </si>
  <si>
    <t xml:space="preserve">548.21.002 ตะแกรงสแตนเลสเข้ามุมบานดึงหมุนขวา 900มม</t>
  </si>
  <si>
    <t xml:space="preserve">RM-FUFIT-696</t>
  </si>
  <si>
    <t xml:space="preserve">548.21.012 ตะแกรงสแตนเลสเข้ามุมบานดึงหมุนซ้าย900มม</t>
  </si>
  <si>
    <t xml:space="preserve">RM-FUFIT-697</t>
  </si>
  <si>
    <t xml:space="preserve">549.34.053 ชุดตะแกรงสแตนเลสบานดึง 300มม.</t>
  </si>
  <si>
    <t xml:space="preserve">RM-FUFIT-698</t>
  </si>
  <si>
    <t xml:space="preserve">549.03.154 ชุดตะแกรงคว่ำจานบานดึง 600มม.</t>
  </si>
  <si>
    <t xml:space="preserve">549.03.154 FRONT PULL-OUT DISH BAS.STST600MM</t>
  </si>
  <si>
    <t xml:space="preserve">RM-FUFIT-699</t>
  </si>
  <si>
    <t xml:space="preserve">549.03.144 ชุดตะแกรงบานดึง 600มม.</t>
  </si>
  <si>
    <t xml:space="preserve">549.03.144 FRONT P-OUT BAS 18" STST 600MM</t>
  </si>
  <si>
    <t xml:space="preserve">RM-FUFIT-700</t>
  </si>
  <si>
    <t xml:space="preserve">372.64.796 บานพับเชื่อมหน้าบาน พร้อมสกรูชิปบอร์ด</t>
  </si>
  <si>
    <t xml:space="preserve">372.64.796 Hinge, connecting the door. with chipboard screws</t>
  </si>
  <si>
    <t xml:space="preserve">RM-FUFIT-701</t>
  </si>
  <si>
    <t xml:space="preserve">833.72.281 LED ดาวนไลท์ 3000K สีดำ</t>
  </si>
  <si>
    <t xml:space="preserve">833.72.281 LED2020 12V/3.2W WW BLACK</t>
  </si>
  <si>
    <t xml:space="preserve">RM-FUFIT-702</t>
  </si>
  <si>
    <t xml:space="preserve">833.72.801 ฝาครอบไฟสีดำ LED ดาวไลท์</t>
  </si>
  <si>
    <t xml:space="preserve">833.72.801 SURF.RING ZI.BLACK F.LED 2020</t>
  </si>
  <si>
    <t xml:space="preserve">RM-FUFIT-703</t>
  </si>
  <si>
    <t xml:space="preserve">โครงตู้-จีน-คลิ๊ปล็อคก้ามปู</t>
  </si>
  <si>
    <t xml:space="preserve">Cabinet frame-china-clip locking claws</t>
  </si>
  <si>
    <t xml:space="preserve">RM-FUFIT-704</t>
  </si>
  <si>
    <t xml:space="preserve">โครงตู้-จีน-น๊อคดาวน์ สีน้ำตาล</t>
  </si>
  <si>
    <t xml:space="preserve">Cabinet frame-China-knock-down brown</t>
  </si>
  <si>
    <t xml:space="preserve">RM-FUFIT-705</t>
  </si>
  <si>
    <t xml:space="preserve">โครงตู้-จีน-น๊อคดาวน์ สีขาว</t>
  </si>
  <si>
    <t xml:space="preserve">Cabinet frame-China-knock-down white</t>
  </si>
  <si>
    <t xml:space="preserve">RM-FUFIT-706</t>
  </si>
  <si>
    <t xml:space="preserve">โครงตู้-จีน-อุปกรณ์แขวนใต้ซิงค์</t>
  </si>
  <si>
    <t xml:space="preserve">Cabinet frame-China-Hanging device under the sink</t>
  </si>
  <si>
    <t xml:space="preserve">RM-FUFIT-707</t>
  </si>
  <si>
    <t xml:space="preserve">โครงตู้-จีน-อุปกรณ์แขวนใต้ซิงค์ใหญ่</t>
  </si>
  <si>
    <t xml:space="preserve">Cabinet frame - China - hanging equipment under the large sink</t>
  </si>
  <si>
    <t xml:space="preserve">RM-FUFIT-708</t>
  </si>
  <si>
    <t xml:space="preserve">372.27.701 อุปกรณ์บานเปิดขึ้น Free Space</t>
  </si>
  <si>
    <t xml:space="preserve">372.27.701 FREE SPACE 1.11 MODEL C WH. NICKEL</t>
  </si>
  <si>
    <t xml:space="preserve">RM-FUFIT-709</t>
  </si>
  <si>
    <t xml:space="preserve">Electrical equipment</t>
  </si>
  <si>
    <t xml:space="preserve">HOB GB LUX 82 3G</t>
  </si>
  <si>
    <t xml:space="preserve">AP-TAKA000</t>
  </si>
  <si>
    <t xml:space="preserve">RM-FUFIT-710</t>
  </si>
  <si>
    <t xml:space="preserve">HOOD DVS 90 AD</t>
  </si>
  <si>
    <t xml:space="preserve">RM-FUFIT-711</t>
  </si>
  <si>
    <t xml:space="preserve">OVEN HLB 838 E00 GLASS BLACK</t>
  </si>
  <si>
    <t xml:space="preserve">RM-FUFIT-712</t>
  </si>
  <si>
    <t xml:space="preserve">MICROWAVE ML 825 TFL BLACK</t>
  </si>
  <si>
    <t xml:space="preserve">RM-FUFIT-713</t>
  </si>
  <si>
    <t xml:space="preserve">REFRIGERATOR RFD 77820 GBK</t>
  </si>
  <si>
    <t xml:space="preserve">RM-FUFIT-714</t>
  </si>
  <si>
    <t xml:space="preserve">DISHWASHER DFI 76950 WHITE</t>
  </si>
  <si>
    <t xml:space="preserve">RM-FUFIT-715</t>
  </si>
  <si>
    <t xml:space="preserve">STONE 80 B-TG 2B1D AUTO WST METALLIC BLACK</t>
  </si>
  <si>
    <t xml:space="preserve">RM-FUFIT-716</t>
  </si>
  <si>
    <t xml:space="preserve">TAP NAT mixer BLACK</t>
  </si>
  <si>
    <t xml:space="preserve">RM-FUFIT-717</t>
  </si>
  <si>
    <t xml:space="preserve">567.20.039 อ่างล้างจานแบบติดตั้งบนเคาน์เตอร์</t>
  </si>
  <si>
    <t xml:space="preserve">567.20.039 Counter-mounted sink</t>
  </si>
  <si>
    <t xml:space="preserve">RM-FUFIT-718</t>
  </si>
  <si>
    <t xml:space="preserve">549.03.133 ชุดตะแกรงสแตนเลสบานเปิด 500มม.</t>
  </si>
  <si>
    <t xml:space="preserve">549.03.133 PULL-OUT BASKET 18" ST.ST POL 500MM</t>
  </si>
  <si>
    <t xml:space="preserve">RM-FUFIT-719</t>
  </si>
  <si>
    <t xml:space="preserve">1H012005128 IMP มือจับสีทอง 128 มม</t>
  </si>
  <si>
    <t xml:space="preserve">1H012005128 IMP 128mm gold handle</t>
  </si>
  <si>
    <t xml:space="preserve">RM-FUFIT-720</t>
  </si>
  <si>
    <t xml:space="preserve">TRA21-45-50 ถาดวางช้อนสีเทา45cm.(385*485*50mm.)</t>
  </si>
  <si>
    <t xml:space="preserve">TRA21-45-50 Spoon tray gray 45cm.(385*485*50mm.)</t>
  </si>
  <si>
    <t xml:space="preserve">RM-FUFIT-721</t>
  </si>
  <si>
    <t xml:space="preserve">833.74.962 หม้อแปลงไฟฟ้า 12v 40w</t>
  </si>
  <si>
    <t xml:space="preserve">833.74.962 LED DRIVER 12VDC. 2.5A. 40W BLACK</t>
  </si>
  <si>
    <t xml:space="preserve">RM-FUFIT-722</t>
  </si>
  <si>
    <t xml:space="preserve">402.23.802 รางบนอลูมิเนียม แบบไม่มีรูเจาะ 2.5ม</t>
  </si>
  <si>
    <t xml:space="preserve">402.23.802 ALUMINIUM GUIDE RAILS BRIGHT 2500MM</t>
  </si>
  <si>
    <t xml:space="preserve">RM-FUFIT-723</t>
  </si>
  <si>
    <t xml:space="preserve">402.23.602 รางล่างอลูมิเนียม แบบเซาะร่อง 2.5ม.</t>
  </si>
  <si>
    <t xml:space="preserve">402.23.602 RUNN.TRACK ALU BRIGHT 2500MM</t>
  </si>
  <si>
    <t xml:space="preserve">RM-FUFIT-724</t>
  </si>
  <si>
    <t xml:space="preserve">1CL03005 มือจับ Handle Matt 960mm.</t>
  </si>
  <si>
    <t xml:space="preserve">1CL03005 Handle Handle Matt 960mm.</t>
  </si>
  <si>
    <t xml:space="preserve">RM-FUFIT-725</t>
  </si>
  <si>
    <t xml:space="preserve">1B3-9089605 อุปกรณ์กดกระเด้ง สีเทาอ่อน</t>
  </si>
  <si>
    <t xml:space="preserve">1B3-9089605 Bounce Pusher Light Gray</t>
  </si>
  <si>
    <t xml:space="preserve">RM-FUFIT-726</t>
  </si>
  <si>
    <t xml:space="preserve">1C8-9194904 ถาดวางช้อนแบบปรับได้ สีขาว 900มม.</t>
  </si>
  <si>
    <t xml:space="preserve">1C8-9194904 Adjustable Spoon Tray White 900mm.</t>
  </si>
  <si>
    <t xml:space="preserve">RM-FUFIT-727</t>
  </si>
  <si>
    <t xml:space="preserve">570.05.920 ตะแกรงสะเด็ดน้ำ</t>
  </si>
  <si>
    <t xml:space="preserve">570.05.920 ADJUSTABLE BASKETS</t>
  </si>
  <si>
    <t xml:space="preserve">RM-FUFIT-728</t>
  </si>
  <si>
    <t xml:space="preserve">Shoe rack</t>
  </si>
  <si>
    <t xml:space="preserve">SHE06300TTG2 ชั้นวางเท้า สีไทเทเนียมเกรย์</t>
  </si>
  <si>
    <t xml:space="preserve">SHE06300TTG2 Shoe Rack Titanium Gray</t>
  </si>
  <si>
    <t xml:space="preserve">RM-FUFIT-729</t>
  </si>
  <si>
    <t xml:space="preserve">SHE07300TTG2 ขั้นวางรองเท้า สีไทเทเนียมเกรย์</t>
  </si>
  <si>
    <t xml:space="preserve">SHE07300TTG2 Shoe Rack Titanium Gray</t>
  </si>
  <si>
    <t xml:space="preserve">RM-FUFIT-730</t>
  </si>
  <si>
    <t xml:space="preserve">ตะแกรงคว่ำจานตู้ล่าง900มม.(จีน)</t>
  </si>
  <si>
    <t xml:space="preserve">Dish drainer rack, lower cabinet 900mm. (China)</t>
  </si>
  <si>
    <t xml:space="preserve">RM-FUFIT-731</t>
  </si>
  <si>
    <t xml:space="preserve">ตะแกรงคว่ำหม้อ 900มม.(จีน)</t>
  </si>
  <si>
    <t xml:space="preserve">Pot overturner 900mm. (China)</t>
  </si>
  <si>
    <t xml:space="preserve">RM-FUFIT-732</t>
  </si>
  <si>
    <t xml:space="preserve">ถาดวางช้อนแบบปรับช่องได้ 800มม.(จีน)</t>
  </si>
  <si>
    <t xml:space="preserve">Adjustable cutlery tray 800 mm. (China)</t>
  </si>
  <si>
    <t xml:space="preserve">RM-FUFIT-733</t>
  </si>
  <si>
    <t xml:space="preserve">ตะแกรงเครื่องปรุง 200มม.(จีน)</t>
  </si>
  <si>
    <t xml:space="preserve">Seasoning grate 200mm. (China)</t>
  </si>
  <si>
    <t xml:space="preserve">RM-FUFIT-734</t>
  </si>
  <si>
    <t xml:space="preserve">ตะแกรงเครื่องปรุง 150มม.(จีน)</t>
  </si>
  <si>
    <t xml:space="preserve">Seasoning grate 150mm. (China)</t>
  </si>
  <si>
    <t xml:space="preserve">RM-FUFIT-735</t>
  </si>
  <si>
    <t xml:space="preserve">ตะแกรงเครื่องปรุง 300มม.(จีน)</t>
  </si>
  <si>
    <t xml:space="preserve">Seasoning grate 300mm. (China)</t>
  </si>
  <si>
    <t xml:space="preserve">RM-FUFIT-736</t>
  </si>
  <si>
    <t xml:space="preserve">ตะแกรงเข้ามุมสีโครเมียม (ซ้าย/ขวา)(จีน)</t>
  </si>
  <si>
    <t xml:space="preserve">Chrome corner grille (Left/Right)(China)</t>
  </si>
  <si>
    <t xml:space="preserve">RM-FUFIT-737</t>
  </si>
  <si>
    <t xml:space="preserve">ตะแกรงเข้ามุมสีโครเมียม (ซ้าย)(จีน)</t>
  </si>
  <si>
    <t xml:space="preserve">Chrome corner grille (left)(China)</t>
  </si>
  <si>
    <t xml:space="preserve">RM-FUFIT-738</t>
  </si>
  <si>
    <t xml:space="preserve">ตะแกรงเข้ามุมสีโครเมียม (ขวา) (จีน)</t>
  </si>
  <si>
    <t xml:space="preserve">Chrome corner grille (right) (China)</t>
  </si>
  <si>
    <t xml:space="preserve">RM-FUFIT-740</t>
  </si>
  <si>
    <t xml:space="preserve">1H00709900P ปุ่มจับ สีดำเมทัลลิค</t>
  </si>
  <si>
    <t xml:space="preserve">1H00709900P IMP Knob Gray (6816) Zinc Alloy</t>
  </si>
  <si>
    <t xml:space="preserve">RM-FUFIT-741</t>
  </si>
  <si>
    <t xml:space="preserve">1H007099192 IMP มือจับ สีดำเมทัลลิค(6816-192)</t>
  </si>
  <si>
    <t xml:space="preserve">1H007099192 IMP Handle Black Metallic(6816-192)</t>
  </si>
  <si>
    <t xml:space="preserve">RM-FUFIT-742</t>
  </si>
  <si>
    <t xml:space="preserve">372.37.543 อุปกรณ์บางเปิดเฟี้ยม Free fold สีขาว</t>
  </si>
  <si>
    <t xml:space="preserve">RM-FUFIT-743</t>
  </si>
  <si>
    <t xml:space="preserve">549.34.095 ชุดตะแกรงสแตนเลสบานเปิด โรมซีรีย์ 400มม</t>
  </si>
  <si>
    <t xml:space="preserve">549.34.095 P-OUT MUL.BAS.ST.ST.POL.400MM</t>
  </si>
  <si>
    <t xml:space="preserve">RM-FUFIT-744</t>
  </si>
  <si>
    <t xml:space="preserve">522.44.273 ตะแกรงคว่ำจานแบบยึดนัง 1000x250x315มม.</t>
  </si>
  <si>
    <t xml:space="preserve">522.44.273 WALL MOUNTING PLATE RACK 1000X250X315</t>
  </si>
  <si>
    <t xml:space="preserve">RM-FUFIT-745</t>
  </si>
  <si>
    <t xml:space="preserve">7VS-5542-500A ตะแกรงตู่สูง แบบอาร์ทไลน์ 500มม.</t>
  </si>
  <si>
    <t xml:space="preserve">7VS-5542-500A High cabinet grille Artline type 500mm.</t>
  </si>
  <si>
    <t xml:space="preserve">RM-FUFIT-746</t>
  </si>
  <si>
    <t xml:space="preserve">4001-601-22-MK ชุด กุญแจล็อกเฟอร์นิเจอร์</t>
  </si>
  <si>
    <t xml:space="preserve">4001-601-22-MK set of furniture locks</t>
  </si>
  <si>
    <t xml:space="preserve">RM-FUFIT-747</t>
  </si>
  <si>
    <t xml:space="preserve">4001-601-22-M1 กุญแจหลัก (MASTER KEY)</t>
  </si>
  <si>
    <t xml:space="preserve">4001-601-22-M1 MASTER KEY</t>
  </si>
  <si>
    <t xml:space="preserve">RM-FUFIT-748</t>
  </si>
  <si>
    <t xml:space="preserve">1H010005320 มือจับสีทอง ยาว 320มม.</t>
  </si>
  <si>
    <t xml:space="preserve">1H010005320 Gold handle, length 320mm.</t>
  </si>
  <si>
    <t xml:space="preserve">RM-FUFIT-749</t>
  </si>
  <si>
    <t xml:space="preserve">โครงตู้-จีน-0-ตัวแขวนตูลอยแบบซ่อน ฝาปิดสีกาไฟว์</t>
  </si>
  <si>
    <t xml:space="preserve">Cabinet frame-China-0-Hidden hanging cabinet Kafive color lid</t>
  </si>
  <si>
    <t xml:space="preserve">RM-FUFIT-750</t>
  </si>
  <si>
    <t xml:space="preserve">545.93.431 ชุดตะแกรงตู้สูงสวิงบานเปิด 450มม.</t>
  </si>
  <si>
    <t xml:space="preserve">RM-FUFIT-751</t>
  </si>
  <si>
    <t xml:space="preserve">489.02.300 บานพับผีเสื้อสแตนเลส 3.5</t>
  </si>
  <si>
    <t xml:space="preserve">489.02.300 BUTT HING.STST.MA.FL. 127X89X3MM</t>
  </si>
  <si>
    <t xml:space="preserve">RM-FUFIT-752</t>
  </si>
  <si>
    <t xml:space="preserve">1CS03-128 มือจับสีเงินรูเจาะ 128มม.</t>
  </si>
  <si>
    <t xml:space="preserve">1CS03-128 Silver handle, drill hole 128mm.</t>
  </si>
  <si>
    <t xml:space="preserve">RM-FUFIT-753</t>
  </si>
  <si>
    <t xml:space="preserve">มือจับอลูมิเนียมเฉียง พ่นสีดำ ยาว 6ม.</t>
  </si>
  <si>
    <t xml:space="preserve">Aluminum handle, oblique, painted black, length 6 m.</t>
  </si>
  <si>
    <t xml:space="preserve">RM-FUFIT-754</t>
  </si>
  <si>
    <t xml:space="preserve">1CS04-1000 มือจับสแตนเลสเกรดญี่ปุ่น</t>
  </si>
  <si>
    <t xml:space="preserve">1CS04-1000 Japanese grade stainless steel handle</t>
  </si>
  <si>
    <t xml:space="preserve">RM-FUFIT-755</t>
  </si>
  <si>
    <t xml:space="preserve">HC01-WH ตัวแขวน</t>
  </si>
  <si>
    <t xml:space="preserve">HC01-WH Hanger</t>
  </si>
  <si>
    <t xml:space="preserve">RM-FUFIT-756</t>
  </si>
  <si>
    <t xml:space="preserve">1AL2319300PG1 มือจีบตัว C สีโรสโกลด์ ยาว 3ม.</t>
  </si>
  <si>
    <t xml:space="preserve">1AL2319300PG1 Hand pleated C shape, rose gold color, length 3 m.</t>
  </si>
  <si>
    <t xml:space="preserve">RM-FUFIT-757</t>
  </si>
  <si>
    <t xml:space="preserve">549.34.253 ตะแกรงเครื่องปรุง 300มม.</t>
  </si>
  <si>
    <t xml:space="preserve">549.34.253 MUL.FUNCTION BAS.300MM ST.CHR.</t>
  </si>
  <si>
    <t xml:space="preserve">RM-FUFIT-758</t>
  </si>
  <si>
    <t xml:space="preserve">522.44.272 ตะแกรงคว่ำจานแบบยึดผนัง</t>
  </si>
  <si>
    <t xml:space="preserve">522.44.272 WALL MOUNTING PLATE RACK 800X250X315</t>
  </si>
  <si>
    <t xml:space="preserve">RM-FUFIT-759</t>
  </si>
  <si>
    <t xml:space="preserve">1H007099128 มือจับ สีดำเมทัลลิค 128มม.</t>
  </si>
  <si>
    <t xml:space="preserve">1H007099128 HANDLE</t>
  </si>
  <si>
    <t xml:space="preserve">RM-FUFIT-760</t>
  </si>
  <si>
    <t xml:space="preserve">ตัวต่อเข้ามุม 90 องศา ยาว 1.6ม.</t>
  </si>
  <si>
    <t xml:space="preserve">90 degree angle connector, length 1.6 m.</t>
  </si>
  <si>
    <t xml:space="preserve">RM-FUFIT-761</t>
  </si>
  <si>
    <t xml:space="preserve">549.03.134 ตะแกรงสแตนเลสคว่ำหม้อ 600มม.</t>
  </si>
  <si>
    <t xml:space="preserve">549.03.134 PULL-OUT BASKET 18" ST.ST POL 600MM</t>
  </si>
  <si>
    <t xml:space="preserve">RM-FUFIT-762</t>
  </si>
  <si>
    <t xml:space="preserve">542.31.650 ตะแกรงเข้ามุม 900มม.</t>
  </si>
  <si>
    <t xml:space="preserve">542.31.650 CAROUSEL270 ARE.STYL.900X900MM</t>
  </si>
  <si>
    <t xml:space="preserve">RM-FUFIT-763</t>
  </si>
  <si>
    <t xml:space="preserve">495.35.052 ตะแกรงเหล็กบานดึง คว่ำหม้อ 500มม.</t>
  </si>
  <si>
    <t xml:space="preserve">495.35.052 FRONT P-OUT BASKET ST.CHR 500MM</t>
  </si>
  <si>
    <t xml:space="preserve">RM-FUFIT-764</t>
  </si>
  <si>
    <t xml:space="preserve">372.27.702 อุปกรณ์บานเปิดขึ้น Free Space รุ่น D</t>
  </si>
  <si>
    <t xml:space="preserve">372.27.702 FREE SPACE 1.11 MODEL D WH. NICKEL</t>
  </si>
  <si>
    <t xml:space="preserve">RM-FUFIT-765</t>
  </si>
  <si>
    <t xml:space="preserve">540.04.213 ชุดตะแกรงอเนกประสงค์ 400มม.</t>
  </si>
  <si>
    <t xml:space="preserve">540.04.213 UTILITY BASK.DR-PANEL ST.ST.CHR.POL</t>
  </si>
  <si>
    <t xml:space="preserve">RM-FUFIT-766</t>
  </si>
  <si>
    <t xml:space="preserve">1H014005096 IMP มือจับสีทอง 96 มม</t>
  </si>
  <si>
    <t xml:space="preserve">1H014005096 IMP gold handle 96mm</t>
  </si>
  <si>
    <t xml:space="preserve">RM-FUFIT-767</t>
  </si>
  <si>
    <t xml:space="preserve">1F017-3-096 มือจับฝัง</t>
  </si>
  <si>
    <t xml:space="preserve">1F017-3-096 Embedded handle</t>
  </si>
  <si>
    <t xml:space="preserve">RM-FUFIT-768</t>
  </si>
  <si>
    <t xml:space="preserve">833.74.916 หม้อแปลง 12V/60W</t>
  </si>
  <si>
    <t xml:space="preserve">833.74.916 LED POW.SUPP.12V/60W W.EU-PLUG</t>
  </si>
  <si>
    <t xml:space="preserve">RM-FUFIT-769</t>
  </si>
  <si>
    <t xml:space="preserve">1H007099096 IMP มือจับ สีดำเมทัลลิค(6816-96)</t>
  </si>
  <si>
    <t xml:space="preserve">1H007099096 IMP Handle Black Metallic(6816-96)</t>
  </si>
  <si>
    <t xml:space="preserve">RM-FUFIT-770</t>
  </si>
  <si>
    <t xml:space="preserve">Hook</t>
  </si>
  <si>
    <t xml:space="preserve">HK10-0 IMP ขอเกี่ยว สีซาติน (GH-04-SATIN)</t>
  </si>
  <si>
    <t xml:space="preserve">HK10-0 IMP Hook Satin (GH-04-SATIN)</t>
  </si>
  <si>
    <t xml:space="preserve">RM-FUFIT-771</t>
  </si>
  <si>
    <t xml:space="preserve">Wiring Harness</t>
  </si>
  <si>
    <t xml:space="preserve">CO50-160 IMP ช่องร้อยสายไฟพร้อมแผงกันฝุ่น</t>
  </si>
  <si>
    <t xml:space="preserve">CO50-160 IMP Wiring Harness with Dust Shield</t>
  </si>
  <si>
    <t xml:space="preserve">RM-FUFIT-772</t>
  </si>
  <si>
    <t xml:space="preserve">433.03.400 รางรับใต้สองตอนรับ นน. 25กก. 250มม.</t>
  </si>
  <si>
    <t xml:space="preserve">433.03.400 DRA.RUNN.SELF-CL.GAL250MM/CLIP</t>
  </si>
  <si>
    <t xml:space="preserve">RM-FUFIT-773</t>
  </si>
  <si>
    <t xml:space="preserve">433.03.402 รางรับใต้สองตอนรับ นน. 25กก. 300มม.</t>
  </si>
  <si>
    <t xml:space="preserve">433.03.402 DRA.RUNN.SELF-CL.GAL300MM/CLIP</t>
  </si>
  <si>
    <t xml:space="preserve">RM-FUFIT-774</t>
  </si>
  <si>
    <t xml:space="preserve">433.03.403 รางรับใต้สองตอนรับ นน. 25กก. 350มม.</t>
  </si>
  <si>
    <t xml:space="preserve">433.03.403 DRA.RUNN.SELF-CL.GAL350MM/CLIP</t>
  </si>
  <si>
    <t xml:space="preserve">RM-FUFIT-775</t>
  </si>
  <si>
    <t xml:space="preserve">315.63.710 บานพับกระจก ทับขอบ</t>
  </si>
  <si>
    <t xml:space="preserve">315.63.710 HIN5000MINISM FOL D95 38/7.5.8</t>
  </si>
  <si>
    <t xml:space="preserve">RM-FUFIT-776</t>
  </si>
  <si>
    <t xml:space="preserve">TRA21 50 50 -ถาดวางช้อนสีเทา50cm.</t>
  </si>
  <si>
    <t xml:space="preserve">TRA21 50 50 -Gray spoon tray 50cm.</t>
  </si>
  <si>
    <t xml:space="preserve">RM-FUFIT-777</t>
  </si>
  <si>
    <t xml:space="preserve">โครงตู้-จีน-อุปกรณ์แขวนตู้ลอยสีดำ-320mm. -700kg.</t>
  </si>
  <si>
    <t xml:space="preserve">Cabinet frame - China - hanging hanging cabinet - black - 320mm. -700 kg.</t>
  </si>
  <si>
    <t xml:space="preserve">RM-FUFIT-778</t>
  </si>
  <si>
    <t xml:space="preserve">541.29.481 ชั้นวางสวิง LeMans 600-750มม. หมุนซ้าย</t>
  </si>
  <si>
    <t xml:space="preserve">541.29.481 LEMANS II ANT. STY.LH.600-750/450MM</t>
  </si>
  <si>
    <t xml:space="preserve">RM-FUFIT-779</t>
  </si>
  <si>
    <t xml:space="preserve">533.016.900 ชุดราวแขวนแก้วไวน์ ราวเดี่ยว</t>
  </si>
  <si>
    <t xml:space="preserve">533.016.900 Wine glass hanging set, single rail</t>
  </si>
  <si>
    <t xml:space="preserve">RM-FUFIT-780</t>
  </si>
  <si>
    <t xml:space="preserve">287.55.730 ฉากรับชั้นแบบพับเก็บ 300x200มม.</t>
  </si>
  <si>
    <t xml:space="preserve">287.55.730  FOLD.BRACKET ST.WH.150KG/300MM</t>
  </si>
  <si>
    <t xml:space="preserve">RM-FUFIT-781</t>
  </si>
  <si>
    <t xml:space="preserve">552.35.384 SLIM WALL SOFT CLOSE 170X450MM</t>
  </si>
  <si>
    <t xml:space="preserve">552.35.384 SLIM WALL SET DARK GREY. SOFT CLOSE 170X450MM</t>
  </si>
  <si>
    <t xml:space="preserve">RM-FUFIT-782</t>
  </si>
  <si>
    <t xml:space="preserve">433.03.503 รางลิ้นชักสองตอนรับใต้ 350มม.</t>
  </si>
  <si>
    <t xml:space="preserve">433.10.450 EPC CON.RUN.FULL EX/SOFT CL.500MM</t>
  </si>
  <si>
    <t xml:space="preserve">RM-FUFIT-783</t>
  </si>
  <si>
    <t xml:space="preserve">SDC25600 รางยาว 6ม. สีอโนไดส์ (S52589-NA1)</t>
  </si>
  <si>
    <t xml:space="preserve">SDC25600 Rail length 6 m. Anodized color (S 52589-NA1)</t>
  </si>
  <si>
    <t xml:space="preserve">RM-FUFIT-784</t>
  </si>
  <si>
    <t xml:space="preserve">Accessories box</t>
  </si>
  <si>
    <t xml:space="preserve">BKC07.163.900 กล่องใส่ของSoft บาน 900mm.864x460</t>
  </si>
  <si>
    <t xml:space="preserve">BKC07.163.90 Soft storage box, door 900mm.864x460</t>
  </si>
  <si>
    <t xml:space="preserve">RM-FUFIT-785</t>
  </si>
  <si>
    <t xml:space="preserve">BKC55300 IMP ราวแขวนกลม 1นิ้ว ยาว3M. สีมอคค่า</t>
  </si>
  <si>
    <t xml:space="preserve">BKC55300 IMP Round hanging rail 1 inch, length 3M. Mocha color.</t>
  </si>
  <si>
    <t xml:space="preserve">RM-FUFIT-786</t>
  </si>
  <si>
    <t xml:space="preserve">BKC55EA IMP หูรับราวกลม 1นิ้ว L+ R สีมอคค่า</t>
  </si>
  <si>
    <t xml:space="preserve">BKC55EA IMP Round Handrail 1 inch L+ R Mocha</t>
  </si>
  <si>
    <t xml:space="preserve">RM-FUFIT-787</t>
  </si>
  <si>
    <t xml:space="preserve">BJ13-NI.2 IMP บานพับเปิดขึ้น ซอฟท์ สีนิเกิ้ล</t>
  </si>
  <si>
    <t xml:space="preserve">BJ13-NI.2 IMP Hinges Open Soft Nickle</t>
  </si>
  <si>
    <t xml:space="preserve">RM-FUFIT-788</t>
  </si>
  <si>
    <t xml:space="preserve">BKC55-M IMP หูรับราวกลม 1นิ้ว (กลาง) สีมอคค่า</t>
  </si>
  <si>
    <t xml:space="preserve">BKC55-M IMP Round Handrail 1 inch (Middle) Mocha</t>
  </si>
  <si>
    <t xml:space="preserve">RM-FUFIT-789</t>
  </si>
  <si>
    <t xml:space="preserve">Door stopper</t>
  </si>
  <si>
    <t xml:space="preserve">820001016001 กันชนครึ่งวงกลม แบบมีเดือยปัดแฮร์ลาย </t>
  </si>
  <si>
    <t xml:space="preserve">820001016001 half circle door stopper bumper patterned with dowel</t>
  </si>
  <si>
    <t xml:space="preserve">RM-FUFIT-790</t>
  </si>
  <si>
    <t xml:space="preserve">433.32.073 รางลิ้นชักแบบคลิปรุ่น EPC-PRO 400มม.</t>
  </si>
  <si>
    <t xml:space="preserve">433.32.073 EPC-PRO Clip Drawer Rail 400mm.</t>
  </si>
  <si>
    <t xml:space="preserve">RM-FUFIT-791</t>
  </si>
  <si>
    <t xml:space="preserve">433.32.075 รางลิ้นชักแบบคลิปรุ่น EPC-PRO 500มม.</t>
  </si>
  <si>
    <t xml:space="preserve">433.32.075 EPC-PRO Clip Drawer Rail 500mm.</t>
  </si>
  <si>
    <t xml:space="preserve">RM-FUFIT-792</t>
  </si>
  <si>
    <t xml:space="preserve">315.11.400 กดกระเด้ง นุ่มนวล หน้าบานเตี้ย</t>
  </si>
  <si>
    <t xml:space="preserve">315.11.400 Push To Opeb by Hafele, soft, low face</t>
  </si>
  <si>
    <t xml:space="preserve">RM-FUFIT-793</t>
  </si>
  <si>
    <t xml:space="preserve">315.11.401 กดกระเด้ง นุ่มนวล หน้าบานสูง</t>
  </si>
  <si>
    <t xml:space="preserve">315.11.401 Press, bounce, soft, high front</t>
  </si>
  <si>
    <t xml:space="preserve">RM-FUFIT-794</t>
  </si>
  <si>
    <t xml:space="preserve">833.74.364 LED2068 12V/9.6W/M 40K/CRI90/5M (1M UNIT)</t>
  </si>
  <si>
    <t xml:space="preserve">RM-FUFIT-795</t>
  </si>
  <si>
    <t xml:space="preserve">433.32.071 รางลิ้นชักแบบคลิปรุ่น EPC-PRO 300มม.</t>
  </si>
  <si>
    <t xml:space="preserve">433.32.071 EPC-PRO Clip Drawer Rail 300mm.</t>
  </si>
  <si>
    <t xml:space="preserve">RM-FUFIT-796</t>
  </si>
  <si>
    <t xml:space="preserve">552.35.765 SLIM WALL SET WH. SOFT CLOSE 80X500MM</t>
  </si>
  <si>
    <t xml:space="preserve">RM-FUFIT-797</t>
  </si>
  <si>
    <t xml:space="preserve">ลิ้นชัก-Haf-552.49.590-อุปกรณ์แบ่งกั้นช่อง สีขาว</t>
  </si>
  <si>
    <t xml:space="preserve">Drawer-Haf-552.49.590-detector, white</t>
  </si>
  <si>
    <t xml:space="preserve">RM-FUFIT-798</t>
  </si>
  <si>
    <t xml:space="preserve">Side railing</t>
  </si>
  <si>
    <t xml:space="preserve">552.49.786 ชุดอุปกรณ์ราวด้านข้าง สีขาว 500mm.</t>
  </si>
  <si>
    <t xml:space="preserve">552.49.786 Side railing kit, white, 500mm.</t>
  </si>
  <si>
    <t xml:space="preserve">RM-FUFIT-799</t>
  </si>
  <si>
    <t xml:space="preserve">ลิ้นชัก-Haf-552.49.720-ราวขวางสีขาว 1200มม.</t>
  </si>
  <si>
    <t xml:space="preserve">Drawer-Haf-552.49.720-White cross rail 1200mm.</t>
  </si>
  <si>
    <t xml:space="preserve">RM-FUFIT-800</t>
  </si>
  <si>
    <t xml:space="preserve">ลิ้นชัก-Haf-552.49.725 ตัวยึดรางขวาง สีขาว</t>
  </si>
  <si>
    <t xml:space="preserve">Drawer-Haf-552.49.725 Cross-rail bracket, white</t>
  </si>
  <si>
    <t xml:space="preserve">RM-FUFIT-801</t>
  </si>
  <si>
    <t xml:space="preserve">833.72.040 โคมดาวน์ไลท์ 30k สีโครมเงา</t>
  </si>
  <si>
    <t xml:space="preserve">833.72.040 Downlight 30k chrome gloss color</t>
  </si>
  <si>
    <t xml:space="preserve">RM-FUFIT-802</t>
  </si>
  <si>
    <t xml:space="preserve">432.20.930 รางรับข้างสองตอนรับ นน. 30กก. 250มม.</t>
  </si>
  <si>
    <t xml:space="preserve">432.20.930 Two side support rails, weight 30 kg. 250 mm.</t>
  </si>
  <si>
    <t xml:space="preserve">RM-FUFIT-803</t>
  </si>
  <si>
    <t xml:space="preserve">1H01309900P IMP มือจับกลมสีดำด้าน</t>
  </si>
  <si>
    <t xml:space="preserve">1H01309900P IMP round handle matt black</t>
  </si>
  <si>
    <t xml:space="preserve">RM-FUFIT-804</t>
  </si>
  <si>
    <t xml:space="preserve">BF03-CH-2 มือจับกระจก</t>
  </si>
  <si>
    <t xml:space="preserve">BF03-CH-2 Mirror Handle</t>
  </si>
  <si>
    <t xml:space="preserve">RM-FUFIT-805</t>
  </si>
  <si>
    <t xml:space="preserve">833.72.041 โคมดาวน์ไลท์ 40k สีเงินอโนไดซ์</t>
  </si>
  <si>
    <t xml:space="preserve">833.72.041 Downlight 40k Silver Anodized</t>
  </si>
  <si>
    <t xml:space="preserve">RM-FUFIT-806</t>
  </si>
  <si>
    <t xml:space="preserve">TRA20 50 ถาดวางช้อน 500มม. (430x481x47มม.) สีขาว</t>
  </si>
  <si>
    <t xml:space="preserve">TRA20 50 Spoon Tray 500mm. (430x481x47mm) White</t>
  </si>
  <si>
    <t xml:space="preserve">RM-FUFIT-807</t>
  </si>
  <si>
    <t xml:space="preserve">Wine holder</t>
  </si>
  <si>
    <t xml:space="preserve">530.001.290 ที่แขวนแก้วไวน์</t>
  </si>
  <si>
    <t xml:space="preserve">530.001.290 Wine glass holder</t>
  </si>
  <si>
    <t xml:space="preserve">RM-FUFIT-808</t>
  </si>
  <si>
    <t xml:space="preserve">549.03.132 ตะแกรงบานเปิด VERONA 450มม.</t>
  </si>
  <si>
    <t xml:space="preserve">549.03.132 Sieve with doors VERONA 450mm.</t>
  </si>
  <si>
    <t xml:space="preserve">RM-FUFIT-809</t>
  </si>
  <si>
    <t xml:space="preserve">ชอล์ก-จีน-L092-</t>
  </si>
  <si>
    <t xml:space="preserve">Chalk-China-L092-</t>
  </si>
  <si>
    <t xml:space="preserve">RM-FUFIT-810</t>
  </si>
  <si>
    <t xml:space="preserve">ชอล์ก-จีน-L065-</t>
  </si>
  <si>
    <t xml:space="preserve">Chalk-China-L065-</t>
  </si>
  <si>
    <t xml:space="preserve">RM-FUFIT-811</t>
  </si>
  <si>
    <t xml:space="preserve">ชอล์ก-จีน-L269-</t>
  </si>
  <si>
    <t xml:space="preserve">Chalk-China-L269-</t>
  </si>
  <si>
    <t xml:space="preserve">RM-FUFIT-812</t>
  </si>
  <si>
    <t xml:space="preserve">ชอล์ก-จีน-5801-</t>
  </si>
  <si>
    <t xml:space="preserve">Chalk-China-5801-</t>
  </si>
  <si>
    <t xml:space="preserve">RM-FUFIT-813</t>
  </si>
  <si>
    <t xml:space="preserve">ชอล์ก-จีน-351-</t>
  </si>
  <si>
    <t xml:space="preserve">Chalk-China-351-</t>
  </si>
  <si>
    <t xml:space="preserve">RM-FUFIT-814</t>
  </si>
  <si>
    <t xml:space="preserve">549.91.173 ตะแกรงบานเปิด 600มม. MILAN SERIES</t>
  </si>
  <si>
    <t xml:space="preserve">549.91.173 Door grille 450mm. MILAN SERIES</t>
  </si>
  <si>
    <t xml:space="preserve">RM-FUFIT-815</t>
  </si>
  <si>
    <t xml:space="preserve">Ink</t>
  </si>
  <si>
    <t xml:space="preserve">MIMAKI Ink-LH-100-Yellow</t>
  </si>
  <si>
    <t xml:space="preserve">AP-UTL001 </t>
  </si>
  <si>
    <t xml:space="preserve">RM-FUFIT-816</t>
  </si>
  <si>
    <t xml:space="preserve">549.91.173 ตะแกรงบานเปิด 450มม. MILAN SERIES</t>
  </si>
  <si>
    <t xml:space="preserve">RM-FUFIT-817</t>
  </si>
  <si>
    <t xml:space="preserve">MIMAKI Ink-LH-100-Magente</t>
  </si>
  <si>
    <t xml:space="preserve">RM-FUFIT-818</t>
  </si>
  <si>
    <t xml:space="preserve">MIMAKI Ink-LH-100-Cyan</t>
  </si>
  <si>
    <t xml:space="preserve">RM-FUFIT-819</t>
  </si>
  <si>
    <t xml:space="preserve">MIMAKI Ink-LH-100-Black</t>
  </si>
  <si>
    <t xml:space="preserve">RM-FUFIT-820</t>
  </si>
  <si>
    <t xml:space="preserve">MIMAKI Ink-LH-100-Light Magenta</t>
  </si>
  <si>
    <t xml:space="preserve">RM-FUFIT-821</t>
  </si>
  <si>
    <t xml:space="preserve">MIMAKI Ink-LH-100-Light Cyan</t>
  </si>
  <si>
    <t xml:space="preserve">RM-FUFIT-822</t>
  </si>
  <si>
    <t xml:space="preserve">MIMAKI Ink-LH-100-White</t>
  </si>
  <si>
    <t xml:space="preserve">RM-FUFIT-823</t>
  </si>
  <si>
    <t xml:space="preserve">MIMAKI Ink-LH-100-Clear</t>
  </si>
  <si>
    <t xml:space="preserve">RM-FUFIT-824</t>
  </si>
  <si>
    <t xml:space="preserve">833.72.285 LED ดาวนไลท์ 4000K สีโครมเงา</t>
  </si>
  <si>
    <t xml:space="preserve">833.72.285 LED Downlight 4000K Chrome Color</t>
  </si>
  <si>
    <t xml:space="preserve">RM-FUFIT-825</t>
  </si>
  <si>
    <t xml:space="preserve">359M5000S+ZRE+BL ชุดรางสีเทามีราวเสริม50ซม นน.50กก</t>
  </si>
  <si>
    <t xml:space="preserve">359M5000S+ZRE+BL Gray rail set with extra rail 50 cm. weight 50 kg.</t>
  </si>
  <si>
    <t xml:space="preserve">RM-FUFIT-826</t>
  </si>
  <si>
    <t xml:space="preserve">1H008003192 มือจับสีนิกเกิ้ลแฮร์ไลน์ 192มม.</t>
  </si>
  <si>
    <t xml:space="preserve">1H008003192 Handle nickle hairline 192mm.</t>
  </si>
  <si>
    <t xml:space="preserve">RM-FUFIT-827</t>
  </si>
  <si>
    <t xml:space="preserve">1H008003128 มือจับสีนิกเกิ้ลแฮร์ไลน์ 128มม.</t>
  </si>
  <si>
    <t xml:space="preserve">1H008003128 Handle nickle hairline 128mm.</t>
  </si>
  <si>
    <t xml:space="preserve">RM-FUFIT-828</t>
  </si>
  <si>
    <t xml:space="preserve">SDC32-ON-D รางบน 3ม.</t>
  </si>
  <si>
    <t xml:space="preserve">SDC32-ON-D top rail 3 m.</t>
  </si>
  <si>
    <t xml:space="preserve">RM-FUFIT-829</t>
  </si>
  <si>
    <t xml:space="preserve">SDC32-UN-D รางล่าง 3ม.</t>
  </si>
  <si>
    <t xml:space="preserve">SDC32-UN-D bottom rail 3 m.</t>
  </si>
  <si>
    <t xml:space="preserve">RM-FUFIT-830</t>
  </si>
  <si>
    <t xml:space="preserve">433.32.074 รางลิ้นชักแบบคลิปรุ่น EPC-PRO 450มม.</t>
  </si>
  <si>
    <t xml:space="preserve">433.32.074 Clip Drawer Rail Model EPC-PRO 450mm.</t>
  </si>
  <si>
    <t xml:space="preserve">RM-FUFIT-831</t>
  </si>
  <si>
    <t xml:space="preserve">422.25.258 รางรับข้าง 250มม.</t>
  </si>
  <si>
    <t xml:space="preserve">422.25.258 side rail 250mm.</t>
  </si>
  <si>
    <t xml:space="preserve">RM-FUFIT-832</t>
  </si>
  <si>
    <t xml:space="preserve">1CS04-128-188 มือจับ304 Dia 128x188มม.</t>
  </si>
  <si>
    <t xml:space="preserve">1CS04-128-188 Handle 304 Dia 128x188mm.</t>
  </si>
  <si>
    <t xml:space="preserve">RM-FUFIT-833</t>
  </si>
  <si>
    <t xml:space="preserve">1CS04-348 มือจับขาตั้งSS-304(ด้าน) 1/2x288x348มม."</t>
  </si>
  <si>
    <t xml:space="preserve">1CS04-348 Stand handle SS-304(side) 1/2x288x348mm.</t>
  </si>
  <si>
    <t xml:space="preserve">RM-FUFIT-834</t>
  </si>
  <si>
    <t xml:space="preserve">495.61.042 ก๊อกเดี่ยวอ่างล้างจาน</t>
  </si>
  <si>
    <t xml:space="preserve">495.61.042 Sink Single Faucet</t>
  </si>
  <si>
    <t xml:space="preserve">RM-FUFIT-835</t>
  </si>
  <si>
    <t xml:space="preserve">ชุดบานยกเฟี้ยม Bi-fold รุ่น AVENTOS HF soft close</t>
  </si>
  <si>
    <t xml:space="preserve">Bi-fold hinge kit, model AVENTOS HF soft close</t>
  </si>
  <si>
    <t xml:space="preserve">RM-FUFIT-836</t>
  </si>
  <si>
    <t xml:space="preserve">ชุดบานยกข้อศอก Stay lift รุ่น AVENTOS HF softclose</t>
  </si>
  <si>
    <t xml:space="preserve">Stay lift elbow kit, model AVENTOS HF softclose</t>
  </si>
  <si>
    <t xml:space="preserve">RM-FUFIT-837</t>
  </si>
  <si>
    <t xml:space="preserve">ชุดบานยกเฟี้ยม AVENTOS HF + ระบบเปิด-ปิดอัตโนมัติ</t>
  </si>
  <si>
    <t xml:space="preserve">AVENTOS HF folding hinge set + automatic opening-closing system</t>
  </si>
  <si>
    <t xml:space="preserve">RM-FUFIT-838</t>
  </si>
  <si>
    <t xml:space="preserve">ชุดบานพับเปิด 107องศา ถ้วยแบบ screw-on soft close</t>
  </si>
  <si>
    <t xml:space="preserve">Hinge set opens 107 degrees, screw-on soft close cup</t>
  </si>
  <si>
    <t xml:space="preserve">RM-FUFIT-839</t>
  </si>
  <si>
    <t xml:space="preserve">760H2700S รางรับใต้+กดกระเด้ง 270มม. นน.40กก.</t>
  </si>
  <si>
    <t xml:space="preserve">760H2700S Support rail + bounce 270 mm. weight 40 kg.</t>
  </si>
  <si>
    <t xml:space="preserve">RM-FUFIT-840</t>
  </si>
  <si>
    <t xml:space="preserve">760H3000S รางรับใต้+กดกระเด้ง 300มม. นน.40กก.</t>
  </si>
  <si>
    <t xml:space="preserve">760H3000S Support rail + bounce 300 mm. weight 40 kg.</t>
  </si>
  <si>
    <t xml:space="preserve">RM-FUFIT-841</t>
  </si>
  <si>
    <t xml:space="preserve">760H3500S รางรับใต้+กดกระเด้ง 350มม. นน.40กก.</t>
  </si>
  <si>
    <t xml:space="preserve">760H3000S Support rail + bounce 350 mm. weight 40 kg.</t>
  </si>
  <si>
    <t xml:space="preserve">RM-FUFIT-842</t>
  </si>
  <si>
    <t xml:space="preserve">760H4000S รางรับใต้+กดกระเด้ง 400มม. นน.40กก.</t>
  </si>
  <si>
    <t xml:space="preserve">760H3000S Support rail + bounce 400 mm. weight 40 kg.</t>
  </si>
  <si>
    <t xml:space="preserve">RM-FUFIT-843</t>
  </si>
  <si>
    <t xml:space="preserve">760H4500S รางรับใต้+กดกระเด้ง 450มม. นน.40กก.</t>
  </si>
  <si>
    <t xml:space="preserve">760H3000S Support rail + bounce 450 mm. weight 40 kg.</t>
  </si>
  <si>
    <t xml:space="preserve">RM-FUFIT-844</t>
  </si>
  <si>
    <t xml:space="preserve">760H5000S รางรับใต้+กดกระเด้ง 500มม. นน.40กก.</t>
  </si>
  <si>
    <t xml:space="preserve">760H3000S Support rail + bounce 500 mm. weight 40 kg.</t>
  </si>
  <si>
    <t xml:space="preserve">RM-FUFIT-845</t>
  </si>
  <si>
    <t xml:space="preserve">760H5500S รางรับใต้+กดกระเด้ง 550มม. นน.40กก.</t>
  </si>
  <si>
    <t xml:space="preserve">760H3000S Support rail + bounce 550 mm. weight 40 kg.</t>
  </si>
  <si>
    <t xml:space="preserve">RM-FUFIT-846</t>
  </si>
  <si>
    <t xml:space="preserve">760H6000S รางรับใต้+กดกระเด้ง 600มม. นน.40กก.</t>
  </si>
  <si>
    <t xml:space="preserve">760H3000S Support rail + bounce 600 mm. weight 40 kg.</t>
  </si>
  <si>
    <t xml:space="preserve">RM-FUFIT-847</t>
  </si>
  <si>
    <t xml:space="preserve">760H2500S รางรับใต้ 250มม. นน.40กก.</t>
  </si>
  <si>
    <t xml:space="preserve">760H2500S, support rail under 250 mm., weight 40 kg.</t>
  </si>
  <si>
    <t xml:space="preserve">RM-FUFIT-848</t>
  </si>
  <si>
    <t xml:space="preserve">760H2700S รางรับใต้ 270มม. นน.40กก.</t>
  </si>
  <si>
    <t xml:space="preserve">760H2500S, support rail under 270 mm., weight 40 kg.</t>
  </si>
  <si>
    <t xml:space="preserve">RM-FUFIT-849</t>
  </si>
  <si>
    <t xml:space="preserve">760H3000S รางรับใต้ 300มม. นน.40กก.</t>
  </si>
  <si>
    <t xml:space="preserve">760H2500S, support rail under 300 mm., weight 40 kg.</t>
  </si>
  <si>
    <t xml:space="preserve">RM-FUFIT-850</t>
  </si>
  <si>
    <t xml:space="preserve">760H3500S รางรับใต้ 350มม. นน.40กก.</t>
  </si>
  <si>
    <t xml:space="preserve">760H2500S, support rail under 350 mm., weight 40 kg.</t>
  </si>
  <si>
    <t xml:space="preserve">RM-FUFIT-851</t>
  </si>
  <si>
    <t xml:space="preserve">760H4000S รางรับใต้ 400มม. นน.40กก.</t>
  </si>
  <si>
    <t xml:space="preserve">760H2500S, support rail under 400 mm., weight 40 kg.</t>
  </si>
  <si>
    <t xml:space="preserve">RM-FUFIT-852</t>
  </si>
  <si>
    <t xml:space="preserve">760H4500S รางรับใต้ 450มม. นน.40กก.</t>
  </si>
  <si>
    <t xml:space="preserve">760H2500S, support rail under 450 mm., weight 40 kg.</t>
  </si>
  <si>
    <t xml:space="preserve">RM-FUFIT-853</t>
  </si>
  <si>
    <t xml:space="preserve">760H5000S รางรับใต้ 500มม. นน.40กก.</t>
  </si>
  <si>
    <t xml:space="preserve">760H2500S, support rail under 500 mm., weight 40 kg.</t>
  </si>
  <si>
    <t xml:space="preserve">RM-FUFIT-854</t>
  </si>
  <si>
    <t xml:space="preserve">760H5500S รางรับใต้ 550มม. นน.40กก.</t>
  </si>
  <si>
    <t xml:space="preserve">760H2500S, support rail under 550 mm., weight 40 kg.</t>
  </si>
  <si>
    <t xml:space="preserve">RM-FUFIT-855</t>
  </si>
  <si>
    <t xml:space="preserve">760H6000S รางรับใต้ 600มม. นน.40กก.</t>
  </si>
  <si>
    <t xml:space="preserve">760H2500S, support rail under 600 mm., weight 40 kg.</t>
  </si>
  <si>
    <t xml:space="preserve">RM-FUFIT-856</t>
  </si>
  <si>
    <t xml:space="preserve">760H4000SU รางรับใต้ 400มม. นน.40กก.</t>
  </si>
  <si>
    <t xml:space="preserve">760H4000SU, support rail under 400 mm., weight 40 kg.</t>
  </si>
  <si>
    <t xml:space="preserve">RM-FUFIT-857</t>
  </si>
  <si>
    <t xml:space="preserve">Shelf Clips</t>
  </si>
  <si>
    <t xml:space="preserve">OG-M.295H5700 อุปกรณ์ล็อกชั้นวาง</t>
  </si>
  <si>
    <t xml:space="preserve">OG-M.295H5700 shelf locking device</t>
  </si>
  <si>
    <t xml:space="preserve">RM-FUFIT-858</t>
  </si>
  <si>
    <t xml:space="preserve">ZST.1089W รางเชื่อมยาว 10/89มม.</t>
  </si>
  <si>
    <t xml:space="preserve">ZST.1089W welding rail, length 10/89mm.</t>
  </si>
  <si>
    <t xml:space="preserve">RM-FUFIT-859</t>
  </si>
  <si>
    <t xml:space="preserve">A40-LBXP-INGL รางลิ้นชัก+แผงข้าง+กดกระเด้ง ส90.5มม</t>
  </si>
  <si>
    <t xml:space="preserve">A40-LBXP-INGL Drawer rail + side panel + bouncing press, size 90.5 mm.</t>
  </si>
  <si>
    <t xml:space="preserve">RM-FUFIT-860</t>
  </si>
  <si>
    <t xml:space="preserve">C40-LBXP-INGL รางลิ้นชัก+แผงข้าง+กดกระเด้ง ส117มม.</t>
  </si>
  <si>
    <t xml:space="preserve">C40-LBXP-INGL Drawer rail + side panel + bouncing press, size 117 mm.</t>
  </si>
  <si>
    <t xml:space="preserve">RM-FUFIT-861</t>
  </si>
  <si>
    <t xml:space="preserve">F40-LBXP-INGL รางลิ้นชัก+แผงข้าง+กดกระเด้ง ส214มม.</t>
  </si>
  <si>
    <t xml:space="preserve">F40-LBXP-INGL Drawer rail + side panel + bouncing press, size 214 mm.</t>
  </si>
  <si>
    <t xml:space="preserve">RM-FUFIT-862</t>
  </si>
  <si>
    <t xml:space="preserve">A40-LBXP-INGL รางลิ้นชัก+แผงข้าง ส90.5มม softclose</t>
  </si>
  <si>
    <t xml:space="preserve">A40-LBXP-INGL Drawer rail + side panel H90.5mm softclose</t>
  </si>
  <si>
    <t xml:space="preserve">RM-FUFIT-863</t>
  </si>
  <si>
    <t xml:space="preserve">B40-LBXP-INGL รางลิ้นชัก+แผงข้าง ส90.5มม softclose</t>
  </si>
  <si>
    <t xml:space="preserve">B40-LBXP-INGL Drawer rail + side panel H90.5mm softclose</t>
  </si>
  <si>
    <t xml:space="preserve">RM-FUFIT-864</t>
  </si>
  <si>
    <t xml:space="preserve">C40-LBXP-INGL รางลิ้นชัก+แผงข้าง ส117มม soft close</t>
  </si>
  <si>
    <t xml:space="preserve">C40-LBXP-INGL Drawer rail + side panel H117mm softclose</t>
  </si>
  <si>
    <t xml:space="preserve">RM-FUFIT-865</t>
  </si>
  <si>
    <t xml:space="preserve">D40-LBXP-INGL รางลิ้นชัก+แผงข้าง ส117มม soft close</t>
  </si>
  <si>
    <t xml:space="preserve">D40-LBXP-INGL Drawer rail + side panel H117mm softclose</t>
  </si>
  <si>
    <t xml:space="preserve">RM-FUFIT-866</t>
  </si>
  <si>
    <t xml:space="preserve">E40-LBXP-INGL รางลิ้นชัก+แผงข้าง ส117มม soft close</t>
  </si>
  <si>
    <t xml:space="preserve">E40-LBXP-INGL Drawer rail + side panel H117mm softclose</t>
  </si>
  <si>
    <t xml:space="preserve">RM-FUFIT-867</t>
  </si>
  <si>
    <t xml:space="preserve">F40-LBXP-INGL รางลิ้นชัก+แผงข้าง ส214มม soft close</t>
  </si>
  <si>
    <t xml:space="preserve">F40-LBXP-INGL Drawer rail + side panel H214mm softclose</t>
  </si>
  <si>
    <t xml:space="preserve">RM-FUFIT-868</t>
  </si>
  <si>
    <t xml:space="preserve">G40-LBXP-INGL รางลิ้นชัก+แผงข้าง ส90.5มม softclose</t>
  </si>
  <si>
    <t xml:space="preserve">G40-LBXP-INGL Drawer rail + side panel H90.5mm softclose</t>
  </si>
  <si>
    <t xml:space="preserve">RM-FUFIT-869</t>
  </si>
  <si>
    <t xml:space="preserve">H40-LBXP-INGL รางลิ้นชัก+แผงข้าง ส117มม soft close</t>
  </si>
  <si>
    <t xml:space="preserve">H40-LBXP-INGL Drawer rail + side panel H117mm softclose</t>
  </si>
  <si>
    <t xml:space="preserve">RM-FUFIT-870</t>
  </si>
  <si>
    <t xml:space="preserve">ZSI.500BI1N+ZSI.500BI3 ถาดวางช้อน 55-60ซม.</t>
  </si>
  <si>
    <t xml:space="preserve">ZSI.500BI1N+ZSI.500BI3 Spoon tray 55-60 cm.</t>
  </si>
  <si>
    <t xml:space="preserve">RM-FUFIT-871</t>
  </si>
  <si>
    <t xml:space="preserve">ZSI.500BI3+ZSI.500KI4 ถาดวางช้อน 90ซม.</t>
  </si>
  <si>
    <t xml:space="preserve">ZSI500BI3+ZSI.500KI4 Spoon tray 90 cm.</t>
  </si>
  <si>
    <t xml:space="preserve">RM-FUFIT-872</t>
  </si>
  <si>
    <t xml:space="preserve">79B9550+173L6100 ชุดบานพับในขอบมุมอับ+Soft close</t>
  </si>
  <si>
    <t xml:space="preserve">79B9550+173L6100 Hinge set in blind corner + Soft close</t>
  </si>
  <si>
    <t xml:space="preserve">RM-FUFIT-873</t>
  </si>
  <si>
    <t xml:space="preserve">79T8500+173L6100 ชุดบานพับบานต่อเนื่อง เปิด60องศา</t>
  </si>
  <si>
    <t xml:space="preserve">79T8500+173L6100 Continuous hinge set, opening 60 degrees</t>
  </si>
  <si>
    <t xml:space="preserve">RM-FUFIT-874</t>
  </si>
  <si>
    <t xml:space="preserve">530020-6140CB มือจับ 140มม. สีน้ำตาล</t>
  </si>
  <si>
    <t xml:space="preserve">530020-6140CB Handle 140mm. Brown</t>
  </si>
  <si>
    <t xml:space="preserve">AP-PSN000</t>
  </si>
  <si>
    <t xml:space="preserve">RM-FUFIT-875</t>
  </si>
  <si>
    <t xml:space="preserve">530020-6140GY มือจับ 140มม. สีเทา</t>
  </si>
  <si>
    <t xml:space="preserve">530020-6140GY Handle 140mm. Grey</t>
  </si>
  <si>
    <t xml:space="preserve">RM-FUFIT-876</t>
  </si>
  <si>
    <t xml:space="preserve">530020-6330CB มือจับ 330มม. สีน้ำตาล</t>
  </si>
  <si>
    <t xml:space="preserve">530020-6330CB Handle 330mm. Brown</t>
  </si>
  <si>
    <t xml:space="preserve">RM-FUFIT-877</t>
  </si>
  <si>
    <t xml:space="preserve">530020-6330GY มือจับ 330มม. สีเทา</t>
  </si>
  <si>
    <t xml:space="preserve">530020-6330GY Handle 330mm. Grey</t>
  </si>
  <si>
    <t xml:space="preserve">RM-FUFIT-878</t>
  </si>
  <si>
    <t xml:space="preserve">530020-6025CB ปุ่มจับ สีน้ำตาล</t>
  </si>
  <si>
    <t xml:space="preserve">530020-6025CB Knob Brown</t>
  </si>
  <si>
    <t xml:space="preserve">RM-FUFIT-879</t>
  </si>
  <si>
    <t xml:space="preserve">530020-6025GY ปุ่มจับ สีเทา</t>
  </si>
  <si>
    <t xml:space="preserve">530020-6025GY Knob, gray</t>
  </si>
  <si>
    <t xml:space="preserve">RM-FUFIT-880</t>
  </si>
  <si>
    <t xml:space="preserve">530011-6138S มือจับ 138มม. สีเงิน</t>
  </si>
  <si>
    <t xml:space="preserve">530011-6138S Handle 138mm. Silver</t>
  </si>
  <si>
    <t xml:space="preserve">RM-FUFIT-881</t>
  </si>
  <si>
    <t xml:space="preserve">530011-6138B มือจับ 138มม. สีดำ</t>
  </si>
  <si>
    <t xml:space="preserve">530011-6138B Handle 138mm. Black</t>
  </si>
  <si>
    <t xml:space="preserve">RM-FUFIT-882</t>
  </si>
  <si>
    <t xml:space="preserve">493.05.322 FREE FLAP รุ่น C ฝาครอบสีขาว</t>
  </si>
  <si>
    <t xml:space="preserve">493.05.322 FREE FLAP Model C White Cover</t>
  </si>
  <si>
    <t xml:space="preserve">RM-FUFIT-883</t>
  </si>
  <si>
    <t xml:space="preserve">433.32.072 รางลิ้นชักแบบคลิปรุ่น EPC-PRO 350มม.</t>
  </si>
  <si>
    <t xml:space="preserve">433.32.072 EPC-PRO Clip Drawer Rail 350mm.</t>
  </si>
  <si>
    <t xml:space="preserve">RM-FUFIT-884</t>
  </si>
  <si>
    <t xml:space="preserve">530011-6106S มือจับ 106ม. สีเงิน</t>
  </si>
  <si>
    <t xml:space="preserve">530011-6106S Handle 106 m. Silver</t>
  </si>
  <si>
    <t xml:space="preserve">RM-FUFIT-885</t>
  </si>
  <si>
    <t xml:space="preserve">530011-6106B มือจับ 106ม. สีดำ</t>
  </si>
  <si>
    <t xml:space="preserve">530011-6106B Handle 106 m. Black</t>
  </si>
  <si>
    <t xml:space="preserve">RM-FUFIT-886</t>
  </si>
  <si>
    <t xml:space="preserve">510026-4128  ปุ่มจับทองเหลือง P128มม.</t>
  </si>
  <si>
    <t xml:space="preserve">510026-4128 Brass Knob P128mm.</t>
  </si>
  <si>
    <t xml:space="preserve">RM-FUFIT-887</t>
  </si>
  <si>
    <t xml:space="preserve">510026-4000 ปุ่มจับทองเหลือง</t>
  </si>
  <si>
    <t xml:space="preserve">510026-4000 brass knob</t>
  </si>
  <si>
    <t xml:space="preserve">RM-FUFIT-888</t>
  </si>
  <si>
    <t xml:space="preserve">510026-4220 มือจับทองเหลือง P220มม.</t>
  </si>
  <si>
    <t xml:space="preserve">510026-4220 Brass handle P220mm.</t>
  </si>
  <si>
    <t xml:space="preserve">RM-FUFIT-889</t>
  </si>
  <si>
    <t xml:space="preserve">520001-6148B มือจับ 148มม. สีดำ</t>
  </si>
  <si>
    <t xml:space="preserve">52001-6148B Handle 148mm. Black</t>
  </si>
  <si>
    <t xml:space="preserve">RM-FUFIT-890</t>
  </si>
  <si>
    <t xml:space="preserve">520001-61000B มือจับ 1000มม. สีดำ</t>
  </si>
  <si>
    <t xml:space="preserve">520001-61000B Handle 1000mm. Black</t>
  </si>
  <si>
    <t xml:space="preserve">RM-FUFIT-891</t>
  </si>
  <si>
    <t xml:space="preserve">546.27.310 ชุดตู้สูงบานดึง Dispensa 150มม.</t>
  </si>
  <si>
    <t xml:space="preserve">546.27.310 Dispensa door pull-out height set, 150mm.</t>
  </si>
  <si>
    <t xml:space="preserve">RM-FUFIT-892</t>
  </si>
  <si>
    <t xml:space="preserve">จีน-ถังขยะตะแกรงบานดึง 400มม.</t>
  </si>
  <si>
    <t xml:space="preserve">China-Rubber sieve door 400mm.</t>
  </si>
  <si>
    <t xml:space="preserve">RM-FUFIT-893</t>
  </si>
  <si>
    <t xml:space="preserve">กล่องKT125/M ใส่ตู้สูง พิมพ์ตามแบบ</t>
  </si>
  <si>
    <t xml:space="preserve">Box KT125/M with high cabinet, printed according to the design</t>
  </si>
  <si>
    <t xml:space="preserve">RM-FUFIT-894</t>
  </si>
  <si>
    <t xml:space="preserve">1H00700596 มือจับ สีทอง 96มม.</t>
  </si>
  <si>
    <t xml:space="preserve">1H00700596 Handle, gold, 96mm.</t>
  </si>
  <si>
    <t xml:space="preserve">RM-FURAW-001</t>
  </si>
  <si>
    <t xml:space="preserve">Wood</t>
  </si>
  <si>
    <t xml:space="preserve">ไม้-MDF E0 CARB-MKW5305 PL:011-Blond Oak-18mm.*4*8</t>
  </si>
  <si>
    <t xml:space="preserve">Wood-MDF E0 CARB-MKW5305 PL:011-Blond Oak-18mm.*4*8</t>
  </si>
  <si>
    <t xml:space="preserve">RM-FURAW-002</t>
  </si>
  <si>
    <t xml:space="preserve">ไม้เปลือย-PB E0-18mm.*4*8</t>
  </si>
  <si>
    <t xml:space="preserve">Bare wood-PB E0-18mm.*4*8</t>
  </si>
  <si>
    <t xml:space="preserve">AP-GRP000</t>
  </si>
  <si>
    <t xml:space="preserve">RM-FURAW-003</t>
  </si>
  <si>
    <t xml:space="preserve">ไม้-MDF E0-MoccaWalnut-MKW5309 PL:06-18mm.</t>
  </si>
  <si>
    <t xml:space="preserve">Wood-MDF E0-MoccaWalnut-MKW5309 PL:06-18mm.</t>
  </si>
  <si>
    <t xml:space="preserve">RM-FURAW-004</t>
  </si>
  <si>
    <t xml:space="preserve">ปิดขอบ-1mm.-28mm.-Hard Oak-MKW5305</t>
  </si>
  <si>
    <t xml:space="preserve">Close the edge -1mm.-28mm.-Hard Oak-MKW5305</t>
  </si>
  <si>
    <t xml:space="preserve">RM-FURAW-005</t>
  </si>
  <si>
    <t xml:space="preserve">ปิดขอบ-1mm.-28mm.-Macca Walnut-MKW5309</t>
  </si>
  <si>
    <t xml:space="preserve">Close the edge -1mm.-28mm.-Macca Walnut-MKW5309</t>
  </si>
  <si>
    <t xml:space="preserve">RM-FURAW-006</t>
  </si>
  <si>
    <t xml:space="preserve">ไม้เปลือย-MDF E2-25mm.*4*8</t>
  </si>
  <si>
    <t xml:space="preserve">Bare-MDF E2-25mm.*4*8</t>
  </si>
  <si>
    <t xml:space="preserve">AP-TCH000</t>
  </si>
  <si>
    <t xml:space="preserve">RM-FURAW-007</t>
  </si>
  <si>
    <t xml:space="preserve">ไม้-PB E0-MKW3258 PL:TMC02-Grey-16mm.*4*8</t>
  </si>
  <si>
    <t xml:space="preserve">Wood-PB E0-MKW3258 PL:TMC02-Grey-16mm.*4*8</t>
  </si>
  <si>
    <t xml:space="preserve">RM-FURAW-008</t>
  </si>
  <si>
    <t xml:space="preserve">ไม้-MDF E0 CARB-MKW3200 PL:TMC03-Graphite-18mm.</t>
  </si>
  <si>
    <t xml:space="preserve">Wood-MDF E0 CARB-MKW3200 PL:TMC03-Graphite-18mm.</t>
  </si>
  <si>
    <t xml:space="preserve">RM-FURAW-009</t>
  </si>
  <si>
    <t xml:space="preserve">ปิดขอบ-Honey Oak-TS 8003-1mm.-28mm.</t>
  </si>
  <si>
    <t xml:space="preserve">Close the edge of -oney oak-TS 8003-1mm. -8mm.</t>
  </si>
  <si>
    <t xml:space="preserve">AP-9889000</t>
  </si>
  <si>
    <t xml:space="preserve">RM-FURAW-010</t>
  </si>
  <si>
    <t xml:space="preserve">ไม้-MDF E0 CARB-MKW12180 PL:06-Ash-18mm.*4*8</t>
  </si>
  <si>
    <t xml:space="preserve">Wood-MDF E0 CARB-MKW12180 PL:06-Ash-18mm.*4*8</t>
  </si>
  <si>
    <t xml:space="preserve">RM-FURAW-011</t>
  </si>
  <si>
    <t xml:space="preserve">ไม้-MDF E0 CARB-MKW4008 PL:06-Hard Oak-18mm.*4*8</t>
  </si>
  <si>
    <t xml:space="preserve">Wood-MDF E0 Carb-MKW4008 PL: 06-Hard Oak-18mm.*4*8</t>
  </si>
  <si>
    <t xml:space="preserve">RM-FURAW-012</t>
  </si>
  <si>
    <t xml:space="preserve">ไม้-MDF E0 CARB-MKW3180 PL:06-Teak Cabania-18mm.</t>
  </si>
  <si>
    <t xml:space="preserve">Wood-MDF E0 Carb-MKW3180 PL: 06-Teak Cabania-18mm.</t>
  </si>
  <si>
    <t xml:space="preserve">RM-FURAW-013</t>
  </si>
  <si>
    <t xml:space="preserve">ไม้-MDF E0 CARB-MKW1125PL:06-Cherry Capucino-18mm.</t>
  </si>
  <si>
    <t xml:space="preserve">Wood-MDF E0 Carb-MKW1125P: 06-Sochery Capucino-18mm.</t>
  </si>
  <si>
    <t xml:space="preserve">RM-FURAW-014</t>
  </si>
  <si>
    <t xml:space="preserve">ไม้-PB E0 CARB-MKW101 PL:TMC02-White-25mm.*4*8</t>
  </si>
  <si>
    <t xml:space="preserve">Wood-PB E0 Carb-MKW101 PL: TMC02-WHITE-25mm.*4*8</t>
  </si>
  <si>
    <t xml:space="preserve">RM-FURAW-015</t>
  </si>
  <si>
    <t xml:space="preserve">ไม้-MDF E0 CARB-MKW5443 PL:011-Mocca Dak-18mm.*4*8</t>
  </si>
  <si>
    <t xml:space="preserve">Wood-MDF E0 Carb-MKW543 PL: 011-Mocca Dak-18mm*4*8</t>
  </si>
  <si>
    <t xml:space="preserve">RM-FURAW-016</t>
  </si>
  <si>
    <t xml:space="preserve">ไม้-PLYWOOD-NANO-Platinum Silk-19mm.*4*8</t>
  </si>
  <si>
    <t xml:space="preserve">Wood-PLYWOOD-NANO-Platinum Silk-1MM.*4*8</t>
  </si>
  <si>
    <t xml:space="preserve">RM-FURAW-017</t>
  </si>
  <si>
    <t xml:space="preserve">ไม้-PLYWOOD-NANO-Coffee-19mm.*4*8</t>
  </si>
  <si>
    <t xml:space="preserve">Wood -Plywood-nano-coffee-19mm.*4*8</t>
  </si>
  <si>
    <t xml:space="preserve">RM-FURAW-018</t>
  </si>
  <si>
    <t xml:space="preserve">ไม้-PLYWOOD-NANO-Kahki-19mm.*4*8</t>
  </si>
  <si>
    <t xml:space="preserve">Wood -Plywood-nano-kahki-19mm.*4*8</t>
  </si>
  <si>
    <t xml:space="preserve">RM-FURAW-019</t>
  </si>
  <si>
    <t xml:space="preserve">ไม้-PLYWOOD-NANO-Nordic Silver-19mm.*4*8</t>
  </si>
  <si>
    <t xml:space="preserve">Wood-PLYWOOD-NANO-Nordic Silver-19mm.*4*8</t>
  </si>
  <si>
    <t xml:space="preserve">RM-FURAW-020</t>
  </si>
  <si>
    <t xml:space="preserve">ปิดขอบ-Graphite-MKW3200-0.8mm.-22mm.</t>
  </si>
  <si>
    <t xml:space="preserve">Close the edge of-graphite-mkw3200-0.8mm. -2mm.</t>
  </si>
  <si>
    <t xml:space="preserve">AP-DXT000</t>
  </si>
  <si>
    <t xml:space="preserve">RM-FURAW-022</t>
  </si>
  <si>
    <t xml:space="preserve">ปิดขอบ-สีCherry Cappucino-98 14040-1mm.-22mm.</t>
  </si>
  <si>
    <t xml:space="preserve">Close the edge-Cherry CAPPUCINO-98 14040-1mm. -2mm.</t>
  </si>
  <si>
    <t xml:space="preserve">RM-FURAW-023</t>
  </si>
  <si>
    <t xml:space="preserve">ไม้-MDF E1-MKW4008 06-สีHard Oak-19mm.*4*8</t>
  </si>
  <si>
    <t xml:space="preserve">Wood -MDF E1-MKW4008 06-Hard Oak-19mm.*4*8</t>
  </si>
  <si>
    <t xml:space="preserve">RM-FURAW-024</t>
  </si>
  <si>
    <t xml:space="preserve">ปิดขอบ-สีTeak Cabania-98 4192-1mm.-22mm.</t>
  </si>
  <si>
    <t xml:space="preserve">Close the edge-TEAK CABANIA-98 4192-1mm. -2mm.</t>
  </si>
  <si>
    <t xml:space="preserve">RM-FURAW-026</t>
  </si>
  <si>
    <t xml:space="preserve">ปิดขอบ-สีHard Oak-98 12553-1mm.-22mm.</t>
  </si>
  <si>
    <t xml:space="preserve">Close the edge-hard oak-98 12553-1mm. -2mm.</t>
  </si>
  <si>
    <t xml:space="preserve">RM-FURAW-027</t>
  </si>
  <si>
    <t xml:space="preserve">ไม้-PB E0 CARB-MKW101 PL:TMC02-White-18mm.*4*8</t>
  </si>
  <si>
    <t xml:space="preserve">Wood-PB E0 Carb-MKW101 PL: TMC02-WHITE-18mm.*4*8</t>
  </si>
  <si>
    <t xml:space="preserve">RM-FURAW-028</t>
  </si>
  <si>
    <t xml:space="preserve">ไม้-PB E1-MKW3180 PL:06-Teak Cabania-16mm.*4*8</t>
  </si>
  <si>
    <t xml:space="preserve">Wood-PB E1-MKW3180 PL: 06-Teak Cabania-16mm.*4*8</t>
  </si>
  <si>
    <t xml:space="preserve">RM-FURAW-029</t>
  </si>
  <si>
    <t xml:space="preserve">ไม้-MDF E0 CARB-MKW3258 PL:TMC02-Grey-6mm.*4*8</t>
  </si>
  <si>
    <t xml:space="preserve">Wood-MDF E0 Carb-MKW3258 PL: TMC02-Gray-6mm.*4*8</t>
  </si>
  <si>
    <t xml:space="preserve">RM-FURAW-030</t>
  </si>
  <si>
    <t xml:space="preserve">ไม้-MDF E0 CARB-MKW3200 PL:TMC02-Graphite-6mm.</t>
  </si>
  <si>
    <t xml:space="preserve">Wood-MDF E0 Carb-MKW3200 PL: TMC02-Graphite-6mm.</t>
  </si>
  <si>
    <t xml:space="preserve">RM-FURAW-031</t>
  </si>
  <si>
    <t xml:space="preserve">ไม้-PB E1-MKW4008 PL:06-Hard Oak-16mm.*4*8</t>
  </si>
  <si>
    <t xml:space="preserve">Wood-PB E1-MKW4008 PL: 06-Hard Oak-16mm.*4*8</t>
  </si>
  <si>
    <t xml:space="preserve">RM-FURAW-032</t>
  </si>
  <si>
    <t xml:space="preserve">ปิดขอบ-Graphite-0-1mm.-22mm.</t>
  </si>
  <si>
    <t xml:space="preserve">Close the edge of-graphite-0-1mm. -2mm.</t>
  </si>
  <si>
    <t xml:space="preserve">RM-FURAW-034</t>
  </si>
  <si>
    <t xml:space="preserve">ไม้-PB E0 CARB-MKW5309 PL:06-Mocca Walnut-18mm.</t>
  </si>
  <si>
    <t xml:space="preserve">Wood-PB E0 Carb-MKW5309 PL: 06-Mocca Walnut-18mm.</t>
  </si>
  <si>
    <t xml:space="preserve">RM-FURAW-035</t>
  </si>
  <si>
    <t xml:space="preserve">ไม้-PB E0 CARB-MKW4008 PL:06-Hard Oak-18mm.*4*8</t>
  </si>
  <si>
    <t xml:space="preserve">Wood-PB E0 Carb-MKW4008 PL: 06-Hard Oak-18mm.*4*8</t>
  </si>
  <si>
    <t xml:space="preserve">RM-FURAW-036</t>
  </si>
  <si>
    <t xml:space="preserve">ไม้-PB E0 CARB-MKW4031 PL:06-Textural Siamea-18mm.</t>
  </si>
  <si>
    <t xml:space="preserve">Wood-PB E0 Carb-MKW4031 PL: 06-TEXTural Siamea-18mm.</t>
  </si>
  <si>
    <t xml:space="preserve">RM-FURAW-037</t>
  </si>
  <si>
    <t xml:space="preserve">ไม้เปลือย-MDF E0 CARB-21mm.*4*8</t>
  </si>
  <si>
    <t xml:space="preserve">Bare-MDF E0 Carb-21mm*4*8</t>
  </si>
  <si>
    <t xml:space="preserve">AP-AGF000 </t>
  </si>
  <si>
    <t xml:space="preserve">RM-FURAW-038</t>
  </si>
  <si>
    <t xml:space="preserve">ไม้-HMR V70-MKW1125 PL:06-Cherry Capucino-18mm.</t>
  </si>
  <si>
    <t xml:space="preserve">Wood -HMR V70-MKW1125 PL: 06-Cherry Capucino-18mm.</t>
  </si>
  <si>
    <t xml:space="preserve">RM-FURAW-040</t>
  </si>
  <si>
    <t xml:space="preserve">ปิดขอบ-ลายไม้Plywood-A0787TH00-2mm.-28mm.</t>
  </si>
  <si>
    <t xml:space="preserve">Close the edge-Plywood-A0787TH00-2MM. -8MM.</t>
  </si>
  <si>
    <t xml:space="preserve">RM-FURAW-041</t>
  </si>
  <si>
    <t xml:space="preserve">ไม้-PB E1-MKW5309 MKW06-Macca Walnut-16mm.*4*8</t>
  </si>
  <si>
    <t xml:space="preserve">Wood-PB E1-MKW5309 MKW06-Macca Walnut-16mm.*4*8</t>
  </si>
  <si>
    <t xml:space="preserve">RM-FURAW-042</t>
  </si>
  <si>
    <t xml:space="preserve">ไม้-MDF E0 CARB-MKW101 PL:TMC02-White-16mm.*4*8</t>
  </si>
  <si>
    <t xml:space="preserve">Wood-MDF E0 Carb-MKW101 PL: TMC02-WHITE-16mm.*4*8</t>
  </si>
  <si>
    <t xml:space="preserve">RM-FURAW-043</t>
  </si>
  <si>
    <t xml:space="preserve">ไม้-PB E1-MKW4031 MKW06-Textural Siamea-16mm.*4*8</t>
  </si>
  <si>
    <t xml:space="preserve">Wood-PB E1-MKW4031 MKW06-TEXTURAL SIAMEA-16mm.*4*8</t>
  </si>
  <si>
    <t xml:space="preserve">RM-FURAW-044</t>
  </si>
  <si>
    <t xml:space="preserve">ปิดขอบ-Brown Oak-0-1mm.-22mm.</t>
  </si>
  <si>
    <t xml:space="preserve">Close the edge --brown oak-0-1mm. -2mm.</t>
  </si>
  <si>
    <t xml:space="preserve">RM-FURAW-045</t>
  </si>
  <si>
    <t xml:space="preserve">ไม้-PB E1-MKW1125 MKW06-Cherry Capucino-16mm.*4*8</t>
  </si>
  <si>
    <t xml:space="preserve">Wood-PB E1-MKW1125 MKW06-Cherry Capucino-16mm.*4*8</t>
  </si>
  <si>
    <t xml:space="preserve">RM-FURAW-047</t>
  </si>
  <si>
    <t xml:space="preserve">ไม้-PB E1-MKW12180/MKW101 PL:06-Ash/White-16mm.</t>
  </si>
  <si>
    <t xml:space="preserve">Wood-PB E1-MKW12180/MKW101 PL: 06-SH/White-16mm.</t>
  </si>
  <si>
    <t xml:space="preserve">RM-FURAW-048</t>
  </si>
  <si>
    <t xml:space="preserve">ไม้-PBE1-MKW5309/MKW101 PL:06-ScuroWallnut/W-16mm.</t>
  </si>
  <si>
    <t xml:space="preserve">Wood-PBE1-MKW5309/MKW101 PL: 06-Scurrowallnut/W-16mm.</t>
  </si>
  <si>
    <t xml:space="preserve">RM-FURAW-049</t>
  </si>
  <si>
    <t xml:space="preserve">ไม้-PB E1-MKW4008/MKW101 PL:06-HardOak/White-16mm.</t>
  </si>
  <si>
    <t xml:space="preserve">Wood-PB E1-MKW4008/MKW101 PL: 06-Hardoak/White-16mm.</t>
  </si>
  <si>
    <t xml:space="preserve">RM-FURAW-050</t>
  </si>
  <si>
    <t xml:space="preserve">ไม้-PBE1-MKW4031/MKW101PL:06-TexturalSiameaW-16mm.</t>
  </si>
  <si>
    <t xml:space="preserve">Wood-PBE1-MKW4031/MKW101PL: 06-TEXTURARSIAMEAW-16mm.</t>
  </si>
  <si>
    <t xml:space="preserve">RM-FURAW-051</t>
  </si>
  <si>
    <t xml:space="preserve">ไม้-PB E1-MKW3180/MKW101 PL:06-Teak Cabania/W-16mm</t>
  </si>
  <si>
    <t xml:space="preserve">Wood-PB E1-MKW3180/MKW101 PL: 06-Teak Cabania/W-16mm</t>
  </si>
  <si>
    <t xml:space="preserve">RM-FURAW-052</t>
  </si>
  <si>
    <t xml:space="preserve">ไม้-PBE1-MKW1125MKW101PL:06-CherryCappucinoW-16mm.</t>
  </si>
  <si>
    <t xml:space="preserve">Wood-PBE1-MKW1125MKW101PL: 06-SHERRYCAPPUCINOW-16mm.</t>
  </si>
  <si>
    <t xml:space="preserve">RM-FURAW-054</t>
  </si>
  <si>
    <t xml:space="preserve">ไม้-MDF E0 CARB-MKW12180 PL:06-Ash-6mm.*4*8</t>
  </si>
  <si>
    <t xml:space="preserve">Wood -MDF E0 Carb-MKW12180 Pl: 06-SH-6mm.*4*8</t>
  </si>
  <si>
    <t xml:space="preserve">RM-FURAW-055</t>
  </si>
  <si>
    <t xml:space="preserve">ไม้-MDF E0 CARB-MKW5309 PL:06-Scuro Wallnut-6mm.</t>
  </si>
  <si>
    <t xml:space="preserve">Wood-MDF E0 Carb-MKW5309 PL: 06-Scuro Wallnut-6mm.</t>
  </si>
  <si>
    <t xml:space="preserve">RM-FURAW-056</t>
  </si>
  <si>
    <t xml:space="preserve">ไม้-MDF E0 CARB-MKW4008 PL:06-Hard Oak-6mm.*4*8</t>
  </si>
  <si>
    <t xml:space="preserve">Wood-MDF E0 Carb-MKW4008 PL: 06-Hard Oak-6mm.*4*8</t>
  </si>
  <si>
    <t xml:space="preserve">RM-FURAW-057</t>
  </si>
  <si>
    <t xml:space="preserve">ไม้-MDF E0 CARB-MKW4031 PL:06-Textural Siamea-6mm.</t>
  </si>
  <si>
    <t xml:space="preserve">Wood-MDF E0 Carb-MKW4031 PL: 06-TEXTural Siamea-6MM.</t>
  </si>
  <si>
    <t xml:space="preserve">RM-FURAW-058</t>
  </si>
  <si>
    <t xml:space="preserve">ไม้-MDF E0 CARB-MKW3180 PL:06-Teak Cabania-6mm.</t>
  </si>
  <si>
    <t xml:space="preserve">Wood-MDF E0 Carb-MKW3180 PL: 06-Teak Cabania-6mm.</t>
  </si>
  <si>
    <t xml:space="preserve">RM-FURAW-059</t>
  </si>
  <si>
    <t xml:space="preserve">ไม้-MDF E0 CARB-MKW1125 PL:06-Cherry Capucino-6mm.</t>
  </si>
  <si>
    <t xml:space="preserve">Wood-MDF E0 Carb-MKW1125 PL: 06-Cherry Capucino-6mm.</t>
  </si>
  <si>
    <t xml:space="preserve">RM-FURAW-060</t>
  </si>
  <si>
    <t xml:space="preserve">ไม้-MDF E1-MKW3200 PL:TMC02-Graphite-16mm.*4*8</t>
  </si>
  <si>
    <t xml:space="preserve">Wood-MDF E1-MKW3200 PL: TMC02-Graphite-16mm.*4*8</t>
  </si>
  <si>
    <t xml:space="preserve">RM-FURAW-061</t>
  </si>
  <si>
    <t xml:space="preserve">ปิดขอบ-Ash-MKW12180-0.45mm.-19mm.</t>
  </si>
  <si>
    <t xml:space="preserve">Close the edge -ASH-MKW12180-0.45mm.-19mm.</t>
  </si>
  <si>
    <t xml:space="preserve">RM-FURAW-062</t>
  </si>
  <si>
    <t xml:space="preserve">ไม้เปลือย-PB E0 CARB-25mm.*4*8</t>
  </si>
  <si>
    <t xml:space="preserve">Bare wood-PB E0 Carb-25mm.*4*8</t>
  </si>
  <si>
    <t xml:space="preserve">RM-FURAW-063</t>
  </si>
  <si>
    <t xml:space="preserve">ปิดขอบ-Hard Oak-MKW4008-0.45mm.-19mm.</t>
  </si>
  <si>
    <t xml:space="preserve">Close the edge of-hak-mkw4008-0.45mm.-19mm.</t>
  </si>
  <si>
    <t xml:space="preserve">RM-FURAW-064</t>
  </si>
  <si>
    <t xml:space="preserve">ไม้-PB E0 CARB-MKW12180 PL:06-Ash-16mm.*4*8</t>
  </si>
  <si>
    <t xml:space="preserve">Wood-PB E0 Carb-MKW12180 PL: 06-SH-16mm.*4*8</t>
  </si>
  <si>
    <t xml:space="preserve">RM-FURAW-065</t>
  </si>
  <si>
    <t xml:space="preserve">ไม้เปลือย-MDF HMR E0 CARB-16mm.*4*8</t>
  </si>
  <si>
    <t xml:space="preserve">Bare-MDF HMR E0 Carb-16mm.*4*8</t>
  </si>
  <si>
    <t xml:space="preserve">AP-WIW000 </t>
  </si>
  <si>
    <t xml:space="preserve">RM-FURAW-066</t>
  </si>
  <si>
    <t xml:space="preserve">ไม้เปลือย-MDF E0 CARB-6mm.*4*8</t>
  </si>
  <si>
    <t xml:space="preserve">Bare-MDF E0 Carb-6mm.*4*8</t>
  </si>
  <si>
    <t xml:space="preserve">RM-FURAW-067</t>
  </si>
  <si>
    <t xml:space="preserve">ไม้เปลือย-MDF E2-12mm.*4*8</t>
  </si>
  <si>
    <t xml:space="preserve">Bare-MDF E2-12mm.*4*8</t>
  </si>
  <si>
    <t xml:space="preserve">AP-MTP001</t>
  </si>
  <si>
    <t xml:space="preserve">RM-FURAW-068</t>
  </si>
  <si>
    <t xml:space="preserve">ไม้เปลือย-MDF E2-9mm.*4*8</t>
  </si>
  <si>
    <t xml:space="preserve">Bare-MDF E2-9mm.*4*8</t>
  </si>
  <si>
    <t xml:space="preserve">RM-FURAW-069</t>
  </si>
  <si>
    <t xml:space="preserve">ปิดขอบ-Ash-MKW12180-1mm.-22mm.</t>
  </si>
  <si>
    <t xml:space="preserve">Close to the edge -ASH-MKW12180-1mm. -2mm.</t>
  </si>
  <si>
    <t xml:space="preserve">RM-FURAW-070</t>
  </si>
  <si>
    <t xml:space="preserve">ปิดขอบ-Scuro Wallnut-MKW5309-1mm.-22mm.</t>
  </si>
  <si>
    <t xml:space="preserve">Close the edge -scuro wallnut-MKW5309-1mm. -2mm.</t>
  </si>
  <si>
    <t xml:space="preserve">RM-FURAW-071</t>
  </si>
  <si>
    <t xml:space="preserve">ปิดขอบ-Hard Oak-MKW4008-1mm.-22mm.</t>
  </si>
  <si>
    <t xml:space="preserve">Close the edge of-hak-mkw4008-1mm. -2mm.</t>
  </si>
  <si>
    <t xml:space="preserve">RM-FURAW-072</t>
  </si>
  <si>
    <t xml:space="preserve">ปิดขอบ-Textural Siamea-MKW4031-1mm.-22mm.</t>
  </si>
  <si>
    <t xml:space="preserve">Close the edge -textharal Siamea-MKW4031-1mm. -2mm.</t>
  </si>
  <si>
    <t xml:space="preserve">RM-FURAW-073</t>
  </si>
  <si>
    <t xml:space="preserve">ปิดขอบ-Teak Cabania-MKW3180-1mm.-22mm.</t>
  </si>
  <si>
    <t xml:space="preserve">Close the edge of -teak cabania-mkw3180-1mm. -2mm.</t>
  </si>
  <si>
    <t xml:space="preserve">RM-FURAW-074</t>
  </si>
  <si>
    <t xml:space="preserve">ปิดขอบ-9889-98 6480(MKW1125)-1mm.-22mm.</t>
  </si>
  <si>
    <t xml:space="preserve">Close the edge -9889-98 6480 (MKW1125) -1mm. -2mm.</t>
  </si>
  <si>
    <t xml:space="preserve">RM-FURAW-075</t>
  </si>
  <si>
    <t xml:space="preserve">ลูกเต๋า-0-ทำพาเลท-9*10*8-0</t>
  </si>
  <si>
    <t xml:space="preserve">Dice -0- Make a pallet-9*10*8-0</t>
  </si>
  <si>
    <t xml:space="preserve">AP-SNT001</t>
  </si>
  <si>
    <t xml:space="preserve">RM-FURAW-076</t>
  </si>
  <si>
    <t xml:space="preserve">ปิดขอบ-Ash-MKW12180-1mm.-19mm.</t>
  </si>
  <si>
    <t xml:space="preserve">Close to the edge -ASH-MKW12180-1mm.-19mm.</t>
  </si>
  <si>
    <t xml:space="preserve">RM-FURAW-077</t>
  </si>
  <si>
    <t xml:space="preserve">ปิดขอบ-Scuro Wallnut-MKW5309-1mm.-19mm.</t>
  </si>
  <si>
    <t xml:space="preserve">Close the edge of -scuro wallnut-mkw5309-1mm.-19mm.</t>
  </si>
  <si>
    <t xml:space="preserve">RM-FURAW-078</t>
  </si>
  <si>
    <t xml:space="preserve">ปิดขอบ-Hard Oak-MKW4008-1mm.-19mm.</t>
  </si>
  <si>
    <t xml:space="preserve">Close the edge of-hak-mkw4008-1mm.-19mm.</t>
  </si>
  <si>
    <t xml:space="preserve">RM-FURAW-079</t>
  </si>
  <si>
    <t xml:space="preserve">ปิดขอบ-Textural Siamea-MKW4031-1mm.-19mm.</t>
  </si>
  <si>
    <t xml:space="preserve">Close the edge -textharal Siamea-mkw4031-1mm.-19mm.</t>
  </si>
  <si>
    <t xml:space="preserve">RM-FURAW-080</t>
  </si>
  <si>
    <t xml:space="preserve">ปิดขอบ-Teak Cabania-MKW3180-1mm.-19mm.</t>
  </si>
  <si>
    <t xml:space="preserve">Close the edge of -teak cabania-mkw3180-1mm.-19mm.</t>
  </si>
  <si>
    <t xml:space="preserve">RM-FURAW-081</t>
  </si>
  <si>
    <t xml:space="preserve">ปิดขอบ-Cherry Cappucino-MKW1125-1mm.-19mm.</t>
  </si>
  <si>
    <t xml:space="preserve">Close the edge -cherry CAPPUCINO-MKW1125-1mm.-19mm.</t>
  </si>
  <si>
    <t xml:space="preserve">RM-FURAW-082</t>
  </si>
  <si>
    <t xml:space="preserve">ปิดขอบ-White-MKW101-1mm.-28mm.</t>
  </si>
  <si>
    <t xml:space="preserve">Close -White-MKW101-1mm. -8mm.</t>
  </si>
  <si>
    <t xml:space="preserve">RM-FURAW-083</t>
  </si>
  <si>
    <t xml:space="preserve">ปิดขอบ-Ash-MKW12180-1mm.-28mm.</t>
  </si>
  <si>
    <t xml:space="preserve">Close to the edge -ASH-MKW12180-1mm. -8mm.</t>
  </si>
  <si>
    <t xml:space="preserve">RM-FURAW-084</t>
  </si>
  <si>
    <t xml:space="preserve">ปิดขอบ-Scuro Wallnut-MKW5309-1mm.-28mm.</t>
  </si>
  <si>
    <t xml:space="preserve">Close the edge of -scuro wallnut-mkw5309-1mm. -8mm.</t>
  </si>
  <si>
    <t xml:space="preserve">RM-FURAW-085</t>
  </si>
  <si>
    <t xml:space="preserve">ปิดขอบ-Hard Oak-MKW4008-1mm.-28mm.</t>
  </si>
  <si>
    <t xml:space="preserve">Close the edge of-hak-mkw4008-1mm. -8mm.</t>
  </si>
  <si>
    <t xml:space="preserve">RM-FURAW-086</t>
  </si>
  <si>
    <t xml:space="preserve">ปิดขอบ-Textural Siamea-MKW4031-1mm.-28mm.</t>
  </si>
  <si>
    <t xml:space="preserve">Close the edge -textharal Siamea-mkw4031-1mm. -8mm.</t>
  </si>
  <si>
    <t xml:space="preserve">RM-FURAW-087</t>
  </si>
  <si>
    <t xml:space="preserve">ปิดขอบ-Teak Cabania-MKW3180-1mm.-28mm.</t>
  </si>
  <si>
    <t xml:space="preserve">Close the edge of -teak cabania-mkw3180-1mm.-28mm.</t>
  </si>
  <si>
    <t xml:space="preserve">RM-FURAW-088</t>
  </si>
  <si>
    <t xml:space="preserve">ปิดขอบ-Cherry Cappucino-MKW1125-1mm.-28mm.</t>
  </si>
  <si>
    <t xml:space="preserve">Close the edge -cherry CAPPUCINO-MKW1125-1mm.-8MM.</t>
  </si>
  <si>
    <t xml:space="preserve">RM-FURAW-089</t>
  </si>
  <si>
    <t xml:space="preserve">ปิดขอบ-Platinum Silk-NANO 01-1mm.-22mm.</t>
  </si>
  <si>
    <t xml:space="preserve">Close the edge-PLATINUM Silk-nano 01-1mm. -2mm.</t>
  </si>
  <si>
    <t xml:space="preserve">RM-FURAW-090</t>
  </si>
  <si>
    <t xml:space="preserve">ปิดขอบ-Coffee-NANO 02-1mm.-22mm.</t>
  </si>
  <si>
    <t xml:space="preserve">Close the edge-coffee-nano 02-1mm.-22mm.</t>
  </si>
  <si>
    <t xml:space="preserve">RM-FURAW-091</t>
  </si>
  <si>
    <t xml:space="preserve">ปิดขอบ-Kahki-NANO 11-1mm.-22mm.</t>
  </si>
  <si>
    <t xml:space="preserve">Close the edge -Kahki-nano 11-1mm.-22mm.</t>
  </si>
  <si>
    <t xml:space="preserve">RM-FURAW-092</t>
  </si>
  <si>
    <t xml:space="preserve">ปิดขอบ-Nordic Silver-NANO 15-1mm.-22mm.</t>
  </si>
  <si>
    <t xml:space="preserve">Close the edge of-nordic silver-nano 15-1mm. -2mm.</t>
  </si>
  <si>
    <t xml:space="preserve">RM-FURAW-093</t>
  </si>
  <si>
    <t xml:space="preserve">ปิดขอบ-Grey-MKW3258-1mm.-19mm.</t>
  </si>
  <si>
    <t xml:space="preserve">Close-Grey-MKW3258-1mm.-19mm.</t>
  </si>
  <si>
    <t xml:space="preserve">RM-FURAW-094</t>
  </si>
  <si>
    <t xml:space="preserve">ลามิเนต-Hermes Marcello Walnut-WY5217D-0.7mm.-4*8</t>
  </si>
  <si>
    <t xml:space="preserve">Laminate-Hermes Marcello Walnut-Wy5217D-0.7mm.-4*8</t>
  </si>
  <si>
    <t xml:space="preserve">AP-TAK000</t>
  </si>
  <si>
    <t xml:space="preserve">RM-FURAW-095</t>
  </si>
  <si>
    <t xml:space="preserve">ไม้-MDF MR1-MKW101 PL:TMC02-White-6mm.</t>
  </si>
  <si>
    <t xml:space="preserve">Wood-MDF MR1-MKW101 PL: TMC02-WHITE-6MM.</t>
  </si>
  <si>
    <t xml:space="preserve">RM-FURAW-096</t>
  </si>
  <si>
    <t xml:space="preserve">ไม้-PB E0 CARB-MKW3200 PL:TMC02-Graphite-18mm.*4*8</t>
  </si>
  <si>
    <t xml:space="preserve">Wood-PB E0 Carb-MKW3200 PL: TMC02-Graphite-18mm.*4*8</t>
  </si>
  <si>
    <t xml:space="preserve">RM-FURAW-097</t>
  </si>
  <si>
    <t xml:space="preserve">ไม้เปลือย-MDF E0 CARB-18mm.*4*8</t>
  </si>
  <si>
    <t xml:space="preserve">Bare-MDF E0 Carb-18mm.*4*8</t>
  </si>
  <si>
    <t xml:space="preserve">RM-FURAW-098</t>
  </si>
  <si>
    <t xml:space="preserve">ไม้-MDF E0 CARB-MKW101 PL:TMC03-White-18mm.*4*8</t>
  </si>
  <si>
    <t xml:space="preserve">Wood-MDF E0 Carb-MKW101 PL: TMC03-WHITE-18mm.*4*8</t>
  </si>
  <si>
    <t xml:space="preserve">RM-FURAW-099</t>
  </si>
  <si>
    <t xml:space="preserve">ปิดขอบ-Grey-MKW3258-1mm.-22mm.</t>
  </si>
  <si>
    <t xml:space="preserve">Close-Grey-MKW3258-1mm. -2mm.</t>
  </si>
  <si>
    <t xml:space="preserve">RM-FURAW-100</t>
  </si>
  <si>
    <t xml:space="preserve">ไม้-PVC-UV Waterproof Boad-White-18mm.*4*8</t>
  </si>
  <si>
    <t xml:space="preserve">Wood-PVC-UV Waterproof BOAD-WHITE-18mm.*4*8</t>
  </si>
  <si>
    <t xml:space="preserve">RM-FURAW-101</t>
  </si>
  <si>
    <t xml:space="preserve">ไม้-PB E0 CARB-LW112-Brazilien Rosewood-18mm.*4*8</t>
  </si>
  <si>
    <t xml:space="preserve">Wood-PB E0 Carb-LW112-RAZILIEN ROSEWOOD-18mm.*4*8</t>
  </si>
  <si>
    <t xml:space="preserve">RM-FURAW-102</t>
  </si>
  <si>
    <t xml:space="preserve">ไม้-PB E0 CARB-LW110-Honey Oak-18mm.*4*8</t>
  </si>
  <si>
    <t xml:space="preserve">Wood-PB E0 Carb-LW110-Roney Oak-18mm.*4*8</t>
  </si>
  <si>
    <t xml:space="preserve">RM-FURAW-103</t>
  </si>
  <si>
    <t xml:space="preserve">ไม้-MDF E0 CARB-LW114-Higloss Lava-18mm.*4*8</t>
  </si>
  <si>
    <t xml:space="preserve">Wood-MDF E0 Carb-LW114-Higloss Lava-18mm.*4*8</t>
  </si>
  <si>
    <t xml:space="preserve">RM-FURAW-104</t>
  </si>
  <si>
    <t xml:space="preserve">ลามิเนต-stainless-PM9031B-0.7mm.-4*8</t>
  </si>
  <si>
    <t xml:space="preserve">Laminte-Stainless-PM9031B-0.7mm.-4*8</t>
  </si>
  <si>
    <t xml:space="preserve">AP-SCT000 </t>
  </si>
  <si>
    <t xml:space="preserve">RM-FURAW-105</t>
  </si>
  <si>
    <t xml:space="preserve">ลามิเนต-High Gloss Chalk-GPC1144-0.7mm.-4*8</t>
  </si>
  <si>
    <t xml:space="preserve">Laminate -High Gloss chalk-GPC1144-0.7mm.-4*8</t>
  </si>
  <si>
    <t xml:space="preserve">RM-FURAW-106</t>
  </si>
  <si>
    <t xml:space="preserve">ไม้-MDF E0 CARB-MKW3305 PL:02-Woodland Oak-18mm.</t>
  </si>
  <si>
    <t xml:space="preserve">Wood-MDF E0 Carb-MKW3305 PL: 02-Woodland Oak-18mm.</t>
  </si>
  <si>
    <t xml:space="preserve">RM-FURAW-107</t>
  </si>
  <si>
    <t xml:space="preserve">ปิดขอบ-Brazilien Rosewood-WQ655-1mm.-22mm.</t>
  </si>
  <si>
    <t xml:space="preserve">Close the edge-BRAZILIEN Rosewood-WQ655-1mm. -2mm.</t>
  </si>
  <si>
    <t xml:space="preserve">RM-FURAW-108</t>
  </si>
  <si>
    <t xml:space="preserve">ปิดขอบ-Honey Oak-WQ8E0718-1mm.-22mm.</t>
  </si>
  <si>
    <t xml:space="preserve">Close the edge. -WQ8E0718-1mm. -2mm.</t>
  </si>
  <si>
    <t xml:space="preserve">RM-FURAW-109</t>
  </si>
  <si>
    <t xml:space="preserve">ปิดขอบ-White-White Matt-1mm.-19mm.</t>
  </si>
  <si>
    <t xml:space="preserve">Close -White-WHITE Matt-1mm.-19mm.</t>
  </si>
  <si>
    <t xml:space="preserve">RM-FURAW-111</t>
  </si>
  <si>
    <t xml:space="preserve">ปิดขอบ-Higloss Lava-WQ63004-1mm.-22mm.</t>
  </si>
  <si>
    <t xml:space="preserve">Close the edge -Higloss Lava-wQ63004-1mm. -2mm.</t>
  </si>
  <si>
    <t xml:space="preserve">RM-FURAW-112</t>
  </si>
  <si>
    <t xml:space="preserve">ลามิเนต-LINA FLORETINA MARBLE-DXP4318G-0.7mm.-4*8</t>
  </si>
  <si>
    <t xml:space="preserve">Laminate -Lina Floretina Marble-DXP4318G-0.7mm.-4*8</t>
  </si>
  <si>
    <t xml:space="preserve">RM-FURAW-113</t>
  </si>
  <si>
    <t xml:space="preserve">ลามิเนต-Gray-GSC132-0.7mm.-4*8</t>
  </si>
  <si>
    <t xml:space="preserve">Laminate -Gray-GSC132-0.7mm.-4*8</t>
  </si>
  <si>
    <t xml:space="preserve">AP-JRP000</t>
  </si>
  <si>
    <t xml:space="preserve">RM-FURAW-114</t>
  </si>
  <si>
    <t xml:space="preserve">ไม้-MDF E0 CARB-TL6025-TMC03-Graphite-21mm.</t>
  </si>
  <si>
    <t xml:space="preserve">Wood-MDF E0 Carb-TL6025-TMC03-Graphite-21mm.</t>
  </si>
  <si>
    <t xml:space="preserve">AP-TCH000 </t>
  </si>
  <si>
    <t xml:space="preserve">RM-FURAW-116</t>
  </si>
  <si>
    <t xml:space="preserve">ไม้-MDF E0 CARB-TL6024-TMC03-White-21mm.*4*8</t>
  </si>
  <si>
    <t xml:space="preserve">Wood -MDF E0 Carb-TL6024-TMC03-WHITE-21mm.*4*8</t>
  </si>
  <si>
    <t xml:space="preserve">RM-FURAW-117</t>
  </si>
  <si>
    <t xml:space="preserve">ปิดขอบ-Ash-MKW12180-0.45mm.-22mm.</t>
  </si>
  <si>
    <t xml:space="preserve">Close the edge -ASH-MKW12180-0.45mm. -2mm.</t>
  </si>
  <si>
    <t xml:space="preserve">RM-FURAW-118</t>
  </si>
  <si>
    <t xml:space="preserve">ลามิเนต-Berger Bavarian Oak-WY4238X-0.7mm.-4*8</t>
  </si>
  <si>
    <t xml:space="preserve">Laminate -berger Bavarian Oak-Wy4238X-0.7mm.-4*8</t>
  </si>
  <si>
    <t xml:space="preserve">RM-FURAW-120</t>
  </si>
  <si>
    <t xml:space="preserve">ไม้-PB E0 CARB-MKW3258 PL:TMC02-Grey-18mm.*4*8</t>
  </si>
  <si>
    <t xml:space="preserve">Wood-PB E0 Carb-MKW3258 PL: TMC02-Gray-18mm.*4*8</t>
  </si>
  <si>
    <t xml:space="preserve">RM-FURAW-121</t>
  </si>
  <si>
    <t xml:space="preserve">ไม้-PB E0 CARB-MKW3180 PL:06-Teak Cabania-18mm.</t>
  </si>
  <si>
    <t xml:space="preserve">Wood-PB E0 Carb-MKW3180 PL: 06-Teak Cabania-18mm.</t>
  </si>
  <si>
    <t xml:space="preserve">RM-FURAW-122</t>
  </si>
  <si>
    <t xml:space="preserve">ปิดขอบ-Graphite-MKW3200-1mm.-19mm.</t>
  </si>
  <si>
    <t xml:space="preserve">Close -Graphite-MKW3200-1mm.-19mm.</t>
  </si>
  <si>
    <t xml:space="preserve">RM-FURAW-123</t>
  </si>
  <si>
    <t xml:space="preserve">ปิดขอบ-White-ผิวส้ม-0.8mm.-22mm.1BOX=5ม้วน@200m.</t>
  </si>
  <si>
    <t xml:space="preserve">Close -White-orange skin -0.8mm. -2mm.1box = 5 rolls@200m.</t>
  </si>
  <si>
    <t xml:space="preserve">AP-DXT000 </t>
  </si>
  <si>
    <t xml:space="preserve">RM-FURAW-124</t>
  </si>
  <si>
    <t xml:space="preserve">ปิดขอบ-White Duraboard-ผิวเรียบเงา-1mm.-22mm.</t>
  </si>
  <si>
    <t xml:space="preserve">Close the edge of -White Duraboard-smooth surface -1mm. -2mm.</t>
  </si>
  <si>
    <t xml:space="preserve">RM-FURAW-125</t>
  </si>
  <si>
    <t xml:space="preserve">ไม้เปลือย-PB E1-16mm.*4*8</t>
  </si>
  <si>
    <t xml:space="preserve">Bare wood-PB E1-16mm.*4*8</t>
  </si>
  <si>
    <t xml:space="preserve">RM-FURAW-126</t>
  </si>
  <si>
    <t xml:space="preserve">ไม้-PB E0 CARB-MKW5377 PL:06-Light Walnut-18mm.</t>
  </si>
  <si>
    <t xml:space="preserve">Wood-PB E0 Carb-MKW5377 PL: 06-Light Walnut-18mm.</t>
  </si>
  <si>
    <t xml:space="preserve">RM-FURAW-128</t>
  </si>
  <si>
    <t xml:space="preserve">ปิดขอบ-สีELM-MKW5345-1mm.-22mm.</t>
  </si>
  <si>
    <t xml:space="preserve">Close the edge-ELM-MKW5345-1mm. -2mm.</t>
  </si>
  <si>
    <t xml:space="preserve">RM-FURAW-129</t>
  </si>
  <si>
    <t xml:space="preserve">ไม้-HMR E2 16mm. MKW4008-06 (2หน้า)</t>
  </si>
  <si>
    <t xml:space="preserve">Wood-PB-HMR-Skin 05 Color 301-9mm.*4*8</t>
  </si>
  <si>
    <t xml:space="preserve">RM-FURAW-130</t>
  </si>
  <si>
    <t xml:space="preserve">ไม้-HMR E2 16mm. MKW3180-06 (2หน้า)</t>
  </si>
  <si>
    <t xml:space="preserve">Wood-PB-HMR-Skin 05 Color 301-16mm.*4*8</t>
  </si>
  <si>
    <t xml:space="preserve">RM-FURAW-131</t>
  </si>
  <si>
    <t xml:space="preserve">ปิดขอบ-9889-3141(SCA 1139D)-1mm-22mm.</t>
  </si>
  <si>
    <t xml:space="preserve">Close the edge -9889-3141 (sca 1139d) -1mm-22mm.</t>
  </si>
  <si>
    <t xml:space="preserve">RM-FURAW-132</t>
  </si>
  <si>
    <t xml:space="preserve">ปิดขอบ-9889-3141(SCA 1139D)-1mm-28mm.</t>
  </si>
  <si>
    <t xml:space="preserve">Close the edge -9889-3141 (sca 1139d) -1mm-28mm.</t>
  </si>
  <si>
    <t xml:space="preserve">RM-FURAW-133</t>
  </si>
  <si>
    <t xml:space="preserve">ไม้-PB-HMR-ผิว 05 สี 301-25mm.*4*8</t>
  </si>
  <si>
    <t xml:space="preserve">Wood-PB-HMR-Skin 05 Color 301-25mm.*4*8</t>
  </si>
  <si>
    <t xml:space="preserve">AP-MMA000</t>
  </si>
  <si>
    <t xml:space="preserve">RM-FURAW-134</t>
  </si>
  <si>
    <t xml:space="preserve">ปิดขอบ-9889-4946-1mm.-22mm.</t>
  </si>
  <si>
    <t xml:space="preserve">Close the edge -9889-4946-1mm. -2mm.</t>
  </si>
  <si>
    <t xml:space="preserve">RM-FURAW-135</t>
  </si>
  <si>
    <t xml:space="preserve">ไม้-MDF-MKW5443-ผิวWood veneer Mocca Oak-18mm.</t>
  </si>
  <si>
    <t xml:space="preserve">Wood-MDF-MKW543-Skin Wood Veneer Mocca Oak-18mm.</t>
  </si>
  <si>
    <t xml:space="preserve">RM-FURAW-136</t>
  </si>
  <si>
    <t xml:space="preserve">ไม้-PB-MKW5490-ผิวWood pattern-18mm.</t>
  </si>
  <si>
    <t xml:space="preserve">Wood-PB-MKW5490-Skin Wood Pattern-18mm.</t>
  </si>
  <si>
    <t xml:space="preserve">RM-FURAW-137</t>
  </si>
  <si>
    <t xml:space="preserve">ปิดขอบ-Wood pattern-MKW5490-1mm.-22mm.</t>
  </si>
  <si>
    <t xml:space="preserve">Close -Wood Pattern-MKW5490-1mm. -2mm.</t>
  </si>
  <si>
    <t xml:space="preserve">RM-FURAW-138</t>
  </si>
  <si>
    <t xml:space="preserve">ไม้-MDF-MKW3482-ผิวZebra-18mm.</t>
  </si>
  <si>
    <t xml:space="preserve">Wood-MDF-MKW3482-Zebra-18mm.</t>
  </si>
  <si>
    <t xml:space="preserve">RM-FURAW-139</t>
  </si>
  <si>
    <t xml:space="preserve">ปิดขอบ-9889-98 B14TG162(MKW3482)-1mm.-22mm.</t>
  </si>
  <si>
    <t xml:space="preserve">Close the edge -9889-98 B14TG162 (MKW3482) -1mm. -2mm.</t>
  </si>
  <si>
    <t xml:space="preserve">RM-FURAW-140</t>
  </si>
  <si>
    <t xml:space="preserve">ปิดขอบ-9889-998-4874(MKW5412)-1mm.-22mm.</t>
  </si>
  <si>
    <t xml:space="preserve">Close the edge of -9889-998-4874 (MKW5412) -1mm. -2mm.</t>
  </si>
  <si>
    <t xml:space="preserve">RM-FURAW-141</t>
  </si>
  <si>
    <t xml:space="preserve">ปิดขอบ-9889-98 5483(MK5377)-1mm.-22mm.</t>
  </si>
  <si>
    <t xml:space="preserve">Close the edge -9889-98 5483 (MK5377) -1mm. -2mm.</t>
  </si>
  <si>
    <t xml:space="preserve">RM-FURAW-142</t>
  </si>
  <si>
    <t xml:space="preserve">ปิดขอบ-9889-98 B14TG174(MKW12180)-1mm.-22mm.</t>
  </si>
  <si>
    <t xml:space="preserve">Close the edge -9889-98 B14TG174 (MKW12180) -1mm. -2mm.</t>
  </si>
  <si>
    <t xml:space="preserve">RM-FURAW-143</t>
  </si>
  <si>
    <t xml:space="preserve">ปิดขอบ-9889-98 12553(MKW4008)-1mm.-22mm.</t>
  </si>
  <si>
    <t xml:space="preserve">Close the edge -9889-98 12553 (MKW4008) -1mm. -2mm.</t>
  </si>
  <si>
    <t xml:space="preserve">RM-FURAW-144</t>
  </si>
  <si>
    <t xml:space="preserve">ปิดขอบ-9889-98 4192(MKW3180)-1mm.-22mm.</t>
  </si>
  <si>
    <t xml:space="preserve">Close the edge -9889-98 4192 (MKW3180) -1mm. -2mm.</t>
  </si>
  <si>
    <t xml:space="preserve">RM-FURAW-145</t>
  </si>
  <si>
    <t xml:space="preserve">ปิดขอบ-9889-98 B14TG34(DWK 3168AT)-1mm.-22mm.</t>
  </si>
  <si>
    <t xml:space="preserve">Close the edge of -9889-98 B14TG34 (DWK 3168AT) -1mm. -2mm.</t>
  </si>
  <si>
    <t xml:space="preserve">RM-FURAW-146</t>
  </si>
  <si>
    <t xml:space="preserve">ลามิเนต-mocca oak-DWK 3168AT -0.8mm.-4*8</t>
  </si>
  <si>
    <t xml:space="preserve">Laminate -Mocca Oak-DWK 3168AT -0.8mm.-4*8</t>
  </si>
  <si>
    <t xml:space="preserve">AP-EDL000</t>
  </si>
  <si>
    <t xml:space="preserve">RM-FURAW-147</t>
  </si>
  <si>
    <t xml:space="preserve">ไม้-PB-กันชื้น-ผิว 3737UN-18mm.*4*8</t>
  </si>
  <si>
    <t xml:space="preserve">Wood-PB-Damp-Skin 3737un-18mm.*4*8</t>
  </si>
  <si>
    <t xml:space="preserve">AP-SCT000</t>
  </si>
  <si>
    <t xml:space="preserve">RM-FURAW-148</t>
  </si>
  <si>
    <t xml:space="preserve">ปิดขอบ-9889-998 4843(Formica 3737 UN)-1mm.-22mm.</t>
  </si>
  <si>
    <t xml:space="preserve">Close the edge of -9889-998 4843 (Formica 3737 UN) -1mm. -2mm.</t>
  </si>
  <si>
    <t xml:space="preserve">RM-FURAW-149</t>
  </si>
  <si>
    <t xml:space="preserve">ปิดขอบ-White-ผิวลายหนัง-0.8mm.-22mm.</t>
  </si>
  <si>
    <t xml:space="preserve">Closed -White-skin pattern skin -0.8mm. -2mm.</t>
  </si>
  <si>
    <t xml:space="preserve">RM-FURAW-150</t>
  </si>
  <si>
    <t xml:space="preserve">Malamine Paper</t>
  </si>
  <si>
    <t xml:space="preserve">กระดาษ-Melamine Paper Cream White-0</t>
  </si>
  <si>
    <t xml:space="preserve">Paper-MELAMINE Paper Cream White-0</t>
  </si>
  <si>
    <t xml:space="preserve">RM-FURAW-152</t>
  </si>
  <si>
    <t xml:space="preserve">ไม้-MDF-MKW3258-ผิวTMC03สี Grey-21mm.*4*8</t>
  </si>
  <si>
    <t xml:space="preserve">Wood -MDF-MKW3258-Skin TMC03 Color Gray-21mm.*4*8</t>
  </si>
  <si>
    <t xml:space="preserve">RM-FURAW-153</t>
  </si>
  <si>
    <t xml:space="preserve">ไม้-HMR V70-TL6024-TMC03-White-18mm.(2หน้</t>
  </si>
  <si>
    <t xml:space="preserve">Wood -HMR V70-TL6024-TMC03-WHITE-18mm. (2 pages</t>
  </si>
  <si>
    <t xml:space="preserve">RM-FURAW-154</t>
  </si>
  <si>
    <t xml:space="preserve">ปิดขอบ-9889-98 4238(MKW2281)-1mm.-22mm.</t>
  </si>
  <si>
    <t xml:space="preserve">Close the edge -9889-98 4238 (MKW2281) -1mm. -2mm.</t>
  </si>
  <si>
    <t xml:space="preserve">RM-FURAW-156</t>
  </si>
  <si>
    <t xml:space="preserve">ลามิเนต-WY4240X-0-0.7mm.-4*8</t>
  </si>
  <si>
    <t xml:space="preserve">Laminate -Wy4240x-0.7mm.-4*8</t>
  </si>
  <si>
    <t xml:space="preserve">RM-FURAW-157</t>
  </si>
  <si>
    <t xml:space="preserve">ปิดขอบ-9889-98 17475(MKW5072)-1mm.-22mm.</t>
  </si>
  <si>
    <t xml:space="preserve">Close the edge -9889-98 17475 (MKW5072) -1mm. -2mm.</t>
  </si>
  <si>
    <t xml:space="preserve">RM-FURAW-158</t>
  </si>
  <si>
    <t xml:space="preserve">ปิดขอบ-9889-98 B14TG109(MKW5617)-1mm.-22mm.</t>
  </si>
  <si>
    <t xml:space="preserve">Close the edge -9889-98 B14TG109 (MKW5617) -1mm. -2mm.</t>
  </si>
  <si>
    <t xml:space="preserve">RM-FURAW-159</t>
  </si>
  <si>
    <t xml:space="preserve">ปิดขอบ-9889-98 B14TG116(MA503)-1mm.-22mm.</t>
  </si>
  <si>
    <t xml:space="preserve">Close the edge -9889-98 B14TG116 (MA503) -1mm. -2mm.</t>
  </si>
  <si>
    <t xml:space="preserve">RM-FURAW-160</t>
  </si>
  <si>
    <t xml:space="preserve">ปิดขอบสีขาว กว้าง28mm.x1mm. 889-1805(MKW101-01)</t>
  </si>
  <si>
    <t xml:space="preserve">Close the white border wide 28mm.x1mm. 889-1805 (MKW101-01)</t>
  </si>
  <si>
    <t xml:space="preserve">RM-FURAW-161</t>
  </si>
  <si>
    <t xml:space="preserve">ปิดขอบกว้าง22mm.x1mm. 98-4195(MKW12523)</t>
  </si>
  <si>
    <t xml:space="preserve">Close the edge width 22mm.x1mm. 98-4195 (MKW12523)</t>
  </si>
  <si>
    <t xml:space="preserve">RM-FURAW-162</t>
  </si>
  <si>
    <t xml:space="preserve">ปิดขอบกว้าง22mm.x1mm.(MKW3309) Absolute Walnut</t>
  </si>
  <si>
    <t xml:space="preserve">Close the edge width 22mm.x1mm. (MKW3309) Absolute Walnut</t>
  </si>
  <si>
    <t xml:space="preserve">RM-FURAW-163</t>
  </si>
  <si>
    <t xml:space="preserve">ไม้เปลือย-MDF HMR V70-18mm.*4*8</t>
  </si>
  <si>
    <t xml:space="preserve">Bare-MDF HMR V70-18mm.*4*8</t>
  </si>
  <si>
    <t xml:space="preserve">RM-FURAW-164</t>
  </si>
  <si>
    <t xml:space="preserve">ปิดขอบกว้าง22mm.x1mm. 98-5098(MKW5771)</t>
  </si>
  <si>
    <t xml:space="preserve">Close the edge width 22mm.x1mm. 98-5098 (MKW5771)</t>
  </si>
  <si>
    <t xml:space="preserve">RM-FURAW-165</t>
  </si>
  <si>
    <t xml:space="preserve">ไม้-HMR-MKW101 PL:MKW01-White-16mm.*4*8</t>
  </si>
  <si>
    <t xml:space="preserve">Wood -HMR-MKW101 Pl: MKW01-WHITE-16mm.*4*8</t>
  </si>
  <si>
    <t xml:space="preserve">RM-FURAW-166</t>
  </si>
  <si>
    <t xml:space="preserve">ไม้-HMR E2-TL6024-TMC03-Graphite-16mm.*4*8</t>
  </si>
  <si>
    <t xml:space="preserve">Wood -HMR E2-TL6024-TMC03-Graphite-16mm.*4*8</t>
  </si>
  <si>
    <t xml:space="preserve">RM-FURAW-167</t>
  </si>
  <si>
    <t xml:space="preserve">ปิดขอบ-9889-98-4239(MKW15239)-1mm.-22mm.</t>
  </si>
  <si>
    <t xml:space="preserve">Close the edge -9889-98-4239 (MKW15239) -1mm. -2mm.</t>
  </si>
  <si>
    <t xml:space="preserve">RM-FURAW-168</t>
  </si>
  <si>
    <t xml:space="preserve">ปิดขอบ-9889-98-12450(MKW5345)-1mm.-22mm.</t>
  </si>
  <si>
    <t xml:space="preserve">Close the edge of -9889-98-12450 (MKW5345) -1mm. -2mm.</t>
  </si>
  <si>
    <t xml:space="preserve">RM-FURAW-169</t>
  </si>
  <si>
    <t xml:space="preserve">ปิดขอบ-9889-988-4874(MKW5412)-1mm.-22mm.</t>
  </si>
  <si>
    <t xml:space="preserve">Close the edge of -9889-988-4874 (MKW5412) -1mm. -2mm.</t>
  </si>
  <si>
    <t xml:space="preserve">RM-FURAW-170</t>
  </si>
  <si>
    <t xml:space="preserve">ปิดขอบ-9889-98-B14TG425(MKW6112)-1mm.-22mm.</t>
  </si>
  <si>
    <t xml:space="preserve">Close the edge of -9889-98-b14TG425 (MKW6112) -1mm. -2mm.</t>
  </si>
  <si>
    <t xml:space="preserve">RM-FURAW-172</t>
  </si>
  <si>
    <t xml:space="preserve">ปิดขอบกว้าง28mm.x1mm. 998-4874(MKW5412)</t>
  </si>
  <si>
    <t xml:space="preserve">Close the edge width 28mm.x1mm. 998-4874 (MKW5412)</t>
  </si>
  <si>
    <t xml:space="preserve">RM-FURAW-173</t>
  </si>
  <si>
    <t xml:space="preserve">ปิดขอบกว้าง22mm.x1mm. 998-3594(MKW5412)</t>
  </si>
  <si>
    <t xml:space="preserve">Close the edge width 22mm.x1mm. 998-3594 (MKW5412)</t>
  </si>
  <si>
    <t xml:space="preserve">RM-FURAW-174</t>
  </si>
  <si>
    <t xml:space="preserve">ปิดขอบกว้าง22mm.x1mm. 998-3594(MKW1169)</t>
  </si>
  <si>
    <t xml:space="preserve">Close the edge width 22mm.x1mm. 998-3594 (MKW1169)</t>
  </si>
  <si>
    <t xml:space="preserve">RM-FURAW-175</t>
  </si>
  <si>
    <t xml:space="preserve">ปิดขอบกว้าง22mm.x1mm. 98-12551(MKW3305)</t>
  </si>
  <si>
    <t xml:space="preserve">Close the edge width 22mm.x1mm. 98-12551 (MKW3305)</t>
  </si>
  <si>
    <t xml:space="preserve">RM-FURAW-176</t>
  </si>
  <si>
    <t xml:space="preserve">ไม้-MDF-MKW101/3200-w/g-6mm. 2สี</t>
  </si>
  <si>
    <t xml:space="preserve">Wood-MDF-MKW101/3200-W/G-6mm. 2 colors</t>
  </si>
  <si>
    <t xml:space="preserve">RM-FURAW-177</t>
  </si>
  <si>
    <t xml:space="preserve">ไม้-HMR V70-MKW3200-Graphite-6mm.</t>
  </si>
  <si>
    <t xml:space="preserve">Wood -HMR V70-MKW3200-graphite-6mm.</t>
  </si>
  <si>
    <t xml:space="preserve">RM-FURAW-178</t>
  </si>
  <si>
    <t xml:space="preserve">ไม้-HMR V70-MKW101-White-6mm.</t>
  </si>
  <si>
    <t xml:space="preserve">Wood -HMR V70-MKW101-WHITE-6mm.</t>
  </si>
  <si>
    <t xml:space="preserve">RM-FURAW-179</t>
  </si>
  <si>
    <t xml:space="preserve">ไม้-HMR V70-MKW101/3200-w/g-6mm. 2สี</t>
  </si>
  <si>
    <t xml:space="preserve">Wood -HMR V70-MKW101/3200-W/G-6mm. 2 colors</t>
  </si>
  <si>
    <t xml:space="preserve">RM-FURAW-181</t>
  </si>
  <si>
    <t xml:space="preserve">ไม้-PB E1-MKW3200-Graphiite-16mm.</t>
  </si>
  <si>
    <t xml:space="preserve">Wood-PB E1-MKW3200-graphiite-16mm.</t>
  </si>
  <si>
    <t xml:space="preserve">RM-FURAW-182</t>
  </si>
  <si>
    <t xml:space="preserve">ไม้-MDF-MKW101/3200-w/g PL:TMC03-18mm.</t>
  </si>
  <si>
    <t xml:space="preserve">Wood-MDF-MKW101/3200-W/G Pl: TMC03-18mm.</t>
  </si>
  <si>
    <t xml:space="preserve">RM-FURAW-185</t>
  </si>
  <si>
    <t xml:space="preserve">ไม้-MDF E0 CARB-MKW5412 PL:06-Maroon Oak-18mm.*4*8</t>
  </si>
  <si>
    <t xml:space="preserve">Wood-MDF E0 Carb-MKW5412 PL: 06-Maroon Oak-18mm.*4*8</t>
  </si>
  <si>
    <t xml:space="preserve">RM-FURAW-186</t>
  </si>
  <si>
    <t xml:space="preserve">ไม้-MDF E0 CARB-MKW5377 PL:06-Light Walnut-18mm.</t>
  </si>
  <si>
    <t xml:space="preserve">Wood-MDF E0 Carb-MKW5377 PL: 06-Light Walnut-18mm.</t>
  </si>
  <si>
    <t xml:space="preserve">RM-FURAW-187</t>
  </si>
  <si>
    <t xml:space="preserve">ไม้-MDF E0 CARB-MKW6112 PL:06-CM. Walnut-18mm.</t>
  </si>
  <si>
    <t xml:space="preserve">Wood-MDF E0 Carb-MKW6112 PL: 06-CM. Walnut-18mm.</t>
  </si>
  <si>
    <t xml:space="preserve">RM-FURAW-188</t>
  </si>
  <si>
    <t xml:space="preserve">ไม้-MDF E0 CARB-MKW5345 PL:06-Malt ELM-18mm.4*8</t>
  </si>
  <si>
    <t xml:space="preserve">Wood-MDF E0 Carb-MKW5345 PL: 06-MALT ELM-18mm.4*8</t>
  </si>
  <si>
    <t xml:space="preserve">RM-FURAW-189</t>
  </si>
  <si>
    <t xml:space="preserve">ไม้-MDF E0 CARB-MKW15239 PL:06-Choc Oak-18mm.*4*8</t>
  </si>
  <si>
    <t xml:space="preserve">Wood -MDF E0 Carb-MKW15239 PL: 06-Choc Oak-18mm*4*8</t>
  </si>
  <si>
    <t xml:space="preserve">RM-FURAW-190</t>
  </si>
  <si>
    <t xml:space="preserve">ปิดขอบกว้าง22mm.x1mm. 98-B14TG95(MKW5617)</t>
  </si>
  <si>
    <t xml:space="preserve">Close the edge width 22mm.x1mm. 98-B14TG95 (MKW5617)</t>
  </si>
  <si>
    <t xml:space="preserve">RM-FURAW-191</t>
  </si>
  <si>
    <t xml:space="preserve">ไม้-HMR V70-MKW12180 PL:06-Ash-18mm.*4*8</t>
  </si>
  <si>
    <t xml:space="preserve">Wood -HMR V70-MKW12180 PL: 06-SH-18mm.*4*8</t>
  </si>
  <si>
    <t xml:space="preserve">RM-FURAW-192</t>
  </si>
  <si>
    <t xml:space="preserve">ไม้-HMR V70-MKW4008 PL:06-Hard Oak-18mm.*4*8</t>
  </si>
  <si>
    <t xml:space="preserve">Wood -HMR V70-MKW4008 PL: 06-Hard Oak-18mm.*4*8</t>
  </si>
  <si>
    <t xml:space="preserve">RM-FURAW-193</t>
  </si>
  <si>
    <t xml:space="preserve">ไม้-HMR V70-MKW3180 PL:06-Teak Cabania-18mm. 4*8</t>
  </si>
  <si>
    <t xml:space="preserve">Wood -HMR V70-MKW3180 PL: 06-Teak Cabania-18mm. 4*8</t>
  </si>
  <si>
    <t xml:space="preserve">RM-FURAW-194</t>
  </si>
  <si>
    <t xml:space="preserve">ปิดขอบกว้าง22mm.x1mm. 98-B14TG131(MKW6983)</t>
  </si>
  <si>
    <t xml:space="preserve">Close the edge width 22mm.x1mm. 98-B14TG131 (MKW6983)</t>
  </si>
  <si>
    <t xml:space="preserve">RM-FURAW-195</t>
  </si>
  <si>
    <t xml:space="preserve">ไม้-HMR V70-MKW5377 PL:06-Light Walnut-18mm.</t>
  </si>
  <si>
    <t xml:space="preserve">Wood -HMR V70-MKW5377 PL: 06-Light Walnut-18mm.</t>
  </si>
  <si>
    <t xml:space="preserve">RM-FURAW-196</t>
  </si>
  <si>
    <t xml:space="preserve">ไม้-HMR V70-MKW3305 PL:02-Woodland Oak-18mm.</t>
  </si>
  <si>
    <t xml:space="preserve">Wood -HMR V70-MKW3305 PL: 02-Woodland Oak-18mm.</t>
  </si>
  <si>
    <t xml:space="preserve">RM-FURAW-197</t>
  </si>
  <si>
    <t xml:space="preserve">ไม้-HMR V70-MKW5412 PL:02-Maroon Oak-18mm.</t>
  </si>
  <si>
    <t xml:space="preserve">Wood -HMR V70-MKW5412 PL: 02-Maroon Oak-18mm.</t>
  </si>
  <si>
    <t xml:space="preserve">RM-FURAW-198</t>
  </si>
  <si>
    <t xml:space="preserve">ไม้-HMR V70-MKW6112 PL:06-CM. Walnut-18mm.</t>
  </si>
  <si>
    <t xml:space="preserve">Wood -HMR V70-MKW6112 PL: 06-CM. Walnut-18mm.</t>
  </si>
  <si>
    <t xml:space="preserve">RM-FURAW-199</t>
  </si>
  <si>
    <t xml:space="preserve">ไม้-HMR V70-MKW5345 PL:06-Malt ELM-18mm.</t>
  </si>
  <si>
    <t xml:space="preserve">Wood -HMR V70-MKW5345 PL: 06-MALT ELM-18mm.</t>
  </si>
  <si>
    <t xml:space="preserve">RM-FURAW-200</t>
  </si>
  <si>
    <t xml:space="preserve">ไม้-HMR V70-MKW15239 PL:06-Choc Oak-18mm.</t>
  </si>
  <si>
    <t xml:space="preserve">Wood -HMR V70-MKW15239 PL: 06-Choc Oak-18mm.</t>
  </si>
  <si>
    <t xml:space="preserve">RM-FURAW-201</t>
  </si>
  <si>
    <t xml:space="preserve">ปิดขอบกว้าง22mm.x1mm. 98-B14TG01( FMC5472 )</t>
  </si>
  <si>
    <t xml:space="preserve">Close the edge width 22mm.x1mm. 98-B14TG01 (FMC5472)</t>
  </si>
  <si>
    <t xml:space="preserve">RM-FURAW-204</t>
  </si>
  <si>
    <t xml:space="preserve">ไม้เปลือย-MDF MR1-6mm. กันชื้น*4*8</t>
  </si>
  <si>
    <t xml:space="preserve">Bare wood-MDF MR1-6mm. Moisture*4*8</t>
  </si>
  <si>
    <t xml:space="preserve">RM-FURAW-205</t>
  </si>
  <si>
    <t xml:space="preserve">ปิดขอบกว้าง22mm.x1mm. 98-B14TG34( MKW1169 )</t>
  </si>
  <si>
    <t xml:space="preserve">Close the edge width 22mm.x1mm. 98-B14TG34 (MKW1169)</t>
  </si>
  <si>
    <t xml:space="preserve">RM-FURAW-206</t>
  </si>
  <si>
    <t xml:space="preserve">ปิดขอบกว้าง22mm.x1mm. 98-B14TG418(MKW5412)</t>
  </si>
  <si>
    <t xml:space="preserve">Close the edge width 22mm.x1mm. 98-B14TG418 (MKW5412)</t>
  </si>
  <si>
    <t xml:space="preserve">RM-FURAW-207</t>
  </si>
  <si>
    <t xml:space="preserve">ปิดขอบกว้าง22mm.x1mm. 98-17483( MKW5345 )</t>
  </si>
  <si>
    <t xml:space="preserve">Close the edge width 22mm.x1mm. 98-17483 (MKW5345)</t>
  </si>
  <si>
    <t xml:space="preserve">RM-FURAW-208</t>
  </si>
  <si>
    <t xml:space="preserve">ไม้-PB E0 CARB-MKW12180-Ash-18mm.</t>
  </si>
  <si>
    <t xml:space="preserve">Wood-PB E0 Carb-MKW12180-2018</t>
  </si>
  <si>
    <t xml:space="preserve">RM-FURAW-209</t>
  </si>
  <si>
    <t xml:space="preserve">ปิดขอบกว้าง22mm.x1mm. 98-B14TG87(MKW3304)</t>
  </si>
  <si>
    <t xml:space="preserve">Close the edge width 22mm.x1mm. 98-B14TG87 (MKW3304)</t>
  </si>
  <si>
    <t xml:space="preserve">RM-FURAW-210</t>
  </si>
  <si>
    <t xml:space="preserve">ปิดขอบกว้าง22mm.x1mm. 98-B14TG208(MKW5305)</t>
  </si>
  <si>
    <t xml:space="preserve">Close the edge width 22mm.x1mm. 98-B14TG208 (MKW5305)</t>
  </si>
  <si>
    <t xml:space="preserve">RM-FURAW-211</t>
  </si>
  <si>
    <t xml:space="preserve">ปิดขอบกว้าง22mm.x1mm. 98-B14TG163(MKW5413)</t>
  </si>
  <si>
    <t xml:space="preserve">Close the edge width 22mm.x1mm. 98-B14TG163 (MKW5413)</t>
  </si>
  <si>
    <t xml:space="preserve">RM-FURAW-215</t>
  </si>
  <si>
    <t xml:space="preserve">ไม้-PVC- Waterproof-ขาว-18mm.*4*8</t>
  </si>
  <si>
    <t xml:space="preserve">Wood-PVC- Waterproof-ขาว-18mm.*4*8</t>
  </si>
  <si>
    <t xml:space="preserve">AP-STS000</t>
  </si>
  <si>
    <t xml:space="preserve">RM-FURAW-216</t>
  </si>
  <si>
    <t xml:space="preserve">ปิดขอบกว้าง22mm.x1mm. 98-B14TG359(MKW5632)</t>
  </si>
  <si>
    <t xml:space="preserve">Close the edge width 22mm.x1mm. 98-B14TG359(MKW5632)</t>
  </si>
  <si>
    <t xml:space="preserve">RM-FURAW-218</t>
  </si>
  <si>
    <t xml:space="preserve">ไม้-HMR-MKW4008 PL:06-Hard Oak-16mm.</t>
  </si>
  <si>
    <t xml:space="preserve">Wood-HMR-MKW4008 PL:06-Hard Oak-16mm.</t>
  </si>
  <si>
    <t xml:space="preserve">RM-FURAW-219</t>
  </si>
  <si>
    <t xml:space="preserve">ไม้-HMR-MKW3180 PL:06-Teak Cabania-16mm.</t>
  </si>
  <si>
    <t xml:space="preserve">Wood-HMR-MKW3180 PL:06-Teak Cabania-16mm.</t>
  </si>
  <si>
    <t xml:space="preserve">RM-FURAW-220</t>
  </si>
  <si>
    <t xml:space="preserve">ไม้-HMR-MKW5771 PL:02-Malt Maple-18mm. ผิวเสี้ยน</t>
  </si>
  <si>
    <t xml:space="preserve">Wood-HMR-MKW5771 PL:02-Malt Maple-18mm. Burr surface.</t>
  </si>
  <si>
    <t xml:space="preserve">RM-FURAW-225</t>
  </si>
  <si>
    <t xml:space="preserve">ปิดผิวลามิเนต WY5240D</t>
  </si>
  <si>
    <t xml:space="preserve">Cover laminate WY5240D</t>
  </si>
  <si>
    <t xml:space="preserve">RM-FURAW-226</t>
  </si>
  <si>
    <t xml:space="preserve">ปิดผิวลามิเนต WY1282DA</t>
  </si>
  <si>
    <t xml:space="preserve">Cover laminate WY1282DA</t>
  </si>
  <si>
    <t xml:space="preserve">RM-FURAW-227</t>
  </si>
  <si>
    <t xml:space="preserve">ปิดผิวลามิเนต WY1270DA</t>
  </si>
  <si>
    <t xml:space="preserve">Cover laminate WY1270DA</t>
  </si>
  <si>
    <t xml:space="preserve">RM-FURAW-228</t>
  </si>
  <si>
    <t xml:space="preserve">ปิดขอบกว้าง22mm.x1mm. 98-4195( MKW6003 )</t>
  </si>
  <si>
    <t xml:space="preserve">Close the edge width 22mm.x1mm. 98-4195( MKW6003 )</t>
  </si>
  <si>
    <t xml:space="preserve">RM-FURAW-229</t>
  </si>
  <si>
    <t xml:space="preserve">ปิดขอบกว้าง22mm.x1mm. 98-B14T6139( MKW2281 )</t>
  </si>
  <si>
    <t xml:space="preserve">Close the edge width 22mm.x1mm. 98-B14T6139( MKW2281 )</t>
  </si>
  <si>
    <t xml:space="preserve">RM-FURAW-230</t>
  </si>
  <si>
    <t xml:space="preserve">ปิดขอบกว้าง22mm.x1mm. 98-4192( MKW3180 )</t>
  </si>
  <si>
    <t xml:space="preserve">Close the edge width 98-4192( MKW3180 )</t>
  </si>
  <si>
    <t xml:space="preserve">RM-FURAW-231</t>
  </si>
  <si>
    <t xml:space="preserve">ปิดขอบกว้าง22mm.x1mm. 98-12553( MKW4008 )</t>
  </si>
  <si>
    <t xml:space="preserve">Close the edge width 98-12553( MKW4008 )</t>
  </si>
  <si>
    <t xml:space="preserve">RM-FURAW-232</t>
  </si>
  <si>
    <t xml:space="preserve">ปิดขอบกว้าง22mm.x1mm. 98-6480( MKW1125 )</t>
  </si>
  <si>
    <t xml:space="preserve">Close the edge width 22mm.x1mm. 98-6480( MKW1125 )</t>
  </si>
  <si>
    <t xml:space="preserve">RM-FURAW-233</t>
  </si>
  <si>
    <t xml:space="preserve">ไม้-HMR V70-TL6024-TMC02-White-18mm.</t>
  </si>
  <si>
    <t xml:space="preserve">Wood-HMR V70-TL6024-TMC02-White-18mm.</t>
  </si>
  <si>
    <t xml:space="preserve">RM-FURAW-234</t>
  </si>
  <si>
    <t xml:space="preserve">ไม้-HMR V70-TL6025-TMC02-Graphite-18mm.</t>
  </si>
  <si>
    <t xml:space="preserve">Wood-HMR V70-TL6025-TMC02-Graphite-18mm.</t>
  </si>
  <si>
    <t xml:space="preserve">RM-FURAW-235</t>
  </si>
  <si>
    <t xml:space="preserve">ปิดขอบกว้าง22.x1mm. 98-B14TG613( MKW5345 )</t>
  </si>
  <si>
    <t xml:space="preserve">Close the edge width 22.x1mm. 98-B14TG613( MKW5345 )</t>
  </si>
  <si>
    <t xml:space="preserve">RM-FURAW-236</t>
  </si>
  <si>
    <t xml:space="preserve">ปิดขอบกว้าง22mm.x1mm. 98-16143( TS8024 )</t>
  </si>
  <si>
    <t xml:space="preserve">Close the edge width 22mm.x1mm. 98-16143( TS8024 )</t>
  </si>
  <si>
    <t xml:space="preserve">RM-PURAW-002</t>
  </si>
  <si>
    <t xml:space="preserve">#2151 PU CATALYST SEALER+PRIMER HG011326 GL</t>
  </si>
  <si>
    <t xml:space="preserve">AP-TUP000</t>
  </si>
  <si>
    <t xml:space="preserve">RM-PURAW-003</t>
  </si>
  <si>
    <t xml:space="preserve">#1125 PU THINNER PRIMER+SEALER HG011330 Pail</t>
  </si>
  <si>
    <t xml:space="preserve">RM-PURAW-004</t>
  </si>
  <si>
    <t xml:space="preserve">#2391 PU WHITER PRIMER HG011328 5GL</t>
  </si>
  <si>
    <t xml:space="preserve">RM-PURAW-006</t>
  </si>
  <si>
    <t xml:space="preserve">#42T9 PU Catalyst Gloss Top Coat DH040999</t>
  </si>
  <si>
    <t xml:space="preserve">RM-PURAW-007</t>
  </si>
  <si>
    <t xml:space="preserve">#1198 PU GLOSS THINNER TOP COAT HG01133</t>
  </si>
  <si>
    <t xml:space="preserve">RM-PURAW-008</t>
  </si>
  <si>
    <t xml:space="preserve">น้ำยา#36060 3M Wax DH041121</t>
  </si>
  <si>
    <t xml:space="preserve">Liquid #36060 3M Wax DH041121</t>
  </si>
  <si>
    <t xml:space="preserve">RM-PURAW-010</t>
  </si>
  <si>
    <t xml:space="preserve">#PM24 PU Ename Black Matt 70% Top Coat DH041008</t>
  </si>
  <si>
    <t xml:space="preserve">RM-PURAW-011</t>
  </si>
  <si>
    <t xml:space="preserve">#PM42 PU Ename Dark Grey Matt 70% Top CoatDH041081</t>
  </si>
  <si>
    <t xml:space="preserve">RM-PURAW-012</t>
  </si>
  <si>
    <t xml:space="preserve">#2201 PU Catalyst Top Coat Matt DH040994</t>
  </si>
  <si>
    <t xml:space="preserve">RM-PURAW-013</t>
  </si>
  <si>
    <t xml:space="preserve">#2216 PU รองพื้น ส่วนเอ</t>
  </si>
  <si>
    <t xml:space="preserve">#2216 PU Undercoat Part A</t>
  </si>
  <si>
    <t xml:space="preserve">RM-PURAW-014</t>
  </si>
  <si>
    <t xml:space="preserve">#2201 ตัวเร่ง PU ทับหน้าด้าน ส่วนบี</t>
  </si>
  <si>
    <t xml:space="preserve">#2201 PU accelerator topcoat, Part B</t>
  </si>
  <si>
    <t xml:space="preserve">RM-PURAW-015</t>
  </si>
  <si>
    <t xml:space="preserve">#1103 ทินเนอร์ 200 L</t>
  </si>
  <si>
    <t xml:space="preserve">#1103 Thinner 200 L</t>
  </si>
  <si>
    <t xml:space="preserve">RM-PURAW-016</t>
  </si>
  <si>
    <t xml:space="preserve">#PG26 PU Gloss White Top Coat</t>
  </si>
  <si>
    <t xml:space="preserve">RM-PURAW-017</t>
  </si>
  <si>
    <t xml:space="preserve">#PG27 PU Gloss Dark Gray</t>
  </si>
  <si>
    <t xml:space="preserve">RM-PURAW-018</t>
  </si>
  <si>
    <t xml:space="preserve">#PG28 PU Gloss Light Gray</t>
  </si>
  <si>
    <t xml:space="preserve">RM-PURAW-019</t>
  </si>
  <si>
    <t xml:space="preserve">#PM18 PU Enamel White Matt</t>
  </si>
  <si>
    <t xml:space="preserve">RM-PURAW-020</t>
  </si>
  <si>
    <t xml:space="preserve">#PG49 PU Gloss Ice Vanilla</t>
  </si>
  <si>
    <t xml:space="preserve">RM-PURAW-021</t>
  </si>
  <si>
    <t xml:space="preserve">#PG48 PU Gloss Hezelnut</t>
  </si>
  <si>
    <t xml:space="preserve">RM-PURAW-022</t>
  </si>
  <si>
    <t xml:space="preserve">#PG45 PU Gloss Baby Blue</t>
  </si>
  <si>
    <t xml:space="preserve">RM-PURAW-023</t>
  </si>
  <si>
    <t xml:space="preserve">#PG47 PU Gloss Aurola Red</t>
  </si>
  <si>
    <t xml:space="preserve">RM-PURAW-024</t>
  </si>
  <si>
    <t xml:space="preserve">#PM19 PU Enamel Gloss Light Blue</t>
  </si>
  <si>
    <t xml:space="preserve">RM-PURAW-025</t>
  </si>
  <si>
    <t xml:space="preserve">#PG52 PU Gloss Grey WHIT015</t>
  </si>
  <si>
    <t xml:space="preserve">RM-PURAW-026</t>
  </si>
  <si>
    <t xml:space="preserve">#PM71 PU Enamel Light Matt</t>
  </si>
  <si>
    <t xml:space="preserve">RM-PURAW-027</t>
  </si>
  <si>
    <t xml:space="preserve">#PM36 PU Enamel Graphite Matt</t>
  </si>
  <si>
    <t xml:space="preserve">RM-PURAW-028</t>
  </si>
  <si>
    <t xml:space="preserve">#PM39 Pu Enamel Ice Vanilla Matt</t>
  </si>
  <si>
    <t xml:space="preserve">RM-PURAW-029</t>
  </si>
  <si>
    <t xml:space="preserve">#PM40 Pu Enamel Hezelnut Matt</t>
  </si>
  <si>
    <t xml:space="preserve">RM-PURAW-030</t>
  </si>
  <si>
    <t xml:space="preserve">#PM35 Pu Enamel Classic Blue Matt</t>
  </si>
  <si>
    <t xml:space="preserve">RM-PURAW-031</t>
  </si>
  <si>
    <t xml:space="preserve">#PM38 Pu Enamel Baby Blue Matt</t>
  </si>
  <si>
    <t xml:space="preserve">RM-PURAW-032</t>
  </si>
  <si>
    <t xml:space="preserve">#PM41 Pu Enamel Aurola Red Matt</t>
  </si>
  <si>
    <t xml:space="preserve">RM-PURAW-033</t>
  </si>
  <si>
    <t xml:space="preserve">#PG30 Pu Gloss Vanilla</t>
  </si>
  <si>
    <t xml:space="preserve">RM-PURAW-034</t>
  </si>
  <si>
    <t xml:space="preserve">#2250 Pu Gloss Black</t>
  </si>
  <si>
    <t xml:space="preserve">RM-PURAW-035</t>
  </si>
  <si>
    <t xml:space="preserve">DH041103 EPE Foam Handle J</t>
  </si>
  <si>
    <t xml:space="preserve">RM-PURAW-038</t>
  </si>
  <si>
    <t xml:space="preserve">#PG77 PUทับหน้าไฮกลอส (7626) ส่วนเอ</t>
  </si>
  <si>
    <t xml:space="preserve">#PG77 PU high-gloss topcoat (7626) Part A</t>
  </si>
  <si>
    <t xml:space="preserve">RM-PURAW-039</t>
  </si>
  <si>
    <t xml:space="preserve">#PG78 PU ทับหน้าไฮกลอส (8278) ส่วนเอ</t>
  </si>
  <si>
    <t xml:space="preserve">#PG78 PU High Gloss Topcoat (8278) Part A</t>
  </si>
  <si>
    <t xml:space="preserve">RM-PURAW-040</t>
  </si>
  <si>
    <t xml:space="preserve">#PG78 PU ทับหน้าไฮกลอส (8278) ส่วนเอ 16กก.</t>
  </si>
  <si>
    <t xml:space="preserve">#PG78 PU high-gloss topcoat (8278) Part A 16kg.</t>
  </si>
  <si>
    <t xml:space="preserve">RM-PURAW-041</t>
  </si>
  <si>
    <t xml:space="preserve">#PM85 PU Enamel 90% MATT (8444) P/A</t>
  </si>
  <si>
    <t xml:space="preserve">RM-PURAW-042</t>
  </si>
  <si>
    <t xml:space="preserve">#PM80 PU ทับหน้าด้าน 90% (8360) ส่วนเอ</t>
  </si>
  <si>
    <t xml:space="preserve">#PM80 PU topcoat 90% matte Part A</t>
  </si>
  <si>
    <t xml:space="preserve">RM-PURAW-043</t>
  </si>
  <si>
    <t xml:space="preserve">#PG80 PU Enamel Hi-Gloss (8225) P/A</t>
  </si>
  <si>
    <t xml:space="preserve">RM-PURAW-044</t>
  </si>
  <si>
    <t xml:space="preserve">#PG81 PU Enamel Hi-Gloss (8770) P/A</t>
  </si>
  <si>
    <t xml:space="preserve">RM-PURAW-045</t>
  </si>
  <si>
    <t xml:space="preserve">#PG82 PU Enamel Hi-Gloss Glay P/A</t>
  </si>
  <si>
    <t xml:space="preserve">RM-PURAW-046</t>
  </si>
  <si>
    <t xml:space="preserve">#PUPI PU Hi-Gloss CL-16A</t>
  </si>
  <si>
    <t xml:space="preserve">RM-PURAW-047</t>
  </si>
  <si>
    <t xml:space="preserve">#2455 PU ทับหน้าเงา 30%</t>
  </si>
  <si>
    <t xml:space="preserve">#2455 PU topcoat 30% gloss</t>
  </si>
  <si>
    <t xml:space="preserve">RM-PURAW-048</t>
  </si>
  <si>
    <t xml:space="preserve">#PM93PU ENAMEL FLAT 90%</t>
  </si>
  <si>
    <t xml:space="preserve">RM-PURAW-049</t>
  </si>
  <si>
    <t xml:space="preserve">#PM78PU ENAMEL FLAT 90%</t>
  </si>
  <si>
    <t xml:space="preserve">RM-PURAW-050</t>
  </si>
  <si>
    <t xml:space="preserve">#PM88PU ENAMEL 90% Matt</t>
  </si>
  <si>
    <t xml:space="preserve">RM-PURAW-051</t>
  </si>
  <si>
    <t xml:space="preserve">#PG 86 PU ENAMEL Hi Gloss Z8075X P/A</t>
  </si>
  <si>
    <t xml:space="preserve">RM-PURAW-052</t>
  </si>
  <si>
    <t xml:space="preserve">#PG 87 PU ENAMEL Hi Gloss (8360) P/A</t>
  </si>
  <si>
    <t xml:space="preserve">RM-PURAW-053</t>
  </si>
  <si>
    <t xml:space="preserve">#PG 85 PU ENAMEL Hi Gloss (8514) P/A</t>
  </si>
  <si>
    <t xml:space="preserve">RM-PURAW-054</t>
  </si>
  <si>
    <t xml:space="preserve">วงกบ White Primer 84x439x634 mm.</t>
  </si>
  <si>
    <t xml:space="preserve">Frame White Primer 84x439x634 mm.</t>
  </si>
  <si>
    <t xml:space="preserve">RM-PURAW-055</t>
  </si>
  <si>
    <t xml:space="preserve">วงกบ White Primer 84x840x509 mm.</t>
  </si>
  <si>
    <t xml:space="preserve">Frame White Primer 84x840x509 mm.</t>
  </si>
  <si>
    <t xml:space="preserve">RM-PURAW-056</t>
  </si>
  <si>
    <t xml:space="preserve">#PM72 Top Coat White Matt</t>
  </si>
  <si>
    <t xml:space="preserve">RM-PURAW-058</t>
  </si>
  <si>
    <t xml:space="preserve">#PG91 PU ENAMEL HI-GLOSS (8500) P/A</t>
  </si>
  <si>
    <t xml:space="preserve">RM-PURAW-059</t>
  </si>
  <si>
    <t xml:space="preserve">#PM9A PU ENAMEL FLAT 90% (8590)P/A</t>
  </si>
  <si>
    <t xml:space="preserve">RM-PURAW-060</t>
  </si>
  <si>
    <t xml:space="preserve">#PM1B PU ENAMEL FLAT 90% (8559)P/A</t>
  </si>
  <si>
    <t xml:space="preserve">RM-PURAW-061</t>
  </si>
  <si>
    <t xml:space="preserve">#PG1A PU ENAMEL HI-GLOSS (7685) PIA</t>
  </si>
  <si>
    <t xml:space="preserve">RM-PURAW-062</t>
  </si>
  <si>
    <t xml:space="preserve">#PM5B PU ENAMEL FLAT 90% (GREY) PIA</t>
  </si>
  <si>
    <t xml:space="preserve">RM-PURAW-063</t>
  </si>
  <si>
    <t xml:space="preserve">#PM71 Enamel Light Grey Color PM</t>
  </si>
  <si>
    <t xml:space="preserve">RM-PURAW-064</t>
  </si>
  <si>
    <t xml:space="preserve">#PMSB PU ENAMEL FLAT 90%(7398) PIA</t>
  </si>
  <si>
    <t xml:space="preserve">RM-PURAW-065</t>
  </si>
  <si>
    <t xml:space="preserve">#PM2C PU ENAMEL FLAT 90%(8345) PIA</t>
  </si>
  <si>
    <t xml:space="preserve">RM-PURAW-066</t>
  </si>
  <si>
    <t xml:space="preserve">#PU6Y PU ENAMEL FLAT 90% (7333) P/A</t>
  </si>
  <si>
    <t xml:space="preserve">RM-PURAW-067</t>
  </si>
  <si>
    <t xml:space="preserve">#PM77 พียูทับหน้าด้าน 90% (7541) ส่วนเอ</t>
  </si>
  <si>
    <t xml:space="preserve">#PM77 PU Topcoat 90% (7541) Part A</t>
  </si>
  <si>
    <t xml:space="preserve">RM-PURAW-068</t>
  </si>
  <si>
    <t xml:space="preserve">#PM35 PU ENAMEL FLAT 90%(7341) P/A</t>
  </si>
  <si>
    <t xml:space="preserve">RM-PURAW-069</t>
  </si>
  <si>
    <t xml:space="preserve">#PM7D PU ENAMEL FLAT 90%(7469) P/A</t>
  </si>
  <si>
    <t xml:space="preserve">RM-PURAW-070</t>
  </si>
  <si>
    <t xml:space="preserve">#PM39 PU ENAMEL FLAT 90%(8784) P/A</t>
  </si>
  <si>
    <t xml:space="preserve">RM-PURAW-071</t>
  </si>
  <si>
    <t xml:space="preserve">#PG46 PU ENAMEL HI-GLOSS (7341) P/A</t>
  </si>
  <si>
    <t xml:space="preserve">RM-PURAW-072</t>
  </si>
  <si>
    <t xml:space="preserve">#PG8C PU ENAMEL HI-GLOSS (7573) P/A</t>
  </si>
  <si>
    <t xml:space="preserve">RM-PURAW-073</t>
  </si>
  <si>
    <t xml:space="preserve">#PG9B PU ENAMEL HI-GLOSS (7529) P/A</t>
  </si>
  <si>
    <t xml:space="preserve">RM-PURAW-074</t>
  </si>
  <si>
    <t xml:space="preserve">#PM4E PU ENAMEL FLAT 90% (8430) P/A</t>
  </si>
  <si>
    <t xml:space="preserve">RM-PURAW-075</t>
  </si>
  <si>
    <t xml:space="preserve">Primary color</t>
  </si>
  <si>
    <t xml:space="preserve">#P607 แม่สีเหลือง</t>
  </si>
  <si>
    <t xml:space="preserve">#P607 Yellow primary color</t>
  </si>
  <si>
    <t xml:space="preserve">RM-PURAW-076</t>
  </si>
  <si>
    <t xml:space="preserve">#PM1F PU ENAMEL FLAT 90%(7293) P/A</t>
  </si>
  <si>
    <t xml:space="preserve">RM-PURAW-077</t>
  </si>
  <si>
    <t xml:space="preserve">#PM9F PU ENAMEL FLAT 90%(8749) P/A</t>
  </si>
  <si>
    <t xml:space="preserve">RM-PURAW-078</t>
  </si>
  <si>
    <t xml:space="preserve">#PM5G PU ENAMEL FLAT 90% (8125) P/A</t>
  </si>
  <si>
    <t xml:space="preserve">RM-PURAW-079</t>
  </si>
  <si>
    <t xml:space="preserve">#PM6F PU ENAMEL FLAT 90% (8436) P/A</t>
  </si>
  <si>
    <t xml:space="preserve">RM-PURAW-080</t>
  </si>
  <si>
    <t xml:space="preserve">#PM8G PU ENAMEL FLAT 90% (8376) P/A</t>
  </si>
  <si>
    <t xml:space="preserve">RM-PURAW-081</t>
  </si>
  <si>
    <t xml:space="preserve">#2410 พียูอินาเมลไฮกลอส ส่วนเอ</t>
  </si>
  <si>
    <t xml:space="preserve">#2410 PU Enamel High Gloss Part A</t>
  </si>
  <si>
    <t xml:space="preserve">RM-PURAW-082</t>
  </si>
  <si>
    <t xml:space="preserve">#P901 ผงมุก 1/4ถัง</t>
  </si>
  <si>
    <t xml:space="preserve">#P901 Pearl powder 1/4 bucket</t>
  </si>
  <si>
    <t xml:space="preserve">RM-PURAW-083</t>
  </si>
  <si>
    <t xml:space="preserve">#PM5H PU ENAMEL FLAT 90%(8358) P/A</t>
  </si>
  <si>
    <t xml:space="preserve">RM-PURAW-084</t>
  </si>
  <si>
    <t xml:space="preserve">#PM1l PU ENAMEL FLAT 90%(7362) P/A</t>
  </si>
  <si>
    <t xml:space="preserve">RM-PURAW-085</t>
  </si>
  <si>
    <t xml:space="preserve">#PM3I PU ENAMEL FLAT 90%(8106) P/A</t>
  </si>
  <si>
    <t xml:space="preserve">RM-PURAW-086</t>
  </si>
  <si>
    <t xml:space="preserve">#PG2E PU ENAMEL HI-GLOSS (8106) P/A</t>
  </si>
  <si>
    <t xml:space="preserve">RM-PURAW-087</t>
  </si>
  <si>
    <t xml:space="preserve">#1103 ทินเนอร์แลคเกอร์PAIL (แทน1156)</t>
  </si>
  <si>
    <t xml:space="preserve">#1103 Thinner lacquer PAIL (instead of 1156)</t>
  </si>
  <si>
    <t xml:space="preserve">RM-PURAW-089</t>
  </si>
  <si>
    <t xml:space="preserve">SO-375 ทินเนอร์แลคเกอร์ 30ลิตร</t>
  </si>
  <si>
    <t xml:space="preserve">SO-375 Thinner Lacquer 30L.</t>
  </si>
  <si>
    <t xml:space="preserve">RM-PURAW-090</t>
  </si>
  <si>
    <t xml:space="preserve">#2459 พียูทับหน้าเงา 10% ส่วนเอ</t>
  </si>
  <si>
    <t xml:space="preserve">#2459 PU Topcoat 10% Part A</t>
  </si>
  <si>
    <t xml:space="preserve">RM-PURAW-092</t>
  </si>
  <si>
    <t xml:space="preserve">#PG4F PU ENAMEL HI-GLOSS (8546) P/A</t>
  </si>
  <si>
    <t xml:space="preserve">RM-PURAW-093</t>
  </si>
  <si>
    <t xml:space="preserve">#PG6H PU ENAMEL HI-GLOSS (7377) P/A</t>
  </si>
  <si>
    <t xml:space="preserve">RM-PURAW-094</t>
  </si>
  <si>
    <t xml:space="preserve">#8501 แม่สี Pigment สีดำ 5L</t>
  </si>
  <si>
    <t xml:space="preserve">#8501 Primary Pigment Black 5L</t>
  </si>
  <si>
    <t xml:space="preserve">RM-PURAW-095</t>
  </si>
  <si>
    <t xml:space="preserve">#8503 แม่สี Pigment สีน้ำเงิน 5L</t>
  </si>
  <si>
    <t xml:space="preserve">#8503 Primary Pigment Blue 5L</t>
  </si>
  <si>
    <t xml:space="preserve">RM-PURAW-096</t>
  </si>
  <si>
    <t xml:space="preserve">#8504 แม่สี Pigment สีแดง 5L</t>
  </si>
  <si>
    <t xml:space="preserve">#8504 Primary Pigment Red 5L</t>
  </si>
  <si>
    <t xml:space="preserve">RM-PURAW-097</t>
  </si>
  <si>
    <t xml:space="preserve">#8507 แม่สี Pigment สีเหลือง 5L</t>
  </si>
  <si>
    <t xml:space="preserve">#8507 Primary Pigment Yellow 5L</t>
  </si>
  <si>
    <t xml:space="preserve">RM-PURAW-098</t>
  </si>
  <si>
    <t xml:space="preserve">#8509 แม่สี Pigment สีขาว 5L</t>
  </si>
  <si>
    <t xml:space="preserve">#8509 Primary Pigment White 5L</t>
  </si>
  <si>
    <t xml:space="preserve">RM-PURAW-099</t>
  </si>
  <si>
    <t xml:space="preserve">#1P10 แม่สี BC76 สีแดง 5L</t>
  </si>
  <si>
    <t xml:space="preserve">#1P10 Primary Color BC76 Red 5L</t>
  </si>
  <si>
    <t xml:space="preserve">RM-PURAW-100</t>
  </si>
  <si>
    <t xml:space="preserve">#P601 แม่สีดำไฮกลอส 5L</t>
  </si>
  <si>
    <t xml:space="preserve">#P601 Primary color, black high-gloss 5L</t>
  </si>
  <si>
    <t xml:space="preserve">RM-PURAW-101</t>
  </si>
  <si>
    <t xml:space="preserve">#P603 แม่สีน้ำเงินไฮกลอส 5L</t>
  </si>
  <si>
    <t xml:space="preserve">#P603 Primary color, high-gloss blue 5L</t>
  </si>
  <si>
    <t xml:space="preserve">RM-PURAW-102</t>
  </si>
  <si>
    <t xml:space="preserve">#P614 แม่สีแดงไฮกลอส 5L</t>
  </si>
  <si>
    <t xml:space="preserve">#P614 Primary color, high-gloss red 5L</t>
  </si>
  <si>
    <t xml:space="preserve">RM-PURAW-103</t>
  </si>
  <si>
    <t xml:space="preserve">#P624 แม่สีแดงไฮกลอส 5L</t>
  </si>
  <si>
    <t xml:space="preserve">#P624 Primary color, high-gloss red 5L</t>
  </si>
  <si>
    <t xml:space="preserve">RM-PURAW-104</t>
  </si>
  <si>
    <t xml:space="preserve">#P607 แม่สีเหลืองไฮกลอส 5L</t>
  </si>
  <si>
    <t xml:space="preserve">#P607 Primary color, high-gloss yellow 5L</t>
  </si>
  <si>
    <t xml:space="preserve">RM-PURAW-105</t>
  </si>
  <si>
    <t xml:space="preserve">#P609 แม่สีขาวไฮกลอส 5L</t>
  </si>
  <si>
    <t xml:space="preserve">#P609 Primary color, high-gloss white 5L</t>
  </si>
  <si>
    <t xml:space="preserve">RM-PURAW-106</t>
  </si>
  <si>
    <t xml:space="preserve">#MSWH DIRECT TO METAL (METAL SHILIED WHITE)</t>
  </si>
  <si>
    <t xml:space="preserve">RM-PURAW-107</t>
  </si>
  <si>
    <t xml:space="preserve">#MT0B DIRECT TO METAL P/B</t>
  </si>
  <si>
    <t xml:space="preserve">RM-PURAW-108</t>
  </si>
  <si>
    <t xml:space="preserve">#PG9G PU ENAMEL HI-GLOSS (METALLIC) P/A</t>
  </si>
  <si>
    <t xml:space="preserve">RM-PURAW-109</t>
  </si>
  <si>
    <t xml:space="preserve">#PM6Q PU ENAMEL FLAT 90%(8357)</t>
  </si>
  <si>
    <t xml:space="preserve">RM-PURAW-110</t>
  </si>
  <si>
    <t xml:space="preserve">#PU6B PU ENAMEL HI-GLOSS (HG 8794) P/A</t>
  </si>
  <si>
    <t xml:space="preserve">RM-SSRAW-001</t>
  </si>
  <si>
    <t xml:space="preserve">อ่างหลุม (ดำ)</t>
  </si>
  <si>
    <t xml:space="preserve">Basin (black)</t>
  </si>
  <si>
    <t xml:space="preserve">RM-SSRAW-002</t>
  </si>
  <si>
    <t xml:space="preserve">Stone</t>
  </si>
  <si>
    <t xml:space="preserve">หินควอตว์ TS4010G 3200x1600x20mm.</t>
  </si>
  <si>
    <t xml:space="preserve">Quartz stone TS4010G 3200x1600x20mm.</t>
  </si>
  <si>
    <t xml:space="preserve">AP-TSS000</t>
  </si>
  <si>
    <t xml:space="preserve">RM-SSRAW-003</t>
  </si>
  <si>
    <t xml:space="preserve">หินควอตว์ TS1008 3200x1600x30mm.</t>
  </si>
  <si>
    <t xml:space="preserve">Quartz stone TS1008 3200x1600x30mm.</t>
  </si>
  <si>
    <t xml:space="preserve">RM-SSRAW-004</t>
  </si>
  <si>
    <t xml:space="preserve">อ่างหลุม1 1/2หลุม (ขาว)</t>
  </si>
  <si>
    <t xml:space="preserve">1 1/2 holes basin (white)</t>
  </si>
  <si>
    <t xml:space="preserve">RM-SSRAW-005</t>
  </si>
  <si>
    <t xml:space="preserve">หินควอตว์ TS5201  3200x1600x30mm.</t>
  </si>
  <si>
    <t xml:space="preserve">Quartz stone TS5201 3200x1600x30mm.</t>
  </si>
  <si>
    <t xml:space="preserve">RM-SSRAW-006</t>
  </si>
  <si>
    <t xml:space="preserve">อ่างหลุม1 1/2หลุม (ดำ)</t>
  </si>
  <si>
    <t xml:space="preserve">1 1/2 holes basin (black)</t>
  </si>
  <si>
    <t xml:space="preserve">RM-SSRAW-007</t>
  </si>
  <si>
    <t xml:space="preserve">อ่าง 1.1/2 หลุม (ครีม)</t>
  </si>
  <si>
    <t xml:space="preserve">1 1/2 holes basin (cream)</t>
  </si>
  <si>
    <t xml:space="preserve">RM-SSRAW-009</t>
  </si>
  <si>
    <t xml:space="preserve">อ่าง 1 หลุม (ขาวนวล)</t>
  </si>
  <si>
    <t xml:space="preserve">1 holes basin (soft white)</t>
  </si>
  <si>
    <t xml:space="preserve">RM-SSRAW-011</t>
  </si>
  <si>
    <t xml:space="preserve">อ่าง 1.1/2 หลุม (ขาวนวล)</t>
  </si>
  <si>
    <t xml:space="preserve">1 1/2 holes basin (soft white)</t>
  </si>
  <si>
    <t xml:space="preserve">RM-SSRAW-013</t>
  </si>
  <si>
    <t xml:space="preserve">Basin waste</t>
  </si>
  <si>
    <t xml:space="preserve">สะดือพลาสติกสีขาว/ใหญ่</t>
  </si>
  <si>
    <t xml:space="preserve">White Plastic Basin waste/large</t>
  </si>
  <si>
    <t xml:space="preserve">RM-SSRAW-015</t>
  </si>
  <si>
    <t xml:space="preserve">สะดือพลาสติกสีขาว/เล็ก</t>
  </si>
  <si>
    <t xml:space="preserve">White Plastic Basin waste/small</t>
  </si>
  <si>
    <t xml:space="preserve">RM-SSRAW-017</t>
  </si>
  <si>
    <t xml:space="preserve">ตัวโค้งสะดือ</t>
  </si>
  <si>
    <t xml:space="preserve">Basiin waste curve</t>
  </si>
  <si>
    <t xml:space="preserve">RM-SSRAW-019</t>
  </si>
  <si>
    <t xml:space="preserve">สะดืออ่างหล่อ(จีน)304AJ-40SD114</t>
  </si>
  <si>
    <t xml:space="preserve">Basin waste (China) 304AJ-40SD114</t>
  </si>
  <si>
    <t xml:space="preserve">RM-SSRAW-021</t>
  </si>
  <si>
    <t xml:space="preserve">สะดือเหล็ก(เล็ก)</t>
  </si>
  <si>
    <t xml:space="preserve">Iron Basin waste (small)</t>
  </si>
  <si>
    <t xml:space="preserve">RM-SSRAW-023</t>
  </si>
  <si>
    <t xml:space="preserve">L6135-ประกายทอง 25Kg/กล่อง (จีน)</t>
  </si>
  <si>
    <t xml:space="preserve">L6135-Gold Spark 25 Kg/Box (China)</t>
  </si>
  <si>
    <t xml:space="preserve">RM-SSRAW-024</t>
  </si>
  <si>
    <t xml:space="preserve">L6136-ประกายเงิน 25Kg/กล่อง (จีน)</t>
  </si>
  <si>
    <t xml:space="preserve">L6136-Sparkling Silver 25Kg/Box (China)</t>
  </si>
  <si>
    <t xml:space="preserve">RM-SSRAW-025</t>
  </si>
  <si>
    <t xml:space="preserve">Gelcoat GC-251 @ 18 กก.</t>
  </si>
  <si>
    <t xml:space="preserve">Gelcoat GC-251 @ 18 kg.</t>
  </si>
  <si>
    <t xml:space="preserve">RM-SSRAW-027</t>
  </si>
  <si>
    <t xml:space="preserve">ALUMINUM HYDROXIDE #15 @25 Kg.</t>
  </si>
  <si>
    <t xml:space="preserve">AR-SCI000</t>
  </si>
  <si>
    <t xml:space="preserve">RM-SSRAW-028</t>
  </si>
  <si>
    <t xml:space="preserve">ALUMINUM HYDROXIDE #100 @25 Kg.</t>
  </si>
  <si>
    <t xml:space="preserve">RM-SSRAW-029</t>
  </si>
  <si>
    <t xml:space="preserve">POLYLITE 7933A @220 กก. เรซิ่น-จีน</t>
  </si>
  <si>
    <t xml:space="preserve">POLYLITE 7933A @220 kg. Resin-China</t>
  </si>
  <si>
    <t xml:space="preserve">RM-SSRAW-030</t>
  </si>
  <si>
    <t xml:space="preserve">Calcium Carbonate @30 kg. ซาวไป่เฟิ่น</t>
  </si>
  <si>
    <t xml:space="preserve">Calcium Carbonate @30 kg. Sao Bai Fen</t>
  </si>
  <si>
    <t xml:space="preserve">AP-KIG000</t>
  </si>
  <si>
    <t xml:space="preserve">RM-SSRAW-031</t>
  </si>
  <si>
    <t xml:space="preserve">Miraval 5411 Magic White</t>
  </si>
  <si>
    <t xml:space="preserve">RM-SSRAW-032</t>
  </si>
  <si>
    <t xml:space="preserve">Accelerator RP-53 @15kg.</t>
  </si>
  <si>
    <t xml:space="preserve">AP-SCI000</t>
  </si>
  <si>
    <t xml:space="preserve">RM-SSRAW-034</t>
  </si>
  <si>
    <t xml:space="preserve">BUTANOX M-60@5 กก.</t>
  </si>
  <si>
    <t xml:space="preserve">BUTANOX M-60@5 kg.</t>
  </si>
  <si>
    <t xml:space="preserve">AP-MKP000 </t>
  </si>
  <si>
    <t xml:space="preserve">RM-SSRAW-036</t>
  </si>
  <si>
    <t xml:space="preserve">Miraval 5420 Magic Gold</t>
  </si>
  <si>
    <t xml:space="preserve">RM-SSRAW-037</t>
  </si>
  <si>
    <t xml:space="preserve">SUNDHOMA GC-231-A  @18 kg</t>
  </si>
  <si>
    <t xml:space="preserve">RM-SSRAW-039</t>
  </si>
  <si>
    <t xml:space="preserve">POLYCOTOR BLACK US 1800 @ 20 kg.</t>
  </si>
  <si>
    <t xml:space="preserve">AP-SKK000</t>
  </si>
  <si>
    <t xml:space="preserve">RM-SSRAW-040</t>
  </si>
  <si>
    <t xml:space="preserve">POLYTON WHITE X-7451T   @20 kg</t>
  </si>
  <si>
    <t xml:space="preserve">AP-DIC000</t>
  </si>
  <si>
    <t xml:space="preserve">RM-SSRAW-045</t>
  </si>
  <si>
    <t xml:space="preserve">BLACK MAGIC - SSV2005GL</t>
  </si>
  <si>
    <t xml:space="preserve">RM-SSRAW-046</t>
  </si>
  <si>
    <t xml:space="preserve">WCR-Ex-White Carara หินอ่อน</t>
  </si>
  <si>
    <t xml:space="preserve">WCR-Ex-White Carrara Marble</t>
  </si>
  <si>
    <t xml:space="preserve">RM-SSRAW-047</t>
  </si>
  <si>
    <t xml:space="preserve">BM-1: Black Marquina-Veins หินอ่อน</t>
  </si>
  <si>
    <t xml:space="preserve">BM-1: Black Marquina-Veins Marble</t>
  </si>
  <si>
    <t xml:space="preserve">RM-SSRAW-052</t>
  </si>
  <si>
    <t xml:space="preserve">Acrylic</t>
  </si>
  <si>
    <t xml:space="preserve">Acrylic solid surface siab 088A Fire(จีน)</t>
  </si>
  <si>
    <t xml:space="preserve">Acrylic solid surface siab 088A Fire (China)</t>
  </si>
  <si>
    <t xml:space="preserve">RM-SSRAW-053</t>
  </si>
  <si>
    <t xml:space="preserve">Acrylic solid surface siab 077A Tangerinnee(จีน)</t>
  </si>
  <si>
    <t xml:space="preserve">Acrylic solid surface siab 077A Tangerinnee (China)</t>
  </si>
  <si>
    <t xml:space="preserve">RM-SSRAW-054</t>
  </si>
  <si>
    <t xml:space="preserve">Acrylic solid surface siab 079A Sunshine(จีน)</t>
  </si>
  <si>
    <t xml:space="preserve">Acrylic solid surface siab 079A Sunshine (China)</t>
  </si>
  <si>
    <t xml:space="preserve">RM-SSRAW-055</t>
  </si>
  <si>
    <t xml:space="preserve">Acrylic solid surface siab 505SA Under The Board</t>
  </si>
  <si>
    <t xml:space="preserve">RM-SSRAW-056</t>
  </si>
  <si>
    <t xml:space="preserve">Acrylic solid surface siab M007 Mt. Carrara(จีน)</t>
  </si>
  <si>
    <t xml:space="preserve">Acrylic solid surface siab M007 Mt. Carrara (China)</t>
  </si>
  <si>
    <t xml:space="preserve">RM-SSRAW-057</t>
  </si>
  <si>
    <t xml:space="preserve">Acrylic solid surface siab M002 Mt.Vanconrete(จี</t>
  </si>
  <si>
    <t xml:space="preserve">Acrylic solid surface siab M002 Mt.Vanconrete (China)</t>
  </si>
  <si>
    <t xml:space="preserve">RM-SSRAW-058</t>
  </si>
  <si>
    <t xml:space="preserve">Acrylic solid surface siab M021 Shadow Concrete(</t>
  </si>
  <si>
    <t xml:space="preserve">Acrylic solid surface siab M021 Shadow Concrete (China)</t>
  </si>
  <si>
    <t xml:space="preserve">RM-SSRAW-059</t>
  </si>
  <si>
    <t xml:space="preserve">Acrylic solid surface siab M023 Charcoal Concret</t>
  </si>
  <si>
    <t xml:space="preserve">RM-SSRAW-060</t>
  </si>
  <si>
    <t xml:space="preserve">Surface Adhesive 088A Fire(จีน)</t>
  </si>
  <si>
    <t xml:space="preserve">Surface Adhesive 088A Fire (China)</t>
  </si>
  <si>
    <t xml:space="preserve">RM-SSRAW-061</t>
  </si>
  <si>
    <t xml:space="preserve">Surface Adhesive 077A Tangerinnee(จีน)</t>
  </si>
  <si>
    <t xml:space="preserve">Surface Adhesive 077A Tangerinnee (China)</t>
  </si>
  <si>
    <t xml:space="preserve">RM-SSRAW-063</t>
  </si>
  <si>
    <t xml:space="preserve">เหล็กแบน 1 1/4 x 3/16""</t>
  </si>
  <si>
    <t xml:space="preserve">Flat iron 1 1/4 x 3/16""</t>
  </si>
  <si>
    <t xml:space="preserve">AP-PNC000</t>
  </si>
  <si>
    <t xml:space="preserve">RM-SSRAW-064</t>
  </si>
  <si>
    <t xml:space="preserve">Surface Adhesive 079A Sunshine(จีน)</t>
  </si>
  <si>
    <t xml:space="preserve">Surface Adhesive 079A Sunshine (China)</t>
  </si>
  <si>
    <t xml:space="preserve">RM-SSRAW-065</t>
  </si>
  <si>
    <t xml:space="preserve">Surface Adhesive 505SA Under The Boardwalk(จีน)</t>
  </si>
  <si>
    <t xml:space="preserve">Surface Adhesive 505SA Under The Boardwalk (China)</t>
  </si>
  <si>
    <t xml:space="preserve">RM-SSRAW-066</t>
  </si>
  <si>
    <t xml:space="preserve">Surface Adhesive M007 Mt. Carrara(จีน)</t>
  </si>
  <si>
    <t xml:space="preserve">Surface Adhesive M007 Mt. Carrara (China)</t>
  </si>
  <si>
    <t xml:space="preserve">RM-SSRAW-067</t>
  </si>
  <si>
    <t xml:space="preserve">Surface Adhesive M002 Mt.Vanconrete(จีน)</t>
  </si>
  <si>
    <t xml:space="preserve">Surface Adhesive M002 Mt.Vanconrete (China)</t>
  </si>
  <si>
    <t xml:space="preserve">RM-SSRAW-068</t>
  </si>
  <si>
    <t xml:space="preserve">Surface Adhesive M021 Shadow Concrete(จีน)</t>
  </si>
  <si>
    <t xml:space="preserve">Surface Adhesive M021 Shadow Concrete (China)</t>
  </si>
  <si>
    <t xml:space="preserve">RM-SSRAW-069</t>
  </si>
  <si>
    <t xml:space="preserve">Surface Adhesive M023 Charcoal Concrete(จีน)</t>
  </si>
  <si>
    <t xml:space="preserve">Surface Adhesive M023 Charcoal Concrete (China)</t>
  </si>
  <si>
    <t xml:space="preserve">RM-SSRAW-070</t>
  </si>
  <si>
    <t xml:space="preserve">Inland Surcharge (จีน)</t>
  </si>
  <si>
    <t xml:space="preserve">Inland Surcharge (China)</t>
  </si>
  <si>
    <t xml:space="preserve">RM-SSRAW-071</t>
  </si>
  <si>
    <t xml:space="preserve">แม่สีเทา POLYTON GRAY X-8335T</t>
  </si>
  <si>
    <t xml:space="preserve">Gray primary color POLYTON GRAY X-8335T</t>
  </si>
  <si>
    <t xml:space="preserve">RM-SSRAW-072</t>
  </si>
  <si>
    <t xml:space="preserve">QuartZ White หินควอซ์</t>
  </si>
  <si>
    <t xml:space="preserve">White quartz stone </t>
  </si>
  <si>
    <t xml:space="preserve">RM-SSRAW-073</t>
  </si>
  <si>
    <t xml:space="preserve">แม่สีขาว POLYTON WHITE X-7458T</t>
  </si>
  <si>
    <t xml:space="preserve">White primary color POLYTON GRAY X-7458T</t>
  </si>
  <si>
    <t xml:space="preserve">RM-SSRAW-074</t>
  </si>
  <si>
    <t xml:space="preserve">แม่สีน้ำตาล POLYTON BROWN X-7455T</t>
  </si>
  <si>
    <t xml:space="preserve">Brown primary color Polyton Brown X -7455T</t>
  </si>
  <si>
    <t xml:space="preserve">RM-SSRAW-075</t>
  </si>
  <si>
    <t xml:space="preserve">อ่างล้างจานสแตนเลส รุ่น5238L-0(จีน) 512*382*200</t>
  </si>
  <si>
    <t xml:space="preserve">stainless steel sink Model 5238L-0(China) 512*382*200</t>
  </si>
  <si>
    <t xml:space="preserve">RM-SSRAW-076</t>
  </si>
  <si>
    <t xml:space="preserve">อ่างล้างจานสแตนเลส 700*435*229 จีน</t>
  </si>
  <si>
    <t xml:space="preserve">stainless steel sink (China) 700*435*229</t>
  </si>
  <si>
    <t xml:space="preserve">RM-SSRAW-077</t>
  </si>
  <si>
    <t xml:space="preserve">สะดืออ่างมีสายน้ำล้น(จีน)304AJ-40SD110ใช้กับซิงค์ส</t>
  </si>
  <si>
    <t xml:space="preserve">Basin waste with overflow hose (China) 304AJ-40SD110 used with sink</t>
  </si>
  <si>
    <t xml:space="preserve">RM-SSRAW-078</t>
  </si>
  <si>
    <t xml:space="preserve">ALUMINUM HYDROXIDE #90 @25 Kg.</t>
  </si>
  <si>
    <t xml:space="preserve">AP-CZT000</t>
  </si>
  <si>
    <t xml:space="preserve">RM-SSRAW-079</t>
  </si>
  <si>
    <t xml:space="preserve">ALUMINUM HYDROXIDE #10 @25 Kg.</t>
  </si>
  <si>
    <t xml:space="preserve">RM-SSRAW-080</t>
  </si>
  <si>
    <t xml:space="preserve">อ่างล้างจานสแตนเลส 800*450*229 จีน</t>
  </si>
  <si>
    <t xml:space="preserve">stainless steel sink (China) 800*450*229 </t>
  </si>
  <si>
    <t xml:space="preserve">RM-SSRAW-081</t>
  </si>
  <si>
    <t xml:space="preserve">สะดืออ่าง รุ่น 800X450X229 จีน</t>
  </si>
  <si>
    <t xml:space="preserve">Basin waste, model 800X450X229, China</t>
  </si>
  <si>
    <t xml:space="preserve">RM-SSRAW-082</t>
  </si>
  <si>
    <t xml:space="preserve">แม่สีน้ำตาล POLYTON BROWN X-7461T</t>
  </si>
  <si>
    <t xml:space="preserve">Brown primary color Polyton Brown X -7461T</t>
  </si>
  <si>
    <t xml:space="preserve">RM-SSRAW-083</t>
  </si>
  <si>
    <t xml:space="preserve">ฝาปิดรูน้ำล้น</t>
  </si>
  <si>
    <t xml:space="preserve">Overflow hole lid</t>
  </si>
  <si>
    <t xml:space="preserve">RM-SSRAW-084</t>
  </si>
  <si>
    <t xml:space="preserve">อ่างล้างจานแสตนเลส 2หลุม850*450*229</t>
  </si>
  <si>
    <t xml:space="preserve">Stainless steel sink 2 holes 850*450*229</t>
  </si>
  <si>
    <t xml:space="preserve">RM-SSRAW-085</t>
  </si>
  <si>
    <t xml:space="preserve">สะดือ 304NK-40SS110</t>
  </si>
  <si>
    <t xml:space="preserve">Basin waste 304NK-40SS110</t>
  </si>
  <si>
    <t xml:space="preserve">RM-SSRAW-086</t>
  </si>
  <si>
    <t xml:space="preserve">Rotation dish</t>
  </si>
  <si>
    <t xml:space="preserve">จานหมุนอลูมิเนียม 16(39cm)(29515)"</t>
  </si>
  <si>
    <t xml:space="preserve">Aluminum rotation dish 16 (39cm) (29515)</t>
  </si>
  <si>
    <t xml:space="preserve">RM-SSRAW-087</t>
  </si>
  <si>
    <t xml:space="preserve">ประกายเงิน A</t>
  </si>
  <si>
    <t xml:space="preserve">Silver A</t>
  </si>
  <si>
    <t xml:space="preserve">RM-SSRAW-088</t>
  </si>
  <si>
    <t xml:space="preserve">หินควอตซ์ TS1006 Grade A 3200*1600*20 mm.</t>
  </si>
  <si>
    <t xml:space="preserve">Quartz stone TS1006 Grade A 3200*1600*20 mm.</t>
  </si>
  <si>
    <t xml:space="preserve">RM-SSRAW-089</t>
  </si>
  <si>
    <t xml:space="preserve">หินควอตซ์ TS1006 Grade B 3200*1600*20 mm.</t>
  </si>
  <si>
    <t xml:space="preserve">Quartz stone TS1006 Grade B 3200*1600*20 mm.</t>
  </si>
  <si>
    <t xml:space="preserve">RM-SSRAW-090</t>
  </si>
  <si>
    <t xml:space="preserve">หินควอตซ์ TS5201 Grade A 3200*1600*20 mm.</t>
  </si>
  <si>
    <t xml:space="preserve">Quartz stone TS5201 Grade A 3200*1600*20 mm.</t>
  </si>
  <si>
    <t xml:space="preserve">RM-SSRAW-091</t>
  </si>
  <si>
    <t xml:space="preserve">หินควอตซ์ TS5201 Grade B 3200*1600*20 mm.</t>
  </si>
  <si>
    <t xml:space="preserve">Quartz stone TS5201 Grade B 3200*1600*20 mm.</t>
  </si>
  <si>
    <t xml:space="preserve">RM-SSRAW-092</t>
  </si>
  <si>
    <t xml:space="preserve">แม่สีน้ำตาล 9281N</t>
  </si>
  <si>
    <t xml:space="preserve">Brown primary color 9281N</t>
  </si>
  <si>
    <t xml:space="preserve">AP-HIC000</t>
  </si>
  <si>
    <t xml:space="preserve">RM-SSRAW-093</t>
  </si>
  <si>
    <t xml:space="preserve">หินควอตซ์ TS4006G  3200*1600*20 mm.</t>
  </si>
  <si>
    <t xml:space="preserve">Quartz stone TS4006G  3200*1600*20 mm.</t>
  </si>
  <si>
    <t xml:space="preserve">RM-SSRAW-094</t>
  </si>
  <si>
    <t xml:space="preserve">แม่สีเทา POLYTON GRAY X-8362T(A)</t>
  </si>
  <si>
    <t xml:space="preserve">Gray primary color POLYTON GRAY X-8362T(A)</t>
  </si>
  <si>
    <t xml:space="preserve">RM-SSRAW-095</t>
  </si>
  <si>
    <t xml:space="preserve">POLYPLAS SL 8660 P-230kg. เรซิ่น-ไทย</t>
  </si>
  <si>
    <t xml:space="preserve">POLYPLAS SL 8660 P-230kg. Resin-Thai</t>
  </si>
  <si>
    <t xml:space="preserve">AP-MDC002</t>
  </si>
  <si>
    <t xml:space="preserve">RM-SSRAW-097</t>
  </si>
  <si>
    <t xml:space="preserve">หินควอตซ์ GH-921002 Grade B 3200*2000*20 mm.</t>
  </si>
  <si>
    <t xml:space="preserve">Quartz stone GH-921002 Grade B 3200*2000*20 mm.</t>
  </si>
  <si>
    <t xml:space="preserve">RM-SSRAW-098</t>
  </si>
  <si>
    <t xml:space="preserve">หินควอตซ์ TS2100 Grade B 3500*2000*20mm.</t>
  </si>
  <si>
    <t xml:space="preserve">Quartz stone TS2100 Grade B 3500*2000*20mm.</t>
  </si>
  <si>
    <t xml:space="preserve">RM-SSRAW-099</t>
  </si>
  <si>
    <t xml:space="preserve">หินควอตซ์ TS5201 Grade B 3500*2000*30mm.</t>
  </si>
  <si>
    <t xml:space="preserve">Quartz stone TS5201 Grade B 3500*2000*30mm.</t>
  </si>
  <si>
    <t xml:space="preserve">RM-SSRAW-100</t>
  </si>
  <si>
    <t xml:space="preserve">หินควอตซ์ TS1009 Grade B 3500*2000*20mm.</t>
  </si>
  <si>
    <t xml:space="preserve">Quartz stone TS1009 Grade B 3500*2000*20mm.</t>
  </si>
  <si>
    <t xml:space="preserve">51-3007</t>
  </si>
  <si>
    <t xml:space="preserve">ค่าจ้างทำของ</t>
  </si>
  <si>
    <t xml:space="preserve">Services</t>
  </si>
  <si>
    <t xml:space="preserve">Non Standard</t>
  </si>
  <si>
    <t xml:space="preserve">11-4001</t>
  </si>
  <si>
    <t xml:space="preserve">วัตถุดิบ</t>
  </si>
  <si>
    <t xml:space="preserve">Raw material</t>
  </si>
  <si>
    <t xml:space="preserve">53-2003</t>
  </si>
  <si>
    <t xml:space="preserve">วัสดุสิ้นเปลืองโรงงาน</t>
  </si>
  <si>
    <t xml:space="preserve">Factory Consumables</t>
  </si>
  <si>
    <t xml:space="preserve">51-3025</t>
  </si>
  <si>
    <t xml:space="preserve">เครื่องมือ</t>
  </si>
  <si>
    <t xml:space="preserve">Tooling Equipment</t>
  </si>
  <si>
    <t xml:space="preserve">14-1007</t>
  </si>
  <si>
    <t xml:space="preserve">เครืองจักร</t>
  </si>
  <si>
    <t xml:space="preserve">Machinery</t>
  </si>
  <si>
    <t xml:space="preserve">14-1003</t>
  </si>
  <si>
    <t xml:space="preserve">อุปกรณ์สำนักงาน</t>
  </si>
  <si>
    <t xml:space="preserve">Office Equipment</t>
  </si>
  <si>
    <t xml:space="preserve">53-2008</t>
  </si>
  <si>
    <t xml:space="preserve">วัสดุสิ้นเปลืองสำนักงาน</t>
  </si>
  <si>
    <t xml:space="preserve">Office Consumables</t>
  </si>
  <si>
    <t xml:space="preserve">51-3004</t>
  </si>
  <si>
    <t xml:space="preserve">ค่าบริการ</t>
  </si>
  <si>
    <t xml:space="preserve">Service fee</t>
  </si>
  <si>
    <t xml:space="preserve">Code </t>
  </si>
  <si>
    <t xml:space="preserve">Name</t>
  </si>
  <si>
    <t xml:space="preserve">Street</t>
  </si>
  <si>
    <t xml:space="preserve">Street2</t>
  </si>
  <si>
    <t xml:space="preserve">City</t>
  </si>
  <si>
    <t xml:space="preserve">City Old</t>
  </si>
  <si>
    <t xml:space="preserve">State Old</t>
  </si>
  <si>
    <t xml:space="preserve">Country</t>
  </si>
  <si>
    <t xml:space="preserve">Zip Code</t>
  </si>
  <si>
    <t xml:space="preserve">Company Phone</t>
  </si>
  <si>
    <t xml:space="preserve">Email</t>
  </si>
  <si>
    <t xml:space="preserve">Tax-ID</t>
  </si>
  <si>
    <t xml:space="preserve">Account Receivable </t>
  </si>
  <si>
    <t xml:space="preserve">Account Payable</t>
  </si>
  <si>
    <t xml:space="preserve">Branch</t>
  </si>
  <si>
    <t xml:space="preserve">Note</t>
  </si>
  <si>
    <t xml:space="preserve">payment terms</t>
  </si>
  <si>
    <t xml:space="preserve">contact name</t>
  </si>
  <si>
    <t xml:space="preserve">contact phone</t>
  </si>
  <si>
    <t xml:space="preserve">Credit  </t>
  </si>
  <si>
    <t xml:space="preserve">discount</t>
  </si>
  <si>
    <t xml:space="preserve">credit limit amount</t>
  </si>
  <si>
    <t xml:space="preserve">debit limit amount</t>
  </si>
  <si>
    <t xml:space="preserve">account number</t>
  </si>
  <si>
    <t xml:space="preserve">Supplier Rank</t>
  </si>
  <si>
    <t xml:space="preserve">บริษัท 9889 Thailnd</t>
  </si>
  <si>
    <t xml:space="preserve">51/44 หมู่ที่4 ต.นาดี</t>
  </si>
  <si>
    <t xml:space="preserve">อ.เมือง</t>
  </si>
  <si>
    <t xml:space="preserve">จ.สมุทรสาคร</t>
  </si>
  <si>
    <t xml:space="preserve">Thailand</t>
  </si>
  <si>
    <t xml:space="preserve">034-441-398</t>
  </si>
  <si>
    <t xml:space="preserve">sales@9889.co.th</t>
  </si>
  <si>
    <t xml:space="preserve">0105553040468 </t>
  </si>
  <si>
    <t xml:space="preserve">สำนักงานใหญ่</t>
  </si>
  <si>
    <t xml:space="preserve">จำหน่ายอุปกรณ์ตกแต่งภายในที่อยู่อาศัย และเฟอร์นิเจอร์</t>
  </si>
  <si>
    <t xml:space="preserve">คุณแนน</t>
  </si>
  <si>
    <t xml:space="preserve">087-9889-389</t>
  </si>
  <si>
    <r>
      <rPr>
        <sz val="12"/>
        <color rgb="FF000000"/>
        <rFont val="Arial"/>
        <family val="0"/>
        <charset val="134"/>
      </rPr>
      <t xml:space="preserve">30</t>
    </r>
    <r>
      <rPr>
        <sz val="12"/>
        <color rgb="FF000000"/>
        <rFont val="Tahoma"/>
        <family val="0"/>
        <charset val="134"/>
      </rPr>
      <t xml:space="preserve"> </t>
    </r>
    <r>
      <rPr>
        <sz val="12"/>
        <color rgb="FF000000"/>
        <rFont val="Arial"/>
        <family val="0"/>
        <charset val="134"/>
      </rPr>
      <t xml:space="preserve">DAYS</t>
    </r>
  </si>
  <si>
    <t xml:space="preserve">AP-AFA000</t>
  </si>
  <si>
    <t xml:space="preserve">บริษัท เฟรมอลูมิเนียม เฟอร์นิเจอร์ แอนด์ ดีไซด์ จำกัด</t>
  </si>
  <si>
    <t xml:space="preserve">100/102 ซ.พระยามนธาตุราชศรีพิจิตร แยก 29  แขวงคลองบางบอน</t>
  </si>
  <si>
    <t xml:space="preserve">เขตบางบอน</t>
  </si>
  <si>
    <t xml:space="preserve">จ.กรุงเทพฯ</t>
  </si>
  <si>
    <t xml:space="preserve">098-010-6976</t>
  </si>
  <si>
    <t xml:space="preserve">sales@alcustom48@gmail.com</t>
  </si>
  <si>
    <t xml:space="preserve">0105562149744 </t>
  </si>
  <si>
    <t xml:space="preserve">การผลิตอะลูมิเนียมและผลิตภัณฑ์อะลูมิเนียม</t>
  </si>
  <si>
    <t xml:space="preserve">คุณนลิน</t>
  </si>
  <si>
    <t xml:space="preserve">0 DAYS</t>
  </si>
  <si>
    <t xml:space="preserve">AP-AGF000</t>
  </si>
  <si>
    <t xml:space="preserve">บริษัท อะโกร ไฟเบอร์ จำกัด</t>
  </si>
  <si>
    <t xml:space="preserve">เลขที่ 138 หมู่ 7 ต.ท่าตูม</t>
  </si>
  <si>
    <t xml:space="preserve">อ.ศรีมหาโพธิ</t>
  </si>
  <si>
    <t xml:space="preserve">จ.ปราจีนบุรี</t>
  </si>
  <si>
    <t xml:space="preserve">038-538-347</t>
  </si>
  <si>
    <t xml:space="preserve">Mkt.agrofiber@gmail.com</t>
  </si>
  <si>
    <t xml:space="preserve">0255547000319 </t>
  </si>
  <si>
    <t xml:space="preserve">การผลิตแผ่นไม้บางและผลิตภัณฑ์ไม้</t>
  </si>
  <si>
    <t xml:space="preserve">30 DAYS</t>
  </si>
  <si>
    <t xml:space="preserve">AP-ALL000</t>
  </si>
  <si>
    <t xml:space="preserve">บริษัท ออล อินดัสตรี เคม จำกัด</t>
  </si>
  <si>
    <t xml:space="preserve">68/40 ซ.นวลน้อย แขวงคลองตันเหนือ</t>
  </si>
  <si>
    <t xml:space="preserve">เขตวัฒนา</t>
  </si>
  <si>
    <t xml:space="preserve">02-7114458</t>
  </si>
  <si>
    <t xml:space="preserve">admin@allindustrychem.com</t>
  </si>
  <si>
    <t xml:space="preserve">0105551084930 </t>
  </si>
  <si>
    <t xml:space="preserve">การผลิตเคมีภัณฑ์อนินทรีย์ขั้นมูลฐานอื่น ๆ</t>
  </si>
  <si>
    <t xml:space="preserve">คุณฉัตรชัย</t>
  </si>
  <si>
    <t xml:space="preserve">081-9076035</t>
  </si>
  <si>
    <t xml:space="preserve">AP-AMJ000</t>
  </si>
  <si>
    <t xml:space="preserve"> Amjay Exports Private Limited</t>
  </si>
  <si>
    <t xml:space="preserve">114 B, Pocket-6, Mayur Vihar Phase-3, </t>
  </si>
  <si>
    <t xml:space="preserve">New Delhi</t>
  </si>
  <si>
    <t xml:space="preserve">Delhi</t>
  </si>
  <si>
    <t xml:space="preserve">India</t>
  </si>
  <si>
    <t xml:space="preserve">+91-99102-13095</t>
  </si>
  <si>
    <t xml:space="preserve">mlg@amjayexp.com</t>
  </si>
  <si>
    <t xml:space="preserve">AAKCA5721B</t>
  </si>
  <si>
    <t xml:space="preserve">K.Moti</t>
  </si>
  <si>
    <t xml:space="preserve">+91-11-22616379</t>
  </si>
  <si>
    <t xml:space="preserve">AP-ARN000</t>
  </si>
  <si>
    <t xml:space="preserve">บริษัท อารีนาเทค จำกัด</t>
  </si>
  <si>
    <t xml:space="preserve">40/134 หมู่ที่14 ต.บางแก้ว</t>
  </si>
  <si>
    <t xml:space="preserve"> อ.บางพลี</t>
  </si>
  <si>
    <t xml:space="preserve">จ.สมุทรปราการ</t>
  </si>
  <si>
    <t xml:space="preserve">02-334-0996</t>
  </si>
  <si>
    <t xml:space="preserve">arenatech21@gmail.com
</t>
  </si>
  <si>
    <t xml:space="preserve">0115564011642 </t>
  </si>
  <si>
    <t xml:space="preserve">คุณเมธวี</t>
  </si>
  <si>
    <t xml:space="preserve">065-0598798</t>
  </si>
  <si>
    <t xml:space="preserve">บริษัท เอเชี่ยน ไซเอนติฟิค จำกัด</t>
  </si>
  <si>
    <t xml:space="preserve">199/1กม.10ม.3ซ.วงษ์แพทย์ถ.เทพารักษ์ ต.บางพลีใหญ่</t>
  </si>
  <si>
    <t xml:space="preserve">02-7574515</t>
  </si>
  <si>
    <t xml:space="preserve">sales@asc-th.com</t>
  </si>
  <si>
    <t xml:space="preserve">0105537002964 </t>
  </si>
  <si>
    <t xml:space="preserve">คุณนุช</t>
  </si>
  <si>
    <t xml:space="preserve">ต่อ 105</t>
  </si>
  <si>
    <t xml:space="preserve">AP-ASO000</t>
  </si>
  <si>
    <t xml:space="preserve">บริษัท แอสเซนท์ คอนสตรัคชั่น ซัพพลาย จำกัด</t>
  </si>
  <si>
    <t xml:space="preserve">138/25 ซอยสายไหม 34 (พัธนชัย) ถนนสายไหม  แขวงสายไหม</t>
  </si>
  <si>
    <t xml:space="preserve"> เขตสายไหม</t>
  </si>
  <si>
    <t xml:space="preserve">02-9915109</t>
  </si>
  <si>
    <t xml:space="preserve">0105556168392 </t>
  </si>
  <si>
    <t xml:space="preserve">AP-BDM000</t>
  </si>
  <si>
    <t xml:space="preserve">บริษัท ตราเพชร จำกัด</t>
  </si>
  <si>
    <t xml:space="preserve">87 หมู่ 10 ถ.ปู่เจ้าสมิงพราย ต.สำโรงใต้</t>
  </si>
  <si>
    <t xml:space="preserve">อ.พระประแดง</t>
  </si>
  <si>
    <t xml:space="preserve">02-757-6100</t>
  </si>
  <si>
    <t xml:space="preserve">0105516008670 </t>
  </si>
  <si>
    <t xml:space="preserve">คุณจิราวัฒน์</t>
  </si>
  <si>
    <t xml:space="preserve">097-424-5524</t>
  </si>
  <si>
    <t xml:space="preserve">60 DAYS</t>
  </si>
  <si>
    <t xml:space="preserve">AP-BES000</t>
  </si>
  <si>
    <t xml:space="preserve">บริษัท เบสต้า กู้ด โปร จำกัด</t>
  </si>
  <si>
    <t xml:space="preserve">103/2 หมู่ 6 ต.บางพลี</t>
  </si>
  <si>
    <t xml:space="preserve">อ.บางพลี</t>
  </si>
  <si>
    <t xml:space="preserve">02-337-3401-3</t>
  </si>
  <si>
    <t xml:space="preserve">sales@bestapaint.com</t>
  </si>
  <si>
    <t xml:space="preserve">0115547002959 </t>
  </si>
  <si>
    <t xml:space="preserve">ผลิตและจำหน่ายสีน้ำมัน,สีทา,สีเคลือบ,สีพ่นรับจ้างพ่นสี</t>
  </si>
  <si>
    <t xml:space="preserve">15 DAYS</t>
  </si>
  <si>
    <t xml:space="preserve"> Best Solid Surfaces Corp.</t>
  </si>
  <si>
    <t xml:space="preserve">Xishan Economic Developent Zone</t>
  </si>
  <si>
    <t xml:space="preserve">Wuxi</t>
  </si>
  <si>
    <t xml:space="preserve">Jiangsu</t>
  </si>
  <si>
    <t xml:space="preserve">China</t>
  </si>
  <si>
    <t xml:space="preserve">AP-BKM000</t>
  </si>
  <si>
    <t xml:space="preserve">บริษัท บางกอก มาสเตอร์ จำกัด</t>
  </si>
  <si>
    <t xml:space="preserve">276 ซ. อ่อนนุช 35 ถ.อ่อนนุช  แขวงสวนหลวง</t>
  </si>
  <si>
    <t xml:space="preserve">เขตสวนหลวง</t>
  </si>
  <si>
    <t xml:space="preserve">กรุงเทพมหานคร</t>
  </si>
  <si>
    <t xml:space="preserve">02-721-5238</t>
  </si>
  <si>
    <t xml:space="preserve">บริษัท บางพลี แพค (บีพีพี) จำกัด</t>
  </si>
  <si>
    <t xml:space="preserve">113/7 หมู่ 7 ต.บางพลีใหญ่</t>
  </si>
  <si>
    <t xml:space="preserve">02-070-1133</t>
  </si>
  <si>
    <t xml:space="preserve">0115559004196 </t>
  </si>
  <si>
    <t xml:space="preserve">ผลิตและจัดจำหน่ายน้ำดื่ม</t>
  </si>
  <si>
    <t xml:space="preserve">AP-BTV000</t>
  </si>
  <si>
    <t xml:space="preserve">บริษัท บุญถาวรเซรามิค จำกัด</t>
  </si>
  <si>
    <t xml:space="preserve">15/2 หมู่ที่ 14 ถ.บางนาตราด ต.บางพลีใหญ่</t>
  </si>
  <si>
    <t xml:space="preserve">02-1746888</t>
  </si>
  <si>
    <t xml:space="preserve">CONTACT_CENTER@BOONTHAVORN.COM</t>
  </si>
  <si>
    <t xml:space="preserve">0105535130116 </t>
  </si>
  <si>
    <t xml:space="preserve">กระเบื้องเซรามิค,สุขภัณฑ์,เฟอร์นิเจอร์,ชุดครัว,หินอ่อน,หินแกรนิต</t>
  </si>
  <si>
    <t xml:space="preserve">AP-BUC001</t>
  </si>
  <si>
    <t xml:space="preserve">ร้าน บุญช่วยรุ่งเรืองค้าไม้</t>
  </si>
  <si>
    <t xml:space="preserve">44หมู่6 ต.บางเพรียง</t>
  </si>
  <si>
    <t xml:space="preserve">อ.บางบ่อ</t>
  </si>
  <si>
    <t xml:space="preserve">085-0216907,086-2311185</t>
  </si>
  <si>
    <t xml:space="preserve">บริษัท บลู อินเตอร์เนชั่นแนล จำกัด</t>
  </si>
  <si>
    <t xml:space="preserve">8,10,12ซ.รามคำแหง26/1 ถ.รามคำแหง แขวงหัวหมาก</t>
  </si>
  <si>
    <t xml:space="preserve">เขตบางกะปิ</t>
  </si>
  <si>
    <t xml:space="preserve">02-3747744</t>
  </si>
  <si>
    <t xml:space="preserve">0105524001824 </t>
  </si>
  <si>
    <t xml:space="preserve">คุณสมชาย</t>
  </si>
  <si>
    <t xml:space="preserve">084-639-5142</t>
  </si>
  <si>
    <t xml:space="preserve">AP-CAG000</t>
  </si>
  <si>
    <t xml:space="preserve">บริษัท ฉัตรเกศ จำกัด</t>
  </si>
  <si>
    <t xml:space="preserve">61/9 หมู่9 ถ.เทพารักษ์ ต.บางพลีใหญ่</t>
  </si>
  <si>
    <t xml:space="preserve">02-7505880</t>
  </si>
  <si>
    <t xml:space="preserve">0105535095736 </t>
  </si>
  <si>
    <t xml:space="preserve">AP-CBO000</t>
  </si>
  <si>
    <t xml:space="preserve"> ซีโบ เจเนรัล แอนด์ ซัพพลาย</t>
  </si>
  <si>
    <t xml:space="preserve">189/331 ม.6 ต.แพรกษา</t>
  </si>
  <si>
    <t xml:space="preserve">อ.เมืองสมุทรปราการ</t>
  </si>
  <si>
    <t xml:space="preserve">086-5657004</t>
  </si>
  <si>
    <t xml:space="preserve">chiraphat.koi@gmail.com</t>
  </si>
  <si>
    <t xml:space="preserve">3250400406597 </t>
  </si>
  <si>
    <t xml:space="preserve">AP-CCG000</t>
  </si>
  <si>
    <t xml:space="preserve">บริษัท เซ็นทรัล เคมีคอล 1999 กรุ๊ป จำกัด</t>
  </si>
  <si>
    <t xml:space="preserve">884/1 หมู่ 7 ต.บางปูใหม่ </t>
  </si>
  <si>
    <t xml:space="preserve">02-0699776</t>
  </si>
  <si>
    <t xml:space="preserve">0115555021657 </t>
  </si>
  <si>
    <t xml:space="preserve">คุณแป้ง </t>
  </si>
  <si>
    <t xml:space="preserve">086-334-5087</t>
  </si>
  <si>
    <t xml:space="preserve">AP-CE9000</t>
  </si>
  <si>
    <t xml:space="preserve">บริษัท เจริญอิเล็กทริค999 จำกัด</t>
  </si>
  <si>
    <t xml:space="preserve">49/174 หมู่ 6  ต.บางโพ </t>
  </si>
  <si>
    <t xml:space="preserve">จ.นนทบุรี </t>
  </si>
  <si>
    <t xml:space="preserve">094-928-9009</t>
  </si>
  <si>
    <t xml:space="preserve">arnat033@gmail.com</t>
  </si>
  <si>
    <t xml:space="preserve">0105560118949 </t>
  </si>
  <si>
    <t xml:space="preserve">บริษัท ฉิ้นฮง เอ็นเตอร์ไพรส์ จำกัด</t>
  </si>
  <si>
    <t xml:space="preserve">2 ซอยฉลองกรุง 53 ถนนฉลองกรุง แขวงลำปลาทิว </t>
  </si>
  <si>
    <t xml:space="preserve">เขตลาดกระบัง</t>
  </si>
  <si>
    <t xml:space="preserve">02-3605087-88</t>
  </si>
  <si>
    <t xml:space="preserve">0105546037252 </t>
  </si>
  <si>
    <t xml:space="preserve">AP-CHNM00</t>
  </si>
  <si>
    <t xml:space="preserve"> Chanzhou Huaeri New Material.co.,Ltd.</t>
  </si>
  <si>
    <t xml:space="preserve">NO.2DONGGANG ROND 3 XINBEI DISTRICT</t>
  </si>
  <si>
    <t xml:space="preserve">Changzhou</t>
  </si>
  <si>
    <t xml:space="preserve">AP-CIT000</t>
  </si>
  <si>
    <t xml:space="preserve">บริษัท ซิตี้อาร์ตอลูมิเนียมเวอร์ค จำกัด</t>
  </si>
  <si>
    <t xml:space="preserve">56/56 ถ.พระราม 1 แขวงรองเมือง</t>
  </si>
  <si>
    <t xml:space="preserve"> </t>
  </si>
  <si>
    <t xml:space="preserve">เขตปทุมวัน</t>
  </si>
  <si>
    <t xml:space="preserve">02-2151512</t>
  </si>
  <si>
    <t xml:space="preserve">contact@cityart.co.th</t>
  </si>
  <si>
    <t xml:space="preserve">0105531054989 </t>
  </si>
  <si>
    <t xml:space="preserve">AP-CPS000</t>
  </si>
  <si>
    <t xml:space="preserve">บริษัท ซีพีเอส สเปเซียลตี้ จำกัด</t>
  </si>
  <si>
    <t xml:space="preserve">111/213 หมู่ 8 ถ.ฉลองกรุง แขวงลำปลาทิว </t>
  </si>
  <si>
    <t xml:space="preserve">เขตลาดกระบัง </t>
  </si>
  <si>
    <t xml:space="preserve">02-7381855</t>
  </si>
  <si>
    <t xml:space="preserve">0135562022400</t>
  </si>
  <si>
    <t xml:space="preserve">คุณสุวรรณา</t>
  </si>
  <si>
    <t xml:space="preserve">AP-CPTCP00</t>
  </si>
  <si>
    <t xml:space="preserve">บริษัท แคปิตอล คาร์เปท จำกัด</t>
  </si>
  <si>
    <t xml:space="preserve">32 ซอยอุดมสุข31 แขวงบางจาก </t>
  </si>
  <si>
    <t xml:space="preserve">เขตพระโขนง </t>
  </si>
  <si>
    <t xml:space="preserve">02-3838850</t>
  </si>
  <si>
    <t xml:space="preserve">capitalcarpet@hotmail.com,32capital@gmail.com</t>
  </si>
  <si>
    <t xml:space="preserve">0105545076939 </t>
  </si>
  <si>
    <t xml:space="preserve">คุณโก๋ </t>
  </si>
  <si>
    <t xml:space="preserve">081-934-5150</t>
  </si>
  <si>
    <t xml:space="preserve">AP-CRC000</t>
  </si>
  <si>
    <t xml:space="preserve">บริษัท ซีอาร์ซี ไทวัสดุ</t>
  </si>
  <si>
    <t xml:space="preserve">11/15 หมู่ที่ 9 ตำบลบางปลา </t>
  </si>
  <si>
    <t xml:space="preserve">02-101-2500</t>
  </si>
  <si>
    <t xml:space="preserve">0105555021215 </t>
  </si>
  <si>
    <t xml:space="preserve">AP-CRC001</t>
  </si>
  <si>
    <t xml:space="preserve">บริษัท ซีอาร์ซี ไทวัสดุ จำกัด (สาขาบางนา)</t>
  </si>
  <si>
    <t xml:space="preserve">54 หมู่ที่ 13 ตำบลบางแก้ว</t>
  </si>
  <si>
    <t xml:space="preserve">อำเภอบางพลี</t>
  </si>
  <si>
    <t xml:space="preserve">AP-CSG000</t>
  </si>
  <si>
    <t xml:space="preserve">บริษัท ซี.เอส.กลาส โพลิชชิ่ง</t>
  </si>
  <si>
    <t xml:space="preserve">33/21 หมู่ที่ 7  ตำบลบางพลีใหญ่ </t>
  </si>
  <si>
    <t xml:space="preserve">02-7064394</t>
  </si>
  <si>
    <t xml:space="preserve">0115557001661 </t>
  </si>
  <si>
    <t xml:space="preserve">086-334-8482</t>
  </si>
  <si>
    <t xml:space="preserve">AP-CTC000</t>
  </si>
  <si>
    <t xml:space="preserve">บริษัท ฉันทะคูลพาร์ท</t>
  </si>
  <si>
    <t xml:space="preserve">2302 ถ.ลาดพร้าว แขวงพลับพลา </t>
  </si>
  <si>
    <t xml:space="preserve">เขตวังทองหลาง</t>
  </si>
  <si>
    <t xml:space="preserve">02-5386962</t>
  </si>
  <si>
    <t xml:space="preserve">info@chantha-coolpart.com</t>
  </si>
  <si>
    <t xml:space="preserve">0105560141916 </t>
  </si>
  <si>
    <t xml:space="preserve">AP-CTP000</t>
  </si>
  <si>
    <t xml:space="preserve">บริษัท เจี่ยไทย พลาสติก จำกัด</t>
  </si>
  <si>
    <t xml:space="preserve">27/13 ม.20 ถ.เทพารักษ์ ต.บางพลีใหญ่ </t>
  </si>
  <si>
    <t xml:space="preserve">02-7575453</t>
  </si>
  <si>
    <t xml:space="preserve">info@chiathaiplastic.com</t>
  </si>
  <si>
    <t xml:space="preserve">0105533131719</t>
  </si>
  <si>
    <t xml:space="preserve"> CHALCO ZIBO INTERNATIONAL TRADING</t>
  </si>
  <si>
    <t xml:space="preserve">22F NEW MATERIAL  TRADING CENTER HUANDONG ROAD  ZHANGDIAN DISTRICT</t>
  </si>
  <si>
    <t xml:space="preserve">ZIBO</t>
  </si>
  <si>
    <t xml:space="preserve">SHANDONG</t>
  </si>
  <si>
    <t xml:space="preserve">AP-DCI000</t>
  </si>
  <si>
    <t xml:space="preserve">บริษัท เดนโก้ อินดัสทรี จำกัด</t>
  </si>
  <si>
    <t xml:space="preserve">เลขที่ 999 หมู่ 8 ถนนเลียบคลองสรรพสามิต ต.นาเกลือ</t>
  </si>
  <si>
    <t xml:space="preserve">อ.พระสมุทรเจดีย์ </t>
  </si>
  <si>
    <t xml:space="preserve">02-4085800</t>
  </si>
  <si>
    <t xml:space="preserve">sales@denco.co.th</t>
  </si>
  <si>
    <t xml:space="preserve">0115552005251 </t>
  </si>
  <si>
    <t xml:space="preserve">AP-DDS000</t>
  </si>
  <si>
    <t xml:space="preserve">บริษัท ดีดีเอสวี-คอนเซ็ปท์ จำกัด</t>
  </si>
  <si>
    <t xml:space="preserve">29 ซอยสุขุมวิท 18 พิชิต ถ.สุขุมวิท แขวงคลองเตย</t>
  </si>
  <si>
    <t xml:space="preserve">เขตคลองเตย</t>
  </si>
  <si>
    <t xml:space="preserve">02-6634419</t>
  </si>
  <si>
    <t xml:space="preserve">info@ddsv-concept.com</t>
  </si>
  <si>
    <t xml:space="preserve">0105546117361 </t>
  </si>
  <si>
    <t xml:space="preserve">AP-DEC0000</t>
  </si>
  <si>
    <t xml:space="preserve">บริษัท ดีโก้ เอ็นเตอร์ไพรส์ จำกัด</t>
  </si>
  <si>
    <t xml:space="preserve">873 ถนนสุขุมวิท 101/1 แขวงบางจาก</t>
  </si>
  <si>
    <t xml:space="preserve">เขตพระโขนง</t>
  </si>
  <si>
    <t xml:space="preserve">02-746-2212, 065-543-9656</t>
  </si>
  <si>
    <t xml:space="preserve">office@decoenterprises.com</t>
  </si>
  <si>
    <t xml:space="preserve">0105545109357 </t>
  </si>
  <si>
    <t xml:space="preserve">AP-DFU000</t>
  </si>
  <si>
    <t xml:space="preserve">บริษัท ดีเฟอร์นิเมท จำกัด</t>
  </si>
  <si>
    <t xml:space="preserve">71/15 อาคารดีเฟอร์นิเมท ซ.ปรีดีพนมยงค็ 14 ถ.สุขุมวิท 71 แขวงพระโขนง</t>
  </si>
  <si>
    <t xml:space="preserve">02-3920102</t>
  </si>
  <si>
    <t xml:space="preserve">sales@dfurnimate.com,contact@dfurnimate.com</t>
  </si>
  <si>
    <t xml:space="preserve">0105546140134</t>
  </si>
  <si>
    <t xml:space="preserve">คุณเปิ้ล</t>
  </si>
  <si>
    <t xml:space="preserve">AP-DSA000</t>
  </si>
  <si>
    <t xml:space="preserve">บริษัท ดี เอส เอ การค้า จำกัด (สำนักงานใหญ่)</t>
  </si>
  <si>
    <t xml:space="preserve">9/8 หมู่ 7 ตำบลบางโฉลง</t>
  </si>
  <si>
    <t xml:space="preserve">02-7509366</t>
  </si>
  <si>
    <t xml:space="preserve">0115540006185 </t>
  </si>
  <si>
    <t xml:space="preserve">คุณชาญชัย</t>
  </si>
  <si>
    <t xml:space="preserve">081-831-9258</t>
  </si>
  <si>
    <t xml:space="preserve">AP-DTC000</t>
  </si>
  <si>
    <t xml:space="preserve">บริษัท ดี.ที.ซี.เอ็นเตอร์ไพรส์ จำกัด</t>
  </si>
  <si>
    <t xml:space="preserve">63 ซอยสุขุมสิท 68 ถนนสุขุมวิท แขวงบางนาเหนือ</t>
  </si>
  <si>
    <t xml:space="preserve">เขตบางนา</t>
  </si>
  <si>
    <t xml:space="preserve">02-744-7776</t>
  </si>
  <si>
    <t xml:space="preserve">info@dtc.co.th</t>
  </si>
  <si>
    <t xml:space="preserve">0105555050452</t>
  </si>
  <si>
    <t xml:space="preserve">AP-DTM000</t>
  </si>
  <si>
    <t xml:space="preserve">บริษัท โดเท็ค เมอร์เชี่ยนไดซ์ (ประเทศไทย) จำกัด</t>
  </si>
  <si>
    <t xml:space="preserve">20 ซอยสมเด็จพระเจ้าตากสิน 37 ถ.สมเด็จพระเจ้าตากสิน แขวงบุคคโล</t>
  </si>
  <si>
    <t xml:space="preserve">เขตธนบุรี</t>
  </si>
  <si>
    <t xml:space="preserve">02-477-0123</t>
  </si>
  <si>
    <t xml:space="preserve">info@dootekthailand.com</t>
  </si>
  <si>
    <t xml:space="preserve">0105533026249 </t>
  </si>
  <si>
    <t xml:space="preserve">คุณสุพัตรา</t>
  </si>
  <si>
    <t xml:space="preserve">บริษัท ดี.เอ็กซ์.เทคนิค จำกัด</t>
  </si>
  <si>
    <t xml:space="preserve">888/47 หมู่ 19 ต.บางพลีใหญ่ </t>
  </si>
  <si>
    <t xml:space="preserve">02-174-7347</t>
  </si>
  <si>
    <t xml:space="preserve">sales@dxtechnik.com</t>
  </si>
  <si>
    <t xml:space="preserve">0105562042621 </t>
  </si>
  <si>
    <t xml:space="preserve">คุณเจมส์จัง </t>
  </si>
  <si>
    <t xml:space="preserve">092-955-9538</t>
  </si>
  <si>
    <t xml:space="preserve">บริษัท อีดีแอล ลามิเนตส์ จำกัด</t>
  </si>
  <si>
    <t xml:space="preserve">42/287,46/288 ซอยนวมินทร์ 74 แยก 1 แขวงคลองกุ่ม</t>
  </si>
  <si>
    <t xml:space="preserve">เขตบึงกุ่ม </t>
  </si>
  <si>
    <t xml:space="preserve">02-50839934</t>
  </si>
  <si>
    <t xml:space="preserve">enquiries@th.edleuro.com</t>
  </si>
  <si>
    <t xml:space="preserve">0105557070523 </t>
  </si>
  <si>
    <t xml:space="preserve">คุณวันใหม่</t>
  </si>
  <si>
    <t xml:space="preserve">AP-ESC000</t>
  </si>
  <si>
    <t xml:space="preserve">บริษัท เอสโค อินดัสเตรียล คอร์ปอเรชั่น (ประเทศไทย)</t>
  </si>
  <si>
    <t xml:space="preserve">เลขที่ 2 ซอย 53 ฉลองกรุง แขวงลำปลาทิว </t>
  </si>
  <si>
    <t xml:space="preserve"> เขตลาดกระบัง</t>
  </si>
  <si>
    <t xml:space="preserve">0105549109379 </t>
  </si>
  <si>
    <t xml:space="preserve">AP-ESC001</t>
  </si>
  <si>
    <t xml:space="preserve">บริษัท อีเอส คอนเสปท์ จำกัด</t>
  </si>
  <si>
    <t xml:space="preserve">9/3 ม.1 ต.ราษฏร์นิยม</t>
  </si>
  <si>
    <t xml:space="preserve">อ.ไทรน้อย</t>
  </si>
  <si>
    <t xml:space="preserve">จ.นนทบุรี</t>
  </si>
  <si>
    <t xml:space="preserve">sale@eskonzept.com</t>
  </si>
  <si>
    <t xml:space="preserve">0125562037016 </t>
  </si>
  <si>
    <t xml:space="preserve">AP-ESS-000</t>
  </si>
  <si>
    <t xml:space="preserve">บริษัท อีเอสเอส ซินเทค จำกัด</t>
  </si>
  <si>
    <t xml:space="preserve">86/8 ซอยลาดพร้าว 71 แขวงสะพานสอง</t>
  </si>
  <si>
    <t xml:space="preserve">02-53016134</t>
  </si>
  <si>
    <t xml:space="preserve">ekkasit@esssyntech.com</t>
  </si>
  <si>
    <t xml:space="preserve">0105542039455 </t>
  </si>
  <si>
    <t xml:space="preserve">AP-EVE000</t>
  </si>
  <si>
    <t xml:space="preserve">บริษัท สยามแมเนอร์ กรุ๊ป จำกัด</t>
  </si>
  <si>
    <t xml:space="preserve">660 ซอยนวมินทร์ 81 แยก 3-42 แขวงนวมินทร์ </t>
  </si>
  <si>
    <t xml:space="preserve">เขตบึงกุ่ม</t>
  </si>
  <si>
    <t xml:space="preserve">info@eve.co.th</t>
  </si>
  <si>
    <t xml:space="preserve">0105551074420 </t>
  </si>
  <si>
    <t xml:space="preserve">คุณบี</t>
  </si>
  <si>
    <t xml:space="preserve">099-193-3553</t>
  </si>
  <si>
    <t xml:space="preserve">AP-FEM000</t>
  </si>
  <si>
    <t xml:space="preserve">บริษัท ฟาร์อีสท์ มาร์เบิล แอนด์ แกรนิต จำกัด</t>
  </si>
  <si>
    <t xml:space="preserve">73/27 ถ.รัชดาภิเษก แขวงจอมพล</t>
  </si>
  <si>
    <t xml:space="preserve">เขตจตุจักร</t>
  </si>
  <si>
    <t xml:space="preserve">02-2004778</t>
  </si>
  <si>
    <t xml:space="preserve">0105533011055 </t>
  </si>
  <si>
    <t xml:space="preserve">AP-FIM000</t>
  </si>
  <si>
    <t xml:space="preserve">บริษัท ฟิลเตอร์มาร์ท จำกัด</t>
  </si>
  <si>
    <t xml:space="preserve">45/74 หมู่ 9  ต.บางพลี</t>
  </si>
  <si>
    <t xml:space="preserve">02-1174746</t>
  </si>
  <si>
    <t xml:space="preserve">sale@baankrongnam.com</t>
  </si>
  <si>
    <t xml:space="preserve">0145542000508</t>
  </si>
  <si>
    <t xml:space="preserve">089-900-5356</t>
  </si>
  <si>
    <t xml:space="preserve">AP-FKT000</t>
  </si>
  <si>
    <t xml:space="preserve">บริษัท แฟรงเก้ (ประเทศไทย) จำกัด</t>
  </si>
  <si>
    <t xml:space="preserve">689 อาคารภิรัช ทาวน์เวอร์แอ๊ดเอ็มควอเทียร ชั้น 20 สุขุมวิท 35 แขวงคลองตันเหนือ</t>
  </si>
  <si>
    <t xml:space="preserve">086-6263404,02-01374800</t>
  </si>
  <si>
    <t xml:space="preserve">0105545117660 </t>
  </si>
  <si>
    <t xml:space="preserve">ลี</t>
  </si>
  <si>
    <t xml:space="preserve">086-626-3404</t>
  </si>
  <si>
    <t xml:space="preserve">AP-FLG000</t>
  </si>
  <si>
    <t xml:space="preserve">บริษัท ไฟน์ไลน์ แอนด์ กราฟฟิค จำกัด</t>
  </si>
  <si>
    <t xml:space="preserve">109/132 หมู่ที่ 2 ถ.เทพารักษ์ ต.บางเสาธง</t>
  </si>
  <si>
    <t xml:space="preserve">อ.บางเสาธง</t>
  </si>
  <si>
    <t xml:space="preserve">02-7080731</t>
  </si>
  <si>
    <t xml:space="preserve">finelineprinting@yahoo.com</t>
  </si>
  <si>
    <t xml:space="preserve">0115535006512 </t>
  </si>
  <si>
    <t xml:space="preserve">คุณตุ๊ก</t>
  </si>
  <si>
    <t xml:space="preserve">089-530-8182 </t>
  </si>
  <si>
    <t xml:space="preserve">AP-FOT000</t>
  </si>
  <si>
    <t xml:space="preserve">บริษัท โฟไทล์ ซี แอนด์ จี เครื่องใช้ไฟฟ้า (ประเทศไทย) จำกัด</t>
  </si>
  <si>
    <t xml:space="preserve">79/2 อาคารเอส.พี.ดี. ถนนกรุงธนบุรี แขวงคลองต้นไทร</t>
  </si>
  <si>
    <t xml:space="preserve">เขตคลองสาน</t>
  </si>
  <si>
    <t xml:space="preserve">02-7286478 </t>
  </si>
  <si>
    <t xml:space="preserve">0105558089121 </t>
  </si>
  <si>
    <t xml:space="preserve">K.แอมมี่ </t>
  </si>
  <si>
    <t xml:space="preserve">หจก. กรีน ดิสทริบิวชั่น</t>
  </si>
  <si>
    <t xml:space="preserve">233 ถนนสุขุมวิท 77 แขวงพระโขนงเหนือ</t>
  </si>
  <si>
    <t xml:space="preserve"> เขตวัฒนา</t>
  </si>
  <si>
    <t xml:space="preserve">02-7303880</t>
  </si>
  <si>
    <t xml:space="preserve">0103544032448 </t>
  </si>
  <si>
    <t xml:space="preserve">AP-GDT000</t>
  </si>
  <si>
    <t xml:space="preserve">บริษัท โกลเด้น ไทม์ พริ้นติ้ง จำกัด</t>
  </si>
  <si>
    <t xml:space="preserve">1/1 ซ.เพชรเกษม 25  แขวงปากคลองภาษีเจริญ</t>
  </si>
  <si>
    <t xml:space="preserve"> เขตภาษีเจริญ</t>
  </si>
  <si>
    <t xml:space="preserve">02-4573760</t>
  </si>
  <si>
    <t xml:space="preserve">Goldentimeprint@gmail.com</t>
  </si>
  <si>
    <t xml:space="preserve">0105539047655 </t>
  </si>
  <si>
    <t xml:space="preserve">AP-GIG000</t>
  </si>
  <si>
    <t xml:space="preserve">บริษัท กลาสอิสกู๊ด จำกัด</t>
  </si>
  <si>
    <t xml:space="preserve">35/7 ม.6  ถ.ตลิ่งชัน-สุพรรณบุรี ต.เสาธงหิน</t>
  </si>
  <si>
    <t xml:space="preserve">อ.บางใหญ่</t>
  </si>
  <si>
    <t xml:space="preserve">service@glassisgood.co.th</t>
  </si>
  <si>
    <t xml:space="preserve">0125543007964 </t>
  </si>
  <si>
    <t xml:space="preserve">AP-GKP000</t>
  </si>
  <si>
    <t xml:space="preserve">บริษัท โกลด์คิงพัฒนา เซลล์ แอนด์ เซอร์วิส จำกัด</t>
  </si>
  <si>
    <t xml:space="preserve">135 หมู่ 5 ต.อ้อมน้อย</t>
  </si>
  <si>
    <t xml:space="preserve">อ.กระทุ่มแบน</t>
  </si>
  <si>
    <t xml:space="preserve">02-4202916</t>
  </si>
  <si>
    <t xml:space="preserve">yeeair1988@gmail.com</t>
  </si>
  <si>
    <t xml:space="preserve">0745553003109 </t>
  </si>
  <si>
    <t xml:space="preserve">คุณกบ</t>
  </si>
  <si>
    <t xml:space="preserve">081-6895169</t>
  </si>
  <si>
    <t xml:space="preserve">AP-GLR000</t>
  </si>
  <si>
    <t xml:space="preserve">บริษัท กลอรี่ สวิฟท์ กรุ๊ป จำกัด</t>
  </si>
  <si>
    <t xml:space="preserve">25/36 ม. 2 เพชรเกษม 114 แขวงหนองคางพลู </t>
  </si>
  <si>
    <t xml:space="preserve">เขตหนองแขม</t>
  </si>
  <si>
    <t xml:space="preserve">02-8108899</t>
  </si>
  <si>
    <t xml:space="preserve">salesgsg114@gmail.com</t>
  </si>
  <si>
    <t xml:space="preserve">0105544030056</t>
  </si>
  <si>
    <t xml:space="preserve">คุณอรพิน</t>
  </si>
  <si>
    <t xml:space="preserve">AP-GPN000</t>
  </si>
  <si>
    <t xml:space="preserve">บริษัท กรีน พาเนล จำกัด</t>
  </si>
  <si>
    <t xml:space="preserve">80 หมู่ที่6 ต.หนองชุมพลเหนือ</t>
  </si>
  <si>
    <t xml:space="preserve">อ.เขาย้อย </t>
  </si>
  <si>
    <t xml:space="preserve">จ.เพรชบุรี</t>
  </si>
  <si>
    <t xml:space="preserve">032-565071</t>
  </si>
  <si>
    <t xml:space="preserve">apinut@wisewoods.co.th</t>
  </si>
  <si>
    <t xml:space="preserve">0105545038867 </t>
  </si>
  <si>
    <t xml:space="preserve">คุณสมศักดิ์</t>
  </si>
  <si>
    <t xml:space="preserve">บริษัท กรีนรีเวอร์ พาเนล (ประเทศไทย) จำกัด</t>
  </si>
  <si>
    <t xml:space="preserve">222 หมู่ 4 ต.ท่าช้าง </t>
  </si>
  <si>
    <t xml:space="preserve">อ.บางกล่ำ</t>
  </si>
  <si>
    <t xml:space="preserve"> จ.สงขลา </t>
  </si>
  <si>
    <t xml:space="preserve">074-328-955</t>
  </si>
  <si>
    <t xml:space="preserve">gp@riverthailand.com</t>
  </si>
  <si>
    <t xml:space="preserve">0905547001688 </t>
  </si>
  <si>
    <t xml:space="preserve">K.Arm</t>
  </si>
  <si>
    <t xml:space="preserve">AP-GWN000</t>
  </si>
  <si>
    <t xml:space="preserve">บริษัท โกเวลล์ เอ็นจิเนียริ่ง แอนด์ เทรดดิ้ง จำกัด</t>
  </si>
  <si>
    <t xml:space="preserve">88/56 หมู่ 12 ตำบลบางปลา</t>
  </si>
  <si>
    <t xml:space="preserve">02-3460870</t>
  </si>
  <si>
    <t xml:space="preserve">market@gowellth.com, info@gowellth.com</t>
  </si>
  <si>
    <t xml:space="preserve">0115547013331 </t>
  </si>
  <si>
    <t xml:space="preserve">AP-HHG000</t>
  </si>
  <si>
    <t xml:space="preserve">ร้าน ห้างกระจก ฮั่งเฮง กลาส</t>
  </si>
  <si>
    <t xml:space="preserve">91,93 ซอยประชาอุทิศ 27แยก 4 แขวงราษฏร์บูรณะ </t>
  </si>
  <si>
    <t xml:space="preserve">เขตราษฏร์บูรณะ</t>
  </si>
  <si>
    <t xml:space="preserve">02-4274916</t>
  </si>
  <si>
    <t xml:space="preserve">1101500217457 </t>
  </si>
  <si>
    <t xml:space="preserve">AP-HHJ000</t>
  </si>
  <si>
    <t xml:space="preserve">ร้าน เฮง เฮงเจริญทรัพย์ค้าไม้</t>
  </si>
  <si>
    <t xml:space="preserve">ตำบล ตะเคียนเตี้ย</t>
  </si>
  <si>
    <t xml:space="preserve">อำเภอบางละมุง</t>
  </si>
  <si>
    <t xml:space="preserve">จ.ชลบุรี</t>
  </si>
  <si>
    <t xml:space="preserve">097-041-3078</t>
  </si>
  <si>
    <t xml:space="preserve">คุณองุ่น</t>
  </si>
  <si>
    <t xml:space="preserve">AP-HHM000</t>
  </si>
  <si>
    <t xml:space="preserve">บริษัท โฮยหงษ์ แมชชีนเนอรี่ จำกัด</t>
  </si>
  <si>
    <t xml:space="preserve">888 อาคารเอ็มอีซี ทาวเวอร์ ชั้น 14 ถ.บางนาตราด แขวงบางนา</t>
  </si>
  <si>
    <t xml:space="preserve">02-7487563</t>
  </si>
  <si>
    <t xml:space="preserve">คุณโบ๊ต</t>
  </si>
  <si>
    <t xml:space="preserve">บริษัท ไฮ - เคม (ประเทศไทย) จำกัด</t>
  </si>
  <si>
    <t xml:space="preserve">90 หมู่ 2 ถนนอุดุมสุข แขวงดอกไม้ </t>
  </si>
  <si>
    <t xml:space="preserve">เขตประเวศ</t>
  </si>
  <si>
    <t xml:space="preserve">02-0266406</t>
  </si>
  <si>
    <t xml:space="preserve">hichem.th@gmail.com</t>
  </si>
  <si>
    <t xml:space="preserve">0105531075412 </t>
  </si>
  <si>
    <t xml:space="preserve">คุณพิมพ์จันทร์</t>
  </si>
  <si>
    <t xml:space="preserve">AP-HIP000</t>
  </si>
  <si>
    <t xml:space="preserve">บริษัท เอช ไอ พี โกลบอล จำกัด</t>
  </si>
  <si>
    <t xml:space="preserve">76 Soi Supapong 3 Yak 8 Nhongbon</t>
  </si>
  <si>
    <t xml:space="preserve"> Pravet </t>
  </si>
  <si>
    <t xml:space="preserve">02-27481993</t>
  </si>
  <si>
    <t xml:space="preserve">0105548007695 </t>
  </si>
  <si>
    <t xml:space="preserve">AP-HLW000</t>
  </si>
  <si>
    <t xml:space="preserve">บริษัท ฮอลลีวู้ด เอ็นเตอร์ไพร์ส จำกัด</t>
  </si>
  <si>
    <t xml:space="preserve">147 อ่อนนุช 66 แยก 25 แขวงประเวศ</t>
  </si>
  <si>
    <t xml:space="preserve">063-446-7341</t>
  </si>
  <si>
    <t xml:space="preserve">center@hollywood.co.th</t>
  </si>
  <si>
    <t xml:space="preserve">0105557092128</t>
  </si>
  <si>
    <t xml:space="preserve">คุณวี</t>
  </si>
  <si>
    <t xml:space="preserve">AP-HPC000</t>
  </si>
  <si>
    <t xml:space="preserve">บริษัท โฮม โปรดักส์ เซ็นเตอร์ จำกัด</t>
  </si>
  <si>
    <t xml:space="preserve">99/28 หมู่1(สาขาสุวรรณภูมิ) ต.ราชาเทวะ</t>
  </si>
  <si>
    <t xml:space="preserve">ir@homepro.co.th</t>
  </si>
  <si>
    <t xml:space="preserve">AP-HPN000</t>
  </si>
  <si>
    <t xml:space="preserve">บริษัท ฮั่นโฟนิกซ์ เอ็นเตอร์ไพรส์ จำกัด</t>
  </si>
  <si>
    <t xml:space="preserve">6,6/3 ซ.ฉลองกรุง53 ถ.ฉลองกรุง แขวงลำปลาทิว</t>
  </si>
  <si>
    <t xml:space="preserve">02-3605089</t>
  </si>
  <si>
    <t xml:space="preserve">0105532000301 </t>
  </si>
  <si>
    <t xml:space="preserve">คุณว่าน</t>
  </si>
  <si>
    <t xml:space="preserve">AP-HRS000</t>
  </si>
  <si>
    <t xml:space="preserve">บริษัท ฮีโรไซน์ มาร์เก็ตติ้ง จำกัด</t>
  </si>
  <si>
    <t xml:space="preserve">89/103 หมู่ 5 ถ.จันทร์ทองเอี่ยม ต.บางรักพัฒนา</t>
  </si>
  <si>
    <t xml:space="preserve">091-4505936,021905845</t>
  </si>
  <si>
    <t xml:space="preserve">Herosign.M@Gmail.com</t>
  </si>
  <si>
    <t xml:space="preserve">0125554006531 </t>
  </si>
  <si>
    <t xml:space="preserve">คุณหนู</t>
  </si>
  <si>
    <t xml:space="preserve">099-445-5615</t>
  </si>
  <si>
    <t xml:space="preserve">บริษัท ไฮเซ่นส์ อินเตอร์เนชั่นแนล(ประเทศไทย)จำกัด</t>
  </si>
  <si>
    <t xml:space="preserve">202 เลอคองคอร์ด ทาวเวอร์ ชั้น14 ห้อง 1401  ถ.รัชดาภิเษก แขวงห้วยขวาง</t>
  </si>
  <si>
    <t xml:space="preserve">เขตห้วยขวาง </t>
  </si>
  <si>
    <t xml:space="preserve">02-018-9789</t>
  </si>
  <si>
    <t xml:space="preserve">0105559065594 </t>
  </si>
  <si>
    <t xml:space="preserve">K.โบว์</t>
  </si>
  <si>
    <t xml:space="preserve">AP-HTM000</t>
  </si>
  <si>
    <t xml:space="preserve">บริษัท เหอไทย แมชีนเนอรี่ จำกัด (สาขา 00003)</t>
  </si>
  <si>
    <t xml:space="preserve">90/5 ซ.เฉลิมพระเกียรติ 69 แขวงดอกไม้ </t>
  </si>
  <si>
    <t xml:space="preserve">02-7268802</t>
  </si>
  <si>
    <t xml:space="preserve">094-567-8255</t>
  </si>
  <si>
    <t xml:space="preserve">AP-HTP000</t>
  </si>
  <si>
    <t xml:space="preserve">บริษัท โฮไทย พลาสติก จำกัด</t>
  </si>
  <si>
    <t xml:space="preserve">392/1 หมู่ 4 ต.แพรกษา</t>
  </si>
  <si>
    <t xml:space="preserve">02-3230684</t>
  </si>
  <si>
    <t xml:space="preserve">ht_plastic@yahoo.com</t>
  </si>
  <si>
    <t xml:space="preserve">0105533131298 </t>
  </si>
  <si>
    <t xml:space="preserve">คุณเครือวัลย์ (อุ๋ย)</t>
  </si>
  <si>
    <t xml:space="preserve">081-921-6390</t>
  </si>
  <si>
    <t xml:space="preserve">AP-HTP001</t>
  </si>
  <si>
    <t xml:space="preserve">บริษัท หงษ์ไทยบรรจุภัณฑ์ จำกัด</t>
  </si>
  <si>
    <t xml:space="preserve">111/4 ม.7 ถ.บางนาตราด  ต.บางพลีใหญ่</t>
  </si>
  <si>
    <t xml:space="preserve">02-0624010</t>
  </si>
  <si>
    <t xml:space="preserve">sales@hongthai.co.th</t>
  </si>
  <si>
    <t xml:space="preserve">0105531001711 </t>
  </si>
  <si>
    <t xml:space="preserve">บริษัท หวาเลี่ยง เซรามิค ฮาร์ดแวร์ แฟคทอรี่ จำกัด</t>
  </si>
  <si>
    <t xml:space="preserve">534 หมู่ 4 นิคมอุตสาหกรรมบางปู ซอย 9  ถ.สุขุมวิท ต.แพรกษา</t>
  </si>
  <si>
    <t xml:space="preserve">02-3240072</t>
  </si>
  <si>
    <t xml:space="preserve">0105532061377 </t>
  </si>
  <si>
    <t xml:space="preserve">คุณสุรัตน์</t>
  </si>
  <si>
    <t xml:space="preserve">084-433-6667</t>
  </si>
  <si>
    <t xml:space="preserve">AP-HWD000</t>
  </si>
  <si>
    <t xml:space="preserve">บริษัท ฮาวาดี จำกัด</t>
  </si>
  <si>
    <t xml:space="preserve">4,4/1 ซ.นาคนิวาส37แยก2-5 ถ.นาคนิวาส แขวงลาดพร้าว </t>
  </si>
  <si>
    <t xml:space="preserve">เขตลาดพร้าว</t>
  </si>
  <si>
    <t xml:space="preserve">02-5300272</t>
  </si>
  <si>
    <t xml:space="preserve">weerapol@tananchai.co.th</t>
  </si>
  <si>
    <t xml:space="preserve">0105550018038 </t>
  </si>
  <si>
    <t xml:space="preserve">คุณหนึ่ง</t>
  </si>
  <si>
    <t xml:space="preserve">086-340-1742</t>
  </si>
  <si>
    <t xml:space="preserve">AP-HWH000</t>
  </si>
  <si>
    <t xml:space="preserve">บริษัท ฮาร์ดแวร์เฮาส์ จำกัด(สาขาเทพารักษ์)</t>
  </si>
  <si>
    <t xml:space="preserve">8/15 หมู่11  ต.บางปลา</t>
  </si>
  <si>
    <t xml:space="preserve">02-1091266</t>
  </si>
  <si>
    <t xml:space="preserve">shoponline@hardwarehouse.co.th</t>
  </si>
  <si>
    <t xml:space="preserve">0115545007325 </t>
  </si>
  <si>
    <t xml:space="preserve">AP-IFN000</t>
  </si>
  <si>
    <t xml:space="preserve">บริษัท อินฟินิท เท็กซ์ไทล์ จำกัด</t>
  </si>
  <si>
    <t xml:space="preserve">43/30 ซอยวิภาวดีรังสิต 41 แขวงสนามบิน</t>
  </si>
  <si>
    <t xml:space="preserve">เขตดอนเมือง</t>
  </si>
  <si>
    <t xml:space="preserve">02-5335276-8</t>
  </si>
  <si>
    <t xml:space="preserve">0105555001613 </t>
  </si>
  <si>
    <t xml:space="preserve">คุณภู</t>
  </si>
  <si>
    <t xml:space="preserve">093-002-5000</t>
  </si>
  <si>
    <t xml:space="preserve">AP-IOA000</t>
  </si>
  <si>
    <t xml:space="preserve">บริษัท ไอโออิกรุงเทพประกันภัย (มหาชน)</t>
  </si>
  <si>
    <t xml:space="preserve">25 อาคารกรุงเทพประกันภัย ชั้น 14 และ22 ถ.สาทรใต้ แขวงทุ่งมหาเมฆ </t>
  </si>
  <si>
    <t xml:space="preserve">เขตสาทร </t>
  </si>
  <si>
    <t xml:space="preserve">0107555000554 </t>
  </si>
  <si>
    <t xml:space="preserve">บริษัท ไอ.โอ.ดีไซน์ แอนด์ โฮม จำกัด</t>
  </si>
  <si>
    <t xml:space="preserve">21/1 ซ.อนามัยงามเจริญ25แยก2-7 แขวงท่าข้าม </t>
  </si>
  <si>
    <t xml:space="preserve">เขตบางขุนเทียน</t>
  </si>
  <si>
    <t xml:space="preserve">02-4092152-9</t>
  </si>
  <si>
    <t xml:space="preserve">oiio2005@yahoo.co.th , oiio2005@hotmail.co.th</t>
  </si>
  <si>
    <t xml:space="preserve">0105551019097 </t>
  </si>
  <si>
    <t xml:space="preserve">คุณนันทศักดิ์ (กุ้ง)</t>
  </si>
  <si>
    <t xml:space="preserve">091-739-3072</t>
  </si>
  <si>
    <t xml:space="preserve">AP-ITG000</t>
  </si>
  <si>
    <t xml:space="preserve">บริษัท อินเดอะกลาซ จำกัด</t>
  </si>
  <si>
    <t xml:space="preserve">157 ซอยลาซาล52 แขวงบางนาใต้ </t>
  </si>
  <si>
    <t xml:space="preserve">02-1160512</t>
  </si>
  <si>
    <t xml:space="preserve">info@intheglazz.com</t>
  </si>
  <si>
    <t xml:space="preserve">0105562067110 </t>
  </si>
  <si>
    <t xml:space="preserve">092-741-6445</t>
  </si>
  <si>
    <t xml:space="preserve">AP-ITS000</t>
  </si>
  <si>
    <t xml:space="preserve">บริษัท ไอ.ที.โซลูชั่น คอมพิวเตอร์ (ไทยแลนด์) จำกัด</t>
  </si>
  <si>
    <t xml:space="preserve">937 ถนนศรีนครินทร์ แขวงสวนหลวง </t>
  </si>
  <si>
    <t xml:space="preserve">02-7256400</t>
  </si>
  <si>
    <t xml:space="preserve">sales@itsolution.co.th</t>
  </si>
  <si>
    <t xml:space="preserve">0105544033853 </t>
  </si>
  <si>
    <t xml:space="preserve">คุณเนส</t>
  </si>
  <si>
    <t xml:space="preserve">0-2725-6407</t>
  </si>
  <si>
    <t xml:space="preserve">AP-IYR000</t>
  </si>
  <si>
    <t xml:space="preserve">บริษัท ไอยรา เลเซอร์ ปริ้นท์ จำกัด</t>
  </si>
  <si>
    <t xml:space="preserve">641/90 ถ.อนามัยงามเจริญ แขวงท่าข้าม </t>
  </si>
  <si>
    <t xml:space="preserve">02-4083465</t>
  </si>
  <si>
    <t xml:space="preserve">0105560004277 </t>
  </si>
  <si>
    <t xml:space="preserve">AP-JBA000</t>
  </si>
  <si>
    <t xml:space="preserve">บริษัท จัมโบ้เอ อินดัสทรี จำกัด</t>
  </si>
  <si>
    <t xml:space="preserve">23 ม.4 ถ.ติวานนท์ ต.บ้านใหม่ </t>
  </si>
  <si>
    <t xml:space="preserve">อ.ปากเกร็ด</t>
  </si>
  <si>
    <t xml:space="preserve">086-3050534</t>
  </si>
  <si>
    <t xml:space="preserve">0125534000774 </t>
  </si>
  <si>
    <t xml:space="preserve">การผลิตโซ่ ลวดสปริง สลักเกลียว และตะปูควง</t>
  </si>
  <si>
    <t xml:space="preserve">AP-JIB000</t>
  </si>
  <si>
    <t xml:space="preserve">บริษัท เจ ไอ บี คอมพิวเตอร์ กรุ๊ป จำกัด</t>
  </si>
  <si>
    <t xml:space="preserve">21 ถ.พหลโยทิน แขวงสนามบิน</t>
  </si>
  <si>
    <t xml:space="preserve">02-7912000</t>
  </si>
  <si>
    <t xml:space="preserve">0135544005281 </t>
  </si>
  <si>
    <t xml:space="preserve">จำหน่ายคอมพิวเตอร์และอุปกรณ์ที่เกี่ยวข้อง</t>
  </si>
  <si>
    <t xml:space="preserve">AP-JNE000</t>
  </si>
  <si>
    <t xml:space="preserve">บริษัท เจ แนค จำกัด</t>
  </si>
  <si>
    <t xml:space="preserve">339/107 ม.5 ซ.คลองอาเสี่ย ถ.พุทธรักษา ต.แพรกษาใหม่</t>
  </si>
  <si>
    <t xml:space="preserve">0800161700</t>
  </si>
  <si>
    <t xml:space="preserve">info@jnac.co.th. ,jnac.co.th@gmail.com</t>
  </si>
  <si>
    <t xml:space="preserve">0115553004976 </t>
  </si>
  <si>
    <t xml:space="preserve">กระดาษทราย จานทรายซ้อน ใบเจียร ใบตัด วัสดุปรับปรุงอาคารและอุปกรณ์ งานขัด ตัด เจาะ เจียร ทุกชนิด</t>
  </si>
  <si>
    <t xml:space="preserve">AP-JPR000</t>
  </si>
  <si>
    <t xml:space="preserve">ร้าน จั่นเพชร รีไซเคิล</t>
  </si>
  <si>
    <t xml:space="preserve">999/8 ม.2 ต.บางปูใหม่</t>
  </si>
  <si>
    <t xml:space="preserve">02-7095518</t>
  </si>
  <si>
    <t xml:space="preserve">คุณนพ</t>
  </si>
  <si>
    <t xml:space="preserve">083-456-7918</t>
  </si>
  <si>
    <t xml:space="preserve">หจก. เจอาร์พีฟลอร์ จำกัด</t>
  </si>
  <si>
    <t xml:space="preserve">108/256 ซ.เฉลิมพระเกียรติ ร.9 แยก28 แขวงดอกไม้</t>
  </si>
  <si>
    <t xml:space="preserve">089-840-2251</t>
  </si>
  <si>
    <t xml:space="preserve">y.jeerasak@hotmail.com</t>
  </si>
  <si>
    <t xml:space="preserve">0103560010666 </t>
  </si>
  <si>
    <t xml:space="preserve">การก่อสร้างอาคารที่ไม่ใช่ที่พักอาศัย</t>
  </si>
  <si>
    <t xml:space="preserve">บริษัท เจ เอส เมคคานิค จำกัด</t>
  </si>
  <si>
    <t xml:space="preserve">52/10 ม. ถ.เทพกาญจนา ต.คอกกระบือ</t>
  </si>
  <si>
    <t xml:space="preserve"> จ.สมุทรสาคร </t>
  </si>
  <si>
    <t xml:space="preserve">034-441114</t>
  </si>
  <si>
    <t xml:space="preserve">jsm_online@jsmechanic.co.th</t>
  </si>
  <si>
    <t xml:space="preserve">0105545092055 </t>
  </si>
  <si>
    <t xml:space="preserve">กระดาษทราย</t>
  </si>
  <si>
    <t xml:space="preserve">คุณกระแต</t>
  </si>
  <si>
    <t xml:space="preserve">087-496-7865</t>
  </si>
  <si>
    <t xml:space="preserve">AP-K&amp;MAG00</t>
  </si>
  <si>
    <t xml:space="preserve"> K&amp;MAG MACHINERY CO.,LTD</t>
  </si>
  <si>
    <t xml:space="preserve">No.2,west 8 Road,Jiangcun,Leliu,Shunde,</t>
  </si>
  <si>
    <t xml:space="preserve">Foshan</t>
  </si>
  <si>
    <t xml:space="preserve">Guangdong</t>
  </si>
  <si>
    <t xml:space="preserve">บริษัท โกรว์ แอนด์ โกลว์ จำกัด</t>
  </si>
  <si>
    <t xml:space="preserve">120/408 ม. 4 ซ. อุ่นอารี ถ. พุทธรักษา ต. ท้ายบ้านใหม่ </t>
  </si>
  <si>
    <t xml:space="preserve">02-3827432</t>
  </si>
  <si>
    <t xml:space="preserve">0115533000428 </t>
  </si>
  <si>
    <t xml:space="preserve">รับจ้างทากาวผ้า หนัง ฟองน้ำ สำหรับทำเครื่องหนังทุกชนิด</t>
  </si>
  <si>
    <t xml:space="preserve">คุณโอ๋</t>
  </si>
  <si>
    <t xml:space="preserve">AP-KBK000</t>
  </si>
  <si>
    <t xml:space="preserve">บริษัท คิงบางกอก อินเตอร์เทรด จำกัด</t>
  </si>
  <si>
    <t xml:space="preserve">69/9-11 หมู่ 7 ถนนรามอินทรา กม 4 แขวงท่าแร้ง</t>
  </si>
  <si>
    <t xml:space="preserve">เขตบางเขน </t>
  </si>
  <si>
    <t xml:space="preserve">02-5093850</t>
  </si>
  <si>
    <t xml:space="preserve">kingproshop.official@gmail.com</t>
  </si>
  <si>
    <t xml:space="preserve">0105545012035</t>
  </si>
  <si>
    <t xml:space="preserve">จำหน่ายและติดตั้งเครื่องใช้ไฟฟ้าทุกชนิด</t>
  </si>
  <si>
    <t xml:space="preserve">คุณมุ่น</t>
  </si>
  <si>
    <t xml:space="preserve">บริษัท เค อินฟินิตี้ กรุ๊ป จำกัด(สำนักงานใหญ่)</t>
  </si>
  <si>
    <t xml:space="preserve">47/76 ม.5 ต.ไร่ขิง</t>
  </si>
  <si>
    <t xml:space="preserve">อ.สามพราน</t>
  </si>
  <si>
    <t xml:space="preserve">จ.นครปฐม</t>
  </si>
  <si>
    <t xml:space="preserve">098-6152996</t>
  </si>
  <si>
    <t xml:space="preserve">Kinfinitygroup@Gmail.Com</t>
  </si>
  <si>
    <t xml:space="preserve">0735564000149 </t>
  </si>
  <si>
    <t xml:space="preserve">คุณก้อย</t>
  </si>
  <si>
    <t xml:space="preserve">AP-KKK000</t>
  </si>
  <si>
    <t xml:space="preserve">ร้าน เครื่องครัว</t>
  </si>
  <si>
    <t xml:space="preserve">165/1 หมู่ 11 ต.บางพลีใหญ่ </t>
  </si>
  <si>
    <t xml:space="preserve">จ.สมุทรปราการ </t>
  </si>
  <si>
    <t xml:space="preserve">AP-KKK001</t>
  </si>
  <si>
    <t xml:space="preserve">13 หมู่ 18 ต.บางพลีใหญ่</t>
  </si>
  <si>
    <t xml:space="preserve">AP-KKR000</t>
  </si>
  <si>
    <t xml:space="preserve">CO.,LTD Kingkonree International China Surface</t>
  </si>
  <si>
    <t xml:space="preserve">Room No. 2408-2508, Building 5A, Longguang Jiuzuan,</t>
  </si>
  <si>
    <t xml:space="preserve">Longhua District,</t>
  </si>
  <si>
    <t xml:space="preserve">Shenzhen,</t>
  </si>
  <si>
    <t xml:space="preserve">+86 -755-82875700</t>
  </si>
  <si>
    <t xml:space="preserve">szkkr@kingkonree.com</t>
  </si>
  <si>
    <t xml:space="preserve">Helen Luo</t>
  </si>
  <si>
    <t xml:space="preserve">AP-KNA000</t>
  </si>
  <si>
    <t xml:space="preserve">บริษัท ก้าวหน้า คอนสตรัคชั่น (2013)</t>
  </si>
  <si>
    <t xml:space="preserve">39/314 หมู่11 ต.บางแก้ว</t>
  </si>
  <si>
    <t xml:space="preserve">02-3910919</t>
  </si>
  <si>
    <t xml:space="preserve">0115556015847 </t>
  </si>
  <si>
    <t xml:space="preserve">รับถมที่</t>
  </si>
  <si>
    <t xml:space="preserve">บริษัท เคพีเอ แพคกิ้ง แอนด์ โปรดักส์ จำกัด</t>
  </si>
  <si>
    <t xml:space="preserve">144/60 ซ.พระรามเก้า 41 ถ.เสรี 9 แขวงสวนหลวง </t>
  </si>
  <si>
    <t xml:space="preserve">02-85979224-6</t>
  </si>
  <si>
    <t xml:space="preserve">kpa.kanda@gmail.com,kaewchairak@gmail.com</t>
  </si>
  <si>
    <t xml:space="preserve">0105556182514 </t>
  </si>
  <si>
    <t xml:space="preserve">แผ่นโฟม โฟมพลาสติก ถุงพลาสติก กระสอบพลาสติก</t>
  </si>
  <si>
    <t xml:space="preserve">คุณกานดา</t>
  </si>
  <si>
    <t xml:space="preserve">AP-KPS000</t>
  </si>
  <si>
    <t xml:space="preserve">บริษัท รักษาความปลอดภัย คชรินธร์ ไพศาล เซอร์วิช จำกัด</t>
  </si>
  <si>
    <t xml:space="preserve">58/93 หมู่ 5 ถ.เทพารักษ์  ต.บางพลีใหญ่</t>
  </si>
  <si>
    <t xml:space="preserve">02-3855203</t>
  </si>
  <si>
    <t xml:space="preserve">0115550001712 </t>
  </si>
  <si>
    <t xml:space="preserve">รักษาความปลอดภัย </t>
  </si>
  <si>
    <t xml:space="preserve">AP-KPS001</t>
  </si>
  <si>
    <t xml:space="preserve">ร้าน การประเสริฐค้าไม้</t>
  </si>
  <si>
    <t xml:space="preserve">28/30 หมู่13 ต.คลองสอง </t>
  </si>
  <si>
    <t xml:space="preserve">อ.คลองหลวง</t>
  </si>
  <si>
    <t xml:space="preserve"> จ.ปทุมธานี  </t>
  </si>
  <si>
    <t xml:space="preserve">080-9926127</t>
  </si>
  <si>
    <t xml:space="preserve">AP-KRR000</t>
  </si>
  <si>
    <t xml:space="preserve">นางสาว สุดใจ อินอยู่ (กิจรุ่งเรืองซัพพลาย)</t>
  </si>
  <si>
    <t xml:space="preserve">7/7 ม.21 ต.บางพลีใหญ่ </t>
  </si>
  <si>
    <t xml:space="preserve">02-3825170</t>
  </si>
  <si>
    <t xml:space="preserve">3100100451644 </t>
  </si>
  <si>
    <t xml:space="preserve">AP-KSA000</t>
  </si>
  <si>
    <t xml:space="preserve">นาย คมสันต์ อัศวานุชิต</t>
  </si>
  <si>
    <t xml:space="preserve">152 ถนนนาคนิวาส แขวงลาดพร้าว </t>
  </si>
  <si>
    <t xml:space="preserve"> เขตลาดพร้าว</t>
  </si>
  <si>
    <t xml:space="preserve">3101702183801 </t>
  </si>
  <si>
    <t xml:space="preserve">AP-KSP000</t>
  </si>
  <si>
    <t xml:space="preserve">บริษัท เกาสุ แพคกิ้ง อินดัสตรี้ จำกัด</t>
  </si>
  <si>
    <t xml:space="preserve">484 หมู่ 4 ถนนพุทธรักษา ตำบลแพรกษา </t>
  </si>
  <si>
    <t xml:space="preserve">อำเภอเมือง</t>
  </si>
  <si>
    <t xml:space="preserve">02-3826750</t>
  </si>
  <si>
    <t xml:space="preserve">alex@kaosu-iwa.com</t>
  </si>
  <si>
    <t xml:space="preserve">0105531030826 </t>
  </si>
  <si>
    <t xml:space="preserve">โฟมบรรจุหีบห่อ</t>
  </si>
  <si>
    <t xml:space="preserve">AP-KSR000</t>
  </si>
  <si>
    <t xml:space="preserve">บริษัท เคียวเซร่า ด็อคคิวเม้นท์ โซลูชั่นส์ (ประเทศไทย) จำกัด</t>
  </si>
  <si>
    <t xml:space="preserve">335 ถ.รัชดาภิเษก แขวงวงศ์สว่าง</t>
  </si>
  <si>
    <t xml:space="preserve">เขตบางซื่อ</t>
  </si>
  <si>
    <t xml:space="preserve">02-5860333</t>
  </si>
  <si>
    <t xml:space="preserve">0105527026411</t>
  </si>
  <si>
    <t xml:space="preserve">การขายเครื่องถ่ายเอกสาร</t>
  </si>
  <si>
    <t xml:space="preserve">คุณวาสนา/คุณวีระวัฒน์</t>
  </si>
  <si>
    <t xml:space="preserve">บริษัท เกรียงศิริพัฒนา (1995) จำกัด</t>
  </si>
  <si>
    <t xml:space="preserve">34/45 หมู่ 9 ถ.เทพารักษ์  ต.บางพลีใหญ่  </t>
  </si>
  <si>
    <t xml:space="preserve">02-3122291,086-4487563 </t>
  </si>
  <si>
    <t xml:space="preserve">sale@ksrtool.com</t>
  </si>
  <si>
    <t xml:space="preserve">0115560029628 </t>
  </si>
  <si>
    <t xml:space="preserve">วัสดุก่อสร้าง</t>
  </si>
  <si>
    <t xml:space="preserve">คุณจอย</t>
  </si>
  <si>
    <t xml:space="preserve">AP-KTW000</t>
  </si>
  <si>
    <t xml:space="preserve">บริษัท กิติวัฒนาพลาสเทค จำกัด</t>
  </si>
  <si>
    <t xml:space="preserve">94/9 หมู่ 8 ถ.ปู่เจ้าสมิงพราย  ต.สำโรงใต้</t>
  </si>
  <si>
    <t xml:space="preserve">อ.พระประแดง </t>
  </si>
  <si>
    <t xml:space="preserve">02-1832851</t>
  </si>
  <si>
    <t xml:space="preserve">contact@kitiwitana.com</t>
  </si>
  <si>
    <t xml:space="preserve">0115545006761</t>
  </si>
  <si>
    <t xml:space="preserve">จำหน่ายสายยางพลาสติก</t>
  </si>
  <si>
    <t xml:space="preserve">AP-LAB000</t>
  </si>
  <si>
    <t xml:space="preserve">หจก. แล็ป วัลเล่ย์</t>
  </si>
  <si>
    <t xml:space="preserve">1111/32 โครงการเดอะฮาบิแทท ศรีราวา ถนนศรีวรา แขวงพลับพลา</t>
  </si>
  <si>
    <t xml:space="preserve">02-5593509</t>
  </si>
  <si>
    <t xml:space="preserve">labvalley@gmail.com</t>
  </si>
  <si>
    <t xml:space="preserve">0103545018741 </t>
  </si>
  <si>
    <t xml:space="preserve">AP-LEY000</t>
  </si>
  <si>
    <t xml:space="preserve">บริษัท ลี่หยาง จำกัด</t>
  </si>
  <si>
    <t xml:space="preserve">96 หมู่ 1 ต.คลองนิยมยาตรา </t>
  </si>
  <si>
    <t xml:space="preserve">02-3175505</t>
  </si>
  <si>
    <t xml:space="preserve">Liyang.co@gmail.com</t>
  </si>
  <si>
    <t xml:space="preserve">0115549001879 </t>
  </si>
  <si>
    <t xml:space="preserve">จำหน่ายวัสดุปะผิว</t>
  </si>
  <si>
    <t xml:space="preserve">คุณยุทธ</t>
  </si>
  <si>
    <t xml:space="preserve">088-022-9033</t>
  </si>
  <si>
    <t xml:space="preserve">AP-LHT000</t>
  </si>
  <si>
    <t xml:space="preserve">หจก. ลิ้มเฮง เทพารักษ์(1999)</t>
  </si>
  <si>
    <t xml:space="preserve">1506/605,606 หมู่ 6 ถ.เทพารักษ์ ต.เทพารักษ์</t>
  </si>
  <si>
    <t xml:space="preserve">02-3851522</t>
  </si>
  <si>
    <t xml:space="preserve">limheng_tepharak@hotmail.com</t>
  </si>
  <si>
    <t xml:space="preserve">0113550003179 </t>
  </si>
  <si>
    <t xml:space="preserve">น็อต สกรู อะไหล่เครื่องจักร เครื่องยนต์ อุปกรณ์ไฟฟ้า ฮาร์ดแวร์ ทุกชนิด</t>
  </si>
  <si>
    <t xml:space="preserve">AP-LOF000</t>
  </si>
  <si>
    <t xml:space="preserve">บริษัท ลอฟท์ (ประเทศไทย) จำกัด</t>
  </si>
  <si>
    <t xml:space="preserve">221 รามคำแหง 2 ซ.8 แขวงดอกไม้</t>
  </si>
  <si>
    <t xml:space="preserve">0923199914-7   </t>
  </si>
  <si>
    <t xml:space="preserve">0105556184673 </t>
  </si>
  <si>
    <t xml:space="preserve">การขายส่งวัสดุก่อสร้าง</t>
  </si>
  <si>
    <t xml:space="preserve">AP-LRE000</t>
  </si>
  <si>
    <t xml:space="preserve">บริษัท ลีเรคโก (ประเทศไทย) จำกัด</t>
  </si>
  <si>
    <t xml:space="preserve">อาคารภิรัช ทาวเวอร์ แอท ไบเทค เลขที่ 4345 ชั้น 16 ถนนสุขุมวิท แขวงบางนา</t>
  </si>
  <si>
    <t xml:space="preserve">02-338-0200</t>
  </si>
  <si>
    <t xml:space="preserve">0105544109337 </t>
  </si>
  <si>
    <t xml:space="preserve">เครื่องเขียน อุปกรณ์สำนักงาน</t>
  </si>
  <si>
    <t xml:space="preserve">คุณสิริลักษณ์(เปิ้ล) </t>
  </si>
  <si>
    <t xml:space="preserve">084-387-8607</t>
  </si>
  <si>
    <t xml:space="preserve">AP-LTN000</t>
  </si>
  <si>
    <t xml:space="preserve">บริษัท ไลท์เทนน่า จำกัด</t>
  </si>
  <si>
    <t xml:space="preserve">282 ถ.วงศ์สว่าง แขวงวงค์สว่าง </t>
  </si>
  <si>
    <t xml:space="preserve">02-9131451</t>
  </si>
  <si>
    <t xml:space="preserve">info@lightenna.co.th</t>
  </si>
  <si>
    <t xml:space="preserve">0105552023659 </t>
  </si>
  <si>
    <t xml:space="preserve">ขายปลีกอุปกรณ์ไฟฟ้าและแสงสว่าง</t>
  </si>
  <si>
    <t xml:space="preserve">AP-LWK000</t>
  </si>
  <si>
    <t xml:space="preserve">บริษัท เลิศวัฒนกิจ จำกัด</t>
  </si>
  <si>
    <t xml:space="preserve">9 ซ.สุขสวัสดิ์50 แยก 3 ถ.สุขสวัสดิ์ แขวงราษฏร์บูรณะ </t>
  </si>
  <si>
    <t xml:space="preserve">02-8734809</t>
  </si>
  <si>
    <t xml:space="preserve">0105520009537 </t>
  </si>
  <si>
    <t xml:space="preserve">จำหน่ายเคมีภัณฑ์ทุกชนิด</t>
  </si>
  <si>
    <t xml:space="preserve">AP-MAP000</t>
  </si>
  <si>
    <t xml:space="preserve">บจ. มิตรอภัย</t>
  </si>
  <si>
    <t xml:space="preserve">1001 ถ.ลาดพร้าว แขวงจันทรเกษม </t>
  </si>
  <si>
    <t xml:space="preserve">02-9381790</t>
  </si>
  <si>
    <t xml:space="preserve">info@mitrapai.com</t>
  </si>
  <si>
    <t xml:space="preserve">0105520019281</t>
  </si>
  <si>
    <t xml:space="preserve">อิฐหินปูนทรายและผลิตภัณฑ์คอนกรีต</t>
  </si>
  <si>
    <t xml:space="preserve">AP-MAY001</t>
  </si>
  <si>
    <t xml:space="preserve">ร้าน มยุรี ค้าไม้ฉำฉา</t>
  </si>
  <si>
    <t xml:space="preserve">479 ม.3 ต.บางปู</t>
  </si>
  <si>
    <t xml:space="preserve">085-3341517,089-5358667</t>
  </si>
  <si>
    <t xml:space="preserve">คุณมยุรี</t>
  </si>
  <si>
    <t xml:space="preserve">AP-MBA000</t>
  </si>
  <si>
    <t xml:space="preserve">บริษัท เอ็ม บี เอ อินเตอร์เนชั่นแนล จำกัด</t>
  </si>
  <si>
    <t xml:space="preserve">55/3 ม.3 ถ.นครอินทร์ ต.บางขุนเทียน</t>
  </si>
  <si>
    <t xml:space="preserve">อ.บางกรวย</t>
  </si>
  <si>
    <t xml:space="preserve">02-4228422</t>
  </si>
  <si>
    <t xml:space="preserve">0105528021951 </t>
  </si>
  <si>
    <t xml:space="preserve">คุณธนสาร</t>
  </si>
  <si>
    <t xml:space="preserve">AP-MCC000</t>
  </si>
  <si>
    <t xml:space="preserve">บริษัท เอ็ม.ซี.ซี.เอ็กซิบิชั่น ออกาไนเซอร์ จำกัด</t>
  </si>
  <si>
    <t xml:space="preserve">60 ศูนย์การประชุมแห่งชาติสิริกิติ์ ถ.รัชดาภิเษกตัดใหม่ แขวงคลองเตย</t>
  </si>
  <si>
    <t xml:space="preserve">02-2293000</t>
  </si>
  <si>
    <t xml:space="preserve">0105537148063 </t>
  </si>
  <si>
    <t xml:space="preserve">บริการจัดงานแสดงสินค้า จัดประชุมสัมมนา และนิทรรศการ</t>
  </si>
  <si>
    <t xml:space="preserve">AP-MCF000</t>
  </si>
  <si>
    <t xml:space="preserve">บริษัท ไมโคร ไฟเบอร์อุตสาหกรรม จำกัด</t>
  </si>
  <si>
    <t xml:space="preserve">54 ถนนกิ่งแก้ว หมู่ 12  ต.ราชาเทวะ</t>
  </si>
  <si>
    <t xml:space="preserve">02-3155500</t>
  </si>
  <si>
    <t xml:space="preserve">inquiry@microfiber.co.th</t>
  </si>
  <si>
    <t xml:space="preserve">0105514005851</t>
  </si>
  <si>
    <t xml:space="preserve">ฉนวนกันความร้อนและอุปกรณ์</t>
  </si>
  <si>
    <t xml:space="preserve">คุณจตุพร</t>
  </si>
  <si>
    <t xml:space="preserve">087-321-0114</t>
  </si>
  <si>
    <t xml:space="preserve">AP-MDC000</t>
  </si>
  <si>
    <t xml:space="preserve">บริษัท โมเดอนเคมีเคิล จำกัด</t>
  </si>
  <si>
    <t xml:space="preserve">82/80 ซ.เอกมัย 22(นวลน้อย) ถ.สุขุมวิท 63 แขวงคลองตันเหนือ</t>
  </si>
  <si>
    <t xml:space="preserve">02-7158979</t>
  </si>
  <si>
    <t xml:space="preserve">service@modernchemical.co.th</t>
  </si>
  <si>
    <t xml:space="preserve">0105514006432 </t>
  </si>
  <si>
    <t xml:space="preserve">จำหน่ายสารเคมี</t>
  </si>
  <si>
    <t xml:space="preserve">คุณอดิศักดิ์  ทองนพรัตน์ หรือคุณแต้</t>
  </si>
  <si>
    <t xml:space="preserve">บจ. ไมด้า เคมิคอล</t>
  </si>
  <si>
    <t xml:space="preserve">115/10 ม.3 ซ.ขจรวิทย์  ต.บางพลีใหญ่  </t>
  </si>
  <si>
    <t xml:space="preserve">02-1788882,099-323519</t>
  </si>
  <si>
    <t xml:space="preserve">arunya@maidaone.com</t>
  </si>
  <si>
    <t xml:space="preserve">0115559004382 </t>
  </si>
  <si>
    <t xml:space="preserve">คุณบลู</t>
  </si>
  <si>
    <t xml:space="preserve">AP-MDG000</t>
  </si>
  <si>
    <t xml:space="preserve">บริษัท มาเด กลาส จากัด</t>
  </si>
  <si>
    <t xml:space="preserve">19/1,19/2 ถนนเจ้าคุณทหาร แขวงลำปลาทิว</t>
  </si>
  <si>
    <t xml:space="preserve">02-7372297-8</t>
  </si>
  <si>
    <t xml:space="preserve">info.madeglass@gmail.com</t>
  </si>
  <si>
    <t xml:space="preserve">0105563097616</t>
  </si>
  <si>
    <t xml:space="preserve">รับแปรรูปกระจก เจียรไนกระจก</t>
  </si>
  <si>
    <t xml:space="preserve">คุณยุภา</t>
  </si>
  <si>
    <t xml:space="preserve">AP-MEA000</t>
  </si>
  <si>
    <t xml:space="preserve"> การไฟฟ้านครหลวง</t>
  </si>
  <si>
    <t xml:space="preserve">อาคารวัฒนวิภาส เลขที่ 1192 ถ.พระรามที่4 แขวงคลองเตย</t>
  </si>
  <si>
    <t xml:space="preserve">webmaster@mea.or.th</t>
  </si>
  <si>
    <t xml:space="preserve">0994000165200 </t>
  </si>
  <si>
    <t xml:space="preserve">ค่าไฟ</t>
  </si>
  <si>
    <t xml:space="preserve">บริษัท เมกไกวส์ (ไทยแลนด์) จำกัด</t>
  </si>
  <si>
    <t xml:space="preserve">78 อาคารเกียรตินาคิน ชั้น3 ถ.เจริญกรุง 30 แขวงสีลม</t>
  </si>
  <si>
    <t xml:space="preserve">เขตบางรัก </t>
  </si>
  <si>
    <t xml:space="preserve">02-6390404</t>
  </si>
  <si>
    <t xml:space="preserve">info@meguiars.co.th</t>
  </si>
  <si>
    <t xml:space="preserve">0105544024358 </t>
  </si>
  <si>
    <t xml:space="preserve">จำหน่ายน้ำยาขัด</t>
  </si>
  <si>
    <t xml:space="preserve">คุณเมย์</t>
  </si>
  <si>
    <t xml:space="preserve">092-435-3337</t>
  </si>
  <si>
    <t xml:space="preserve">AP-MER000</t>
  </si>
  <si>
    <t xml:space="preserve">บริษัท Merck จำกัด</t>
  </si>
  <si>
    <t xml:space="preserve">622 ถนนสุขุมวิท อาคารอิมโพเรียม ชั้น 19 แขวงคลองตัน </t>
  </si>
  <si>
    <t xml:space="preserve">02-6678000</t>
  </si>
  <si>
    <t xml:space="preserve">service@merckgroup.com</t>
  </si>
  <si>
    <t xml:space="preserve">0105534019122</t>
  </si>
  <si>
    <t xml:space="preserve">สินค้าทางเภสัชกรรม เวชภัณฑ์และสินค้าทางการแพทย์ขายปลีกเคมีภัณฑ์</t>
  </si>
  <si>
    <t xml:space="preserve">คุณบงกช </t>
  </si>
  <si>
    <t xml:space="preserve">081-566-1010</t>
  </si>
  <si>
    <t xml:space="preserve">AP-MET000</t>
  </si>
  <si>
    <t xml:space="preserve">บริษัท เมโทร ปาร์ติเกิล จำกัด</t>
  </si>
  <si>
    <t xml:space="preserve">39/5 หมู่ 4 ถนนฤชุพันธ์ ตำบลไทรใหญ๋</t>
  </si>
  <si>
    <t xml:space="preserve"> อำเภอไทรน้อย </t>
  </si>
  <si>
    <t xml:space="preserve">02-9680800 ต่อ7535</t>
  </si>
  <si>
    <t xml:space="preserve">metro@metroply.com</t>
  </si>
  <si>
    <t xml:space="preserve">0125545007309</t>
  </si>
  <si>
    <t xml:space="preserve">แผ่นไม้อัด PARTICLE BOARD</t>
  </si>
  <si>
    <t xml:space="preserve">คุณณิชา (ไก่) </t>
  </si>
  <si>
    <t xml:space="preserve">088-022-7814</t>
  </si>
  <si>
    <t xml:space="preserve">AP-MET001</t>
  </si>
  <si>
    <t xml:space="preserve"> เมธีกุล (แปดริ้ว)</t>
  </si>
  <si>
    <t xml:space="preserve">888/89 ม.2 ต.แพรกษาใหม่</t>
  </si>
  <si>
    <t xml:space="preserve">02-3384199</t>
  </si>
  <si>
    <t xml:space="preserve">0105538116262 </t>
  </si>
  <si>
    <t xml:space="preserve">ซื้อมาขายไป สายไฟและอุปกรณ์ไฟฟ้าทุกชนิด</t>
  </si>
  <si>
    <t xml:space="preserve">AP-MHT000</t>
  </si>
  <si>
    <t xml:space="preserve"> มายโฮม เคอร์เท่น</t>
  </si>
  <si>
    <t xml:space="preserve">6/514 ซ.พระยาสุเรนทร์ 33 แขวงบางชัน</t>
  </si>
  <si>
    <t xml:space="preserve">เขตคลองสามวา</t>
  </si>
  <si>
    <t xml:space="preserve">jirapan@ymail.com</t>
  </si>
  <si>
    <t xml:space="preserve">3540500262101 </t>
  </si>
  <si>
    <t xml:space="preserve">AP-MKI000</t>
  </si>
  <si>
    <t xml:space="preserve">บริษัท หมิง กว้าน อินดัสตรี้ จำกัด</t>
  </si>
  <si>
    <t xml:space="preserve">10/10 หมู่ 8 ถ.พุทธรักษา ต.ท้ายบ้าน</t>
  </si>
  <si>
    <t xml:space="preserve">02-3952548</t>
  </si>
  <si>
    <t xml:space="preserve">0115547010242 </t>
  </si>
  <si>
    <t xml:space="preserve">AP-MKP000</t>
  </si>
  <si>
    <t xml:space="preserve">บริษัท เอ็มเค โพลีเอสเตอร์เรซิ่น จำกัด</t>
  </si>
  <si>
    <t xml:space="preserve">27/12 หมู่ที่ 1 ต.บางน้ำจืด </t>
  </si>
  <si>
    <t xml:space="preserve"> จ.สมุทรสาคร</t>
  </si>
  <si>
    <t xml:space="preserve">088-809-5271</t>
  </si>
  <si>
    <t xml:space="preserve">sale-mk@hotmail.com</t>
  </si>
  <si>
    <t xml:space="preserve">0105545061311 </t>
  </si>
  <si>
    <t xml:space="preserve">การตกแต่งและการเคลือบโลหะ</t>
  </si>
  <si>
    <t xml:space="preserve">คุณยุทธนา</t>
  </si>
  <si>
    <t xml:space="preserve">บริษัท เอ็มเค วู้ดเทค จำกัด</t>
  </si>
  <si>
    <t xml:space="preserve">78 หมู่ 4 ซ.คลองมะเดื่อ 13 ถ.เศรษฐกิจ ต.คลองมะเดื่อ</t>
  </si>
  <si>
    <t xml:space="preserve">034-878070 </t>
  </si>
  <si>
    <t xml:space="preserve">mkw@mkw.co.th</t>
  </si>
  <si>
    <t xml:space="preserve">0745546000868 </t>
  </si>
  <si>
    <t xml:space="preserve">ผลิต รับจ้าง ผลิตภัณฑ์ไม้เพื่อทำเฟอร์นิเจอร์</t>
  </si>
  <si>
    <t xml:space="preserve">คุณเดือน</t>
  </si>
  <si>
    <t xml:space="preserve">089-8101519</t>
  </si>
  <si>
    <t xml:space="preserve">บริษัท เมลามีน อาร์ท จำกัด</t>
  </si>
  <si>
    <t xml:space="preserve">59/1 หมู่ 2 ต.ท่าทราย</t>
  </si>
  <si>
    <t xml:space="preserve">086-6160473</t>
  </si>
  <si>
    <t xml:space="preserve">contact@melamineart.info</t>
  </si>
  <si>
    <t xml:space="preserve">0745548003783 </t>
  </si>
  <si>
    <t xml:space="preserve">จำหน่ายไม้แปรรูปและผลิตภัณฑ์ทำจากไม้</t>
  </si>
  <si>
    <t xml:space="preserve">7  DAYS</t>
  </si>
  <si>
    <t xml:space="preserve">AP-MMI000</t>
  </si>
  <si>
    <t xml:space="preserve">บจ. แม แม อินดัสเตรียล</t>
  </si>
  <si>
    <t xml:space="preserve">630 ม.4  ถ.สุขุมวิท ต.แพรกษา</t>
  </si>
  <si>
    <t xml:space="preserve">02-7093027</t>
  </si>
  <si>
    <t xml:space="preserve">contact@maemae.co.th</t>
  </si>
  <si>
    <t xml:space="preserve">0105532073031 </t>
  </si>
  <si>
    <t xml:space="preserve">ผลิตและจำหน่ายกล่องกระดาษและสติ๊กเกอร์</t>
  </si>
  <si>
    <t xml:space="preserve">AP-MRC000</t>
  </si>
  <si>
    <t xml:space="preserve">บริษัท ไมร่า คอมพิวเตอร์ อินเตอร์เนชั่นแนล จำกัด</t>
  </si>
  <si>
    <t xml:space="preserve">509,511 ถนนรามอินทรา  แขวง คันนายาว </t>
  </si>
  <si>
    <t xml:space="preserve">เขตคันนายาว</t>
  </si>
  <si>
    <t xml:space="preserve">02-9431890-9</t>
  </si>
  <si>
    <t xml:space="preserve">marketing@miratechs.com,pan1121@miratechs.com</t>
  </si>
  <si>
    <t xml:space="preserve">0105534121555 </t>
  </si>
  <si>
    <t xml:space="preserve">คุณสุปราณี ชื่นฤทัย(บัว)</t>
  </si>
  <si>
    <t xml:space="preserve">095-1648761</t>
  </si>
  <si>
    <t xml:space="preserve">AP-MSM000</t>
  </si>
  <si>
    <t xml:space="preserve">บจ. เอ็มเอส แอสซิสแตนซ์ (ประเทศไทย)</t>
  </si>
  <si>
    <t xml:space="preserve">256/1,256/2 ถ.เพชรเกษม ต.หัวหิน </t>
  </si>
  <si>
    <t xml:space="preserve">อ.หัวหิน </t>
  </si>
  <si>
    <t xml:space="preserve">จ.ประจวบคีรีขันธ์  </t>
  </si>
  <si>
    <t xml:space="preserve">0775563001460 </t>
  </si>
  <si>
    <t xml:space="preserve">ขายส่งเฟอร์นิเจอร์ อุปกรณ์ตกแต่งบ้านได้รับค่าตอบแทนตามสัญญาจ้าง</t>
  </si>
  <si>
    <t xml:space="preserve">AP-MTD000</t>
  </si>
  <si>
    <t xml:space="preserve">บริษัท เอ็ม.ที.ดี.อิเลคทริคคอล เวิร์ค จำกัด</t>
  </si>
  <si>
    <t xml:space="preserve">176/28 หมู่ 4 ต.ปลวกแดง </t>
  </si>
  <si>
    <t xml:space="preserve">อ.ปลวกแดง</t>
  </si>
  <si>
    <t xml:space="preserve">จ.ระยอง</t>
  </si>
  <si>
    <t xml:space="preserve">088-355-2465</t>
  </si>
  <si>
    <t xml:space="preserve">0215559008972 </t>
  </si>
  <si>
    <t xml:space="preserve">การติดตั้งไฟฟ้า</t>
  </si>
  <si>
    <t xml:space="preserve">AP-MTK000</t>
  </si>
  <si>
    <t xml:space="preserve">หจก. ไมตรีการพิมพ์</t>
  </si>
  <si>
    <t xml:space="preserve">1024/33 34 ซอยเจริญสุข ถนนพระราม 4</t>
  </si>
  <si>
    <t xml:space="preserve">02-258-3021</t>
  </si>
  <si>
    <t xml:space="preserve">0103525016165</t>
  </si>
  <si>
    <t xml:space="preserve">รับจ้างพิมพ์สิ่งพิมพ์ต่างๆ</t>
  </si>
  <si>
    <t xml:space="preserve">คุณไมตรี</t>
  </si>
  <si>
    <t xml:space="preserve">AP-MTM000</t>
  </si>
  <si>
    <t xml:space="preserve">บริษัท เมโทร เอ็ม.ดี.เอฟ จำกัด</t>
  </si>
  <si>
    <t xml:space="preserve">99/9 หมู่ 5 ต.หวายเหนียว </t>
  </si>
  <si>
    <t xml:space="preserve">  </t>
  </si>
  <si>
    <t xml:space="preserve">อ.ท่ามะกา </t>
  </si>
  <si>
    <t xml:space="preserve">จ.กาญจนบุรี</t>
  </si>
  <si>
    <t xml:space="preserve">089-819-5444</t>
  </si>
  <si>
    <t xml:space="preserve">0715557000015 </t>
  </si>
  <si>
    <t xml:space="preserve">แผ่นใยไม้อัดความหนาแน่นปานกลางและสูง</t>
  </si>
  <si>
    <t xml:space="preserve">คุณอ้อม</t>
  </si>
  <si>
    <t xml:space="preserve">AP-MTP000</t>
  </si>
  <si>
    <t xml:space="preserve">บริษัท มัลติเพิลพลัส จำกัด</t>
  </si>
  <si>
    <t xml:space="preserve">29/12 ม.5 ต.กระทุ่มล้ม </t>
  </si>
  <si>
    <t xml:space="preserve">อ.สามพราน </t>
  </si>
  <si>
    <t xml:space="preserve">จ.นครปฐม  </t>
  </si>
  <si>
    <t xml:space="preserve">02-8131020</t>
  </si>
  <si>
    <t xml:space="preserve">SALES@MULTIPLEPLUS.COM</t>
  </si>
  <si>
    <t xml:space="preserve">0125548002600</t>
  </si>
  <si>
    <t xml:space="preserve">จำหน่ายเคมีภัณฑ์</t>
  </si>
  <si>
    <t xml:space="preserve">คุณภุมวรรณ (อุ๋ย)</t>
  </si>
  <si>
    <t xml:space="preserve">090-678-4697,086-665-6339</t>
  </si>
  <si>
    <t xml:space="preserve">บริษัท เมโทรพูนทรัพย์ จำกัด</t>
  </si>
  <si>
    <t xml:space="preserve">เลขที่ 46 ชั้นที่ 1 ซอยนนทบุรี 8 ถ.นนทบุรี 1 ต.บางกระสอ </t>
  </si>
  <si>
    <t xml:space="preserve">อ.เมืองนนทบุรี</t>
  </si>
  <si>
    <t xml:space="preserve">087-5442525</t>
  </si>
  <si>
    <t xml:space="preserve">0125528000270 </t>
  </si>
  <si>
    <t xml:space="preserve">ผลิตและจำหน่ายไม้แปรรูป</t>
  </si>
  <si>
    <t xml:space="preserve">คุณบุญชัย</t>
  </si>
  <si>
    <t xml:space="preserve">AP-MTPB00</t>
  </si>
  <si>
    <t xml:space="preserve">39/5 หมู่4 ต.ไทรใหญ่</t>
  </si>
  <si>
    <t xml:space="preserve">02 044 5555</t>
  </si>
  <si>
    <t xml:space="preserve">0125545007309 </t>
  </si>
  <si>
    <t xml:space="preserve">AP-MWA000</t>
  </si>
  <si>
    <t xml:space="preserve"> การประปานครหลวง</t>
  </si>
  <si>
    <t xml:space="preserve">400 ถ.ประชาชื่น ทุ่งสองห้อง หลักสี่ </t>
  </si>
  <si>
    <t xml:space="preserve">mwa1125@mwa.co.th</t>
  </si>
  <si>
    <t xml:space="preserve">0994000165463 </t>
  </si>
  <si>
    <t xml:space="preserve">ค่าน้ำ</t>
  </si>
  <si>
    <t xml:space="preserve">AP-MWT000</t>
  </si>
  <si>
    <t xml:space="preserve">บริษัท เอ็ม วอเตอร์ จำกัด</t>
  </si>
  <si>
    <t xml:space="preserve">1 ซอยวิภาวดีรังสิต 1 แยก 1 แขวงสนามบิน </t>
  </si>
  <si>
    <t xml:space="preserve">02-5334630</t>
  </si>
  <si>
    <t xml:space="preserve">info@sprinkle-th.com</t>
  </si>
  <si>
    <t xml:space="preserve">0105528012502 </t>
  </si>
  <si>
    <t xml:space="preserve">จำหน่ายน้ำดื่ม</t>
  </si>
  <si>
    <t xml:space="preserve">AP-NN000</t>
  </si>
  <si>
    <t xml:space="preserve">บริษัท แนวหน้าค้าไม้ จำกัด</t>
  </si>
  <si>
    <t xml:space="preserve">113-125 ซอยเอกชัย 69 แขวงคลองบางบอน</t>
  </si>
  <si>
    <t xml:space="preserve">เขตบางบอน </t>
  </si>
  <si>
    <t xml:space="preserve">02-8995779-81</t>
  </si>
  <si>
    <t xml:space="preserve">nalna@hotmail.co.th</t>
  </si>
  <si>
    <t xml:space="preserve">0105556005787 </t>
  </si>
  <si>
    <t xml:space="preserve">AP-NCC000</t>
  </si>
  <si>
    <t xml:space="preserve">บริษัท เอ็น.ซี.ซี. อิมเมจ</t>
  </si>
  <si>
    <t xml:space="preserve">90อาคารซีดับเบิ้ลยู ทาวเวอร์ ชั้น 5 ถ.รัชดาภิเษก แขวงห้วยขวาง</t>
  </si>
  <si>
    <t xml:space="preserve">เขตห้วยขวาง</t>
  </si>
  <si>
    <t xml:space="preserve">csimage@qsncc.com</t>
  </si>
  <si>
    <t xml:space="preserve">0105538011258</t>
  </si>
  <si>
    <t xml:space="preserve">AP-NNK000</t>
  </si>
  <si>
    <t xml:space="preserve">บริษัท แนวหน้าค้าไม้ จำกัด (สำนักงานใหญ่)</t>
  </si>
  <si>
    <t xml:space="preserve">113 125 ซอยเอกชัย 69 แขวงคลองบางบอน</t>
  </si>
  <si>
    <t xml:space="preserve">การขายส่งไม้และผลิตภัณฑ์จากไม้แปรรูปขั้นต้น</t>
  </si>
  <si>
    <t xml:space="preserve">AP-NTK000</t>
  </si>
  <si>
    <t xml:space="preserve">หจก. นำทองค้าไม้</t>
  </si>
  <si>
    <t xml:space="preserve">46-46/1 ซ.บรมบรรพด ถ.จักรพรรดิพงษ์ ต.บ้านบาตร</t>
  </si>
  <si>
    <t xml:space="preserve"> อ.ป้อมปราบศัตรูพ่าย </t>
  </si>
  <si>
    <t xml:space="preserve">02 621 1342</t>
  </si>
  <si>
    <t xml:space="preserve">numthongwood@gmail.com</t>
  </si>
  <si>
    <t xml:space="preserve">0103525010612 </t>
  </si>
  <si>
    <t xml:space="preserve">ประกอบกิจการขายไม้แปรรูป</t>
  </si>
  <si>
    <t xml:space="preserve">AP-NVK000</t>
  </si>
  <si>
    <t xml:space="preserve">บริษัท นวกิจประกันภัย จำกัด (มหาชน)</t>
  </si>
  <si>
    <t xml:space="preserve">100/47 55,90/3-6 ถนนสาทรเหนือ แขวงสีลม</t>
  </si>
  <si>
    <t xml:space="preserve">02-6617777</t>
  </si>
  <si>
    <t xml:space="preserve">0107538000862 </t>
  </si>
  <si>
    <t xml:space="preserve">ประกันภัย</t>
  </si>
  <si>
    <t xml:space="preserve">AP-ORI000</t>
  </si>
  <si>
    <t xml:space="preserve">บริษัท โอเรียนสตาร์ อินเตอร์เนชั่นแนล โลจีสติคส์ จำกัด</t>
  </si>
  <si>
    <t xml:space="preserve">71/30ถนนบรมราชชนนี แขวงอรุณอมรินทร์</t>
  </si>
  <si>
    <t xml:space="preserve">เขตบางกอกน้อย</t>
  </si>
  <si>
    <t xml:space="preserve">02-8848666</t>
  </si>
  <si>
    <t xml:space="preserve">0105543061195 </t>
  </si>
  <si>
    <t xml:space="preserve">คุณลีน</t>
  </si>
  <si>
    <t xml:space="preserve">AP-OSH000</t>
  </si>
  <si>
    <t xml:space="preserve">บริษัท สมาคมส่งเสริมความปลอดภัยและอนามัยในการทำงาน (ประเทศไทย)</t>
  </si>
  <si>
    <t xml:space="preserve">141 ถนนบรมราชชนนี แขวงฉิมพลี</t>
  </si>
  <si>
    <t xml:space="preserve">เขตตลิ่งชัน</t>
  </si>
  <si>
    <t xml:space="preserve">02-880-4803,02-884-1852,02-403-1606-12</t>
  </si>
  <si>
    <t xml:space="preserve">AP-PAT000</t>
  </si>
  <si>
    <t xml:space="preserve">บริษัท พลาโท ออดิโอ คอร์ปอเรชั่น</t>
  </si>
  <si>
    <t xml:space="preserve">128 ซอยสุภาพงษ์ 1 แขวงหนองบอน</t>
  </si>
  <si>
    <t xml:space="preserve">02-7482496</t>
  </si>
  <si>
    <t xml:space="preserve">0105538131849 </t>
  </si>
  <si>
    <t xml:space="preserve">รับเป็นที่ปรึกษาและให้คำแนะนำปัญหาเกี่ยวกับด้านบริหารงานพาณิชยกรรม อุตสาหกรรม รวมทั้งปัญหาการผลิต</t>
  </si>
  <si>
    <t xml:space="preserve">จิรดา</t>
  </si>
  <si>
    <t xml:space="preserve">AP-PCF000</t>
  </si>
  <si>
    <t xml:space="preserve">บริษัท แปซิฟิค ค้าไม้ จำกัด</t>
  </si>
  <si>
    <t xml:space="preserve">56/8 ถ.สมเด็จพระเจ้าตากสิน  แขวงบุคคโล</t>
  </si>
  <si>
    <t xml:space="preserve">เขตธนบุรี </t>
  </si>
  <si>
    <t xml:space="preserve">02-8905051-5</t>
  </si>
  <si>
    <t xml:space="preserve">pacific@pacific-wood.com</t>
  </si>
  <si>
    <t xml:space="preserve">0105532037859 </t>
  </si>
  <si>
    <t xml:space="preserve">ซื้อ ขายส่ง-ปลีก นำเข้า ส่งออกไม้สำหรับทำพื้น</t>
  </si>
  <si>
    <t xml:space="preserve">AP-PCL000</t>
  </si>
  <si>
    <t xml:space="preserve">บริษัท เพมโก้ อินเตอร์ไลท์ จำกัด</t>
  </si>
  <si>
    <t xml:space="preserve">61 ท่าข้าม 9 ถ.พระรา2 แขวงแสมดำ</t>
  </si>
  <si>
    <t xml:space="preserve">02-7502795-8</t>
  </si>
  <si>
    <t xml:space="preserve">0105540008960 </t>
  </si>
  <si>
    <t xml:space="preserve">จำหน่ายโคมไฟประดับและเฟอร์นิเจอร์</t>
  </si>
  <si>
    <t xml:space="preserve">บริษัท พรีซิชั่นไลน์ จำกัด</t>
  </si>
  <si>
    <t xml:space="preserve">93 หมู่ 5 ตำบลลำลูกกา</t>
  </si>
  <si>
    <t xml:space="preserve"> อ.ลำลูกกา </t>
  </si>
  <si>
    <t xml:space="preserve"> จ.ปทุมธานี </t>
  </si>
  <si>
    <t xml:space="preserve">02-1992518</t>
  </si>
  <si>
    <t xml:space="preserve">marketing.p@furniline.co.th</t>
  </si>
  <si>
    <t xml:space="preserve">0105537134178 </t>
  </si>
  <si>
    <t xml:space="preserve">อุปกรณ์เครื่องเฟอร์นิเจอร์</t>
  </si>
  <si>
    <t xml:space="preserve">AP-PIL000</t>
  </si>
  <si>
    <t xml:space="preserve">บริษัท ไพลอต โลจิสติคส์ จำกัด</t>
  </si>
  <si>
    <t xml:space="preserve">2024/137ถนนริมทางรถไฟสายปากน้ำ แขวงพระโขนง </t>
  </si>
  <si>
    <t xml:space="preserve">qualityservice@pilotlogistics.net</t>
  </si>
  <si>
    <t xml:space="preserve">015547016275</t>
  </si>
  <si>
    <t xml:space="preserve">นายหน้าตัวแทนพิธีการศุลกากร</t>
  </si>
  <si>
    <t xml:space="preserve">คุณจูน</t>
  </si>
  <si>
    <t xml:space="preserve">AP-PJM000</t>
  </si>
  <si>
    <t xml:space="preserve">บริษัท พี.เจ.เมททัลเฮ้าส์ (2000) จำกัด</t>
  </si>
  <si>
    <t xml:space="preserve">24/9 หมู่ 10 ถ.เทพารักษ์ ต.บางปลา</t>
  </si>
  <si>
    <t xml:space="preserve">02-752-3300, 02-312-1102, 02-132-2413</t>
  </si>
  <si>
    <t xml:space="preserve">sales@pjm2000.com,pjm2000@truemail.co.th</t>
  </si>
  <si>
    <t xml:space="preserve">0115543001214 </t>
  </si>
  <si>
    <t xml:space="preserve">คุณสุจิตรา</t>
  </si>
  <si>
    <t xml:space="preserve">AP-PKI000</t>
  </si>
  <si>
    <t xml:space="preserve">บริษัท เพ็น เค อินเตอร์เทรดดิ้ง จำกัด</t>
  </si>
  <si>
    <t xml:space="preserve">1000/63 64 อาคาร พีบี ทาวเวอร์ ชั้น 16  ถ.สุขุมวิท 71 แขวงคลองตันเหนือ</t>
  </si>
  <si>
    <t xml:space="preserve">0105532077664 </t>
  </si>
  <si>
    <t xml:space="preserve"> การขายส่งเครื่องจักรและอุปกรณ์อื่นๆ</t>
  </si>
  <si>
    <t xml:space="preserve">คุณ รัชนี บรรเลิงจิตร์</t>
  </si>
  <si>
    <t xml:space="preserve">AP-PKS-000</t>
  </si>
  <si>
    <t xml:space="preserve"> สำนักงานประกันสังคม</t>
  </si>
  <si>
    <t xml:space="preserve">info@sso1506.com</t>
  </si>
  <si>
    <t xml:space="preserve">AP-PMC000</t>
  </si>
  <si>
    <t xml:space="preserve">หจก. พี.เอ็ม.ก๊อปปี้ แอนด์ เซอร์วิส จำกัด</t>
  </si>
  <si>
    <t xml:space="preserve">199/56 ต.บางขะแยง</t>
  </si>
  <si>
    <t xml:space="preserve"> อ.เมืองปทุมธานี</t>
  </si>
  <si>
    <t xml:space="preserve">จ.ปทุมธานี </t>
  </si>
  <si>
    <t xml:space="preserve">083-7100017</t>
  </si>
  <si>
    <t xml:space="preserve">sedkarn@gmail.com</t>
  </si>
  <si>
    <t xml:space="preserve">0133556004002 </t>
  </si>
  <si>
    <t xml:space="preserve">ผงหมึกเคพิมพ์งาน เข้ารูปเล่ม ซ่อมเครื่องถ่ายเอกสาร </t>
  </si>
  <si>
    <t xml:space="preserve">คุณวีรวัฒน์</t>
  </si>
  <si>
    <t xml:space="preserve">083-710-0014,090-962-9828</t>
  </si>
  <si>
    <t xml:space="preserve">ร้าน ป.นำชัยโลหะ</t>
  </si>
  <si>
    <t xml:space="preserve">475/26 ถนนจารุเมือง แขวงรองเมือง</t>
  </si>
  <si>
    <t xml:space="preserve">02-2151496</t>
  </si>
  <si>
    <t xml:space="preserve">3100700820748 </t>
  </si>
  <si>
    <t xml:space="preserve">คุณประวิทย์</t>
  </si>
  <si>
    <t xml:space="preserve">90 DAYS</t>
  </si>
  <si>
    <t xml:space="preserve">AP-PNF000</t>
  </si>
  <si>
    <t xml:space="preserve">บริษัท พาเนฟรี อินดัสเทรียล (ไทยแลนด์) จำกัด</t>
  </si>
  <si>
    <t xml:space="preserve">888/17 ม.9  ต.บางปลา</t>
  </si>
  <si>
    <t xml:space="preserve">02-1816787</t>
  </si>
  <si>
    <t xml:space="preserve">contact@panefri.co.th</t>
  </si>
  <si>
    <t xml:space="preserve">0115551005479 </t>
  </si>
  <si>
    <t xml:space="preserve">นำเข้า ออกแบบ ผลิต ตรวจสอบประกอบ ขาย ส่งออก งานที่เกี่ยวกับเครื่องจักร เครื่องยนต์ เครื่องทุ่นแรง</t>
  </si>
  <si>
    <t xml:space="preserve">คุณรุ่งรัตน</t>
  </si>
  <si>
    <t xml:space="preserve">085-662-9082</t>
  </si>
  <si>
    <t xml:space="preserve">AP-PNP000</t>
  </si>
  <si>
    <t xml:space="preserve">บริษัท พาเนลพลัส จำกัด</t>
  </si>
  <si>
    <t xml:space="preserve">2 อาคารเพลินจิตเซ็นเตอร์ ชั้น 25  ถ.สุขุมวิท ซอย2 แขวงคลองเตย</t>
  </si>
  <si>
    <t xml:space="preserve">02-6568188</t>
  </si>
  <si>
    <t xml:space="preserve">0105547007217 </t>
  </si>
  <si>
    <t xml:space="preserve">ไม้ปาร์ติเกิล</t>
  </si>
  <si>
    <t xml:space="preserve">AP-PNR000</t>
  </si>
  <si>
    <t xml:space="preserve">บริษัท ฟีนิกส์ รับเบอร์ โปรดักส์ จำกัด</t>
  </si>
  <si>
    <t xml:space="preserve">1313/2 ม.5 ต.สำโรงเหนือ </t>
  </si>
  <si>
    <t xml:space="preserve">02-3857278</t>
  </si>
  <si>
    <t xml:space="preserve">marketing@thairubbergloves.com</t>
  </si>
  <si>
    <t xml:space="preserve">0115549003375 </t>
  </si>
  <si>
    <t xml:space="preserve">ผลิตและจำหน่ายน้ำยางข้น ยางรมควัน ถุงมือยางทุกชนิด</t>
  </si>
  <si>
    <t xml:space="preserve">คุณมิ้น</t>
  </si>
  <si>
    <t xml:space="preserve">081-7314369</t>
  </si>
  <si>
    <t xml:space="preserve">AP-POC000</t>
  </si>
  <si>
    <t xml:space="preserve">บริษัท พูนสิน เคเบิล จำกัด</t>
  </si>
  <si>
    <t xml:space="preserve">280,284 ซอยพงษ์เวชอนุสรณ์ 2 ถ.สุขุมวิท แขวงพระโขนงใต้</t>
  </si>
  <si>
    <t xml:space="preserve">02-741455</t>
  </si>
  <si>
    <t xml:space="preserve">info@poonsincable.com</t>
  </si>
  <si>
    <t xml:space="preserve">0105531020979 </t>
  </si>
  <si>
    <t xml:space="preserve">จำหน่ายสายไฟ</t>
  </si>
  <si>
    <t xml:space="preserve">AP-POF000</t>
  </si>
  <si>
    <t xml:space="preserve">บริษัท เพอร์เฟ็คท์ ออฟฟิศ เฟอร์นิเจอร์ จำกัด</t>
  </si>
  <si>
    <t xml:space="preserve">196 ซ.ท่าข้าม 12 แขวงแสมดำ</t>
  </si>
  <si>
    <t xml:space="preserve">02 895 6301</t>
  </si>
  <si>
    <t xml:space="preserve">info@perfect-furniture.com</t>
  </si>
  <si>
    <t xml:space="preserve">0105543013719 </t>
  </si>
  <si>
    <t xml:space="preserve">ผลิตเฟอร์นิเจอร์</t>
  </si>
  <si>
    <t xml:space="preserve">AP-PON000</t>
  </si>
  <si>
    <t xml:space="preserve">นาย สิทธิพงษ์ ทองเรือง</t>
  </si>
  <si>
    <t xml:space="preserve">1200/4หมู่ที่8 ต.บางปูใหม่</t>
  </si>
  <si>
    <t xml:space="preserve">3110100944373 </t>
  </si>
  <si>
    <t xml:space="preserve">คุณสิทธิพงษ์</t>
  </si>
  <si>
    <t xml:space="preserve">AP-PPI000</t>
  </si>
  <si>
    <t xml:space="preserve">หจก. พีพี อิ้ง แอนด์ โทนเนอร์</t>
  </si>
  <si>
    <t xml:space="preserve">199/94 ม.5 ซ.จตุรมิตร ถ.เทพารักษ์  ต.บางพลีใหญ่  </t>
  </si>
  <si>
    <t xml:space="preserve">02-1868182</t>
  </si>
  <si>
    <t xml:space="preserve">0113553001673 </t>
  </si>
  <si>
    <t xml:space="preserve">เครื่องเขียน</t>
  </si>
  <si>
    <t xml:space="preserve">คุณสุปราณี</t>
  </si>
  <si>
    <t xml:space="preserve">062-7086717</t>
  </si>
  <si>
    <t xml:space="preserve">AP-PPN000</t>
  </si>
  <si>
    <t xml:space="preserve">บริษัท พงษ์พนา จำกัด</t>
  </si>
  <si>
    <t xml:space="preserve">3,5 ซ.พระยามนธาตุฯ แยก9-1 ถ.บางขุนเทียน แขวงคลองบางบอน</t>
  </si>
  <si>
    <t xml:space="preserve">02-8998361-8</t>
  </si>
  <si>
    <t xml:space="preserve">info@pongpana.com</t>
  </si>
  <si>
    <t xml:space="preserve">0105535023760 </t>
  </si>
  <si>
    <t xml:space="preserve">จำหน่ายนำเข้าสารเคมี</t>
  </si>
  <si>
    <t xml:space="preserve">AP-PPS000</t>
  </si>
  <si>
    <t xml:space="preserve">หจก. พอเพียง ไซน์ โปรดักชั่น</t>
  </si>
  <si>
    <t xml:space="preserve">109/15 ม.6 ซอย ทวีทอง2 ซ.1 ต.บางเมืองใหม่</t>
  </si>
  <si>
    <t xml:space="preserve">083-3888025</t>
  </si>
  <si>
    <t xml:space="preserve">0113561003035 </t>
  </si>
  <si>
    <t xml:space="preserve">บริการออกแบบผลิตติดตั้งป้ายโฆษณา</t>
  </si>
  <si>
    <t xml:space="preserve">AP-PRO000</t>
  </si>
  <si>
    <t xml:space="preserve">บจ. โปร ไอเดีย พรีเมี่ยม</t>
  </si>
  <si>
    <t xml:space="preserve">622/182 ซ.พระรามที่2 ถ.พระรามที่2 แขวงแสมดำ</t>
  </si>
  <si>
    <t xml:space="preserve">087-6829559,081-4465940</t>
  </si>
  <si>
    <t xml:space="preserve">nuttawan99@hotmail.com</t>
  </si>
  <si>
    <t xml:space="preserve">0105554150992 </t>
  </si>
  <si>
    <t xml:space="preserve">รับจ้างผลิตและจำหน่ายเครื่องนุ่งห่ม เสื้อผ้าสำเร็จรูป</t>
  </si>
  <si>
    <t xml:space="preserve">คุณตุ๊ก,คุณทัช</t>
  </si>
  <si>
    <t xml:space="preserve">AP-PRP000</t>
  </si>
  <si>
    <t xml:space="preserve">บริษัท พาราไดซ์ พาร์ค จำกัด</t>
  </si>
  <si>
    <t xml:space="preserve">59/5 ถ.ศรีนคริทร์ แขวงหนองบอน </t>
  </si>
  <si>
    <t xml:space="preserve">02-7801000</t>
  </si>
  <si>
    <t xml:space="preserve">mbkcontactcenter@mbkgroup.co.th</t>
  </si>
  <si>
    <t xml:space="preserve">0105543049705 </t>
  </si>
  <si>
    <t xml:space="preserve">ให้เช่า</t>
  </si>
  <si>
    <t xml:space="preserve">AP-PRR000</t>
  </si>
  <si>
    <t xml:space="preserve">บจ. เพชรรุ่งเรืองวัสดุก่อสร้าง</t>
  </si>
  <si>
    <t xml:space="preserve">1 ม.21  ต.บางพลีใหญ่  </t>
  </si>
  <si>
    <t xml:space="preserve">02-3465447</t>
  </si>
  <si>
    <t xml:space="preserve">0115556010641 </t>
  </si>
  <si>
    <t xml:space="preserve">จำหน่ายอุปกรณ์ไฟฟ้า อุปกรณ์สื่อสาร วัสดุก่อสร้างและติดตั้ง ซ่อมแซมงานระบบทุกชนิด</t>
  </si>
  <si>
    <t xml:space="preserve">AP-PRS000</t>
  </si>
  <si>
    <t xml:space="preserve">บริษัท ภาริช ซัพพลาย จำกัด</t>
  </si>
  <si>
    <t xml:space="preserve">97/14 ม.5 ต.แพรกษาใหม่</t>
  </si>
  <si>
    <t xml:space="preserve">02-1742047,0945179569</t>
  </si>
  <si>
    <t xml:space="preserve">parishsuppy2559@gmail.com</t>
  </si>
  <si>
    <t xml:space="preserve">0115559015261 </t>
  </si>
  <si>
    <t xml:space="preserve">นำเข้าเพื่อค้าส่ง-ปลีกทั้งด้านอุปกรณ์ชิ้นส่วนต่างๆในการผลิตเฟอร์นิเจอร์</t>
  </si>
  <si>
    <t xml:space="preserve"> คุณอาร์ต</t>
  </si>
  <si>
    <t xml:space="preserve">AP-PRY000</t>
  </si>
  <si>
    <t xml:space="preserve">หจก. พี.อาร์.วาย.เทคนิค (สำนักงานใหญ่)</t>
  </si>
  <si>
    <t xml:space="preserve">15/877 ม.10 ถ.สุขุมวิท 107 ต.สำโรงเหนือ </t>
  </si>
  <si>
    <t xml:space="preserve">02-7591573</t>
  </si>
  <si>
    <t xml:space="preserve">0113546000373</t>
  </si>
  <si>
    <t xml:space="preserve">ซ่อมมอเตอร์</t>
  </si>
  <si>
    <t xml:space="preserve">คุณปิยะ</t>
  </si>
  <si>
    <t xml:space="preserve">081-8303850</t>
  </si>
  <si>
    <t xml:space="preserve">AP-PSMT00</t>
  </si>
  <si>
    <t xml:space="preserve">บริษัท ไพศาล เมทัล จำกัด</t>
  </si>
  <si>
    <t xml:space="preserve">27/9 หมู่ที่ 11 ถ.เทพารักษ์  ต.บางปลา</t>
  </si>
  <si>
    <t xml:space="preserve">065-3916563</t>
  </si>
  <si>
    <t xml:space="preserve">paisalmetal@hotmail.com</t>
  </si>
  <si>
    <t xml:space="preserve">0115548005617 </t>
  </si>
  <si>
    <t xml:space="preserve">รับจ้างตัด พับ หล่อ กลึงเหล็กและโลหะต่างๆ</t>
  </si>
  <si>
    <t xml:space="preserve">AP-PSW000</t>
  </si>
  <si>
    <t xml:space="preserve">หจก. พรสวรรค์ ซิลค์สกรีน</t>
  </si>
  <si>
    <t xml:space="preserve">755 ม.1 ซ.ด่านสำโรง50/19 ต.สำโรงเหนือ </t>
  </si>
  <si>
    <t xml:space="preserve">095-7053854</t>
  </si>
  <si>
    <t xml:space="preserve">ps-silkscreen@hotmail.com</t>
  </si>
  <si>
    <t xml:space="preserve">0113558004590 </t>
  </si>
  <si>
    <t xml:space="preserve">การพิมพ์ผ้า</t>
  </si>
  <si>
    <t xml:space="preserve">AP-PT09000</t>
  </si>
  <si>
    <t xml:space="preserve">บริษัท พอร์ท 09 จำกัด</t>
  </si>
  <si>
    <t xml:space="preserve">333-333/1 หมู่ที่9 ต.ละหาร</t>
  </si>
  <si>
    <t xml:space="preserve">อ.บางบัวทอง </t>
  </si>
  <si>
    <t xml:space="preserve">02-2942569</t>
  </si>
  <si>
    <t xml:space="preserve">thailand@port09.co.th</t>
  </si>
  <si>
    <t xml:space="preserve">0105552003887 </t>
  </si>
  <si>
    <t xml:space="preserve"> ขายปลีก ไม้อัด ไม้แปรรูป</t>
  </si>
  <si>
    <t xml:space="preserve">คุณเมธา</t>
  </si>
  <si>
    <t xml:space="preserve">081-456-6724</t>
  </si>
  <si>
    <t xml:space="preserve">AP-PTN000</t>
  </si>
  <si>
    <t xml:space="preserve">บริษัท พัฒนพงษ์ วัสดุภัณฑ์ จำกัด</t>
  </si>
  <si>
    <t xml:space="preserve">63 หมู่ 12 ถนนบางนา-ตราด กม.12  ต.ราชาเทวะ</t>
  </si>
  <si>
    <t xml:space="preserve">02-3169227</t>
  </si>
  <si>
    <t xml:space="preserve">warit@pattanapong.com</t>
  </si>
  <si>
    <t xml:space="preserve">0115524000488 </t>
  </si>
  <si>
    <t xml:space="preserve">วัสดุก่อสร้างและสุขภัณฑ์</t>
  </si>
  <si>
    <t xml:space="preserve">หจก. แพนยูเนี่ยน อิมปอร์ต เอกซ์ปอร์ต</t>
  </si>
  <si>
    <t xml:space="preserve">421/4-5 ถนนกรุงเทพ-นนทบุรี แขวงบางซื่อ</t>
  </si>
  <si>
    <t xml:space="preserve">02-9115600</t>
  </si>
  <si>
    <t xml:space="preserve">panunion@hotmail.co.th</t>
  </si>
  <si>
    <t xml:space="preserve">0103521017213 </t>
  </si>
  <si>
    <t xml:space="preserve">ร้านขายปลีกวัสดุก่อสร้างอื่นๆ</t>
  </si>
  <si>
    <t xml:space="preserve">AP-PW0000</t>
  </si>
  <si>
    <t xml:space="preserve">บริษัท PAWIN</t>
  </si>
  <si>
    <t xml:space="preserve">75/32 ซอยนเรศวร22 หมู่บ้านเอราวัณ ต.เขาสามยอด </t>
  </si>
  <si>
    <t xml:space="preserve">จ.ลพบุรี</t>
  </si>
  <si>
    <t xml:space="preserve">02-911-4761-5,095-365-8530-1</t>
  </si>
  <si>
    <t xml:space="preserve">AP-PYK000</t>
  </si>
  <si>
    <t xml:space="preserve">บริษัท ปิยะกิจ โฟมสยาม จำกัด</t>
  </si>
  <si>
    <t xml:space="preserve">22/4 ม.4  ต.บางพลีใหญ่  </t>
  </si>
  <si>
    <t xml:space="preserve">02-7553293</t>
  </si>
  <si>
    <t xml:space="preserve">pim_ko@yahoo.com,piyakijfoamsiam@gmail.com</t>
  </si>
  <si>
    <t xml:space="preserve">0115540001183 </t>
  </si>
  <si>
    <t xml:space="preserve">ผลิตแผ่นโฟม</t>
  </si>
  <si>
    <t xml:space="preserve">AP-RCW000</t>
  </si>
  <si>
    <t xml:space="preserve">บริษัท รวมเจริญ วู๊ด มาร์เก็ตติ้ง</t>
  </si>
  <si>
    <t xml:space="preserve">588/3 ซ.สามแยกเตาปูน บางโพ ถ.ประชาราษฏร์2 แขวงบาง่อ </t>
  </si>
  <si>
    <t xml:space="preserve">02-5879177</t>
  </si>
  <si>
    <t xml:space="preserve">0105545072216 </t>
  </si>
  <si>
    <t xml:space="preserve">ประกอบกิจการรับจ้างปิดผิวผลิตภัณฑ์ไม้ทุกชนิด</t>
  </si>
  <si>
    <t xml:space="preserve">AP-REN000</t>
  </si>
  <si>
    <t xml:space="preserve"> กรมสรรพากร</t>
  </si>
  <si>
    <t xml:space="preserve">อาคารบางพลีบิวดิ้ง99ช.มิตรภาพ ต.บางแก้ว</t>
  </si>
  <si>
    <t xml:space="preserve">02-1744241</t>
  </si>
  <si>
    <t xml:space="preserve">8888888888888 </t>
  </si>
  <si>
    <t xml:space="preserve">AP-RHT000</t>
  </si>
  <si>
    <t xml:space="preserve">นาย เลิศ หงษ์ทอง</t>
  </si>
  <si>
    <t xml:space="preserve">83 หมู่11 ต.ทัพเสด็จ</t>
  </si>
  <si>
    <t xml:space="preserve">อ.ตาพระยา</t>
  </si>
  <si>
    <t xml:space="preserve">จ.สระแก้ว</t>
  </si>
  <si>
    <t xml:space="preserve">081-4113236</t>
  </si>
  <si>
    <t xml:space="preserve">5251100008313 </t>
  </si>
  <si>
    <t xml:space="preserve">ช่างเลิศ</t>
  </si>
  <si>
    <t xml:space="preserve">AP-RIC000</t>
  </si>
  <si>
    <t xml:space="preserve">บจ. ริโก้ (ประเทศไทย)</t>
  </si>
  <si>
    <t xml:space="preserve">341 ถ.อ่อนนุช แขวงประเวศ</t>
  </si>
  <si>
    <t xml:space="preserve">02-8888888</t>
  </si>
  <si>
    <t xml:space="preserve">ricoh_callcenter@ricoh.co.th</t>
  </si>
  <si>
    <t xml:space="preserve">0105513004762 </t>
  </si>
  <si>
    <t xml:space="preserve">เครื่องถ่ายเอกสาร</t>
  </si>
  <si>
    <t xml:space="preserve">AP-RNA000</t>
  </si>
  <si>
    <t xml:space="preserve">บริษัท อาร์.เอ็น.อลูมิเนียม จำกัด</t>
  </si>
  <si>
    <t xml:space="preserve">188/21 ม.4  ต.บางพลีใหญ่  </t>
  </si>
  <si>
    <t xml:space="preserve">097-1366579</t>
  </si>
  <si>
    <t xml:space="preserve">0115556012058 </t>
  </si>
  <si>
    <t xml:space="preserve">AP-RRS000</t>
  </si>
  <si>
    <t xml:space="preserve">บริษัท รุ่งเรืองสยาม ซูมิคอน จำกัด</t>
  </si>
  <si>
    <t xml:space="preserve">127/7 ม.6 ถ.เทพารักษ์  ต.บางพลีใหญ่  </t>
  </si>
  <si>
    <t xml:space="preserve">02-1734407</t>
  </si>
  <si>
    <t xml:space="preserve">0115545001599 </t>
  </si>
  <si>
    <t xml:space="preserve">รับทำติดตั้งกันสาด ติดตั้งงานอลูมิเนียม งานกระจก งานตกแต่งภายในทุกประเภททุกชนิด</t>
  </si>
  <si>
    <t xml:space="preserve">คุณธีระยุทธ์ </t>
  </si>
  <si>
    <t xml:space="preserve">089-649-1536</t>
  </si>
  <si>
    <t xml:space="preserve">AP-RSD000</t>
  </si>
  <si>
    <t xml:space="preserve">หจก. รุศดา ขนส่ง</t>
  </si>
  <si>
    <t xml:space="preserve">467 หมู่ที่6 ต.เขาฉกรรจ์</t>
  </si>
  <si>
    <t xml:space="preserve">อ.เขาฉกรรจ์</t>
  </si>
  <si>
    <t xml:space="preserve"> จ.สระแก้ว </t>
  </si>
  <si>
    <t xml:space="preserve">094-2978954</t>
  </si>
  <si>
    <t xml:space="preserve">Rusda@gmail.com</t>
  </si>
  <si>
    <t xml:space="preserve">0273561000027 </t>
  </si>
  <si>
    <t xml:space="preserve">การขนส่งสินค้า</t>
  </si>
  <si>
    <t xml:space="preserve">คุณรุศดา</t>
  </si>
  <si>
    <t xml:space="preserve">AP-RYD000</t>
  </si>
  <si>
    <t xml:space="preserve">บริษัท ร้อยยอดดอย จำกัด</t>
  </si>
  <si>
    <t xml:space="preserve">33/673 หมู่ 10 ถนนลาดพร้าว แขวงลาดพร้าว</t>
  </si>
  <si>
    <t xml:space="preserve">02-932-9131-2</t>
  </si>
  <si>
    <t xml:space="preserve">คุณอุบลรัตน์</t>
  </si>
  <si>
    <t xml:space="preserve">AP-S2P000</t>
  </si>
  <si>
    <t xml:space="preserve">บริษัท เอสทูพี อินเตอร์เนชั่นแนล เทรดดิ้ง</t>
  </si>
  <si>
    <t xml:space="preserve">24 ซอยบางบอน 1 ซอย 17 แขวงคลองบางพราน </t>
  </si>
  <si>
    <t xml:space="preserve">081-9388680</t>
  </si>
  <si>
    <t xml:space="preserve">0105561015141 </t>
  </si>
  <si>
    <t xml:space="preserve">ซื้อมา ขายไป อุปกรณ์อิเล็กทรอนิกส์ เครื่องใช้ไฟฟ้า เครื่องครัวสแตนเลส</t>
  </si>
  <si>
    <t xml:space="preserve">AP-SAK000</t>
  </si>
  <si>
    <t xml:space="preserve">บริษัท สยามแองเคอร์ ฟาสเทนเนอร์ อินดัสทรี จำกัด</t>
  </si>
  <si>
    <t xml:space="preserve">69/2 หมู่ 5 ถ. กิ่งแก้ว-บางพลี  ต.ราชาเทวะ</t>
  </si>
  <si>
    <t xml:space="preserve">02-7136606</t>
  </si>
  <si>
    <t xml:space="preserve">contact@fastenic.com</t>
  </si>
  <si>
    <t xml:space="preserve">0115535004374 </t>
  </si>
  <si>
    <t xml:space="preserve">จำหน่ายลวดเชื่อม</t>
  </si>
  <si>
    <t xml:space="preserve">AP-SAN000</t>
  </si>
  <si>
    <t xml:space="preserve"> สำนักงานประกันสังคมสมุทรปราการสาขาบางพลี</t>
  </si>
  <si>
    <t xml:space="preserve">88/12หมู่10กม.17ถ.เทพารักษ์  ต.บางปลา</t>
  </si>
  <si>
    <t xml:space="preserve">02-1752433</t>
  </si>
  <si>
    <t xml:space="preserve">9999999999999 </t>
  </si>
  <si>
    <t xml:space="preserve">AP-SAP000</t>
  </si>
  <si>
    <t xml:space="preserve">หจก. ทรัพย์เจริญ ฐานิตา ทรานสปอร์ต</t>
  </si>
  <si>
    <t xml:space="preserve">115/135 ซอยนวมินทร์163 แยก15-8 แขวงนวลจันทร์ </t>
  </si>
  <si>
    <t xml:space="preserve">089-8041689</t>
  </si>
  <si>
    <t xml:space="preserve">thanita.to.th@gmail.com</t>
  </si>
  <si>
    <t xml:space="preserve">0103561002349 </t>
  </si>
  <si>
    <t xml:space="preserve">การขนส่งและขนถ่ายสินค้า รวมถึงคนโดยสาร</t>
  </si>
  <si>
    <t xml:space="preserve">คุณเบิร์ด</t>
  </si>
  <si>
    <t xml:space="preserve">AP-SCH000</t>
  </si>
  <si>
    <t xml:space="preserve">บริษัท แสงเจริญเฮ้าส์ซิ่งโปรดักส์ จำกัด</t>
  </si>
  <si>
    <t xml:space="preserve">410/4-6 ปากซอยลาดพร้าว 20 ถ.ลาดพร้าว แขวงจอมพล</t>
  </si>
  <si>
    <t xml:space="preserve">02-9384023</t>
  </si>
  <si>
    <t xml:space="preserve">0105528007185 </t>
  </si>
  <si>
    <t xml:space="preserve">ขายส่งไม้และผลิตภัณฑ์จากไม้แปรรูปขั้นต้น</t>
  </si>
  <si>
    <t xml:space="preserve">บริษัท สยามเคมีคอลอินดัสตรี้ จำกัด</t>
  </si>
  <si>
    <t xml:space="preserve">159/34 เสริมมิตรทาวเวอร์ ชั้น 20 ซ.อโศก ถ.สุขุมวิท21 แขวงคลองเตยเหนือ</t>
  </si>
  <si>
    <t xml:space="preserve">02-2607400</t>
  </si>
  <si>
    <t xml:space="preserve">saleinfo@siamchem.com</t>
  </si>
  <si>
    <t xml:space="preserve">0105517002713 </t>
  </si>
  <si>
    <t xml:space="preserve">ผลิตและจำหน่ายผลิตภัณฑ์เคมีเรซิ่น</t>
  </si>
  <si>
    <t xml:space="preserve">คุณไอซ์ </t>
  </si>
  <si>
    <t xml:space="preserve">091-6988187</t>
  </si>
  <si>
    <t xml:space="preserve">AP-SCJ000</t>
  </si>
  <si>
    <t xml:space="preserve">นาย สมชาย แจ้งจิตร์</t>
  </si>
  <si>
    <t xml:space="preserve">33 ซอยศูนย์วิจัย14  แขวงบางกะปิ</t>
  </si>
  <si>
    <t xml:space="preserve"> เขตห้วยขวาง </t>
  </si>
  <si>
    <t xml:space="preserve">AP-SCP000</t>
  </si>
  <si>
    <t xml:space="preserve">บริษัท แสงเจริญพัฒนาเอ็นเตอร์ไพรส์ จำกัด</t>
  </si>
  <si>
    <t xml:space="preserve">เลขที่ 1 ซอยลาดพร้าว แขวงจอมพล</t>
  </si>
  <si>
    <t xml:space="preserve">02-9389292</t>
  </si>
  <si>
    <t xml:space="preserve">webmaster@scpe.co.th</t>
  </si>
  <si>
    <t xml:space="preserve">0105525045442 </t>
  </si>
  <si>
    <t xml:space="preserve">ขายส่ง-ปลีก อุปกรณ์ตกแต่งบ้าน</t>
  </si>
  <si>
    <t xml:space="preserve">บจ. อุตสาหกรรมไม้ส.ชัยวัฒนา</t>
  </si>
  <si>
    <t xml:space="preserve">447ม.2ถ.บางพลี-ตำหรุ ต.แพรกษา</t>
  </si>
  <si>
    <t xml:space="preserve">02 182 2093</t>
  </si>
  <si>
    <t xml:space="preserve">platongs@hotmail.com</t>
  </si>
  <si>
    <t xml:space="preserve">0105516003601 </t>
  </si>
  <si>
    <t xml:space="preserve">ประกอบกิจการขายวัสดุก่อสร้างทุกชนิด</t>
  </si>
  <si>
    <t xml:space="preserve">AP-SDM000</t>
  </si>
  <si>
    <t xml:space="preserve">บริษัท เอส.ดี.เอ็ม.ริช จำกัด</t>
  </si>
  <si>
    <t xml:space="preserve">200/10-11 หมู่ 1 ต.บางเสาธง</t>
  </si>
  <si>
    <t xml:space="preserve"> อ.บางเสาธง </t>
  </si>
  <si>
    <t xml:space="preserve">02-7054286</t>
  </si>
  <si>
    <t xml:space="preserve">sdm2553@gmail.com</t>
  </si>
  <si>
    <t xml:space="preserve">0115553005166 </t>
  </si>
  <si>
    <t xml:space="preserve">การติดตั้งไฟฟ้า (Electrical installation)</t>
  </si>
  <si>
    <t xml:space="preserve">AP-SGA000</t>
  </si>
  <si>
    <t xml:space="preserve">กรม ศุลกากร</t>
  </si>
  <si>
    <t xml:space="preserve">1164@customs.go.th</t>
  </si>
  <si>
    <t xml:space="preserve">AP-SGB000</t>
  </si>
  <si>
    <t xml:space="preserve">บริษัท สยามโกลบอลเฮ้าส์ จำกัด (มหาชน) สำนักงานใหญ่</t>
  </si>
  <si>
    <t xml:space="preserve">232หมู่ที่19 ต.รอบเมือง</t>
  </si>
  <si>
    <t xml:space="preserve"> อ.เมืองร้อยเอ็ด</t>
  </si>
  <si>
    <t xml:space="preserve">จ.ร้อยเอ็ด </t>
  </si>
  <si>
    <t xml:space="preserve">043-519777,043-5195967</t>
  </si>
  <si>
    <t xml:space="preserve">callcenter@globalhouse.co.th</t>
  </si>
  <si>
    <t xml:space="preserve">0107551000029 </t>
  </si>
  <si>
    <t xml:space="preserve">จำหน่ายวัสดุก่อสร้างและอุปกรณ์ตกแต่งบ้าน</t>
  </si>
  <si>
    <t xml:space="preserve">AP-SHA000</t>
  </si>
  <si>
    <t xml:space="preserve">บริษัท ชาร์ป มหานคร จำกัด</t>
  </si>
  <si>
    <t xml:space="preserve">คุณจุ๋ม</t>
  </si>
  <si>
    <t xml:space="preserve">AP-SHA001</t>
  </si>
  <si>
    <t xml:space="preserve"> SHANGHAI WANQIU INTERNATIONAL TRADING</t>
  </si>
  <si>
    <t xml:space="preserve">ROOM 208,TOMSON CENTER,188ZHANGYANG RD,</t>
  </si>
  <si>
    <t xml:space="preserve">PUDONG DIST </t>
  </si>
  <si>
    <t xml:space="preserve">SHANGHAI,</t>
  </si>
  <si>
    <t xml:space="preserve">AP-SHC000</t>
  </si>
  <si>
    <t xml:space="preserve">บมจ. ส.กิจชัย เอ็นเตอร์ไพรส์</t>
  </si>
  <si>
    <t xml:space="preserve">99/9 หมู่7 ต.ห้วยยาง</t>
  </si>
  <si>
    <t xml:space="preserve"> อ.แกลง</t>
  </si>
  <si>
    <t xml:space="preserve"> จ.ระยอง  </t>
  </si>
  <si>
    <t xml:space="preserve">065-3924997 </t>
  </si>
  <si>
    <t xml:space="preserve">0107559000435 </t>
  </si>
  <si>
    <t xml:space="preserve">ผลิตและจำหน่ายไม้เอ็มดีเอฟ</t>
  </si>
  <si>
    <t xml:space="preserve">คุณแอม</t>
  </si>
  <si>
    <t xml:space="preserve">AP-SIH000</t>
  </si>
  <si>
    <t xml:space="preserve">บริษัท สยามเฮ้าส์ อุตสาหกรรมพลาสติก จำกัด</t>
  </si>
  <si>
    <t xml:space="preserve">559/22-23 หมู่7  ต.บางพลีใหญ่  </t>
  </si>
  <si>
    <t xml:space="preserve">02-3250184-5</t>
  </si>
  <si>
    <t xml:space="preserve">0115553004852 </t>
  </si>
  <si>
    <t xml:space="preserve">โรงงานพลาสติก ผลิตและรับจ้างผลิต จำหน่าย นำเข้า ส่งออกวัตถุดิบทุกชนิดที่ใช้ผลิต</t>
  </si>
  <si>
    <t xml:space="preserve">AP-SIR000</t>
  </si>
  <si>
    <t xml:space="preserve">นางสาว สิริกาญจน์  ไชยเนติศักดิ์</t>
  </si>
  <si>
    <t xml:space="preserve">119 ซ.สุขสวัสดิ์ 26 แยก10-5 แขวงบางประกอก</t>
  </si>
  <si>
    <t xml:space="preserve">081-6277224</t>
  </si>
  <si>
    <t xml:space="preserve">3330101076446 </t>
  </si>
  <si>
    <t xml:space="preserve">ค่าขนย้ายเครื่องจักร</t>
  </si>
  <si>
    <t xml:space="preserve">คุณสกุล</t>
  </si>
  <si>
    <t xml:space="preserve">AP-SIT000</t>
  </si>
  <si>
    <t xml:space="preserve">คุณสิทธิพงษ์ ทองเรือง</t>
  </si>
  <si>
    <t xml:space="preserve">AP-SIT000.</t>
  </si>
  <si>
    <t xml:space="preserve">AP-SJK000</t>
  </si>
  <si>
    <t xml:space="preserve">ร้าน สมใจค้าไม้</t>
  </si>
  <si>
    <t xml:space="preserve">691 หมู่ 11 ถ.บางนา-ตราด ต.บางโฉลง</t>
  </si>
  <si>
    <t xml:space="preserve">084-912937</t>
  </si>
  <si>
    <t xml:space="preserve">AP-SKC000</t>
  </si>
  <si>
    <t xml:space="preserve">บริษัท เอสเคซี โฮม เซ็นเตอร์ จำกัด</t>
  </si>
  <si>
    <t xml:space="preserve">skc5851891@hotmail.com</t>
  </si>
  <si>
    <t xml:space="preserve">บริษัท เอส.เค. เคมีคอล อินดัสตรี้ จำกัด</t>
  </si>
  <si>
    <t xml:space="preserve">14 ซ.หมู่บ้านคันทรี่วิลล่า ซ1 แขวงหนองบอน </t>
  </si>
  <si>
    <t xml:space="preserve">02-7218182</t>
  </si>
  <si>
    <t xml:space="preserve">sales@skchemicalindustry.com</t>
  </si>
  <si>
    <t xml:space="preserve">0115538002232 </t>
  </si>
  <si>
    <t xml:space="preserve">ประกอบธุรกิจนำเข้าและผลิตวัตถุทางเคมี</t>
  </si>
  <si>
    <t xml:space="preserve">คุณเจริญ </t>
  </si>
  <si>
    <t xml:space="preserve">081-4839184</t>
  </si>
  <si>
    <t xml:space="preserve">AP-SKKK000</t>
  </si>
  <si>
    <t xml:space="preserve">บริษัท เอสเค คาเคน(ไทยแลนด์) จำกัด</t>
  </si>
  <si>
    <t xml:space="preserve">518/5 อาคาร มณียาเซ็นเตอร์ ชั้น6 ถนนเพลินจิต แขวงลุมพินี</t>
  </si>
  <si>
    <t xml:space="preserve">02-6520600</t>
  </si>
  <si>
    <t xml:space="preserve">info@skk.co.th</t>
  </si>
  <si>
    <t xml:space="preserve">0105545119441</t>
  </si>
  <si>
    <t xml:space="preserve">จำหน่ายสี ส่วนประกอบและอุปกรณ์เกี่ยวกับสีรับจ้างทาสีและตกแต่งอาคาร</t>
  </si>
  <si>
    <t xml:space="preserve">คุณแต้ว</t>
  </si>
  <si>
    <t xml:space="preserve">081-908-1452</t>
  </si>
  <si>
    <t xml:space="preserve">AP-SLP000</t>
  </si>
  <si>
    <t xml:space="preserve">บริษัท สมาร์ท เลเซอร์ ปริ้นท์ จากัด (สานักงานใหญ่)</t>
  </si>
  <si>
    <t xml:space="preserve">641/89ถนนอนามัยงามเจริญ แขวงท่าข้าม</t>
  </si>
  <si>
    <t xml:space="preserve">02-4083467</t>
  </si>
  <si>
    <t xml:space="preserve">yuparat.st55@gmail.com</t>
  </si>
  <si>
    <t xml:space="preserve">0105557017606 </t>
  </si>
  <si>
    <t xml:space="preserve">ประกอบกิจการค้าปลีก-ส่งหมึกพิมพ์ทุกชนิด</t>
  </si>
  <si>
    <t xml:space="preserve">AP-SMA000</t>
  </si>
  <si>
    <t xml:space="preserve">บริษัท SMART ACCOUNTING &amp; TAX CO.,LTD</t>
  </si>
  <si>
    <t xml:space="preserve">20/104 M.1 ต.ห้วยกะปิ</t>
  </si>
  <si>
    <t xml:space="preserve">084-8697227,038192386</t>
  </si>
  <si>
    <t xml:space="preserve">duangnapha@smartaccountingandtax.com</t>
  </si>
  <si>
    <t xml:space="preserve">0205553014326</t>
  </si>
  <si>
    <t xml:space="preserve">รับทำบัญชี ที่ปรึกษา วางระบบและรับปรึกษาทางด้านงานบริหารบุคคล</t>
  </si>
  <si>
    <t xml:space="preserve">คุณออย</t>
  </si>
  <si>
    <t xml:space="preserve">AP-SME000</t>
  </si>
  <si>
    <t xml:space="preserve">บริษัท เอสเอ็มอี ชิปปิ้ง จำกัด</t>
  </si>
  <si>
    <t xml:space="preserve">46-48 ซ.รัชดาภิเษก 16 ถ.รัชดาภิเษก แขวงวัดท่าพระ </t>
  </si>
  <si>
    <t xml:space="preserve">เขตบางกอกใหญ่</t>
  </si>
  <si>
    <t xml:space="preserve">02-1057777</t>
  </si>
  <si>
    <t xml:space="preserve">0105552114948 </t>
  </si>
  <si>
    <t xml:space="preserve">บริการตัวแทนการรับขนส่งอื่น</t>
  </si>
  <si>
    <t xml:space="preserve">บริษัท สยามแม็คโคร จำกัด (มหาชน)</t>
  </si>
  <si>
    <t xml:space="preserve">79 ม.1  ต.ราชาเทวะ</t>
  </si>
  <si>
    <t xml:space="preserve">02-3164200</t>
  </si>
  <si>
    <t xml:space="preserve">0107537000521 </t>
  </si>
  <si>
    <t xml:space="preserve">จำหน่ายสินค้าอุปโภคและบริโภค</t>
  </si>
  <si>
    <t xml:space="preserve">AP-SMN000</t>
  </si>
  <si>
    <t xml:space="preserve">บริษัท ศิริมานิต จำกัด</t>
  </si>
  <si>
    <t xml:space="preserve">428 ถนนอนามัยงามเจริญ แขวงท่าข้าม</t>
  </si>
  <si>
    <t xml:space="preserve">02-1151937-9</t>
  </si>
  <si>
    <t xml:space="preserve">0103525029704</t>
  </si>
  <si>
    <t xml:space="preserve">ประกอบกิจการผลิตดินน้ำมัน</t>
  </si>
  <si>
    <t xml:space="preserve">คุณวรรณ</t>
  </si>
  <si>
    <t xml:space="preserve">AP-SMT000</t>
  </si>
  <si>
    <t xml:space="preserve">บริษัท สยามตะวันออก คอนซูมเมอร์ จำกัด</t>
  </si>
  <si>
    <t xml:space="preserve">59/3 หมู่ 13 ซอยกรุงเทพกรีฑา บี 5  ถ.กรุงเทพกรีฑา แขวงสะพานสูง</t>
  </si>
  <si>
    <t xml:space="preserve">เขตสะพานสูง</t>
  </si>
  <si>
    <t xml:space="preserve">02-736-0616-8</t>
  </si>
  <si>
    <t xml:space="preserve">คุณอ้อ</t>
  </si>
  <si>
    <t xml:space="preserve">AP-SMTE00</t>
  </si>
  <si>
    <t xml:space="preserve">บริษัท เอส เอ็ม ที อิเล็กโทรนิคส์ จำกัด</t>
  </si>
  <si>
    <t xml:space="preserve">17/60-61 ซ.หมู่บ้านบ่อฝ้าย ถ.เพรชเกษม ต.หัวหิน  </t>
  </si>
  <si>
    <t xml:space="preserve">ถ.เพรชเกษม</t>
  </si>
  <si>
    <t xml:space="preserve">032-547155</t>
  </si>
  <si>
    <t xml:space="preserve">0845557001223 </t>
  </si>
  <si>
    <t xml:space="preserve">ศูนย์บริการซ่อมและจำหน่ายขายอะไหล่เครื่องใช้ไฟฟ้า ภายในบ้านทุกชนิด</t>
  </si>
  <si>
    <t xml:space="preserve">AP-SNA000</t>
  </si>
  <si>
    <t xml:space="preserve">นาย สุทธิชัย  เกียรติบุตร</t>
  </si>
  <si>
    <t xml:space="preserve">3 ซอย 16 ถนนอมรเดช ตำบลปากน้ำ </t>
  </si>
  <si>
    <t xml:space="preserve">3119900081882 </t>
  </si>
  <si>
    <t xml:space="preserve">AP-SNJ001</t>
  </si>
  <si>
    <t xml:space="preserve">หจก. ส.นำเจริญสุข</t>
  </si>
  <si>
    <t xml:space="preserve">589 สุขุมวิท ต.บางปูใหม่</t>
  </si>
  <si>
    <t xml:space="preserve">083-2939626,092-6229999</t>
  </si>
  <si>
    <t xml:space="preserve">0113556003936 </t>
  </si>
  <si>
    <t xml:space="preserve">ผลิตภาชนะบรรจุที่ทำจากไม้</t>
  </si>
  <si>
    <t xml:space="preserve">คุณปูเป้ </t>
  </si>
  <si>
    <t xml:space="preserve">063-2209997</t>
  </si>
  <si>
    <t xml:space="preserve">AP-SNK000</t>
  </si>
  <si>
    <t xml:space="preserve">หจก. ศรีนครการพิมพ์</t>
  </si>
  <si>
    <t xml:space="preserve">888/52 ถนนพุทธรักษา  ตำบลแพรกษา </t>
  </si>
  <si>
    <t xml:space="preserve">02-7010727</t>
  </si>
  <si>
    <t xml:space="preserve">srinakornkarnpim@yahoo.co.th</t>
  </si>
  <si>
    <t xml:space="preserve">0113539005195 </t>
  </si>
  <si>
    <t xml:space="preserve">ประกอบกิจการโรงพิมพ์</t>
  </si>
  <si>
    <t xml:space="preserve">063-4165326</t>
  </si>
  <si>
    <t xml:space="preserve">AP-SNT000</t>
  </si>
  <si>
    <t xml:space="preserve">บจ. ซีเนเตอร์ อินเตอร์เนชั่นแนล โลจิสติกส์</t>
  </si>
  <si>
    <t xml:space="preserve">32 อาคารเพิ่มภูมิ์ ชั้น2  ซอยสุขุมวิท87 ถ.สุขุมวิท แขวงบางจาก</t>
  </si>
  <si>
    <t xml:space="preserve"> เขตพระโขนง </t>
  </si>
  <si>
    <t xml:space="preserve">02-311-4408</t>
  </si>
  <si>
    <t xml:space="preserve">0105550122714 </t>
  </si>
  <si>
    <t xml:space="preserve">ให้บริการจัดการขนส่ง</t>
  </si>
  <si>
    <t xml:space="preserve">คุณนุ้ย บัญชี</t>
  </si>
  <si>
    <t xml:space="preserve">ร้าน สุนันทา ค้าไม้</t>
  </si>
  <si>
    <t xml:space="preserve">คลองนครเนื่องเขต ต.หนามแดง</t>
  </si>
  <si>
    <t xml:space="preserve"> อ.เมืองฉะเชิงเทรา</t>
  </si>
  <si>
    <t xml:space="preserve"> จ.ฉะเชิงเทรา  </t>
  </si>
  <si>
    <t xml:space="preserve">081-9004548</t>
  </si>
  <si>
    <t xml:space="preserve">K.จุ๋ม</t>
  </si>
  <si>
    <t xml:space="preserve">AP-SON000</t>
  </si>
  <si>
    <t xml:space="preserve">นาย สมชาย ภูมี</t>
  </si>
  <si>
    <t xml:space="preserve">178/4 หมู่ที่15 ต.กลางดง</t>
  </si>
  <si>
    <t xml:space="preserve"> อ.ปากช่อง</t>
  </si>
  <si>
    <t xml:space="preserve">จ.นครราชสีมา</t>
  </si>
  <si>
    <t xml:space="preserve">AP-SOR000</t>
  </si>
  <si>
    <t xml:space="preserve">นาย สรพงษ์ เดชบุรัมย์</t>
  </si>
  <si>
    <t xml:space="preserve">11 หมู่ที่ 7 ต.หนองปลิง</t>
  </si>
  <si>
    <t xml:space="preserve"> อ.หนองแค</t>
  </si>
  <si>
    <t xml:space="preserve"> จ.สระบุรี</t>
  </si>
  <si>
    <t xml:space="preserve">3190300620504 </t>
  </si>
  <si>
    <t xml:space="preserve">AP-SPC000</t>
  </si>
  <si>
    <t xml:space="preserve">บริษัท ศักย์พิรุณณ์ เคมีคอล จำกัด</t>
  </si>
  <si>
    <t xml:space="preserve">5 ซอยสุขาภิบาล 2 ซ.24 แขวงดอกไม้ </t>
  </si>
  <si>
    <t xml:space="preserve">02-7264526</t>
  </si>
  <si>
    <t xml:space="preserve">sales@sakpiroon.com</t>
  </si>
  <si>
    <t xml:space="preserve">0105554079040 </t>
  </si>
  <si>
    <t xml:space="preserve">ซื้อขายน้ำมัน ที่ใช้ในอุตสาหกรรมต่างๆ</t>
  </si>
  <si>
    <t xml:space="preserve">คุณปุ้ม</t>
  </si>
  <si>
    <t xml:space="preserve">099-5600973</t>
  </si>
  <si>
    <t xml:space="preserve">AP-SPD000</t>
  </si>
  <si>
    <t xml:space="preserve">บริษัท สปีดเวย์ โรลเลอร์แอนด์คอนเวเยอร์ จำกัด</t>
  </si>
  <si>
    <t xml:space="preserve">26/203 หมู่ที่ 1 ถ.บางขุนเทียน-ชายทะเล แขวงแสมดำ</t>
  </si>
  <si>
    <t xml:space="preserve">02-8921846</t>
  </si>
  <si>
    <t xml:space="preserve">speedway@speedwayroller.com</t>
  </si>
  <si>
    <t xml:space="preserve">0105543000382</t>
  </si>
  <si>
    <t xml:space="preserve">ผลิตและจำหน่ายลูกกลิ้ง ลูกล้อ</t>
  </si>
  <si>
    <t xml:space="preserve">คุณเจี๊ยบ</t>
  </si>
  <si>
    <t xml:space="preserve">AP-SPI000</t>
  </si>
  <si>
    <t xml:space="preserve">บริษัท สุพรีม พลาสติก อินดัสตรี้ จำกัด</t>
  </si>
  <si>
    <t xml:space="preserve">209/147 ม.3 ตำบลบึง</t>
  </si>
  <si>
    <t xml:space="preserve"> อำเภอศรีราชา </t>
  </si>
  <si>
    <t xml:space="preserve">02-7582808</t>
  </si>
  <si>
    <t xml:space="preserve">info@spi-groups.com</t>
  </si>
  <si>
    <t xml:space="preserve">0115538005363 </t>
  </si>
  <si>
    <t xml:space="preserve">ผลิตและขายส่งผลิตภัณฑ์พลาสติก</t>
  </si>
  <si>
    <t xml:space="preserve">คุณสุรชัย,คุณเล็ก</t>
  </si>
  <si>
    <t xml:space="preserve">AP-SPJ000</t>
  </si>
  <si>
    <t xml:space="preserve">บริษัท เอส.พี.เจ.อิเล็คทริค แอนด์ซัพพลาย จำกัด</t>
  </si>
  <si>
    <t xml:space="preserve">99/43  หมู่ที่ 4 ต.แพรกษา</t>
  </si>
  <si>
    <t xml:space="preserve">02-1034639,081-8351581</t>
  </si>
  <si>
    <t xml:space="preserve">0115560022186 </t>
  </si>
  <si>
    <t xml:space="preserve">บริการออกแบบ ติดตั้ง,ซ่อมแซมระบบไฟฟ้า บำรุงรักษาและซื้อขายอุปกรณ์ระบบไฟฟ้า</t>
  </si>
  <si>
    <t xml:space="preserve">AP-SPK000</t>
  </si>
  <si>
    <t xml:space="preserve">บริษัท สุพรีม เคมิคอล จำกัด</t>
  </si>
  <si>
    <t xml:space="preserve">2/16 หมู่ 5 ต.แพรกษา</t>
  </si>
  <si>
    <t xml:space="preserve"> อ.เมืองสมุทรปราการ </t>
  </si>
  <si>
    <t xml:space="preserve">0115561015795 </t>
  </si>
  <si>
    <t xml:space="preserve">คมีภัณฑ์ทางอุตสาหกรรม</t>
  </si>
  <si>
    <t xml:space="preserve">คุณแป้ง</t>
  </si>
  <si>
    <t xml:space="preserve">086-3345087</t>
  </si>
  <si>
    <t xml:space="preserve">AP-SRA000</t>
  </si>
  <si>
    <t xml:space="preserve">หจก. ซุน ลี้ อี้ (สำนักงานใหญ่)</t>
  </si>
  <si>
    <t xml:space="preserve">98/16 หมู่ 22 ซ.ที่ดินไทย ถ.เทพารักษ์  ต.บางพลีใหญ่  </t>
  </si>
  <si>
    <t xml:space="preserve">0113558003500 </t>
  </si>
  <si>
    <t xml:space="preserve">การติดตั้งเครื่องจักรอุตสาหกรรมและอุปกรณ์</t>
  </si>
  <si>
    <t xml:space="preserve">คุณหยาง ฟู่ ซิว</t>
  </si>
  <si>
    <t xml:space="preserve">086-7798819</t>
  </si>
  <si>
    <t xml:space="preserve">AP-SRB000</t>
  </si>
  <si>
    <t xml:space="preserve">บริษัท ซัน โรโบติกส์ แอนด์ เอไอ จำกัด</t>
  </si>
  <si>
    <t xml:space="preserve">72/16-18ชั้นที่3 4ซ.พระรามที่2ซ62 แขวงแสมดำ</t>
  </si>
  <si>
    <t xml:space="preserve">02-8958578</t>
  </si>
  <si>
    <t xml:space="preserve">sale@sunrobotics.co.th</t>
  </si>
  <si>
    <t xml:space="preserve">0105550092475 </t>
  </si>
  <si>
    <t xml:space="preserve">ขายส่งเครื่องใช้ไฟฟ้า และมอเตอร์ไฟฟ้า</t>
  </si>
  <si>
    <t xml:space="preserve">AP-SRP000</t>
  </si>
  <si>
    <t xml:space="preserve">11 หมู่ที่ 7 ต.หนองปรือ</t>
  </si>
  <si>
    <t xml:space="preserve">อ.หนองแค</t>
  </si>
  <si>
    <t xml:space="preserve">จ.สระบุรี </t>
  </si>
  <si>
    <t xml:space="preserve">ช่าง</t>
  </si>
  <si>
    <t xml:space="preserve">AP-SSG000</t>
  </si>
  <si>
    <t xml:space="preserve">บริษัท ส.แสงกรุ๊ป จำกัด</t>
  </si>
  <si>
    <t xml:space="preserve">56/4 หมู่ 9 ซ.ไทยร่มเกล้า ถ.กาญจนาภิเษก ต.บางม่วง</t>
  </si>
  <si>
    <t xml:space="preserve"> อ.บางใหญ่</t>
  </si>
  <si>
    <t xml:space="preserve">02-9965588</t>
  </si>
  <si>
    <t xml:space="preserve">0105552095498 </t>
  </si>
  <si>
    <t xml:space="preserve">อุปกรณ์เครื่องใช้ไฟฟ้าต่างๆ</t>
  </si>
  <si>
    <t xml:space="preserve">099-287-7320</t>
  </si>
  <si>
    <t xml:space="preserve">AP-SSL000</t>
  </si>
  <si>
    <t xml:space="preserve">บริษัท สยาม สไตแลม จำกัด</t>
  </si>
  <si>
    <t xml:space="preserve">18/11 ซอยราชพฤกษ์ 8 แขวงบางเชือกหนัง</t>
  </si>
  <si>
    <t xml:space="preserve">063-4743999</t>
  </si>
  <si>
    <t xml:space="preserve">siamstylam@gmail.com</t>
  </si>
  <si>
    <t xml:space="preserve">0105559131937 </t>
  </si>
  <si>
    <t xml:space="preserve">จำหน่ายเฟอร์นิเจอร์ชนิดใช้ในครัวเรือน</t>
  </si>
  <si>
    <t xml:space="preserve">คุณเจน</t>
  </si>
  <si>
    <t xml:space="preserve">บริษัท เอส.เอส.อุตสาหกรรมบรรจุภัณฑ์ จำกัด</t>
  </si>
  <si>
    <t xml:space="preserve">433 หมู่ 15 ถ.เทพารักษ์ ต.บางเสาธง</t>
  </si>
  <si>
    <t xml:space="preserve">02-7064942</t>
  </si>
  <si>
    <t xml:space="preserve">sspackaging@gmail.com</t>
  </si>
  <si>
    <t xml:space="preserve">0115540004832 </t>
  </si>
  <si>
    <t xml:space="preserve">ผลิตและจำหน่ายกล่องกระดาษ</t>
  </si>
  <si>
    <t xml:space="preserve">หจก. ทรัพย์ศรีวงษ์ การช่าง</t>
  </si>
  <si>
    <t xml:space="preserve">6 ซ.สะแกงาม 14 แยก 5 แขวงแสมดำ</t>
  </si>
  <si>
    <t xml:space="preserve">02-89479551  คุณจิน</t>
  </si>
  <si>
    <t xml:space="preserve">0103547016885 </t>
  </si>
  <si>
    <t xml:space="preserve">ผลิตและปั๊มโลหะทุกชนิด</t>
  </si>
  <si>
    <t xml:space="preserve">AP-STI000</t>
  </si>
  <si>
    <t xml:space="preserve">อ.เมืองสมุทรปราการ </t>
  </si>
  <si>
    <t xml:space="preserve">AP-STN000</t>
  </si>
  <si>
    <t xml:space="preserve">บริษัท สิทธิธนา จำกัด</t>
  </si>
  <si>
    <t xml:space="preserve">254 ถ.เลียบคลงภาษีเจริญเหนือ แขวงหนองแขม </t>
  </si>
  <si>
    <t xml:space="preserve"> เขตหนองแขม</t>
  </si>
  <si>
    <t xml:space="preserve">02-8076511</t>
  </si>
  <si>
    <t xml:space="preserve">0105546087292 </t>
  </si>
  <si>
    <t xml:space="preserve">ผลิตและส่งออกเฟอร์นิเจอร์รวมทั้งอะไหล่และอุปกรณ์ของผลิตภัณฑ์เฟอร์นิเจอร์</t>
  </si>
  <si>
    <t xml:space="preserve">AP-STN001</t>
  </si>
  <si>
    <t xml:space="preserve"> สุณธนี คูอุทัย</t>
  </si>
  <si>
    <t xml:space="preserve">1775/432 ซ.พหลโยธิน34 แขวงเสนานิคม</t>
  </si>
  <si>
    <t xml:space="preserve">3120100638787 </t>
  </si>
  <si>
    <t xml:space="preserve">บริษัท ศุฐิศา จำกัด</t>
  </si>
  <si>
    <t xml:space="preserve">19/10-111 หมู่ที่7 ต.คลองสาม</t>
  </si>
  <si>
    <t xml:space="preserve"> อ.คลองหลวง</t>
  </si>
  <si>
    <t xml:space="preserve">จ.ปทุมธานี  </t>
  </si>
  <si>
    <t xml:space="preserve">0617192641</t>
  </si>
  <si>
    <t xml:space="preserve">info@suthisa.com</t>
  </si>
  <si>
    <t xml:space="preserve">0135554011607 </t>
  </si>
  <si>
    <t xml:space="preserve">จำหน่าย ให้เช่า บริการติดตั้ง ซ่อมแซม อุปกรณ์ไฟฟ้า ระบบอินเตอร์เน็ตและอุปกรณ์สื่อสารทุกประเภท</t>
  </si>
  <si>
    <t xml:space="preserve">คุณ มิ้น</t>
  </si>
  <si>
    <t xml:space="preserve">AP-STT000</t>
  </si>
  <si>
    <t xml:space="preserve">AP-SUC000</t>
  </si>
  <si>
    <t xml:space="preserve">นาย สุชาติ หาลูกจันทร์</t>
  </si>
  <si>
    <t xml:space="preserve">203 หมู่ 1 ต.หนองโดน </t>
  </si>
  <si>
    <t xml:space="preserve">อ.หนองโดน </t>
  </si>
  <si>
    <t xml:space="preserve">จ.สระบุรี</t>
  </si>
  <si>
    <t xml:space="preserve">3190100151071 </t>
  </si>
  <si>
    <t xml:space="preserve">AP-SUT000</t>
  </si>
  <si>
    <t xml:space="preserve">นาย สุเทพ  แสงเมือง</t>
  </si>
  <si>
    <t xml:space="preserve">36 ม.6 ต.บางโฉลง</t>
  </si>
  <si>
    <t xml:space="preserve">095-1869586</t>
  </si>
  <si>
    <t xml:space="preserve">2104200000623 </t>
  </si>
  <si>
    <t xml:space="preserve">AP-SUW000</t>
  </si>
  <si>
    <t xml:space="preserve">นาย สุวิชัย เมืองจันทร์</t>
  </si>
  <si>
    <t xml:space="preserve">58 ม.2 ต.ป่าไร่</t>
  </si>
  <si>
    <t xml:space="preserve"> อ.ดอยตาล</t>
  </si>
  <si>
    <t xml:space="preserve"> จ.มุกดาหาร</t>
  </si>
  <si>
    <t xml:space="preserve">5490300005757 </t>
  </si>
  <si>
    <t xml:space="preserve">AP-TA000</t>
  </si>
  <si>
    <t xml:space="preserve">นางสาว ทิพย์ธยารัตน์ อุทัยวัตร</t>
  </si>
  <si>
    <t xml:space="preserve">13/6 หมู่ 19 ต.บางพลีใหญ่</t>
  </si>
  <si>
    <t xml:space="preserve">AP-TAI000</t>
  </si>
  <si>
    <t xml:space="preserve">บริษัท เมืองไทยประกันภัย จำกัด (มหาชน)</t>
  </si>
  <si>
    <t xml:space="preserve">252 ถนนรัชดาภิเษก แขวงห้วยขวาง</t>
  </si>
  <si>
    <t xml:space="preserve">02-1198888</t>
  </si>
  <si>
    <t xml:space="preserve">info@muangthaiinsurance.com</t>
  </si>
  <si>
    <t xml:space="preserve">0107551000151 </t>
  </si>
  <si>
    <t xml:space="preserve">รับประกันภัย,ค้างจ่ายและบำเหน็จลงทุน</t>
  </si>
  <si>
    <t xml:space="preserve">บริษัท ต้าโจว อินดัสทรี จำกัด</t>
  </si>
  <si>
    <t xml:space="preserve">999/7 หมู่ 9 ต.ในคลองบางปลากด </t>
  </si>
  <si>
    <t xml:space="preserve">02-8161128</t>
  </si>
  <si>
    <t xml:space="preserve">sales@tachou.com</t>
  </si>
  <si>
    <t xml:space="preserve">0115541003571 </t>
  </si>
  <si>
    <t xml:space="preserve">ผลิต,ส่งออก,ขายส่ง,รับจ้างทำตะปู,ลวดตะปู,โลหะประดิษฐ์อื่นๆ</t>
  </si>
  <si>
    <t xml:space="preserve">คุณวิ</t>
  </si>
  <si>
    <t xml:space="preserve">091-1205343</t>
  </si>
  <si>
    <t xml:space="preserve">บริษัท ทีเอเคโพรดัคส์ แอนด์ เซอร์วิสเซส จำกัด</t>
  </si>
  <si>
    <t xml:space="preserve">1011 ถ.พระราม 3  แขวงช่องนนทรี </t>
  </si>
  <si>
    <t xml:space="preserve">เขตยานนาวา </t>
  </si>
  <si>
    <t xml:space="preserve">02-6838003 </t>
  </si>
  <si>
    <t xml:space="preserve">sales@takproducts.co.th</t>
  </si>
  <si>
    <t xml:space="preserve">0735550000923 </t>
  </si>
  <si>
    <t xml:space="preserve">นำเข้าและจัดจำหน่ายแผ่นวัสดุเคลือบมันอัดแน่นด้วยความดันสูง</t>
  </si>
  <si>
    <t xml:space="preserve">บริษัท เตก้า (ประเทศไทย) จำกัด</t>
  </si>
  <si>
    <t xml:space="preserve">364/8 ถนนศรีอยุธยา แขวงถนนพญาไท</t>
  </si>
  <si>
    <t xml:space="preserve"> เขตราชเทวี</t>
  </si>
  <si>
    <t xml:space="preserve">02-6424888</t>
  </si>
  <si>
    <t xml:space="preserve">service@teka.co.th</t>
  </si>
  <si>
    <t xml:space="preserve">0105538064050 </t>
  </si>
  <si>
    <t xml:space="preserve">นำเข้าและจำหน่ายเครื่องใช้ไฟฟ้า อุปกรณ์ในครัว</t>
  </si>
  <si>
    <t xml:space="preserve">AP-TBK000</t>
  </si>
  <si>
    <t xml:space="preserve">บริษัท ธนชาตประกันภัย จำกัด (มหาชน )</t>
  </si>
  <si>
    <t xml:space="preserve">999/1เดอะไนน์ทาวเวอร์ ถนนพระราม9 แขวงพัฒนาการ</t>
  </si>
  <si>
    <t xml:space="preserve">02-7830200,02-7830300</t>
  </si>
  <si>
    <t xml:space="preserve">mail.insure@thanachart.co.th</t>
  </si>
  <si>
    <t xml:space="preserve">0107555000473 </t>
  </si>
  <si>
    <t xml:space="preserve">การประกันวินาศภัย</t>
  </si>
  <si>
    <t xml:space="preserve">AP-TCC000</t>
  </si>
  <si>
    <t xml:space="preserve">บริษัท TCC AGENCY LTD.</t>
  </si>
  <si>
    <t xml:space="preserve">1168/1 ลุมพินี ทาวเวอร์ ชั้น 3 ถ.พระราม4 แขวงทุ่งมหาเมฆ </t>
  </si>
  <si>
    <t xml:space="preserve">02-0267119</t>
  </si>
  <si>
    <t xml:space="preserve">0105555141393</t>
  </si>
  <si>
    <t xml:space="preserve">การขนส่งสินค้าทางทะเลและตามแนวชายฝั่งทะเล</t>
  </si>
  <si>
    <t xml:space="preserve">AP-TCC001</t>
  </si>
  <si>
    <t xml:space="preserve">ร้าน ไม้ ตู่ฉำฉา คลองเตย</t>
  </si>
  <si>
    <t xml:space="preserve">6/29 ถ.อาจณรงค์ แขวงคลองเตย</t>
  </si>
  <si>
    <t xml:space="preserve">063-3005526</t>
  </si>
  <si>
    <t xml:space="preserve">Toochamcha@gmail.com</t>
  </si>
  <si>
    <t xml:space="preserve">คุณเพ็ญ</t>
  </si>
  <si>
    <t xml:space="preserve">AP-TCG000</t>
  </si>
  <si>
    <t xml:space="preserve">บริษัท ตั้งเชี่ยนกวงอลูมิเนียม จำกัด</t>
  </si>
  <si>
    <t xml:space="preserve">384-386 หมู่3 ถนนเทพารักษ์ กม.10  ต.บางพลีใหญ่  </t>
  </si>
  <si>
    <t xml:space="preserve">02-7597682</t>
  </si>
  <si>
    <t xml:space="preserve">0115542003710 </t>
  </si>
  <si>
    <t xml:space="preserve">จำหน่ายและติดตั้งอลูมิเนียมและกระจก</t>
  </si>
  <si>
    <t xml:space="preserve">AP-TCG001</t>
  </si>
  <si>
    <t xml:space="preserve">384-386 หมู่ 3 ถนน เทพารักษ์ กม.10 ต.บางพลีใหญ่</t>
  </si>
  <si>
    <t xml:space="preserve">บริษัท ไท่ ชาง อินเตอร์เนชั่นแนล คอมเมอร์เชียล เทรด จำกัด</t>
  </si>
  <si>
    <t xml:space="preserve">88/117 หมู่ที่12  ต.บางปลา</t>
  </si>
  <si>
    <t xml:space="preserve">02-1032481,082-6705688</t>
  </si>
  <si>
    <t xml:space="preserve">0105561201378 </t>
  </si>
  <si>
    <t xml:space="preserve">การผลิตเฟอร์นิเจอร์ไม้</t>
  </si>
  <si>
    <t xml:space="preserve">คุณแซม บข.คุณเหม่ย</t>
  </si>
  <si>
    <t xml:space="preserve">AP-TCI000</t>
  </si>
  <si>
    <t xml:space="preserve">บริษัท สยามบรรจุภัณฑ์อุตสาหกรรม จำกัด</t>
  </si>
  <si>
    <t xml:space="preserve">620 หมู่ 4 นิคมอุตสาหกรรมบางปู ถ. พฒนา1ซอย 7 เอ ต. แพรกษา </t>
  </si>
  <si>
    <t xml:space="preserve">02-7093040#360</t>
  </si>
  <si>
    <t xml:space="preserve">tcginfo@scg.com</t>
  </si>
  <si>
    <t xml:space="preserve">0105531037171</t>
  </si>
  <si>
    <t xml:space="preserve">ผลิตกระดาษลูกฟูกและกล่องกระดาษลูกฟูก</t>
  </si>
  <si>
    <t xml:space="preserve">คุณธัชวิชช์</t>
  </si>
  <si>
    <t xml:space="preserve">AP-TCM000</t>
  </si>
  <si>
    <t xml:space="preserve">บริษัท ไทยช้าง แมชีนเนอรี่ จำกัด</t>
  </si>
  <si>
    <t xml:space="preserve">65/553-554 หมู่ 6 ถนนเอกชัย แขวงคลองบางบอน</t>
  </si>
  <si>
    <t xml:space="preserve">02-8944641</t>
  </si>
  <si>
    <t xml:space="preserve">0125543000609</t>
  </si>
  <si>
    <t xml:space="preserve">นำเข้าอะไหล่เครื่องกล ขายปลีกเครื่องมือเครื่องใช้</t>
  </si>
  <si>
    <t xml:space="preserve">คุณ ปุ๋ม</t>
  </si>
  <si>
    <t xml:space="preserve">AP-TEKA00</t>
  </si>
  <si>
    <t xml:space="preserve">364/8 ถ.ศรีอยุธยา  แขวงถนนพญาไท</t>
  </si>
  <si>
    <t xml:space="preserve"> เขตราชเทวี </t>
  </si>
  <si>
    <t xml:space="preserve">02-64244888</t>
  </si>
  <si>
    <t xml:space="preserve">083-0950-129</t>
  </si>
  <si>
    <t xml:space="preserve">AP-TET000</t>
  </si>
  <si>
    <t xml:space="preserve">บริษัท ทาเคโกะ เอ็นจิเนียริ่ง (ประเทษไทย) จำกัด</t>
  </si>
  <si>
    <t xml:space="preserve">48/145-146 ม.1 ต.คอกกระบือ</t>
  </si>
  <si>
    <t xml:space="preserve">034-495106-8,0816143821</t>
  </si>
  <si>
    <t xml:space="preserve">Info@takeco.com</t>
  </si>
  <si>
    <t xml:space="preserve">0105537091053 </t>
  </si>
  <si>
    <t xml:space="preserve">จำหน่ายอุปกรณ์เครื่องมือ เครื่องจักรและอุปกรณ์ รวมทั้งอิเล็คทรอนิคส์</t>
  </si>
  <si>
    <t xml:space="preserve">คุณประเสริฐ</t>
  </si>
  <si>
    <t xml:space="preserve">AP-TFA000</t>
  </si>
  <si>
    <t xml:space="preserve">บริษัท ตงฟาง บรรจุภัณฑ์ จำกัด</t>
  </si>
  <si>
    <t xml:space="preserve">79/14 หมู่ 19 ถ. เทพารักษ์  ต.บางพลีใหญ่  </t>
  </si>
  <si>
    <t xml:space="preserve">02-3123024</t>
  </si>
  <si>
    <t xml:space="preserve">0105538015792</t>
  </si>
  <si>
    <t xml:space="preserve">ผลิตกล่องกระดาษ</t>
  </si>
  <si>
    <t xml:space="preserve">คุณน้ำ</t>
  </si>
  <si>
    <t xml:space="preserve">บริษัท ไทฟง อินเตอร์เนชั่นแนล จำกัด</t>
  </si>
  <si>
    <t xml:space="preserve">94/139 ม.3 เทพารักษ์  ต.บางพลีใหญ่  </t>
  </si>
  <si>
    <t xml:space="preserve">0-2759-7601-4</t>
  </si>
  <si>
    <t xml:space="preserve">0105533057110 </t>
  </si>
  <si>
    <t xml:space="preserve">AP-TFT000</t>
  </si>
  <si>
    <t xml:space="preserve"> สภาอุตสาหกรรมแห่งประเทศไทย</t>
  </si>
  <si>
    <t xml:space="preserve">ชั้น7อาคารปฎิบัติการเทคโนโลยีเชิงสร้างสรรค์เลขที่2 ถนนนางลิ้นจี้ แขวงทุ่งมหาเมฆ </t>
  </si>
  <si>
    <t xml:space="preserve">02-2451200</t>
  </si>
  <si>
    <t xml:space="preserve">information@fti.or.th</t>
  </si>
  <si>
    <t xml:space="preserve">0993000132254 </t>
  </si>
  <si>
    <t xml:space="preserve">สมาชิก</t>
  </si>
  <si>
    <t xml:space="preserve">AP-TGS000</t>
  </si>
  <si>
    <t xml:space="preserve">บริษัท ไทเกอร์ ซอฟท์ (1998)</t>
  </si>
  <si>
    <t xml:space="preserve">7 อาคารวิชั่นบิสเนสปาร์ค ตึก 4 ชั้น 6,7  ซ.รามอินทรา55/8 ถ.รามอินทรา แขวงท่าแร้ง</t>
  </si>
  <si>
    <t xml:space="preserve">เขตบางเขน</t>
  </si>
  <si>
    <t xml:space="preserve">02-3470373</t>
  </si>
  <si>
    <t xml:space="preserve">sales@tigersoft.co.th</t>
  </si>
  <si>
    <t xml:space="preserve">0105541047039 </t>
  </si>
  <si>
    <t xml:space="preserve">โปรแกรมเงินเดือน</t>
  </si>
  <si>
    <t xml:space="preserve">AP-THA000</t>
  </si>
  <si>
    <t xml:space="preserve">บริษัท ไทยเฟิร์ส พรีซิชั่น อินดัสตรี จำกัด</t>
  </si>
  <si>
    <t xml:space="preserve">852 ม.4 ซ.12 ถ.สุขุมวิท ต.แพรกษา </t>
  </si>
  <si>
    <t xml:space="preserve">02-710-6500-4</t>
  </si>
  <si>
    <t xml:space="preserve">newbusiness@thaifirst.co.th</t>
  </si>
  <si>
    <t xml:space="preserve">0105533136869 </t>
  </si>
  <si>
    <t xml:space="preserve">AP-THM000</t>
  </si>
  <si>
    <t xml:space="preserve">บจ. ไทยไฮดรอลิคเครื่องกล (1987)</t>
  </si>
  <si>
    <t xml:space="preserve">9/6 ม.4 ถ.เทพารักษ์กม.11  ต.บางพลีใหญ่  </t>
  </si>
  <si>
    <t xml:space="preserve">02-3855728</t>
  </si>
  <si>
    <t xml:space="preserve">thmco@thai-hydraulic.com</t>
  </si>
  <si>
    <t xml:space="preserve">0105530061710 </t>
  </si>
  <si>
    <t xml:space="preserve">ผลิตเครื่องไฮดรอลิค เครื่องไฟฟ้า</t>
  </si>
  <si>
    <t xml:space="preserve">AP-TIN000</t>
  </si>
  <si>
    <t xml:space="preserve">บริษัท ทิงค์เน็ต จำกัด</t>
  </si>
  <si>
    <t xml:space="preserve">323 อาคารยูไนเต็ดเซ็นเตอร์ชั้น 6 ห้อง 601  ถ.สีลม แขวงสีลม</t>
  </si>
  <si>
    <t xml:space="preserve">02-3539999</t>
  </si>
  <si>
    <t xml:space="preserve">0125543004205 </t>
  </si>
  <si>
    <t xml:space="preserve">บริการโฆษณาทางอินเตอร์เน็ต และอื่นๆที่เกี่ยวข้องทางอินเตอร์เน็ตขายสินค้า</t>
  </si>
  <si>
    <t xml:space="preserve">AP-TKM000</t>
  </si>
  <si>
    <t xml:space="preserve">บมจ. คุ้มภัยโตเกียวมารีนประกันภัย(ประเทศไทย)</t>
  </si>
  <si>
    <t xml:space="preserve">อาคารอรกานต์ ชั้น 1,2,4, และ6 เลขที่ 26/5-8, 26/10-11,26/16-11,26/17-19 ถ.ชิดลม  แขวงลุมพินี</t>
  </si>
  <si>
    <t xml:space="preserve">02-0257253</t>
  </si>
  <si>
    <t xml:space="preserve">corporate_support@rabbit.co.th</t>
  </si>
  <si>
    <t xml:space="preserve">0107563000011 </t>
  </si>
  <si>
    <t xml:space="preserve">AP-TKP000</t>
  </si>
  <si>
    <t xml:space="preserve">บริษัท ไทยกิจ พริ้นติ้ง จำกัด</t>
  </si>
  <si>
    <t xml:space="preserve">52 ซอยเอกชัย 83 แยก1-1แขวงคลองบางบอน</t>
  </si>
  <si>
    <t xml:space="preserve">02-8995922</t>
  </si>
  <si>
    <t xml:space="preserve">thaikijpress@yahoo.com</t>
  </si>
  <si>
    <t xml:space="preserve">0105553042975 </t>
  </si>
  <si>
    <t xml:space="preserve">กิจการโรงพิมพ์ แบบพิมพ์</t>
  </si>
  <si>
    <t xml:space="preserve">AP-TKTN00</t>
  </si>
  <si>
    <t xml:space="preserve">บริษัท ที.เค.ธนกฤต ซัพพลาย จำกัด</t>
  </si>
  <si>
    <t xml:space="preserve">61/20 หมู่ที่9 ถ.เทพารักษ์  ต.บางพลีใหญ่  </t>
  </si>
  <si>
    <t xml:space="preserve">02-3122662-3</t>
  </si>
  <si>
    <t xml:space="preserve">0115555012119 </t>
  </si>
  <si>
    <t xml:space="preserve">บริษัท ไทย เมก้าแคบ จำกัด</t>
  </si>
  <si>
    <t xml:space="preserve">102/1 หมู่ที่ 2 ตำบลบางเสาธง</t>
  </si>
  <si>
    <t xml:space="preserve">082-1307572</t>
  </si>
  <si>
    <t xml:space="preserve">support@thaimegacab.com</t>
  </si>
  <si>
    <t xml:space="preserve">0115562017147 </t>
  </si>
  <si>
    <t xml:space="preserve">คุณอ๋อมแอ๋ม</t>
  </si>
  <si>
    <t xml:space="preserve">AP-TNC000</t>
  </si>
  <si>
    <t xml:space="preserve"> ธนโชติ</t>
  </si>
  <si>
    <t xml:space="preserve">943/6 หมู่6 ถ.เทพารักษ์ ต.เทพารักษ์</t>
  </si>
  <si>
    <t xml:space="preserve">0814802658</t>
  </si>
  <si>
    <t xml:space="preserve">3409700203256 </t>
  </si>
  <si>
    <t xml:space="preserve">AP-TNG000</t>
  </si>
  <si>
    <t xml:space="preserve">บริษัท ห้างกระจกตังน้ำ จำกัด สาขาบางขุนเทียน</t>
  </si>
  <si>
    <t xml:space="preserve">2 ซอยบางขุนเทียน 14 แยก 1 แขวงแสมดำ</t>
  </si>
  <si>
    <t xml:space="preserve">02-4163415</t>
  </si>
  <si>
    <t xml:space="preserve">info@tangnamglass.com</t>
  </si>
  <si>
    <t xml:space="preserve">0105516001071 </t>
  </si>
  <si>
    <t xml:space="preserve">AP-TNG001</t>
  </si>
  <si>
    <t xml:space="preserve">บริษัท เทคนิการ์ กรุ๊ป จำกัด</t>
  </si>
  <si>
    <t xml:space="preserve">เลขที่ 39/648 ซอยสุขาภิบาล 5 ซอย 82 แขวงสามวาตะวันตก </t>
  </si>
  <si>
    <t xml:space="preserve">02-9745000</t>
  </si>
  <si>
    <t xml:space="preserve">0105551128597 </t>
  </si>
  <si>
    <t xml:space="preserve">AP-TNK000</t>
  </si>
  <si>
    <t xml:space="preserve">บริษัท ไทยนาโกย่า แมชชินเนอรรี่ จำกัด</t>
  </si>
  <si>
    <t xml:space="preserve">232 ซ.สาธุประดิษฐ์ 57 ถ.สาธุประดิษฐ์ แขวงบางโพงพาง</t>
  </si>
  <si>
    <t xml:space="preserve"> เขตยานนาวา</t>
  </si>
  <si>
    <t xml:space="preserve">02-6833014</t>
  </si>
  <si>
    <t xml:space="preserve">0105534121245 </t>
  </si>
  <si>
    <t xml:space="preserve">คุณบัญชัย โคสะพละกิจ </t>
  </si>
  <si>
    <t xml:space="preserve">081-8027145</t>
  </si>
  <si>
    <t xml:space="preserve">AP-TNV000</t>
  </si>
  <si>
    <t xml:space="preserve">บริษัท ธนาวุฒิ คอมโพสิท จำกัด</t>
  </si>
  <si>
    <t xml:space="preserve">88/99 หมู่ 5 ถนนลำลูกกา</t>
  </si>
  <si>
    <t xml:space="preserve">อำเภอลำลูกกา</t>
  </si>
  <si>
    <t xml:space="preserve">จ.ปทุมธานี</t>
  </si>
  <si>
    <t xml:space="preserve">02-9871841</t>
  </si>
  <si>
    <t xml:space="preserve">0105546113170</t>
  </si>
  <si>
    <t xml:space="preserve">การขายส่งเคมีภัณฑ์ทางอุตสาหกรรม</t>
  </si>
  <si>
    <t xml:space="preserve">คุณผุสดี</t>
  </si>
  <si>
    <t xml:space="preserve">AP-TNY000</t>
  </si>
  <si>
    <t xml:space="preserve">บริษัท ไทยนิยม อินเตอร์ โปรดักส์ จำกัด</t>
  </si>
  <si>
    <t xml:space="preserve">5/7 ม.2  ต.คลองเจ็ด</t>
  </si>
  <si>
    <t xml:space="preserve">02-5774939</t>
  </si>
  <si>
    <t xml:space="preserve">0135548005358</t>
  </si>
  <si>
    <t xml:space="preserve">ขายสินค้าเกี่ยวกับเหล็กและสแตนเลส</t>
  </si>
  <si>
    <t xml:space="preserve">AP-TOD000</t>
  </si>
  <si>
    <t xml:space="preserve">บริษัท ท้อดดี้ จำกัด</t>
  </si>
  <si>
    <t xml:space="preserve">41/12 หมู่ 19 ซ.แสงใหญ่ ถ. เทพารักษ์ ต.บางพลีใหญ่</t>
  </si>
  <si>
    <t xml:space="preserve">02-312-1010</t>
  </si>
  <si>
    <t xml:space="preserve">0105531088808 </t>
  </si>
  <si>
    <t xml:space="preserve">ผลิต นำเข้า-ส่งออกเครื่องสูบน้ำ ปั๊มน้ำ</t>
  </si>
  <si>
    <t xml:space="preserve">คุณใหญ่</t>
  </si>
  <si>
    <t xml:space="preserve">AP-TOK000</t>
  </si>
  <si>
    <t xml:space="preserve">บริษัท โตเกียวมารีนประกันภัย (ประเทศไทย)จำกัด (มหาชน)</t>
  </si>
  <si>
    <t xml:space="preserve">1 อาคารเอ็มไพร์ทาวเวอร์ชั้น 40 ถ.สาทรใต้ แขวงยานนาวา</t>
  </si>
  <si>
    <t xml:space="preserve">02-650-1400</t>
  </si>
  <si>
    <t xml:space="preserve">0107555000368 </t>
  </si>
  <si>
    <t xml:space="preserve">AP-TOP000</t>
  </si>
  <si>
    <t xml:space="preserve">บริษัท ท๊อปโปร อินเตอร์เนชั่นแนล จำกัด</t>
  </si>
  <si>
    <t xml:space="preserve">1469/6 ซ.พัฒนาการ 31/1 ถ.พัฒนาการ  แขวงพัฒนาการ</t>
  </si>
  <si>
    <t xml:space="preserve">02-3188506-7</t>
  </si>
  <si>
    <t xml:space="preserve">0105545058787 </t>
  </si>
  <si>
    <t xml:space="preserve">คุณวัชรวงษ์</t>
  </si>
  <si>
    <t xml:space="preserve">AP-TOT000</t>
  </si>
  <si>
    <t xml:space="preserve">บมจ. ทีโอที</t>
  </si>
  <si>
    <t xml:space="preserve">89/2 ถ.แจ้งวัฒนะ แขวงทุ่งสองห้อง </t>
  </si>
  <si>
    <t xml:space="preserve">เขตหลักสี่</t>
  </si>
  <si>
    <t xml:space="preserve">1100@tot.co.th</t>
  </si>
  <si>
    <t xml:space="preserve">0107545000161 </t>
  </si>
  <si>
    <t xml:space="preserve">AP-TPC000</t>
  </si>
  <si>
    <t xml:space="preserve">บริษัท ไทยไพศาลสลักภัณฑ์ จำกัด</t>
  </si>
  <si>
    <t xml:space="preserve">299-9 ถ.พระราม3 แขวงบางโคล่</t>
  </si>
  <si>
    <t xml:space="preserve">เขตบางคอแหลม</t>
  </si>
  <si>
    <t xml:space="preserve">02-289444</t>
  </si>
  <si>
    <t xml:space="preserve">0105532048184 </t>
  </si>
  <si>
    <t xml:space="preserve">ครื่องเหล็ก เครื่องทองแดง</t>
  </si>
  <si>
    <t xml:space="preserve">คุณชัชชัย </t>
  </si>
  <si>
    <t xml:space="preserve">087-4899499</t>
  </si>
  <si>
    <t xml:space="preserve">บริษัท ที.พี.เค ไทยเมท แมชชีนทูลล์ จำกัด</t>
  </si>
  <si>
    <t xml:space="preserve">71/4 5 หมู่20  ถ.เทพารักษ์  ต.บางพลีใหญ่  </t>
  </si>
  <si>
    <t xml:space="preserve">02-3121003</t>
  </si>
  <si>
    <t xml:space="preserve">0115545002757 </t>
  </si>
  <si>
    <t xml:space="preserve">AP-TPM000</t>
  </si>
  <si>
    <t xml:space="preserve">บริษัท ไทยโพลี่ ซีล แมททีเรียล อุตสาหกรรม จำกัด</t>
  </si>
  <si>
    <t xml:space="preserve">9/3 หมู่ 13 ถนนสุวินทวงศ์ ตำบลศาลาแดง</t>
  </si>
  <si>
    <t xml:space="preserve"> อำเภอบางน้ำเปรี้ยว</t>
  </si>
  <si>
    <t xml:space="preserve">038-845456-9</t>
  </si>
  <si>
    <t xml:space="preserve">คุณขวัญ</t>
  </si>
  <si>
    <t xml:space="preserve">AP-TPS000</t>
  </si>
  <si>
    <t xml:space="preserve">บริษัท ไทยพัฒนสิน ควอลิตี้ ทูลส์ จำกัด</t>
  </si>
  <si>
    <t xml:space="preserve">145/2 3 หมู่ 1 ต.บางขุนกอง </t>
  </si>
  <si>
    <t xml:space="preserve">อ.บางกวย </t>
  </si>
  <si>
    <t xml:space="preserve">02 432 6834</t>
  </si>
  <si>
    <t xml:space="preserve">info@tpqtools.com</t>
  </si>
  <si>
    <t xml:space="preserve">0125555001184 </t>
  </si>
  <si>
    <t xml:space="preserve">ขายเครื่องมือจักรกลและอะไหล่</t>
  </si>
  <si>
    <t xml:space="preserve">AP-TPT000</t>
  </si>
  <si>
    <t xml:space="preserve">บริษัท ธงประชาธิปไตย จำกัด</t>
  </si>
  <si>
    <t xml:space="preserve">เลขที่7 ถนนดินสอ แขวงบวรนิเวศ</t>
  </si>
  <si>
    <t xml:space="preserve"> เขตพระนคร</t>
  </si>
  <si>
    <t xml:space="preserve">02-6294083</t>
  </si>
  <si>
    <t xml:space="preserve">0105560117501 </t>
  </si>
  <si>
    <t xml:space="preserve">AP-TRC000</t>
  </si>
  <si>
    <t xml:space="preserve">บริษัท ที อาร์ ซี เอ็นเตอร์ไพรส์ จำกัด</t>
  </si>
  <si>
    <t xml:space="preserve">19/9 ชั้น3หมู่ 2 ต.บางแก้ว</t>
  </si>
  <si>
    <t xml:space="preserve">02-7537889</t>
  </si>
  <si>
    <t xml:space="preserve">0115543003691 </t>
  </si>
  <si>
    <t xml:space="preserve">จัดจำหน่ายอุปกรณ์แม่พิมพ์ทุกชนิดและอุปกรณ์เจียรนัย</t>
  </si>
  <si>
    <t xml:space="preserve">คุณรัชนี</t>
  </si>
  <si>
    <t xml:space="preserve">AP-TRF000</t>
  </si>
  <si>
    <t xml:space="preserve">บริษัท ไทยเหรียญฟอคลิฟท์ จำกัด</t>
  </si>
  <si>
    <t xml:space="preserve">279 ถ.ศรีนครินทร์ แขวงหนองบอน </t>
  </si>
  <si>
    <t xml:space="preserve">02-7473999</t>
  </si>
  <si>
    <t xml:space="preserve">0105536055363 </t>
  </si>
  <si>
    <t xml:space="preserve">ให้เช่า และจำหน่ายรถฟอร์คลิฟท์</t>
  </si>
  <si>
    <t xml:space="preserve">คุณชาณิศา</t>
  </si>
  <si>
    <t xml:space="preserve">082-2551889</t>
  </si>
  <si>
    <t xml:space="preserve">AP-TRF001</t>
  </si>
  <si>
    <t xml:space="preserve">บริษัท ไทยร็อคเฟอร์เทค จำกัด</t>
  </si>
  <si>
    <t xml:space="preserve">79/59 หมู่ 19 ซอยธนสิทธฺ์ ถนนเทพารักษ์  ต.บางพลีใหญ่  </t>
  </si>
  <si>
    <t xml:space="preserve">02-7525078</t>
  </si>
  <si>
    <t xml:space="preserve">0115539002376 </t>
  </si>
  <si>
    <t xml:space="preserve">ผลิต-ขายเฟอร์นิเจอร์และเครื่องเรือนให้เช่าทรัพย์สิน</t>
  </si>
  <si>
    <t xml:space="preserve">AP-TRR000</t>
  </si>
  <si>
    <t xml:space="preserve">บริษัท ไทยรุ่งเรือง อิมปอร์ท เอ๊กซ์ปอร์ท จำกัด</t>
  </si>
  <si>
    <t xml:space="preserve">79/171 2 หมู่ที่ 19  ต.บางพลีใหญ่  </t>
  </si>
  <si>
    <t xml:space="preserve">0115549004398 </t>
  </si>
  <si>
    <t xml:space="preserve">ส่งออกเม็ดพลาสติก พลาสติก และโลหะทุกชนิด ทั้งสภาพเก่าและใหม่</t>
  </si>
  <si>
    <t xml:space="preserve">AP-TRV000</t>
  </si>
  <si>
    <t xml:space="preserve">นาย ธีระวุฒิ นามอาษา</t>
  </si>
  <si>
    <t xml:space="preserve">99หมู่8 ต.บ้านแดง </t>
  </si>
  <si>
    <t xml:space="preserve">อ.พิบูลย์รักษ์ </t>
  </si>
  <si>
    <t xml:space="preserve">จ.อุดรธานี</t>
  </si>
  <si>
    <t xml:space="preserve">1412300002030 </t>
  </si>
  <si>
    <t xml:space="preserve">นายธีระวุฒิ นามอาษา</t>
  </si>
  <si>
    <t xml:space="preserve">AP-TRW000</t>
  </si>
  <si>
    <t xml:space="preserve">99 หมู่ 8 ต.บ้านแดง </t>
  </si>
  <si>
    <t xml:space="preserve">AP-TSC000</t>
  </si>
  <si>
    <t xml:space="preserve">บริษัท ไทยสากล เซอร์วิส เซนเตอร์ จำกัด</t>
  </si>
  <si>
    <t xml:space="preserve">75 ถ.กรุงเทพกรีฑา แขวงทับช้าง</t>
  </si>
  <si>
    <t xml:space="preserve">เขต สะพานสูง </t>
  </si>
  <si>
    <t xml:space="preserve">02 736 2491</t>
  </si>
  <si>
    <t xml:space="preserve">tks@thaisakolgroup.com </t>
  </si>
  <si>
    <t xml:space="preserve">0105551133990 </t>
  </si>
  <si>
    <t xml:space="preserve">AP-TSKC00</t>
  </si>
  <si>
    <t xml:space="preserve">หจก. ต.สกุลชัยค้าไม้</t>
  </si>
  <si>
    <t xml:space="preserve">214/2 ถนน.สายลวด ต.ปากน้ำ</t>
  </si>
  <si>
    <t xml:space="preserve">02-7039947</t>
  </si>
  <si>
    <t xml:space="preserve">0113550007808 </t>
  </si>
  <si>
    <t xml:space="preserve">087-527-7439</t>
  </si>
  <si>
    <t xml:space="preserve">AP-TSL000</t>
  </si>
  <si>
    <t xml:space="preserve">บริษัท ทีเอสแอล อินดัสตรีส์ จำกัด</t>
  </si>
  <si>
    <t xml:space="preserve">268 ม.21  ต.บางพลีใหญ่  </t>
  </si>
  <si>
    <t xml:space="preserve"> จ.สมุทรปราการ</t>
  </si>
  <si>
    <t xml:space="preserve">02-1734571</t>
  </si>
  <si>
    <t xml:space="preserve">0115544007496 </t>
  </si>
  <si>
    <t xml:space="preserve">ประกอบกิจการจำหน่ายมอเตอร์ ประตูม้วน</t>
  </si>
  <si>
    <t xml:space="preserve">AP-TSL001</t>
  </si>
  <si>
    <t xml:space="preserve"> T.S.LINES LTD.C/O TS CONTAINERLINES (THAILAND)</t>
  </si>
  <si>
    <t xml:space="preserve">193/87 88 Lake Rajada Office Complex,21stFL RachadapisekRd.</t>
  </si>
  <si>
    <t xml:space="preserve">, Klongtoey</t>
  </si>
  <si>
    <t xml:space="preserve">, Bangkok</t>
  </si>
  <si>
    <t xml:space="preserve">02-2047400</t>
  </si>
  <si>
    <t xml:space="preserve">AP-TSP000</t>
  </si>
  <si>
    <t xml:space="preserve">บริษัท ไทยสตาร์ โพลีฟิล์ม จำกัด</t>
  </si>
  <si>
    <t xml:space="preserve">79/197 หมู่19 ซอยธนสิทธิ์  ต.บางพลีใหญ่  </t>
  </si>
  <si>
    <t xml:space="preserve"> สมุทรปราการ</t>
  </si>
  <si>
    <t xml:space="preserve">02-1746509-10</t>
  </si>
  <si>
    <t xml:space="preserve">0115550007991 </t>
  </si>
  <si>
    <t xml:space="preserve">ผลิตและจำหน่ายสินค้าที่ทำจากพลาสติก</t>
  </si>
  <si>
    <t xml:space="preserve">คุณกุ้ง</t>
  </si>
  <si>
    <t xml:space="preserve">094-8564529</t>
  </si>
  <si>
    <t xml:space="preserve">บริษัท ไทยซัมมิท สโตน จำกัด</t>
  </si>
  <si>
    <t xml:space="preserve">888/8 หมู่ที่ 1 ต.หนองไผ่แก้ว</t>
  </si>
  <si>
    <t xml:space="preserve">อ.บ้านบึง </t>
  </si>
  <si>
    <t xml:space="preserve">จ.ชลบุรี </t>
  </si>
  <si>
    <t xml:space="preserve">080-7963405</t>
  </si>
  <si>
    <t xml:space="preserve">0115562026154 </t>
  </si>
  <si>
    <t xml:space="preserve">ารขายส่งอิฐหินปูนทรายและผลิตภัณฑ์คอนกรีต</t>
  </si>
  <si>
    <t xml:space="preserve">AP-TTY000</t>
  </si>
  <si>
    <t xml:space="preserve">บริษัท ไทย ที วาย เอ็นเตอร์ไพรส์ จำกัด</t>
  </si>
  <si>
    <t xml:space="preserve">9/15 ซอยที่ดินไทย หมู่ 4 ถนนเทพารักษ์  ต.บางพลีใหญ่</t>
  </si>
  <si>
    <t xml:space="preserve"> จ.สป.</t>
  </si>
  <si>
    <t xml:space="preserve">02-7574762</t>
  </si>
  <si>
    <t xml:space="preserve">0105533123392</t>
  </si>
  <si>
    <t xml:space="preserve">ผลิต-จำหน่ายแผ่นฝ้าเพดานและปูนยิปซั่ม</t>
  </si>
  <si>
    <t xml:space="preserve">คุณวันทนา , คุณอรทัย</t>
  </si>
  <si>
    <t xml:space="preserve">AP-TUC000</t>
  </si>
  <si>
    <t xml:space="preserve">บริษัท ตงชางเครื่องชั่ง (ประเทศไทย) จำกัด</t>
  </si>
  <si>
    <t xml:space="preserve">53/14 ม.5 ซ.ที่ดินไทย ถ.เทพารักษ์ กม.11  ต.บางพลีใหญ่</t>
  </si>
  <si>
    <t xml:space="preserve"> จ.สมุทรปราการ </t>
  </si>
  <si>
    <t xml:space="preserve">02-7574792</t>
  </si>
  <si>
    <t xml:space="preserve">0105529027546 </t>
  </si>
  <si>
    <t xml:space="preserve">คุณนุ่น</t>
  </si>
  <si>
    <t xml:space="preserve">บริษัท ทีโอเอ-ยูเนี่ยน เพ้นท์ (ประเทศไทย) จำกัด</t>
  </si>
  <si>
    <t xml:space="preserve">104 ซ.ผูกมิตร หมู่ 1  ต.สำโรงใต้</t>
  </si>
  <si>
    <t xml:space="preserve">อำเภอพระประแดง</t>
  </si>
  <si>
    <t xml:space="preserve"> จังหวัดสมุทรปราการ  </t>
  </si>
  <si>
    <t xml:space="preserve">02-3355555</t>
  </si>
  <si>
    <t xml:space="preserve">info@toa-unionpaint.com</t>
  </si>
  <si>
    <t xml:space="preserve">0115537002531 </t>
  </si>
  <si>
    <t xml:space="preserve">จำหน่ายสีทาเฟอร์นิเจอร์ และ อุปกรณ์ที่ใช้ในงานเฟอร์นิเจอร์</t>
  </si>
  <si>
    <t xml:space="preserve">คุณสมควร </t>
  </si>
  <si>
    <t xml:space="preserve">089-8104445</t>
  </si>
  <si>
    <t xml:space="preserve">AP-TWT000</t>
  </si>
  <si>
    <t xml:space="preserve">บริษัท ไทยวิวเทค จำกัด</t>
  </si>
  <si>
    <t xml:space="preserve">79/91 ซ.รัตนโชค 12  ต.บางพลีใหญ่</t>
  </si>
  <si>
    <t xml:space="preserve">  สมุทรปราการ</t>
  </si>
  <si>
    <t xml:space="preserve">02-3123233</t>
  </si>
  <si>
    <t xml:space="preserve">info@thaiviewtech.com</t>
  </si>
  <si>
    <t xml:space="preserve">0115553006740 </t>
  </si>
  <si>
    <t xml:space="preserve">ติดตั้ง ซ่อม ประกอบกล้องวงจรปิด กล้องถ่ายภาพ กล้องส่องทางไกล รวมทั้งอุปกรณ์และอะไหล่</t>
  </si>
  <si>
    <t xml:space="preserve">AP-TYK000</t>
  </si>
  <si>
    <t xml:space="preserve">บริษัท ทีวายเค กลาส จำกัด</t>
  </si>
  <si>
    <t xml:space="preserve">35/7 หมู่6 ถ.ตลิ่งชัน-สุพรรณบุรี ต.เสาธงหิน </t>
  </si>
  <si>
    <t xml:space="preserve">02-9602790</t>
  </si>
  <si>
    <t xml:space="preserve">info@tykglass.com</t>
  </si>
  <si>
    <t xml:space="preserve">0105530015955 </t>
  </si>
  <si>
    <t xml:space="preserve">ายกระจกแผ่น อลูมิเนียม </t>
  </si>
  <si>
    <t xml:space="preserve">คุณอุ๋ย</t>
  </si>
  <si>
    <t xml:space="preserve">086-3070572</t>
  </si>
  <si>
    <t xml:space="preserve">AP-UDS000</t>
  </si>
  <si>
    <t xml:space="preserve">บริษัท อุดมทรัพย์การาจ จำกัด (สำนักงานใหญ่)</t>
  </si>
  <si>
    <t xml:space="preserve">109/207 หมู่ 1 ซอยบางกระดี่ ถนนพระราม 2 แขวงแสมดำ</t>
  </si>
  <si>
    <t xml:space="preserve">02-4522281</t>
  </si>
  <si>
    <t xml:space="preserve">0105538027332 </t>
  </si>
  <si>
    <t xml:space="preserve">การบำรุงรักษาและการซ่อมระบบเครื่องยนต์และชิ้นส่วนยานยนต์</t>
  </si>
  <si>
    <t xml:space="preserve">AP-UNC000</t>
  </si>
  <si>
    <t xml:space="preserve">บริษัท ยูนิคอร์ป จำกัด</t>
  </si>
  <si>
    <t xml:space="preserve">79/91 ม.19 ซ.รัตนะโชค12 ถ.เทพารักษ์ ต.บางพลีใหญ่</t>
  </si>
  <si>
    <t xml:space="preserve">02-7387900</t>
  </si>
  <si>
    <t xml:space="preserve">0115556008565 </t>
  </si>
  <si>
    <t xml:space="preserve">จำหน่าย กาว</t>
  </si>
  <si>
    <t xml:space="preserve">คุณบุญลือ</t>
  </si>
  <si>
    <t xml:space="preserve">081-839-6869 </t>
  </si>
  <si>
    <t xml:space="preserve">AP-UNI000</t>
  </si>
  <si>
    <t xml:space="preserve">บริษัท หนังสือพิมพ์สากล จำกัด</t>
  </si>
  <si>
    <t xml:space="preserve">21/1 ถนนเจริญกรุง แขวงวังบูรพาภิรมย์ </t>
  </si>
  <si>
    <t xml:space="preserve">02 221 0385</t>
  </si>
  <si>
    <t xml:space="preserve">0105498000951</t>
  </si>
  <si>
    <t xml:space="preserve">ผลิตและจำหน่ายหนังสือพิมพ์</t>
  </si>
  <si>
    <t xml:space="preserve">AP-UP0000</t>
  </si>
  <si>
    <t xml:space="preserve">บริษัท ยูพี เพนท์ (ประเทศไทย) จำกัด</t>
  </si>
  <si>
    <t xml:space="preserve">32/4 ซอยธนสิทธิ์ หมู่ที่ 3 ถนนเทพารักษ์ ต.บางปล</t>
  </si>
  <si>
    <t xml:space="preserve">02-1821120</t>
  </si>
  <si>
    <t xml:space="preserve">0115559000093 </t>
  </si>
  <si>
    <t xml:space="preserve"> การตกแต่งและการเคลือบโลหะ</t>
  </si>
  <si>
    <t xml:space="preserve">คุณสุ </t>
  </si>
  <si>
    <t xml:space="preserve">092-9250055</t>
  </si>
  <si>
    <t xml:space="preserve">AP-UPC000</t>
  </si>
  <si>
    <t xml:space="preserve">บจ. อัพ โซ แอร์</t>
  </si>
  <si>
    <t xml:space="preserve">399/61 ม.13 ซ.กิ่งแก้ว 25/1  ต.ราชาเทวะ</t>
  </si>
  <si>
    <t xml:space="preserve">02-1709261</t>
  </si>
  <si>
    <t xml:space="preserve">0105544024404 </t>
  </si>
  <si>
    <t xml:space="preserve"> จำหน่าย เครื่องอัดลม เครื่องปั้ม เครื่องทุ่นแรง</t>
  </si>
  <si>
    <t xml:space="preserve">คุณฝน </t>
  </si>
  <si>
    <t xml:space="preserve">ต่อ 104</t>
  </si>
  <si>
    <t xml:space="preserve">AP-UPS000</t>
  </si>
  <si>
    <t xml:space="preserve">บริษัท ยู.พี.เอส.วูดดิ้ง แมชชีน จำกัด</t>
  </si>
  <si>
    <t xml:space="preserve">198 หมู่8 ซอยคู่สร้อง ถ.สุขสวัสดิ์ ต.คลองบางปลากด</t>
  </si>
  <si>
    <t xml:space="preserve">02-81611086</t>
  </si>
  <si>
    <t xml:space="preserve">0115544001161 </t>
  </si>
  <si>
    <t xml:space="preserve">นำเข้าสินค้าประเภทเครื่องจักร อุปกรณ์ประกอบเครื่องมือเครื่องใช้ฯ</t>
  </si>
  <si>
    <t xml:space="preserve">AP-URP000</t>
  </si>
  <si>
    <t xml:space="preserve">บริษัท ยูอาร์ แพ็คเกจจิ้ง อินดัสตรี้ จำกัด</t>
  </si>
  <si>
    <t xml:space="preserve">9/3 หมู่ 13 ถ.สุวินทวงศ์ ต.ศาลาแดง</t>
  </si>
  <si>
    <t xml:space="preserve"> อ.บางน้ำเปรี้ยว</t>
  </si>
  <si>
    <t xml:space="preserve">038-88548</t>
  </si>
  <si>
    <t xml:space="preserve">0245556001021 </t>
  </si>
  <si>
    <t xml:space="preserve">ผลิตและจำหน่ายผลิตภัณฑ์ที่หีบห่อที่ทำจากพลาสติก โฟม</t>
  </si>
  <si>
    <t xml:space="preserve">AP-USL000</t>
  </si>
  <si>
    <t xml:space="preserve">บริษัท ยู.เอส.ไลน์ จำกัด</t>
  </si>
  <si>
    <t xml:space="preserve">1596/56 หมู่ 4 ถ.สุขุมวิท 115 ต.เทพารักษ์</t>
  </si>
  <si>
    <t xml:space="preserve">02-7579275</t>
  </si>
  <si>
    <t xml:space="preserve">0115543000501 </t>
  </si>
  <si>
    <t xml:space="preserve">จำหน่าย อุปกรณ์แพ็คกิ้ง,แพ็คกิ้งเทปและพลาสติก</t>
  </si>
  <si>
    <t xml:space="preserve">คุณวันวิสาข์ (มด)</t>
  </si>
  <si>
    <t xml:space="preserve">AP-VCT000</t>
  </si>
  <si>
    <t xml:space="preserve">บริษัท วี.ซี.เทรดดิ้ง แอนด์ ซัพพราย จำกัด</t>
  </si>
  <si>
    <t xml:space="preserve">117/522 523 หมู่ 3 ถนนเทพารักษ์ ต.บางพลีใหญ่</t>
  </si>
  <si>
    <t xml:space="preserve">02-3855907</t>
  </si>
  <si>
    <t xml:space="preserve">0115544005132 </t>
  </si>
  <si>
    <t xml:space="preserve">จำหน่ายเหล็ก</t>
  </si>
  <si>
    <t xml:space="preserve">AP-VER000</t>
  </si>
  <si>
    <t xml:space="preserve"> Veritrans International Co.,Ltd</t>
  </si>
  <si>
    <t xml:space="preserve">60/1Monririn Building,3rd Floor,Suite B301,Soi Phaholyothin8</t>
  </si>
  <si>
    <t xml:space="preserve">เขตพญาไท</t>
  </si>
  <si>
    <t xml:space="preserve">02-6154381</t>
  </si>
  <si>
    <t xml:space="preserve">0105553046148 </t>
  </si>
  <si>
    <t xml:space="preserve">AP-VPF000</t>
  </si>
  <si>
    <t xml:space="preserve">บจ. เวลพลัส ฟิตติ้ง</t>
  </si>
  <si>
    <t xml:space="preserve">15,17 ถ.พระรามที่2 ซอย 3 แยก2 แขวงบางมด </t>
  </si>
  <si>
    <t xml:space="preserve">เขตจอมทอง</t>
  </si>
  <si>
    <t xml:space="preserve">02-427-9879, 02-040-9879</t>
  </si>
  <si>
    <t xml:space="preserve">0105551042340 </t>
  </si>
  <si>
    <t xml:space="preserve">ดำเนินกิจการจำหน่ายอุปกรณ์ งานส่วนประกอบเฟอร์นิเจอร์และวัสดุตกแต่งภายใน</t>
  </si>
  <si>
    <t xml:space="preserve">AP-VPH000</t>
  </si>
  <si>
    <t xml:space="preserve">บริษัท วี.พี. ไฮดรอลิค จำกัด</t>
  </si>
  <si>
    <t xml:space="preserve">50/21 ถนนวุฒากาศ แขวงบางค้อ</t>
  </si>
  <si>
    <t xml:space="preserve">02-477-0567-8</t>
  </si>
  <si>
    <t xml:space="preserve">info@vphydraulic.com</t>
  </si>
  <si>
    <t xml:space="preserve">0105534008899</t>
  </si>
  <si>
    <t xml:space="preserve">จำหน่ายและให้บริการซ่อมรถยกไฮดรอลิค</t>
  </si>
  <si>
    <t xml:space="preserve">คุณสุชาดา</t>
  </si>
  <si>
    <t xml:space="preserve">AP-VPP000</t>
  </si>
  <si>
    <t xml:space="preserve">บริษัท วังเพชร พลาสติก จำกัด</t>
  </si>
  <si>
    <t xml:space="preserve">33/3 ม. 11 ซ. ธนสิทธิ์ ถ. เทพารักษ์ ตำบลบางปลา</t>
  </si>
  <si>
    <t xml:space="preserve">อ.บางปลา</t>
  </si>
  <si>
    <t xml:space="preserve">02-3121169</t>
  </si>
  <si>
    <t xml:space="preserve">0105531046404 </t>
  </si>
  <si>
    <t xml:space="preserve">ลิต-ขายพลาสติกกันกระแทก,สายรัดพร้อมอุปกรณ์</t>
  </si>
  <si>
    <t xml:space="preserve">คุณสวาท</t>
  </si>
  <si>
    <t xml:space="preserve">AP-VSN000</t>
  </si>
  <si>
    <t xml:space="preserve">บริษัท วี.เอส.เอ็น อลูมิเนียม</t>
  </si>
  <si>
    <t xml:space="preserve">16/4-7 หมู่ 4 ถ.เทพารักษ์ กม.11  ต.บางพลีใหญ่ </t>
  </si>
  <si>
    <t xml:space="preserve">อ.บางพลี </t>
  </si>
  <si>
    <t xml:space="preserve">02-7554153</t>
  </si>
  <si>
    <t xml:space="preserve">3100600533313 </t>
  </si>
  <si>
    <t xml:space="preserve">086-7789979</t>
  </si>
  <si>
    <t xml:space="preserve">AP-VUT000</t>
  </si>
  <si>
    <t xml:space="preserve">บริษัท วุฒิ ฮาร์ดแวร์ จำกัด</t>
  </si>
  <si>
    <t xml:space="preserve">สำนักงานใหญ่ 70 ซ.บรมราชชนนี 64 แขวงศาลาธรรมสพน์ </t>
  </si>
  <si>
    <t xml:space="preserve">เขตทวีวัฒนา </t>
  </si>
  <si>
    <t xml:space="preserve">02-8884205</t>
  </si>
  <si>
    <t xml:space="preserve">0105555033671 </t>
  </si>
  <si>
    <t xml:space="preserve">ประกอบกิจการขายส่งเครื่องจักรและเครื่องมือเครื่องใช้อื่นๆ</t>
  </si>
  <si>
    <t xml:space="preserve">คุณณัฐภูมิ (จิณ)</t>
  </si>
  <si>
    <t xml:space="preserve">AP-WAL000</t>
  </si>
  <si>
    <t xml:space="preserve">ร้าน ช่างวุฒิอะลูมิเนียม</t>
  </si>
  <si>
    <t xml:space="preserve">869/445 หมู่บ้านเมืองทอง4 ซอยปุณณวิถี55 ถนนสุขุมวิท101 แขวงบางจาก</t>
  </si>
  <si>
    <t xml:space="preserve">095-5053628</t>
  </si>
  <si>
    <t xml:space="preserve">ช่างวุฒิ</t>
  </si>
  <si>
    <t xml:space="preserve">AP-WAM000</t>
  </si>
  <si>
    <t xml:space="preserve">ร้าน วุฒิ อลูมินั่ม</t>
  </si>
  <si>
    <t xml:space="preserve">เลขที่ 10 ซ.วชิรธรรมสาธิต 70  แขวงบางจาก</t>
  </si>
  <si>
    <t xml:space="preserve">087-268-8536</t>
  </si>
  <si>
    <t xml:space="preserve">kan_wuti@hotmail.com</t>
  </si>
  <si>
    <t xml:space="preserve">3360700168593 </t>
  </si>
  <si>
    <t xml:space="preserve">AP-WCM000</t>
  </si>
  <si>
    <t xml:space="preserve">บริษัท วันศักดิ์ ไม้ลัง จำกัด</t>
  </si>
  <si>
    <t xml:space="preserve">37/4 หมู่ 19  ต.บางปะกง </t>
  </si>
  <si>
    <t xml:space="preserve">อ.บางปะกง</t>
  </si>
  <si>
    <t xml:space="preserve"> ฉะเชิงเทรา</t>
  </si>
  <si>
    <t xml:space="preserve">093-5369636</t>
  </si>
  <si>
    <t xml:space="preserve">0245542000281 </t>
  </si>
  <si>
    <t xml:space="preserve">AP-WG0000</t>
  </si>
  <si>
    <t xml:space="preserve">บริษัท ดับเบิ้ลยูจี จำกัด</t>
  </si>
  <si>
    <t xml:space="preserve">106 ม.1 ต.ไทยาวาส</t>
  </si>
  <si>
    <t xml:space="preserve"> อ.นตรชัยศรี </t>
  </si>
  <si>
    <t xml:space="preserve">จ.นครปฐม </t>
  </si>
  <si>
    <t xml:space="preserve">034-1579000</t>
  </si>
  <si>
    <t xml:space="preserve">0105559173435 </t>
  </si>
  <si>
    <t xml:space="preserve">คุณปูเป้ 0632209997</t>
  </si>
  <si>
    <t xml:space="preserve">AP-WIW000</t>
  </si>
  <si>
    <t xml:space="preserve">บริษัท ไวส์วูดส์ จำกัด</t>
  </si>
  <si>
    <t xml:space="preserve">109 หมู่ที่6 ต.หนองชุมพลเหนือ </t>
  </si>
  <si>
    <t xml:space="preserve">อ.เขาย้อย</t>
  </si>
  <si>
    <t xml:space="preserve"> จ.เพรชบุรี </t>
  </si>
  <si>
    <t xml:space="preserve">032-406563-4</t>
  </si>
  <si>
    <t xml:space="preserve">lalida@wisewoods.co.th</t>
  </si>
  <si>
    <t xml:space="preserve">0765558000302 </t>
  </si>
  <si>
    <t xml:space="preserve">ผลิตและจำหน่ายแผ่นใยไม้อัดแข็งความหนาแน่นปานกลาง(ไม้อัดเอ็มดีเอฟ)</t>
  </si>
  <si>
    <t xml:space="preserve">AP-WKM000</t>
  </si>
  <si>
    <t xml:space="preserve">บริษัท วงศ์กมล (ประเทศไทย) จำกัด</t>
  </si>
  <si>
    <t xml:space="preserve">112/327- 8 ซ.บัวซ้อน ม.8 ถ.รัตนกวี แขวงจอมทอง</t>
  </si>
  <si>
    <t xml:space="preserve">02-8753107</t>
  </si>
  <si>
    <t xml:space="preserve">0105545052304</t>
  </si>
  <si>
    <t xml:space="preserve">ประกอบกิจการจำหน่ายน้ำยาและวัสดุทำความสะอาดอุปกรณ์ต่างๆคอมพิวเตอร์</t>
  </si>
  <si>
    <t xml:space="preserve">คุณปุ๋ย</t>
  </si>
  <si>
    <t xml:space="preserve">AP-WMI000</t>
  </si>
  <si>
    <t xml:space="preserve">บริษัท เวลแม็กซ์ อินดัสเตรียล จำกัด</t>
  </si>
  <si>
    <t xml:space="preserve">1867-1867/1 หมู่ 6 ซ.เทพารักษ์ ต.เทพารักษ์</t>
  </si>
  <si>
    <t xml:space="preserve">02-779686</t>
  </si>
  <si>
    <t xml:space="preserve">0105544111315 </t>
  </si>
  <si>
    <t xml:space="preserve">จำหน่ายเครื่องจักรและเครื่องส่งสายพาน</t>
  </si>
  <si>
    <t xml:space="preserve">AP-WRM000</t>
  </si>
  <si>
    <t xml:space="preserve">บริษัท วรมิตรเภสัช 2 จำกัด</t>
  </si>
  <si>
    <t xml:space="preserve">492,493 หมู่2 ถ.เทพารักษ์ ต.เทพารักษ์</t>
  </si>
  <si>
    <t xml:space="preserve">02-3852722</t>
  </si>
  <si>
    <t xml:space="preserve">0115560030448 </t>
  </si>
  <si>
    <t xml:space="preserve">ยา</t>
  </si>
  <si>
    <t xml:space="preserve">AP-WSA000</t>
  </si>
  <si>
    <t xml:space="preserve">บริษัท วิลสันอาร์ท (ประเทศไทย) จำกัด</t>
  </si>
  <si>
    <t xml:space="preserve">75/16 ม.5 ซ.วัดโสภณาราม ถ.เอกชัย ต.โคกขาม </t>
  </si>
  <si>
    <t xml:space="preserve">อ.เมืองสมุทรสาคร </t>
  </si>
  <si>
    <t xml:space="preserve">จ.สมุทรสาคร  </t>
  </si>
  <si>
    <t xml:space="preserve">mailto:contact@wilsonart.co.th</t>
  </si>
  <si>
    <t xml:space="preserve">0745541000517 </t>
  </si>
  <si>
    <t xml:space="preserve">คุณ หนู</t>
  </si>
  <si>
    <t xml:space="preserve">AP-WVL000</t>
  </si>
  <si>
    <t xml:space="preserve">บริษัท well-versed low office</t>
  </si>
  <si>
    <t xml:space="preserve">184/49 Forum Tower,14 Th Fioor, rachada-pisek Road Hurykwang. </t>
  </si>
  <si>
    <t xml:space="preserve">Huaykwang, </t>
  </si>
  <si>
    <t xml:space="preserve">02-642-3553</t>
  </si>
  <si>
    <t xml:space="preserve">AP-WVO000</t>
  </si>
  <si>
    <t xml:space="preserve">บริษัท สำนักงานกฎหมาย เวลล์-เวอร์ส จำกัด</t>
  </si>
  <si>
    <t xml:space="preserve">184/49  Forum Tower 14 th fl, Ratchadapisek Road, </t>
  </si>
  <si>
    <t xml:space="preserve">Huaykwang</t>
  </si>
  <si>
    <t xml:space="preserve">02-6453533</t>
  </si>
  <si>
    <t xml:space="preserve">0105549018364 </t>
  </si>
  <si>
    <t xml:space="preserve">สำนักงานกฎหมาย</t>
  </si>
  <si>
    <t xml:space="preserve">AP-YIWU00</t>
  </si>
  <si>
    <t xml:space="preserve"> YIWU CARRIER SUPPLY CHAIN SERVICE</t>
  </si>
  <si>
    <t xml:space="preserve">ROOM415,BUILDING A,YIWU PORT,NO266 CHENGXIN AVENUE</t>
  </si>
  <si>
    <t xml:space="preserve">,YIWU</t>
  </si>
  <si>
    <t xml:space="preserve">AP-YLP000</t>
  </si>
  <si>
    <t xml:space="preserve">ร้าน รวมชัยการช่าง</t>
  </si>
  <si>
    <t xml:space="preserve">346/7 ซอยไสวสุวรรณ ถนนกรุงเทพ-นนทบุรี แขวงบางซื่อ</t>
  </si>
  <si>
    <t xml:space="preserve"> เขตบางซื่อ</t>
  </si>
  <si>
    <t xml:space="preserve">02 585 1606</t>
  </si>
  <si>
    <t xml:space="preserve">3471200049820 </t>
  </si>
  <si>
    <t xml:space="preserve">AP-YMM000</t>
  </si>
  <si>
    <t xml:space="preserve">บริษัท ยามาโมโต้ เทรดดิ้ง (ไทยแลนด์) จำกัด</t>
  </si>
  <si>
    <t xml:space="preserve">99/6 หมู่ 13 กฤษดานคร 21 ถ.บางนาตราด กม.7 </t>
  </si>
  <si>
    <t xml:space="preserve">ต.บางแก้ว</t>
  </si>
  <si>
    <t xml:space="preserve">02-7409336</t>
  </si>
  <si>
    <t xml:space="preserve">0115540001914 </t>
  </si>
  <si>
    <t xml:space="preserve">ผลิตภัณฑ์เคมี สีเคลือบ ตัวทำละลายเครื่องตรวจวัดสี และบริการหลังการขาย</t>
  </si>
  <si>
    <t xml:space="preserve">คุณเอ๋ย</t>
  </si>
  <si>
    <t xml:space="preserve">AP-YRI000</t>
  </si>
  <si>
    <t xml:space="preserve">บริษัท หย่งหลุงเอ็นเตอร์ไพรส์ จำกัด</t>
  </si>
  <si>
    <t xml:space="preserve">26/3ม.15ซ.กิ่งแก้ว45  ต.ราชาเทวะ</t>
  </si>
  <si>
    <t xml:space="preserve">02-7385111</t>
  </si>
  <si>
    <t xml:space="preserve">0105533132731 </t>
  </si>
  <si>
    <t xml:space="preserve">ผลิตโมลด์</t>
  </si>
  <si>
    <t xml:space="preserve">AP-YSE000</t>
  </si>
  <si>
    <t xml:space="preserve">บริษัท ยังซัน เอ็นเตอร์ไพร์ จำกัด</t>
  </si>
  <si>
    <t xml:space="preserve">592 ม.15 ซ.ไทยประกัน 2 ถ.เทพารักษ์ ต.บางเสาธง</t>
  </si>
  <si>
    <t xml:space="preserve">อ.บางเสาธง </t>
  </si>
  <si>
    <t xml:space="preserve">จ.สมุทรปราการ  </t>
  </si>
  <si>
    <t xml:space="preserve">0105547151920 </t>
  </si>
  <si>
    <t xml:space="preserve">AP-ZSH000</t>
  </si>
  <si>
    <t xml:space="preserve">บริษัท เซนชิน เมทัล เวิร์ค จำกัด</t>
  </si>
  <si>
    <t xml:space="preserve">297 ถ.รามคำแหง แขวงราษฎร์พัฒนา</t>
  </si>
  <si>
    <t xml:space="preserve">02-9171277,089-2047264</t>
  </si>
  <si>
    <t xml:space="preserve">info.zenshin@furniline.co.th</t>
  </si>
  <si>
    <t xml:space="preserve">0105560142815 </t>
  </si>
  <si>
    <t xml:space="preserve">การผลิตผลิตภัณฑ์โลหะประดิษฐ์อื่นๆ ซึ่งมิได้จัดประเภทไว้ในที่อื่น</t>
  </si>
  <si>
    <t xml:space="preserve">คุณไพรวัน</t>
  </si>
  <si>
    <t xml:space="preserve">APTHA000</t>
  </si>
  <si>
    <t xml:space="preserve">บริษัท ไทยฮาร์ท เคมิคอล จำกัด</t>
  </si>
  <si>
    <t xml:space="preserve">67/16 ม.21 ต.บางพลีใหญ</t>
  </si>
  <si>
    <t xml:space="preserve">097 038 7498</t>
  </si>
  <si>
    <t xml:space="preserve">thaiheart-chemical@hotmail.com</t>
  </si>
  <si>
    <t xml:space="preserve">0115564003097 </t>
  </si>
  <si>
    <t xml:space="preserve"> SHIJIAZHUANG CHENSHI IMPORT AND EXPORT.CO.,LTD</t>
  </si>
  <si>
    <t xml:space="preserve">RM2017,BUILDING C,TIANSHAN GALAXY PLAZA.NO.168 CHANGJIANG ROAD,</t>
  </si>
  <si>
    <t xml:space="preserve">GAOXIN DISTRICT</t>
  </si>
  <si>
    <t xml:space="preserve">SHIJIAZHUANG CITY, HEBEI, </t>
  </si>
  <si>
    <t xml:space="preserve">050000</t>
  </si>
  <si>
    <t xml:space="preserve">00863118971056 </t>
  </si>
  <si>
    <t xml:space="preserve">AR-YUH000</t>
  </si>
  <si>
    <t xml:space="preserve"> YU HOME IMTERNATION CO.LTD.</t>
  </si>
  <si>
    <t xml:space="preserve">NO.52,DOOU GONG 12TH RD.,LIOU NAN LI. </t>
  </si>
  <si>
    <t xml:space="preserve">DOOU LIOW CITY,</t>
  </si>
  <si>
    <t xml:space="preserve">YUN LIN HSIEN</t>
  </si>
  <si>
    <t xml:space="preserve">Taiwan</t>
  </si>
  <si>
    <t xml:space="preserve">AP-ALU000</t>
  </si>
  <si>
    <t xml:space="preserve">บริษัท อลูมิเนชั่น จำกัด</t>
  </si>
  <si>
    <t xml:space="preserve">1369 ห้องเลขที่ 7 ถ.จันทร์ แขวงทุ่งวัดดอน </t>
  </si>
  <si>
    <t xml:space="preserve">02-2863666</t>
  </si>
  <si>
    <t xml:space="preserve">0105551089478 </t>
  </si>
  <si>
    <t xml:space="preserve">เฟรมอะลูมิเนียม</t>
  </si>
  <si>
    <t xml:space="preserve">AP-ALU001</t>
  </si>
  <si>
    <t xml:space="preserve">บริษัท อลูแซท จำกัด</t>
  </si>
  <si>
    <t xml:space="preserve">459/2 ถ.ลาดกระบัง แขวงลาดกระบัง </t>
  </si>
  <si>
    <t xml:space="preserve"> เขตลาดกระบัง </t>
  </si>
  <si>
    <t xml:space="preserve">02-7278030</t>
  </si>
  <si>
    <t xml:space="preserve">0105539038010 </t>
  </si>
  <si>
    <t xml:space="preserve">AP-BUT000</t>
  </si>
  <si>
    <t xml:space="preserve">บริษัท บัวทองศิริทรัพย์ จำกัด</t>
  </si>
  <si>
    <t xml:space="preserve">77 หมู่5 ต.ละหาร</t>
  </si>
  <si>
    <t xml:space="preserve">02-9255253</t>
  </si>
  <si>
    <t xml:space="preserve">0110553200586 </t>
  </si>
  <si>
    <t xml:space="preserve">จำหน่ายไม้แปรรูป ไม้อัดและวัสดุอื่นๆ</t>
  </si>
  <si>
    <t xml:space="preserve">คุณดรีม</t>
  </si>
  <si>
    <t xml:space="preserve">AP-CHE001</t>
  </si>
  <si>
    <t xml:space="preserve">บริษัท เชิน หง เอ็นเตอร์ไพรส์ จำกัด</t>
  </si>
  <si>
    <t xml:space="preserve">12/409 หมู่ 15 ซอยเปรมฤทัย ถ.บางนาตราด ต.บางแก้ว</t>
  </si>
  <si>
    <t xml:space="preserve">02-7430094</t>
  </si>
  <si>
    <t xml:space="preserve">0115538003832 </t>
  </si>
  <si>
    <t xml:space="preserve">AP-CPL000</t>
  </si>
  <si>
    <t xml:space="preserve">บริษัท ซี แอนด์ พี ไลท์ติ้ง จำกัด</t>
  </si>
  <si>
    <t xml:space="preserve">75/54 ถ.สุขุมวิท 26 แขวงคลองตัน </t>
  </si>
  <si>
    <t xml:space="preserve">089-3269936</t>
  </si>
  <si>
    <t xml:space="preserve">0115535006016 </t>
  </si>
  <si>
    <t xml:space="preserve">จำหน่ายโคมไฟและอุปกรณ์</t>
  </si>
  <si>
    <t xml:space="preserve">คุณป่าน</t>
  </si>
  <si>
    <t xml:space="preserve">AP-FBL000</t>
  </si>
  <si>
    <t xml:space="preserve">บริษัท เฟซบลูม ลิฟวิ่ง จำกัด</t>
  </si>
  <si>
    <t xml:space="preserve">222/1 ซอยนนทรี16 ถนนนนทรี  แขวงช่องนนทรี</t>
  </si>
  <si>
    <t xml:space="preserve">เขตยานนาวา</t>
  </si>
  <si>
    <t xml:space="preserve">0105552088882 </t>
  </si>
  <si>
    <t xml:space="preserve">K.mam</t>
  </si>
  <si>
    <t xml:space="preserve">บริษัท ฟิวเจอร์เทค อินเตอร์มาร์เก็ตติ้ง จำกัด</t>
  </si>
  <si>
    <t xml:space="preserve">88 ซ.พระยามนธาตุฯ แยก 29 แขวงคลองบางบอน</t>
  </si>
  <si>
    <t xml:space="preserve">02-4177045</t>
  </si>
  <si>
    <t xml:space="preserve">sales@future-tech.co.th</t>
  </si>
  <si>
    <t xml:space="preserve">ประกอบธุรกิจผลิตและจำหน่ายอุปกรณ์ตกแต่ง เครื่องเรือนและเฟอร์นิเจอร์</t>
  </si>
  <si>
    <t xml:space="preserve">AP-GGH000</t>
  </si>
  <si>
    <t xml:space="preserve">ร้าน gg_home</t>
  </si>
  <si>
    <t xml:space="preserve">67/26 ถ.ราชพฤกษ์ ต.บางกร่าง</t>
  </si>
  <si>
    <t xml:space="preserve">นนทบุรี</t>
  </si>
  <si>
    <t xml:space="preserve">บริษัท เฮเฟเล่ (ประเทศไทย) จำกัด</t>
  </si>
  <si>
    <t xml:space="preserve">57 ซอย สุขุมวิท 64 แขวงพระโขนงใต้</t>
  </si>
  <si>
    <t xml:space="preserve">พะโขนง</t>
  </si>
  <si>
    <t xml:space="preserve">02-7697171</t>
  </si>
  <si>
    <t xml:space="preserve">info@hafele.co.th</t>
  </si>
  <si>
    <t xml:space="preserve">0105537076950 </t>
  </si>
  <si>
    <t xml:space="preserve">จำหน่ายอุปกรณ์ประกอบเฟอร์นิเจอร์</t>
  </si>
  <si>
    <t xml:space="preserve">AP-JYT000</t>
  </si>
  <si>
    <t xml:space="preserve">บริษัท เจ แอนด์ วาย เทรดดิ้ง สำนักงานใหญ่</t>
  </si>
  <si>
    <t xml:space="preserve">174/18 ถ.บ้านหม้อ แขวงบูรพาภิรมย์ </t>
  </si>
  <si>
    <t xml:space="preserve">เขตพระนคร</t>
  </si>
  <si>
    <t xml:space="preserve">086 565 2292</t>
  </si>
  <si>
    <t xml:space="preserve">bangkokledshop@gmail.com</t>
  </si>
  <si>
    <t xml:space="preserve">2710100022847 </t>
  </si>
  <si>
    <t xml:space="preserve">AP-KBN000</t>
  </si>
  <si>
    <t xml:space="preserve">บริษัท กิจรุ่งเรือง โบล์ท แอนด์ นัท</t>
  </si>
  <si>
    <t xml:space="preserve">416 ม.21 ซ.จงศิริ ถ.บางพลี-ตำหรุ ต.บางพลีใหญ่</t>
  </si>
  <si>
    <t xml:space="preserve">099 421 9416</t>
  </si>
  <si>
    <t xml:space="preserve">1119900549977 </t>
  </si>
  <si>
    <t xml:space="preserve">บริษัท ก.เจริญฮาร์ดแวร์ จำกัด</t>
  </si>
  <si>
    <t xml:space="preserve">คุณพิชัย</t>
  </si>
  <si>
    <t xml:space="preserve">080-582-2929</t>
  </si>
  <si>
    <t xml:space="preserve">AP-MDF000</t>
  </si>
  <si>
    <t xml:space="preserve">บริษัท โมเดอร์นฟอร์มกรุ๊ป จำกัด</t>
  </si>
  <si>
    <t xml:space="preserve">699 ถ.ศรีนครินทร์ แขวงพัฒนาการ </t>
  </si>
  <si>
    <t xml:space="preserve">02-094-9999</t>
  </si>
  <si>
    <t xml:space="preserve">enquiry@modernform.co.th,chalermchai_i@modernform.co.th</t>
  </si>
  <si>
    <t xml:space="preserve">0107536000943 </t>
  </si>
  <si>
    <t xml:space="preserve">คุณตั้ม</t>
  </si>
  <si>
    <t xml:space="preserve">AP-PKS000</t>
  </si>
  <si>
    <t xml:space="preserve">บริษัท พี.เค. สแตนเลส แอนด์ เดคคอเรท จำกัด</t>
  </si>
  <si>
    <t xml:space="preserve">28/60 หมู่ที่4 แขวงบางขุนเทียน</t>
  </si>
  <si>
    <t xml:space="preserve">092-2995058</t>
  </si>
  <si>
    <t xml:space="preserve">0105563057258 </t>
  </si>
  <si>
    <t xml:space="preserve">ประกอบกิจการจัดซื้อ จัดจำหน่าย สเตนเลส ทุกชนิด</t>
  </si>
  <si>
    <t xml:space="preserve">K.พิเศษศักดิ์</t>
  </si>
  <si>
    <t xml:space="preserve">บริษัท แพนสยาม เมนูแฟคเจอริ่ง จำกัด</t>
  </si>
  <si>
    <t xml:space="preserve">35/421,423 หมู่ที่ 2 ต.บางน้ำจืด</t>
  </si>
  <si>
    <t xml:space="preserve"> อ.เมืองสมุทรสาคร</t>
  </si>
  <si>
    <t xml:space="preserve">034-495888#100</t>
  </si>
  <si>
    <t xml:space="preserve">0105543016611 </t>
  </si>
  <si>
    <t xml:space="preserve">ประกอบกิจการโรงงานผลิตวัสดุ อุปกรณ์ในการก่อสร้างและเครื่องใช้เฟอร์นิเจอร์</t>
  </si>
  <si>
    <t xml:space="preserve">AP-PTN001</t>
  </si>
  <si>
    <t xml:space="preserve">นางสาว พัทธนันท์ จิตติชัยวงศ์</t>
  </si>
  <si>
    <t xml:space="preserve">51 ซ.ลาดปลาเค้า 83 แขวงจรเข้บัว </t>
  </si>
  <si>
    <t xml:space="preserve">1100800308686 </t>
  </si>
  <si>
    <t xml:space="preserve">CO.,LTD QINGDAO NEW LIBERTY INT'L TRADING CO.LTD.</t>
  </si>
  <si>
    <t xml:space="preserve">AP-QUA000</t>
  </si>
  <si>
    <t xml:space="preserve">CO.,LTD QUANZHOU NEWECO HIGH POLYMER MARTERIAL CO.LTD.</t>
  </si>
  <si>
    <t xml:space="preserve">AP-ZDKSW0</t>
  </si>
  <si>
    <t xml:space="preserve"> Zhongshan Dexing Kitchen&amp;Sanitary Wares CO.,LTD.</t>
  </si>
  <si>
    <t xml:space="preserve">No.23 Zhenlian Road Shangnan District Fusha Town</t>
  </si>
  <si>
    <t xml:space="preserve">Zhongshan</t>
  </si>
  <si>
    <t xml:space="preserve">AR-XIA000</t>
  </si>
  <si>
    <t xml:space="preserve"> Xiame goldenhome co.,ltd.</t>
  </si>
  <si>
    <t xml:space="preserve">190  Jihe RD.tong an industrial </t>
  </si>
  <si>
    <t xml:space="preserve">CTR TONG'AN DISTRICT</t>
  </si>
  <si>
    <t xml:space="preserve">XIAMEN </t>
  </si>
  <si>
    <t xml:space="preserve">AP-AAG000</t>
  </si>
  <si>
    <t xml:space="preserve">บริษัท อาร์ต แอนด์ กลาส ดีไซน์ จำกัด</t>
  </si>
  <si>
    <t xml:space="preserve">2303 ถนนลาดพร้าว แขวงสะพานสอง</t>
  </si>
  <si>
    <t xml:space="preserve">02-9331651</t>
  </si>
  <si>
    <t xml:space="preserve">0105545032711 </t>
  </si>
  <si>
    <t xml:space="preserve">รับจ้างออกแบบติดตั้งและพิมพ์ภาพ ทุกชนิด</t>
  </si>
  <si>
    <t xml:space="preserve">คุณปุ๊ก</t>
  </si>
  <si>
    <t xml:space="preserve">AP-ADB000</t>
  </si>
  <si>
    <t xml:space="preserve">บริษัท แอ็พพลาย ดีบี จำกัด</t>
  </si>
  <si>
    <t xml:space="preserve">252 หมู่ 4 ถ.สุขุมวิท ต.แพรกษา</t>
  </si>
  <si>
    <t xml:space="preserve">02-7094040</t>
  </si>
  <si>
    <t xml:space="preserve">0107560000117 </t>
  </si>
  <si>
    <t xml:space="preserve">เม็ดพลาสติกพีวีซี</t>
  </si>
  <si>
    <t xml:space="preserve">AP-AIT000</t>
  </si>
  <si>
    <t xml:space="preserve">บริษัท แอดไวซ์ ไอที อินฟินิท จำกัด</t>
  </si>
  <si>
    <t xml:space="preserve">74/1 หมู่ที่1 ต.ท่าอิฐ </t>
  </si>
  <si>
    <t xml:space="preserve">02-908-8888</t>
  </si>
  <si>
    <t xml:space="preserve">sale_center@advice.co.th</t>
  </si>
  <si>
    <t xml:space="preserve">0125555014685 </t>
  </si>
  <si>
    <t xml:space="preserve">AP-AMCH00</t>
  </si>
  <si>
    <t xml:space="preserve">ร้าน อมรชัย</t>
  </si>
  <si>
    <t xml:space="preserve">128/59 ถ.เทพารักษ์ กม.12 ม.ไทยประกัน ต.บางเสาธง</t>
  </si>
  <si>
    <t xml:space="preserve">061-6235005</t>
  </si>
  <si>
    <t xml:space="preserve">3101700828723 </t>
  </si>
  <si>
    <t xml:space="preserve">ผ้ากันเปื้อน หมวกตาข่าย</t>
  </si>
  <si>
    <t xml:space="preserve">AP-ASI000</t>
  </si>
  <si>
    <t xml:space="preserve">บริษัท เอเชีย ไดนามิคส์ อินเตอร์ จำกัด</t>
  </si>
  <si>
    <t xml:space="preserve">7/32 SOI  RAMKHAMHAENG 152  RAMKHAMHAENG RD, RATPHANA,</t>
  </si>
  <si>
    <t xml:space="preserve">SAPANSOONG</t>
  </si>
  <si>
    <t xml:space="preserve">02 373 8701</t>
  </si>
  <si>
    <t xml:space="preserve">0105539072633 </t>
  </si>
  <si>
    <t xml:space="preserve">บริษัท เอ.ที.คอน อินซูเลชั่น จำกัด</t>
  </si>
  <si>
    <t xml:space="preserve">622/80 ถ.บางขุนเทียน-=ชายทะเลแขวงท่าข้าม </t>
  </si>
  <si>
    <t xml:space="preserve">02-2970370</t>
  </si>
  <si>
    <t xml:space="preserve">info-sale@atcinsu.com</t>
  </si>
  <si>
    <t xml:space="preserve">0105558192215 </t>
  </si>
  <si>
    <t xml:space="preserve">AP-ATN000</t>
  </si>
  <si>
    <t xml:space="preserve">บริษัท เอเชีย-เทรด.เนต จำกัด</t>
  </si>
  <si>
    <t xml:space="preserve">30 ซอยหมู่บ้านมิตรภาพ แขวงหนองบอน</t>
  </si>
  <si>
    <t xml:space="preserve">02-3210761</t>
  </si>
  <si>
    <t xml:space="preserve">welcome@asia-trade.net</t>
  </si>
  <si>
    <t xml:space="preserve">0105542095975 </t>
  </si>
  <si>
    <t xml:space="preserve">ผลิตขายส่งขายปลีกและนำเข้าส่งออกผลิตภัณฑ์จากไม้และสินค้าเกษตร</t>
  </si>
  <si>
    <t xml:space="preserve">AP-ATT000</t>
  </si>
  <si>
    <t xml:space="preserve">บริษัท ออโต้เทรด อินเตอร์เนชั่นแนล จำกัด</t>
  </si>
  <si>
    <t xml:space="preserve">609/4 ถ.สาธุประดิษฐ์ ต.ชองนนทรี </t>
  </si>
  <si>
    <t xml:space="preserve">อ.ยานนาวา </t>
  </si>
  <si>
    <t xml:space="preserve">02 682 3080</t>
  </si>
  <si>
    <t xml:space="preserve">0105543081358 </t>
  </si>
  <si>
    <t xml:space="preserve">นำเข้าจัดจำหน่าย อะไหล่ และอุปกรณ์ ของเครื่องจักร เครื่องยนต์ เครื่องมือกล</t>
  </si>
  <si>
    <t xml:space="preserve">AP-BAC000</t>
  </si>
  <si>
    <t xml:space="preserve">บริษัท บีออ คอสเมติก จำกัด</t>
  </si>
  <si>
    <t xml:space="preserve">22 ซอยโพธิ์แก้ว 1 แยก 5 แขวงคลองจั่น </t>
  </si>
  <si>
    <t xml:space="preserve">เขตบางกะปิ </t>
  </si>
  <si>
    <t xml:space="preserve">02 121 7528</t>
  </si>
  <si>
    <t xml:space="preserve">info@beau.co.th</t>
  </si>
  <si>
    <t xml:space="preserve">0105563022021</t>
  </si>
  <si>
    <t xml:space="preserve">ประกอบกิจการรับผลิตเครื่องสำอาง ผลิตภัณฑ์บำรุงผิวและสปา</t>
  </si>
  <si>
    <t xml:space="preserve">AP-BAL000</t>
  </si>
  <si>
    <t xml:space="preserve">นางสาว รมย์รวินท์ ภูโสภา</t>
  </si>
  <si>
    <t xml:space="preserve">50/310 ม.1 ต.บางเมืองใหม่</t>
  </si>
  <si>
    <t xml:space="preserve">AP-BBB000</t>
  </si>
  <si>
    <t xml:space="preserve">ร้าน BBB HOME &amp; DECOR</t>
  </si>
  <si>
    <t xml:space="preserve">110 หมู่ 1 ต.จันทณิมิต </t>
  </si>
  <si>
    <t xml:space="preserve">อ.เมือง </t>
  </si>
  <si>
    <t xml:space="preserve">จ.จันทบุรี</t>
  </si>
  <si>
    <t xml:space="preserve">081 459 2464</t>
  </si>
  <si>
    <t xml:space="preserve">info@poshhome.co.th</t>
  </si>
  <si>
    <t xml:space="preserve">AP-BCS000</t>
  </si>
  <si>
    <t xml:space="preserve">บมจ. บิ๊กซี ซุปเปอร์เซ็นเตอร์ สาขาบางพลี</t>
  </si>
  <si>
    <t xml:space="preserve">89 หมู่9 ถ.เทพารักษ์ ต.บางพลีใหญ่</t>
  </si>
  <si>
    <t xml:space="preserve">สมุทรปราการ </t>
  </si>
  <si>
    <t xml:space="preserve">02-750-7600</t>
  </si>
  <si>
    <t xml:space="preserve">sgm.bangphlee@bigc.co.th</t>
  </si>
  <si>
    <t xml:space="preserve">0107536000633 </t>
  </si>
  <si>
    <t xml:space="preserve">ร้าน bee to</t>
  </si>
  <si>
    <t xml:space="preserve">999/2 ต.เทพารักษ์</t>
  </si>
  <si>
    <t xml:space="preserve">0-2750-7600</t>
  </si>
  <si>
    <t xml:space="preserve">กาวเม็ด ปิดขอบ</t>
  </si>
  <si>
    <t xml:space="preserve">คุณแนน </t>
  </si>
  <si>
    <t xml:space="preserve">AP-BJJ000</t>
  </si>
  <si>
    <t xml:space="preserve">บริษัท บีเจเจ พลสุวรรณ เอ็นเตอร์ไพรส์ จำกัด</t>
  </si>
  <si>
    <t xml:space="preserve">58/275 รามอินทรา 68 แขวง คันนายาว </t>
  </si>
  <si>
    <t xml:space="preserve">02-9180303</t>
  </si>
  <si>
    <t xml:space="preserve">bjjjumbobag@gmail.com</t>
  </si>
  <si>
    <t xml:space="preserve">0105556170486 </t>
  </si>
  <si>
    <t xml:space="preserve">ร้านขายปลีกของใช้อื่นๆในครัวเรือนซึ่งมิได้จัดประเภทไว้ในที่อื่น</t>
  </si>
  <si>
    <t xml:space="preserve">AP-BMS000</t>
  </si>
  <si>
    <t xml:space="preserve">บริษัท บุญมีทรัพย์ เอ็นเตอร์ไพร์ส จำกัด</t>
  </si>
  <si>
    <t xml:space="preserve">82/539 หมู่ 20 ต.บางพลีใหญ่</t>
  </si>
  <si>
    <t xml:space="preserve">02-343312</t>
  </si>
  <si>
    <t xml:space="preserve">0115560004714 </t>
  </si>
  <si>
    <t xml:space="preserve">AP-BRA000</t>
  </si>
  <si>
    <t xml:space="preserve">บริษัท เบรนเวิดส์ โปรเฟสชั่นนอล จำกัด</t>
  </si>
  <si>
    <t xml:space="preserve">199/359 ซ. นวมินทร์ 42 ต.คลองทุ่ม  </t>
  </si>
  <si>
    <t xml:space="preserve">อ.บึงกุ่ม</t>
  </si>
  <si>
    <t xml:space="preserve">02 053 9893</t>
  </si>
  <si>
    <t xml:space="preserve">warut@brainworks.co.th</t>
  </si>
  <si>
    <t xml:space="preserve">0155549000091 </t>
  </si>
  <si>
    <t xml:space="preserve">AP-BTS000</t>
  </si>
  <si>
    <t xml:space="preserve">บริษัท บีทูเอส จำกัด</t>
  </si>
  <si>
    <t xml:space="preserve">919/555 จิวเวลรี่เทรดเซ็นเตอร์ ชั่น 16,17 ถ.สีลม</t>
  </si>
  <si>
    <t xml:space="preserve">สีลม</t>
  </si>
  <si>
    <t xml:space="preserve">02-1017000</t>
  </si>
  <si>
    <t xml:space="preserve">0105538032743 </t>
  </si>
  <si>
    <t xml:space="preserve">AP-BTS001</t>
  </si>
  <si>
    <t xml:space="preserve">บริษัท บี.ที.เอส อินเตอร์-เทรด จำกัด</t>
  </si>
  <si>
    <t xml:space="preserve">13 ซ.เย็นจิต 1 ถ.เย็นจิต แขวงทุ่งวัดดอน </t>
  </si>
  <si>
    <t xml:space="preserve">02-6732149</t>
  </si>
  <si>
    <t xml:space="preserve">0105536050396 </t>
  </si>
  <si>
    <t xml:space="preserve">เครื่องปั๊มลม อะไหล่และอุปกรณ์ เครื่องมือและอุปกรณ์ช่าง</t>
  </si>
  <si>
    <t xml:space="preserve">คุณแอน</t>
  </si>
  <si>
    <t xml:space="preserve">AP-CBO001</t>
  </si>
  <si>
    <t xml:space="preserve">บริษัท ซีบี ออร์กาไนเซอร์ จำกัด (สำนักงานใหญ่)</t>
  </si>
  <si>
    <t xml:space="preserve">43/30 ซ.วิภาวดีรังสิต 41 แขวงสนามบิน </t>
  </si>
  <si>
    <t xml:space="preserve">02-533-5276-8 / 062-709-0850</t>
  </si>
  <si>
    <t xml:space="preserve">cbfactory70@gmail.com</t>
  </si>
  <si>
    <t xml:space="preserve">0105550014342 </t>
  </si>
  <si>
    <t xml:space="preserve">รับจัดกิจกรรมด้านเอ็นเตอร์เทนเม้นท์ สร้างความบันเทิงต่างๆ</t>
  </si>
  <si>
    <t xml:space="preserve">บริษัท โชคเจริญ 2020 จำกัด</t>
  </si>
  <si>
    <t xml:space="preserve">88/199 ม.15 ต.บางปลา</t>
  </si>
  <si>
    <t xml:space="preserve">02 138 2413</t>
  </si>
  <si>
    <t xml:space="preserve">contact@chokjaroen2020.co.th,thanyarat_bum@hotmail.com</t>
  </si>
  <si>
    <t xml:space="preserve">0115558011920 </t>
  </si>
  <si>
    <t xml:space="preserve">AP-CLM000</t>
  </si>
  <si>
    <t xml:space="preserve">บริษัท ซี.แอล.เอ็ม.แพคเกจจิ้ง จำกัด</t>
  </si>
  <si>
    <t xml:space="preserve">46,48,50 ซ.ลาดพร้าววังหิน 26 ถ.ลาดพร้าววังหิน แขวงลาดพร้าว</t>
  </si>
  <si>
    <t xml:space="preserve">02 931 6140</t>
  </si>
  <si>
    <t xml:space="preserve">clmpac@hotmail.com</t>
  </si>
  <si>
    <t xml:space="preserve">0105534018070 </t>
  </si>
  <si>
    <t xml:space="preserve">คุณตุ่ม </t>
  </si>
  <si>
    <t xml:space="preserve">081-8263323</t>
  </si>
  <si>
    <t xml:space="preserve">บริษัท จิ่นเหม่ยเปเปอร์ จำกัด</t>
  </si>
  <si>
    <t xml:space="preserve">590 ซอย 4 นิคมอุตสาหกรรม หมู่ 2 ต.บางปูใหม่</t>
  </si>
  <si>
    <t xml:space="preserve">02-3240997</t>
  </si>
  <si>
    <t xml:space="preserve">info@cmpaper.co.th</t>
  </si>
  <si>
    <t xml:space="preserve">0105533057152 </t>
  </si>
  <si>
    <t xml:space="preserve">ผลิตและจำหน่ายแกนกระดาษ</t>
  </si>
  <si>
    <t xml:space="preserve">คุณจีน่า </t>
  </si>
  <si>
    <t xml:space="preserve">084-0881662</t>
  </si>
  <si>
    <t xml:space="preserve">AP-COL000</t>
  </si>
  <si>
    <t xml:space="preserve">บริษัท ออฟฟิศเมท (ไทย) จำกัด</t>
  </si>
  <si>
    <t xml:space="preserve">919/555 อาคารเซาท์ทาวเวอร์ ชั้น14 ห้อง2 6 และ9 แขวงสีลม</t>
  </si>
  <si>
    <t xml:space="preserve">กรุงเทพมหานคร </t>
  </si>
  <si>
    <t xml:space="preserve">contact@officemate.co.th</t>
  </si>
  <si>
    <t xml:space="preserve">0105537143215 </t>
  </si>
  <si>
    <t xml:space="preserve">บริษัท ดีไอซี กราฟฟิค (ประเทศไทย)</t>
  </si>
  <si>
    <t xml:space="preserve">159/34 อาคารเสริมมิตรทาวเวอร์ ชั้น 20 ซอยอโศก ถ.สุขุมวิท 21 (อโศก) แขวงคลองเตยเหนือ</t>
  </si>
  <si>
    <t xml:space="preserve">02-2606630</t>
  </si>
  <si>
    <t xml:space="preserve">sales@dic.co.th</t>
  </si>
  <si>
    <t xml:space="preserve">0105503001329 </t>
  </si>
  <si>
    <t xml:space="preserve">ผลิต ค้าส่งหมึกพิมพ์และเคมีภัณฑ์เกี่ยวกับงานพิมพ์</t>
  </si>
  <si>
    <t xml:space="preserve">AP-DOC000</t>
  </si>
  <si>
    <t xml:space="preserve">บริษัท ดี โอ โค๊ทติ้ง จำกัด</t>
  </si>
  <si>
    <t xml:space="preserve">583 หมู่4 ถ.พัฒนา1 นิคมอุตสาหกรรมบางปู ต.แพรกษา</t>
  </si>
  <si>
    <t xml:space="preserve">02-3237100</t>
  </si>
  <si>
    <t xml:space="preserve">0115555011881 </t>
  </si>
  <si>
    <t xml:space="preserve">จำหน่ายสีทาไม้ สีน้ำมัน สีพลาสติก และสีทุกชนิด</t>
  </si>
  <si>
    <t xml:space="preserve">AP-DOC001</t>
  </si>
  <si>
    <t xml:space="preserve">บริษัท ดีโอ โค๊ทติ้ง จำกัด (สำนักงานใหญ่)</t>
  </si>
  <si>
    <t xml:space="preserve">583 ม.4 ถ.พัฒนา 1 นิคมอุตสาหกรรมบางปู ต.แพรกษา</t>
  </si>
  <si>
    <t xml:space="preserve">AP-DPL000</t>
  </si>
  <si>
    <t xml:space="preserve">บริษัท สีไดโน จำกัด</t>
  </si>
  <si>
    <t xml:space="preserve">247 ซ.สีสุวรรณ 3 ถ.สุขุมวิท 71 แขวงพระโขนง </t>
  </si>
  <si>
    <t xml:space="preserve">02 738 4111</t>
  </si>
  <si>
    <t xml:space="preserve">sales@dynopaints.com,marketing@dynopaints.com</t>
  </si>
  <si>
    <t xml:space="preserve">0105531024923 </t>
  </si>
  <si>
    <t xml:space="preserve">AP-DPS000</t>
  </si>
  <si>
    <t xml:space="preserve">บริษัท ดี พรีซิชั่น ทูล จำกัด</t>
  </si>
  <si>
    <t xml:space="preserve">02-9171277#117</t>
  </si>
  <si>
    <t xml:space="preserve">0105549031361 </t>
  </si>
  <si>
    <t xml:space="preserve">ผลิตและจำหน่ายใบเลื่อย ใบมีด คัตเตอร์ เร้าท์เตอร์ และอุปกรณ์ต่างๆ</t>
  </si>
  <si>
    <t xml:space="preserve">คุณกัน </t>
  </si>
  <si>
    <t xml:space="preserve">091-7385992</t>
  </si>
  <si>
    <t xml:space="preserve">AP-DRN000</t>
  </si>
  <si>
    <t xml:space="preserve">บริษัท ดรักเนท จำกัด</t>
  </si>
  <si>
    <t xml:space="preserve">15/2 ซอยอุดมสุข9 แขวงบางนาเหนือ</t>
  </si>
  <si>
    <t xml:space="preserve">02-7383030</t>
  </si>
  <si>
    <t xml:space="preserve">0105552050125 </t>
  </si>
  <si>
    <t xml:space="preserve">ขายปลีกสินค้าทางเภสัชกรรม</t>
  </si>
  <si>
    <t xml:space="preserve">AP-DST000</t>
  </si>
  <si>
    <t xml:space="preserve">หจก. โกดังยาดรักสโตร์</t>
  </si>
  <si>
    <t xml:space="preserve">ห้องเลขที่ B104 เลขที่ 115/15  ม.12 ถ.สุขาภิบาล 6 ต.บางใหญ่</t>
  </si>
  <si>
    <t xml:space="preserve">0634469095</t>
  </si>
  <si>
    <t xml:space="preserve">0113564005322 </t>
  </si>
  <si>
    <t xml:space="preserve">AP-FXP000</t>
  </si>
  <si>
    <t xml:space="preserve">บริษัท เฟล็กซ์ซี่-แพค จำกัด</t>
  </si>
  <si>
    <t xml:space="preserve">109/10 หมู่7 ต.บางโฉลง</t>
  </si>
  <si>
    <t xml:space="preserve">095-673155</t>
  </si>
  <si>
    <t xml:space="preserve">0905546000041 </t>
  </si>
  <si>
    <t xml:space="preserve">จำหน่ายพลาสติกใสห่อหุ้มภาชนะ</t>
  </si>
  <si>
    <t xml:space="preserve">คุณกรีน</t>
  </si>
  <si>
    <t xml:space="preserve">AP-H00001</t>
  </si>
  <si>
    <t xml:space="preserve">บริษัท โฮมเน็ตสี่สิบแปดดอทคอม จำกัด</t>
  </si>
  <si>
    <t xml:space="preserve">20 ซ.พหลโยธิน 48 แยก 22-9 แขวงอนุสาวรีย์</t>
  </si>
  <si>
    <t xml:space="preserve">02 971 2979</t>
  </si>
  <si>
    <t xml:space="preserve">homenet48@gmail.com</t>
  </si>
  <si>
    <t xml:space="preserve">0105555045556 </t>
  </si>
  <si>
    <t xml:space="preserve">AP-HDD000</t>
  </si>
  <si>
    <t xml:space="preserve">บริษัท เอชดี.ดิจิตอล.ซีซีทีวี จำกัด (สำนักงานใหญ่)</t>
  </si>
  <si>
    <t xml:space="preserve">53 ซ.ทิพย์วารี ถ.ตรีเพชร แขวงวังบูรพาภิรมย์ </t>
  </si>
  <si>
    <t xml:space="preserve">02--6237608</t>
  </si>
  <si>
    <t xml:space="preserve">hddigital2015@gmail.com ,hddigital4@gmail.com</t>
  </si>
  <si>
    <t xml:space="preserve">0105558187882 </t>
  </si>
  <si>
    <t xml:space="preserve"> รับติดตั้งกล้องวงจรปิด กล้องติดรถยนต์ อุปกรณ์อิเล็กทรอนิกส์ฯ</t>
  </si>
  <si>
    <t xml:space="preserve">AP-HDS000</t>
  </si>
  <si>
    <t xml:space="preserve">ร้าน Home Direct Store</t>
  </si>
  <si>
    <t xml:space="preserve">40 หมู่ 7 ต.ร้องกวาง </t>
  </si>
  <si>
    <t xml:space="preserve">อ.ร้องกวาง </t>
  </si>
  <si>
    <t xml:space="preserve">จ.แพร่</t>
  </si>
  <si>
    <t xml:space="preserve">087 176 6559</t>
  </si>
  <si>
    <t xml:space="preserve">homedirectstore2020@hotmail.com</t>
  </si>
  <si>
    <t xml:space="preserve">3540200607341 </t>
  </si>
  <si>
    <t xml:space="preserve">AP-HMD000</t>
  </si>
  <si>
    <t xml:space="preserve">บริษัท โฮมเมดิคส์ ซัพพลาย จากัด</t>
  </si>
  <si>
    <t xml:space="preserve">212,212/1 ซ.อนามัยงามเจริญ 31 ถ.อนามัยงามเจริญ ต.ท่าข้าม</t>
  </si>
  <si>
    <t xml:space="preserve">อ.บางขุนเทียน</t>
  </si>
  <si>
    <t xml:space="preserve">024055039, 024055040, 0814577755</t>
  </si>
  <si>
    <t xml:space="preserve">sales.safetyhms@gmail.com</t>
  </si>
  <si>
    <t xml:space="preserve">0105554054799 </t>
  </si>
  <si>
    <t xml:space="preserve">AP-HOP000</t>
  </si>
  <si>
    <t xml:space="preserve">บริษัท โฮมโปร จำกัด</t>
  </si>
  <si>
    <t xml:space="preserve">111 ถ.บางนาตราด แขวงบางนา</t>
  </si>
  <si>
    <t xml:space="preserve">02-0805650</t>
  </si>
  <si>
    <t xml:space="preserve">0107544000043 </t>
  </si>
  <si>
    <t xml:space="preserve">บริษัท ฮาร์ดแวร์เฮาส์ จำกัด</t>
  </si>
  <si>
    <t xml:space="preserve">89/9 ม.7 ถ.เทพารักษ์ กม.25 ต.บางเสาธง </t>
  </si>
  <si>
    <t xml:space="preserve">062-602-6600, 062-602-6688</t>
  </si>
  <si>
    <t xml:space="preserve">AP-INB000</t>
  </si>
  <si>
    <t xml:space="preserve">บริษัท อินโนเบล เทรดดิ้ง จำกัด</t>
  </si>
  <si>
    <t xml:space="preserve">77 อาคารออคซิแคร์ ชั้นที่ 5 หมู่ที่ 1 ถนนสุขุมวิท ตำบลห้วยกะปิ</t>
  </si>
  <si>
    <t xml:space="preserve"> อำเภอเมืองชลบุรี</t>
  </si>
  <si>
    <t xml:space="preserve">0205561029191 </t>
  </si>
  <si>
    <t xml:space="preserve">นำเข้าและจำหน่ายผลิตภัณฑ์ยาและอาหารเสริมต่างๆ</t>
  </si>
  <si>
    <t xml:space="preserve">AP-IRP000</t>
  </si>
  <si>
    <t xml:space="preserve">บริษัท ไอราพต ดีเวลลอปเมนท์ จากัด</t>
  </si>
  <si>
    <t xml:space="preserve">81/37 หมู่ 9 ถนนสุวินทวงศ์ แขวงลำผักชี</t>
  </si>
  <si>
    <t xml:space="preserve">เขตหนองจอก</t>
  </si>
  <si>
    <t xml:space="preserve">02 186 0005</t>
  </si>
  <si>
    <t xml:space="preserve">0105550051370 </t>
  </si>
  <si>
    <t xml:space="preserve">จำหน่ายทินเนอร์และเคมีภัณฑ์</t>
  </si>
  <si>
    <t xml:space="preserve">AP-JDS000</t>
  </si>
  <si>
    <t xml:space="preserve">บริษัท จินดาสยาม บรรจุภัณฑ์ จำกัด</t>
  </si>
  <si>
    <t xml:space="preserve">674 ซ.อ่อนนุช 30 แขวงสวนหลวง </t>
  </si>
  <si>
    <t xml:space="preserve">0-2186-0004-7</t>
  </si>
  <si>
    <t xml:space="preserve">0105543056434 </t>
  </si>
  <si>
    <t xml:space="preserve">AP-JPF000</t>
  </si>
  <si>
    <t xml:space="preserve">ร้าน จันทร์เพ็ญค้าผ้า</t>
  </si>
  <si>
    <t xml:space="preserve">127 หมู่ 3 ต.ในคลองบางปลากด </t>
  </si>
  <si>
    <t xml:space="preserve">088-2242733</t>
  </si>
  <si>
    <t xml:space="preserve">ลูกเต๋า</t>
  </si>
  <si>
    <t xml:space="preserve">บริษัท จิ่งหรง พริ้นติ้ง จากัด</t>
  </si>
  <si>
    <t xml:space="preserve">4075/29 หมู่ที่ 3 ซ.วัดด่านสาโรง ถ. สุขุมวิท  ตำบลสาโรงเหนือ</t>
  </si>
  <si>
    <t xml:space="preserve">02-0751890 :0839015015</t>
  </si>
  <si>
    <t xml:space="preserve">0115561019707 </t>
  </si>
  <si>
    <t xml:space="preserve">AP-JTN000</t>
  </si>
  <si>
    <t xml:space="preserve">บริษัท ไทย เจ ที เอ็น จำกัด</t>
  </si>
  <si>
    <t xml:space="preserve">1671 moo 6 Soi Narairuk 3 Teparuk Rd.,</t>
  </si>
  <si>
    <t xml:space="preserve">02-385-2064-5, 086-341-9760, 089-149-5585</t>
  </si>
  <si>
    <t xml:space="preserve">thaijtn@gmail.com</t>
  </si>
  <si>
    <t xml:space="preserve">0115533005187 </t>
  </si>
  <si>
    <t xml:space="preserve">คุณระเบียบ</t>
  </si>
  <si>
    <t xml:space="preserve">AP-KSS000</t>
  </si>
  <si>
    <t xml:space="preserve">ร้าน คุงเซ้งซัพพลาย</t>
  </si>
  <si>
    <t xml:space="preserve">3109 ถนนสุขุมวิท แขวงบางนาเหนือ</t>
  </si>
  <si>
    <t xml:space="preserve">02-3931367</t>
  </si>
  <si>
    <t xml:space="preserve">3100903235645 </t>
  </si>
  <si>
    <t xml:space="preserve">บริษัท เค โซลูชั่น ฟิต จำกัด</t>
  </si>
  <si>
    <t xml:space="preserve">77/37 ซอยพระยาสุเรนทร์ 30 แยก 5 แขวงบางชัน</t>
  </si>
  <si>
    <t xml:space="preserve">0105557037071 </t>
  </si>
  <si>
    <t xml:space="preserve">คุณ ต่อย</t>
  </si>
  <si>
    <t xml:space="preserve">AP-LG0000</t>
  </si>
  <si>
    <t xml:space="preserve">นาย หงษ์ทอง มารัมย์</t>
  </si>
  <si>
    <t xml:space="preserve">48/2 ม.3 ต.ห้วยทับทัน </t>
  </si>
  <si>
    <t xml:space="preserve">อ.ห้วยทับทัน  </t>
  </si>
  <si>
    <t xml:space="preserve">จ.ศรีสะเกษ</t>
  </si>
  <si>
    <t xml:space="preserve">1331200059925 </t>
  </si>
  <si>
    <t xml:space="preserve">คุณดวง</t>
  </si>
  <si>
    <t xml:space="preserve">AP-LTT000</t>
  </si>
  <si>
    <t xml:space="preserve">บริษัท ลอนซ์ เทค(ไทยแลนด์) จพกัด</t>
  </si>
  <si>
    <t xml:space="preserve">289/14 ม.13 ซ. 25/1 ถ.กิ่งแก้ว  ต.ราชาเทวะ</t>
  </si>
  <si>
    <t xml:space="preserve">02-1868930</t>
  </si>
  <si>
    <t xml:space="preserve">0105547162701 </t>
  </si>
  <si>
    <t xml:space="preserve">AP-LZD000</t>
  </si>
  <si>
    <t xml:space="preserve">บริษัท ลาซาด้า จำกัด</t>
  </si>
  <si>
    <t xml:space="preserve">689 อาคารภิรัชทาวเวอร์ ถนนสุขุมวิท แขวงคลองตันเหนือ</t>
  </si>
  <si>
    <t xml:space="preserve"> เขตวัฒนา </t>
  </si>
  <si>
    <t xml:space="preserve">02-018-0000</t>
  </si>
  <si>
    <t xml:space="preserve">service@lazada.co.th</t>
  </si>
  <si>
    <t xml:space="preserve">0105555040244 </t>
  </si>
  <si>
    <t xml:space="preserve">AP-MET002</t>
  </si>
  <si>
    <t xml:space="preserve">บริษัท เมธีกุล จำกัด</t>
  </si>
  <si>
    <t xml:space="preserve">98/3 98/10 หมู่ที่ 22 ต.บางพลีใหญ่</t>
  </si>
  <si>
    <t xml:space="preserve">02-1366223</t>
  </si>
  <si>
    <t xml:space="preserve">0115555003004 </t>
  </si>
  <si>
    <t xml:space="preserve">AP-MSP000</t>
  </si>
  <si>
    <t xml:space="preserve">หจก. มีสุขพงษ์ไทย</t>
  </si>
  <si>
    <t xml:space="preserve">468 ซ.อ่อนนุช แยก 16  ถ.สุขุมวิท ต.สวนหลวง</t>
  </si>
  <si>
    <t xml:space="preserve">อ.สวนหลวง</t>
  </si>
  <si>
    <t xml:space="preserve">063-1474620</t>
  </si>
  <si>
    <t xml:space="preserve">mesukstamp@gmail.com</t>
  </si>
  <si>
    <t xml:space="preserve">0103553010061 </t>
  </si>
  <si>
    <t xml:space="preserve">AP-NEW000</t>
  </si>
  <si>
    <t xml:space="preserve">บริษัท นิวแม็ก จำกัด</t>
  </si>
  <si>
    <t xml:space="preserve">107/1 ถ.เฉลิมพระเกียรติร.9 แขวงประเวศ</t>
  </si>
  <si>
    <t xml:space="preserve">02-7268000</t>
  </si>
  <si>
    <t xml:space="preserve">sales@pneumax.co.th</t>
  </si>
  <si>
    <t xml:space="preserve">0105524020764 </t>
  </si>
  <si>
    <t xml:space="preserve">น้ำยาฝั่งหิน</t>
  </si>
  <si>
    <t xml:space="preserve">คุณแจง </t>
  </si>
  <si>
    <t xml:space="preserve">065-6162293</t>
  </si>
  <si>
    <t xml:space="preserve">AP-OSH001</t>
  </si>
  <si>
    <t xml:space="preserve">บริษัท วันสต๊อกโฮม จำกัด (สำนักงานใหญ่)</t>
  </si>
  <si>
    <t xml:space="preserve">เลขที่ 1-7 อาคารซิลลิค เฮ้าส์ ชั้น 4 ห้อง 02 ถนนสีลม สีลม </t>
  </si>
  <si>
    <t xml:space="preserve">02 078 1222</t>
  </si>
  <si>
    <t xml:space="preserve">cs@onestockhome.com</t>
  </si>
  <si>
    <t xml:space="preserve">0105559043752 </t>
  </si>
  <si>
    <t xml:space="preserve">AP-PCB000</t>
  </si>
  <si>
    <t xml:space="preserve">ร้าน PAPA Coffee &amp; Bakery</t>
  </si>
  <si>
    <t xml:space="preserve">ร้านค้าใน Shopee</t>
  </si>
  <si>
    <t xml:space="preserve">AP-PCP000</t>
  </si>
  <si>
    <t xml:space="preserve">บริษัท โปร-แคร์ แพ็คเกจจิ้ง จำกัด</t>
  </si>
  <si>
    <t xml:space="preserve">150/90 นิคมอุตสาหกรรมปิ่นทอง 2 หมู่ 9 ต.หนองขา</t>
  </si>
  <si>
    <t xml:space="preserve"> อ.ศรีราชา </t>
  </si>
  <si>
    <t xml:space="preserve">095-0673155</t>
  </si>
  <si>
    <t xml:space="preserve">CS1@procarepackaging.com</t>
  </si>
  <si>
    <t xml:space="preserve">0205548015590 </t>
  </si>
  <si>
    <t xml:space="preserve">โฟม HANDLE J</t>
  </si>
  <si>
    <t xml:space="preserve">AP-PDD000</t>
  </si>
  <si>
    <t xml:space="preserve">บริษัท เพชร.ดี.ดี วัสดุก่อสร้าง จำกัด</t>
  </si>
  <si>
    <t xml:space="preserve">872 หมู่ที่2 ต.แพรกษา</t>
  </si>
  <si>
    <t xml:space="preserve">094-3728866</t>
  </si>
  <si>
    <t xml:space="preserve">0115560015996 </t>
  </si>
  <si>
    <t xml:space="preserve">หจก. โปรเฟส ซัพพลาย</t>
  </si>
  <si>
    <t xml:space="preserve">234 ม.4 ต.ท่าช้าง </t>
  </si>
  <si>
    <t xml:space="preserve">จ.สงขลา</t>
  </si>
  <si>
    <t xml:space="preserve">086 488 4291</t>
  </si>
  <si>
    <t xml:space="preserve">glovepfs.n@gmail.com</t>
  </si>
  <si>
    <t xml:space="preserve">0903556002118 </t>
  </si>
  <si>
    <t xml:space="preserve">AP-PHT000</t>
  </si>
  <si>
    <t xml:space="preserve">บริษัท พี.เอช. ทาร์โพลีน จำกัด(สำนักงานใหญ่)</t>
  </si>
  <si>
    <t xml:space="preserve">101/214 ถ.กัลปพฤกษ์ แขวงคลองบางพราน </t>
  </si>
  <si>
    <t xml:space="preserve">0105564072285 </t>
  </si>
  <si>
    <t xml:space="preserve">AP-PKD000</t>
  </si>
  <si>
    <t xml:space="preserve">ร้าน ผ้าขายดี</t>
  </si>
  <si>
    <t xml:space="preserve">606/124 ต.บางเสาธง</t>
  </si>
  <si>
    <t xml:space="preserve"> อ.บางเสาธง</t>
  </si>
  <si>
    <t xml:space="preserve">AP-PLT000</t>
  </si>
  <si>
    <t xml:space="preserve">บริษัท เพาว์เวอร์ ไลฟ์ เทค (ประเทศไทย) จำกัด</t>
  </si>
  <si>
    <t xml:space="preserve">2008/458 ม.8 ต.บางปูใหม่</t>
  </si>
  <si>
    <t xml:space="preserve">081-281-3621</t>
  </si>
  <si>
    <t xml:space="preserve">powerlife.tech20@gmail.com</t>
  </si>
  <si>
    <t xml:space="preserve">0115563024074 </t>
  </si>
  <si>
    <t xml:space="preserve">AP-PSR000</t>
  </si>
  <si>
    <t xml:space="preserve">นาย พงษ์ศิริ บุญศิริ(สามพันมอเตอร์)</t>
  </si>
  <si>
    <t xml:space="preserve">242/30 ถ.ประชานฤมิตร แขวงบางซื่อ</t>
  </si>
  <si>
    <t xml:space="preserve">อ.บางซื่อ</t>
  </si>
  <si>
    <t xml:space="preserve">5330600006474 </t>
  </si>
  <si>
    <t xml:space="preserve">AP-PTN002</t>
  </si>
  <si>
    <t xml:space="preserve">บริษัท พัฒนาการ กรุ๊ป จำกัด</t>
  </si>
  <si>
    <t xml:space="preserve">เลขที่ 140 ซ.พัฒนาการ 29 ต.สวนหลวง</t>
  </si>
  <si>
    <t xml:space="preserve">095-794-5656</t>
  </si>
  <si>
    <t xml:space="preserve">0105560135908 </t>
  </si>
  <si>
    <t xml:space="preserve">บริษัท พร้อมธรรม แพ็คเก็จจิ้ง จำกัด</t>
  </si>
  <si>
    <t xml:space="preserve">222/34 หมู่บ้านอีโคสเปซ (บางนาวงแหวน) </t>
  </si>
  <si>
    <t xml:space="preserve">0115562012561 </t>
  </si>
  <si>
    <t xml:space="preserve">AP-RGF000</t>
  </si>
  <si>
    <t xml:space="preserve">บริษัท ริช กลาส เฟรม (สานักงานใหญ่)</t>
  </si>
  <si>
    <t xml:space="preserve">115/300 หมู่ 8 ต.บางแก้ว</t>
  </si>
  <si>
    <t xml:space="preserve">081-9045886</t>
  </si>
  <si>
    <t xml:space="preserve">aluminamyes@gmail.com</t>
  </si>
  <si>
    <t xml:space="preserve">0115563006831 </t>
  </si>
  <si>
    <t xml:space="preserve">ชไมพร บานอ่อน</t>
  </si>
  <si>
    <t xml:space="preserve">AP-RMC000</t>
  </si>
  <si>
    <t xml:space="preserve">บริษัท ราชาเมทัลชีท จากัด</t>
  </si>
  <si>
    <t xml:space="preserve">88/8 หมู่ 2 ถ.บางพลีตาหรุ ต.แพรกษาใหม่</t>
  </si>
  <si>
    <t xml:space="preserve">02-0448888</t>
  </si>
  <si>
    <t xml:space="preserve">0115555001575 </t>
  </si>
  <si>
    <t xml:space="preserve">วิภาวดี</t>
  </si>
  <si>
    <t xml:space="preserve">AP-ROC000</t>
  </si>
  <si>
    <t xml:space="preserve">บริษัท ไทยร็อค เฟอร์เทค จำกัด</t>
  </si>
  <si>
    <t xml:space="preserve">79/139 ม 19 ซ.ธนสิทธิ์</t>
  </si>
  <si>
    <t xml:space="preserve">02-174-6262</t>
  </si>
  <si>
    <t xml:space="preserve">rockyfurniture@yahoo.com</t>
  </si>
  <si>
    <t xml:space="preserve">AP-SFL000</t>
  </si>
  <si>
    <t xml:space="preserve">บริษัท สยาม ฟลอริ่ง จำกัด</t>
  </si>
  <si>
    <t xml:space="preserve">123 ซอย อ่อนนุช32 ต.สวนหลวง</t>
  </si>
  <si>
    <t xml:space="preserve">02-0266293 ,097-1793187</t>
  </si>
  <si>
    <t xml:space="preserve">sales@siamflooring.com</t>
  </si>
  <si>
    <t xml:space="preserve">0105556049105 </t>
  </si>
  <si>
    <t xml:space="preserve">Phumipat</t>
  </si>
  <si>
    <t xml:space="preserve">AP-SHH000</t>
  </si>
  <si>
    <t xml:space="preserve">บริษัท สยาม เฮ้าส์ แอนด์ โฮม จำกัด สาขาที่00002</t>
  </si>
  <si>
    <t xml:space="preserve">365 ถนนฉลองกรุง แขวงลำปลาทิว </t>
  </si>
  <si>
    <t xml:space="preserve">02-542-0555</t>
  </si>
  <si>
    <t xml:space="preserve">marketingsiamhouse@gmail.com</t>
  </si>
  <si>
    <t xml:space="preserve">0105544042461 </t>
  </si>
  <si>
    <t xml:space="preserve">บริษัท ซูเปอร์โฮมมาร์ท จำกัด (สำนักงานใหญ่)</t>
  </si>
  <si>
    <t xml:space="preserve">654/23 ถ.พระราม 4 แขวงสีลม</t>
  </si>
  <si>
    <t xml:space="preserve">02-235-4941</t>
  </si>
  <si>
    <t xml:space="preserve">Sales@superhomemart.com</t>
  </si>
  <si>
    <t xml:space="preserve">0105560057869 </t>
  </si>
  <si>
    <t xml:space="preserve">AP-SIK000</t>
  </si>
  <si>
    <t xml:space="preserve">บริษัท ศิริไกรอุตสาหการ จำกัด</t>
  </si>
  <si>
    <t xml:space="preserve">297 ถ.รามคำแหง ต.ราษฏร์พัฒนา </t>
  </si>
  <si>
    <t xml:space="preserve">อ.สะพานสูง</t>
  </si>
  <si>
    <t xml:space="preserve">02-917-1277</t>
  </si>
  <si>
    <t xml:space="preserve">antipolltion@furniline.co.th</t>
  </si>
  <si>
    <t xml:space="preserve">0105531022131 </t>
  </si>
  <si>
    <t xml:space="preserve">AP-SPR000</t>
  </si>
  <si>
    <t xml:space="preserve">หจก. สีปุณยรัตน์จันทนิมิต</t>
  </si>
  <si>
    <t xml:space="preserve">110 Soi Chanthanimit 5 ตำบล จันทนิมิต </t>
  </si>
  <si>
    <t xml:space="preserve">อำเภอเมืองจันทบุรี</t>
  </si>
  <si>
    <t xml:space="preserve">จ.จันทบุรี </t>
  </si>
  <si>
    <t xml:space="preserve">039-322-785</t>
  </si>
  <si>
    <t xml:space="preserve">sprasertsung@gmail.com</t>
  </si>
  <si>
    <t xml:space="preserve">AP-SPS000</t>
  </si>
  <si>
    <t xml:space="preserve">ร้าน สยามเภสัช</t>
  </si>
  <si>
    <t xml:space="preserve">420/24 25 หมู่บ้านทิพวัล 1 ถ. เทพารักษ์ ต.เทพารักษ์</t>
  </si>
  <si>
    <t xml:space="preserve">02-3943097</t>
  </si>
  <si>
    <t xml:space="preserve">3110101780951 </t>
  </si>
  <si>
    <t xml:space="preserve">AP-SPS001</t>
  </si>
  <si>
    <t xml:space="preserve">หจก. สุขสันต์ แพ็คกิ้ง แอนด์ พรินติ้ง ซัพพลาย</t>
  </si>
  <si>
    <t xml:space="preserve">13/9 ม.4 ถ.บางนาตราด กม.28 </t>
  </si>
  <si>
    <t xml:space="preserve">02 708 5276</t>
  </si>
  <si>
    <t xml:space="preserve">0113549004493 </t>
  </si>
  <si>
    <t xml:space="preserve">คุณ หน่อย</t>
  </si>
  <si>
    <t xml:space="preserve">AP-SRK000</t>
  </si>
  <si>
    <t xml:space="preserve">425 ถนนรามคำแหง แขวงสะพานสูง</t>
  </si>
  <si>
    <t xml:space="preserve">จำหน่ายเครื่องจักรและอะไหล่ที่ใช้ทำเฟอร์นิเจอร์</t>
  </si>
  <si>
    <t xml:space="preserve">คุณปรพภารัตน์  </t>
  </si>
  <si>
    <t xml:space="preserve">082-7824703</t>
  </si>
  <si>
    <t xml:space="preserve">ร้าน ศิริลักษณ์</t>
  </si>
  <si>
    <t xml:space="preserve">999/18 หมู่ 1 ถ.สุขุมวิท ต.สำโรงเหนือ</t>
  </si>
  <si>
    <t xml:space="preserve">098 383 1553</t>
  </si>
  <si>
    <t xml:space="preserve">Irissmile1998@gmail.com</t>
  </si>
  <si>
    <t xml:space="preserve">AP-SRN000</t>
  </si>
  <si>
    <t xml:space="preserve">บริษัท ศิรินครเพนท์ซัพพลาย จำกัด (สำนักงานใหญ่)</t>
  </si>
  <si>
    <t xml:space="preserve">197 ถ.จันทน์ แขวงทุ่งวัดดอน </t>
  </si>
  <si>
    <t xml:space="preserve">02-2116806</t>
  </si>
  <si>
    <t xml:space="preserve">0105552061071 </t>
  </si>
  <si>
    <t xml:space="preserve">คุณบอล</t>
  </si>
  <si>
    <t xml:space="preserve">บริษัท สไตเนอร์ท จำกัด</t>
  </si>
  <si>
    <t xml:space="preserve">3/5 ถนนนนทรี  แขวงช่องนนทรี </t>
  </si>
  <si>
    <t xml:space="preserve">081-4051673</t>
  </si>
  <si>
    <t xml:space="preserve">info@steinert.co.th</t>
  </si>
  <si>
    <t xml:space="preserve">0105544040663 </t>
  </si>
  <si>
    <t xml:space="preserve">คุณยอดรัก</t>
  </si>
  <si>
    <t xml:space="preserve">บริษัท ส.ธนภัทร (888) จำกัด</t>
  </si>
  <si>
    <t xml:space="preserve">281 หมู่บ้าน กราฟฟิคเพลส หมู่ 1 ถ.เทพารักษ์ ต.บางเสาธง</t>
  </si>
  <si>
    <t xml:space="preserve">081-723-0436</t>
  </si>
  <si>
    <t xml:space="preserve">0115557010296 </t>
  </si>
  <si>
    <t xml:space="preserve">คุณสัญญา </t>
  </si>
  <si>
    <t xml:space="preserve">081-7230436</t>
  </si>
  <si>
    <t xml:space="preserve">AP-SUN000</t>
  </si>
  <si>
    <t xml:space="preserve">บริษัท ซัน ควอลิตี้ อินดัสทรีส์ จำกัด</t>
  </si>
  <si>
    <t xml:space="preserve">112/2 ซ.เทียนทะเล20 ถ.บางขุนเทียน-ชายทะเล  แขวงแสมดำ </t>
  </si>
  <si>
    <t xml:space="preserve">086-551-9565</t>
  </si>
  <si>
    <t xml:space="preserve">sun1999_q@hotmail.com</t>
  </si>
  <si>
    <t xml:space="preserve">0105552126580 </t>
  </si>
  <si>
    <t xml:space="preserve">คุณ;ioyo </t>
  </si>
  <si>
    <t xml:space="preserve">086-5519565</t>
  </si>
  <si>
    <t xml:space="preserve">AP-TBW000</t>
  </si>
  <si>
    <t xml:space="preserve">บริษัท ทีบีวู้ดพลัส จำกัด</t>
  </si>
  <si>
    <t xml:space="preserve">38/1 ม.1 ถ.กิ่งแก้ว ราชาเทวะ</t>
  </si>
  <si>
    <t xml:space="preserve">086-364-5492</t>
  </si>
  <si>
    <t xml:space="preserve">office@tbwoodplus.com</t>
  </si>
  <si>
    <t xml:space="preserve">0115562019522</t>
  </si>
  <si>
    <t xml:space="preserve">AP-TMP000</t>
  </si>
  <si>
    <t xml:space="preserve">บริษัท ที เมทัล เพาเดอร์ จำกัด</t>
  </si>
  <si>
    <t xml:space="preserve">160/193 ม.13 ต.สวนหลวง </t>
  </si>
  <si>
    <t xml:space="preserve">อ.กระทุ่มแบน </t>
  </si>
  <si>
    <t xml:space="preserve">0745561009242 </t>
  </si>
  <si>
    <t xml:space="preserve">AP-TPE000</t>
  </si>
  <si>
    <t xml:space="preserve">บริษัท ทีพีอี เทรดดิ้ง แอนด์ เซอร์วิส จำกัด</t>
  </si>
  <si>
    <t xml:space="preserve">279/329 ต.ในคลองบางปลากด </t>
  </si>
  <si>
    <t xml:space="preserve">095-5435665</t>
  </si>
  <si>
    <t xml:space="preserve">0115562008857 </t>
  </si>
  <si>
    <t xml:space="preserve">AP-TPS001</t>
  </si>
  <si>
    <t xml:space="preserve">หจก. ไทยพัฒนสิน แมชชีนทูลส์</t>
  </si>
  <si>
    <t xml:space="preserve">246, 248, 250 ถนนกาญจนาภิเษก แขวงบางแค</t>
  </si>
  <si>
    <t xml:space="preserve">เขตบางแค</t>
  </si>
  <si>
    <t xml:space="preserve">02-4555378</t>
  </si>
  <si>
    <t xml:space="preserve">0103550024508 </t>
  </si>
  <si>
    <t xml:space="preserve">นัท </t>
  </si>
  <si>
    <t xml:space="preserve">061-394-0880</t>
  </si>
  <si>
    <t xml:space="preserve">AP-TTP000</t>
  </si>
  <si>
    <t xml:space="preserve">บริษัท ทิพย์ธนาพร จำกัด (สำนักงานใหญ่)</t>
  </si>
  <si>
    <t xml:space="preserve">46 ซ.บางนา-ตราด 25 แขวงบางนาเหนือ </t>
  </si>
  <si>
    <t xml:space="preserve">02-361-9036</t>
  </si>
  <si>
    <t xml:space="preserve">thiptanaporn.enquiry@gmail.com,chongyzz@gmail.com</t>
  </si>
  <si>
    <t xml:space="preserve">0105537009080 </t>
  </si>
  <si>
    <t xml:space="preserve">AP-UNS000</t>
  </si>
  <si>
    <t xml:space="preserve">ร้าน ยูเนี่ยนซัพพลาย</t>
  </si>
  <si>
    <t xml:space="preserve">29/41 ม.3 ต.วัดชลอ </t>
  </si>
  <si>
    <t xml:space="preserve">อ.บางกรวย </t>
  </si>
  <si>
    <t xml:space="preserve">ปทุทธานี</t>
  </si>
  <si>
    <t xml:space="preserve">081-8395088</t>
  </si>
  <si>
    <t xml:space="preserve">3120200353318 </t>
  </si>
  <si>
    <t xml:space="preserve">นายประเสริฐ ชาตะปัทมะ</t>
  </si>
  <si>
    <t xml:space="preserve">AP-UNT000</t>
  </si>
  <si>
    <t xml:space="preserve">บริษัท ยูไนเต็ด ดิจิตอล ซัพพลาย จำกัด</t>
  </si>
  <si>
    <t xml:space="preserve">16,18 ซ.พระยามนธาตุ แยก 9 ถ.พระยามธาตุ ต.คลองบางบอน</t>
  </si>
  <si>
    <t xml:space="preserve">อ.บางบอน</t>
  </si>
  <si>
    <t xml:space="preserve">02-818-3717</t>
  </si>
  <si>
    <t xml:space="preserve">0105550063327 </t>
  </si>
  <si>
    <t xml:space="preserve">AP-UTL001</t>
  </si>
  <si>
    <t xml:space="preserve">บริษัท ยูเนี่ยน ทีเอสแอล จำกัด</t>
  </si>
  <si>
    <t xml:space="preserve">14/1 ซ.สุขสวัสดิ21 แขวงบางปะกอก</t>
  </si>
  <si>
    <t xml:space="preserve">02-428-1502</t>
  </si>
  <si>
    <t xml:space="preserve">sale@utsl.co.th</t>
  </si>
  <si>
    <t xml:space="preserve">0105535156361 </t>
  </si>
  <si>
    <t xml:space="preserve">AP-UWL000</t>
  </si>
  <si>
    <t xml:space="preserve">บริษัท ยูนิค แวลลู จำกัด</t>
  </si>
  <si>
    <t xml:space="preserve">179/33,179/34,179/44,179/45 ม.10 ต.สวนหลวง</t>
  </si>
  <si>
    <t xml:space="preserve">0745557002042 </t>
  </si>
  <si>
    <t xml:space="preserve">บริษัท เหย่ายี่ กรุ๊ป จำกัด</t>
  </si>
  <si>
    <t xml:space="preserve">99/177 หมู่ 2 ต.ท่าเสา </t>
  </si>
  <si>
    <t xml:space="preserve">095-6486908</t>
  </si>
  <si>
    <t xml:space="preserve">0745560006959 </t>
  </si>
  <si>
    <t xml:space="preserve">APIOC000</t>
  </si>
  <si>
    <t xml:space="preserve"> IOC.Rigs</t>
  </si>
  <si>
    <t xml:space="preserve">APKTS000</t>
  </si>
  <si>
    <t xml:space="preserve">ร้าน katesuriyong(shopee)</t>
  </si>
  <si>
    <t xml:space="preserve">AP-BAD000</t>
  </si>
  <si>
    <t xml:space="preserve">บริษัท แบลค แอนด์ เด็กค์เคอร์ (ประเทศไทย) จำกัด</t>
  </si>
  <si>
    <t xml:space="preserve">ศูนย์บริการ เลขที 42/6 หมู่ 1 ยูนิต 5/2 ต.สำโรง</t>
  </si>
  <si>
    <t xml:space="preserve">062-7484800</t>
  </si>
  <si>
    <t xml:space="preserve">support.th@holablackanddecker.zendesk.com</t>
  </si>
  <si>
    <t xml:space="preserve">0105522014562 </t>
  </si>
  <si>
    <t xml:space="preserve">พิชญาภคั บุญสิงห์</t>
  </si>
  <si>
    <t xml:space="preserve">AP-BKR000</t>
  </si>
  <si>
    <t xml:space="preserve">บริษัท บางกอก รีพริกเจอเรชั่น จำกัด</t>
  </si>
  <si>
    <t xml:space="preserve">17 ซ.พัฒนเวศม์ 8 ถ.สุขุมวิท 71 แขวงพระโขนงเหนือ</t>
  </si>
  <si>
    <t xml:space="preserve">02-7117082</t>
  </si>
  <si>
    <t xml:space="preserve">0105533019889 </t>
  </si>
  <si>
    <t xml:space="preserve">บริษัท บอร์เนียว เทคนิเคิล (ประเทศไทย) จำกัด</t>
  </si>
  <si>
    <t xml:space="preserve">89/175 ถ.วิภาวดีรังสิต แขวงตลาดบางบอน </t>
  </si>
  <si>
    <t xml:space="preserve">02-0814900</t>
  </si>
  <si>
    <t xml:space="preserve">operator@borneothai.com</t>
  </si>
  <si>
    <t xml:space="preserve">0105504001047 </t>
  </si>
  <si>
    <t xml:space="preserve">AP-BTSS000</t>
  </si>
  <si>
    <t xml:space="preserve">บริษัท บาร์โค้ด เทค ซิสเต็มส์ แอนด์ ซัพพลายส์ จำกัด</t>
  </si>
  <si>
    <t xml:space="preserve">349 ซอย อินทามระ 47  แขวงดินแดง</t>
  </si>
  <si>
    <t xml:space="preserve">เขตดินแดง</t>
  </si>
  <si>
    <t xml:space="preserve">02-2752465</t>
  </si>
  <si>
    <t xml:space="preserve">0105560009716 </t>
  </si>
  <si>
    <t xml:space="preserve">AP-BUI001</t>
  </si>
  <si>
    <t xml:space="preserve">บริษัท บิลด์สมาร์ท จำกัด (สำนักงานใหญ่)</t>
  </si>
  <si>
    <t xml:space="preserve">288 ม.6 ถ.ตำหรุ-บางพลี ต.แพรกษาใหม่</t>
  </si>
  <si>
    <t xml:space="preserve">02-183-8558</t>
  </si>
  <si>
    <t xml:space="preserve">buildsmart@hotmail.co.th</t>
  </si>
  <si>
    <t xml:space="preserve">0115557002412 </t>
  </si>
  <si>
    <t xml:space="preserve">AP-CNM000</t>
  </si>
  <si>
    <t xml:space="preserve">บริษัท แคนนอน มาร์เก็ตติ้ง (ไทยแลนด์) จำกัด</t>
  </si>
  <si>
    <t xml:space="preserve">สาทรสแควร์ ออฟฟิศ ทาวเวอร์ 22-24 เลขที่ 98 ถ.สาทรเหนือ ต.สีลม</t>
  </si>
  <si>
    <t xml:space="preserve">02-344-9988</t>
  </si>
  <si>
    <t xml:space="preserve">0100537006439 </t>
  </si>
  <si>
    <t xml:space="preserve">AP-EVC000</t>
  </si>
  <si>
    <t xml:space="preserve">บริษัท เอเวอร์โคทอินดัสตรี้ (ประเทศไทย) จำกัด</t>
  </si>
  <si>
    <t xml:space="preserve">59/10 หมู่4 ต.เชียงรากน้อย</t>
  </si>
  <si>
    <t xml:space="preserve">อ.สามโคก </t>
  </si>
  <si>
    <t xml:space="preserve">จ.ปราจีนบุรี </t>
  </si>
  <si>
    <t xml:space="preserve">02-1594934</t>
  </si>
  <si>
    <t xml:space="preserve">0135549004894 </t>
  </si>
  <si>
    <t xml:space="preserve">คุณออม</t>
  </si>
  <si>
    <t xml:space="preserve">086-895-1187 </t>
  </si>
  <si>
    <t xml:space="preserve">AP-FEI001</t>
  </si>
  <si>
    <t xml:space="preserve"> เครื่องดับเพลิง อิมพิเรียล จำกัด(สำนักงานใหญ่)</t>
  </si>
  <si>
    <t xml:space="preserve">381/7 ซอยพระรามเก้า 58 (ซอย 7 เสรี 7) แขวงพัฒนาการ</t>
  </si>
  <si>
    <t xml:space="preserve">02-3186445</t>
  </si>
  <si>
    <t xml:space="preserve">0105523005940 </t>
  </si>
  <si>
    <t xml:space="preserve">AP-FJF000</t>
  </si>
  <si>
    <t xml:space="preserve">บริษัท ฟูจิฟิล์ม บิสซิเนส อินโนเวชั่น (ประเทศไทย) จำกัด</t>
  </si>
  <si>
    <t xml:space="preserve">123 อาคารซันทาวเวอร์ส เอ ชั้น 23 26 ถ.วิภาวดี รังสิต แขวงจอมพล</t>
  </si>
  <si>
    <t xml:space="preserve">0863515115</t>
  </si>
  <si>
    <t xml:space="preserve">0105521009891 </t>
  </si>
  <si>
    <t xml:space="preserve">Kongkiet</t>
  </si>
  <si>
    <t xml:space="preserve">AP-FOR000</t>
  </si>
  <si>
    <t xml:space="preserve">บริษัท ฟอร์ยูไอแคน จำกัด (สำนักงานใหญ่)</t>
  </si>
  <si>
    <t xml:space="preserve">69/103 หมู่ที่ 4 ต.บางเมืองใหม่</t>
  </si>
  <si>
    <t xml:space="preserve">0909876051</t>
  </si>
  <si>
    <t xml:space="preserve">0115561009531 </t>
  </si>
  <si>
    <t xml:space="preserve">AP-FRM000</t>
  </si>
  <si>
    <t xml:space="preserve">บริษัท แฟ็คทอรี่ แม็กซ์ จำกัด</t>
  </si>
  <si>
    <t xml:space="preserve">6/151,153,155,157 ม.7 ถ.ศรีนครินทร์ ต.บางเมือง</t>
  </si>
  <si>
    <t xml:space="preserve">02-3338888</t>
  </si>
  <si>
    <t xml:space="preserve">sales@factorymax.co.th</t>
  </si>
  <si>
    <t xml:space="preserve">0115539000110 </t>
  </si>
  <si>
    <t xml:space="preserve">AP-IWM000</t>
  </si>
  <si>
    <t xml:space="preserve">บริษัท อีวาแมค จำกัด</t>
  </si>
  <si>
    <t xml:space="preserve">53/5 หมู่ 3 ถนนราชพฤกษ์ ตำบลบางรักน้อย </t>
  </si>
  <si>
    <t xml:space="preserve">อำเภอเมืองนนทบุรี </t>
  </si>
  <si>
    <t xml:space="preserve">02-1570559</t>
  </si>
  <si>
    <t xml:space="preserve">sales@iwata-th.com</t>
  </si>
  <si>
    <t xml:space="preserve">0105536056424 </t>
  </si>
  <si>
    <t xml:space="preserve">AP-JTS000</t>
  </si>
  <si>
    <t xml:space="preserve">บริษัท จัสติน 2021 เซลแอนด์เซอร์วิส จำกัด</t>
  </si>
  <si>
    <t xml:space="preserve">55/86 หมู่ที่ 1 ตำบลบางกร่าง</t>
  </si>
  <si>
    <t xml:space="preserve">อำเภอเมืองนนทบุรี</t>
  </si>
  <si>
    <t xml:space="preserve">080 827 4788</t>
  </si>
  <si>
    <t xml:space="preserve">0125564003020 </t>
  </si>
  <si>
    <t xml:space="preserve">AP-JUW000</t>
  </si>
  <si>
    <t xml:space="preserve">บริษัท จั๊มเวย์ จำกัด</t>
  </si>
  <si>
    <t xml:space="preserve">1 หมู่ที่ 1 ต.หอมศีล </t>
  </si>
  <si>
    <t xml:space="preserve">จ.ฉะเชิงเทรา</t>
  </si>
  <si>
    <t xml:space="preserve">038-989646-55</t>
  </si>
  <si>
    <t xml:space="preserve">0245552000569 </t>
  </si>
  <si>
    <t xml:space="preserve">AP-KBL000</t>
  </si>
  <si>
    <t xml:space="preserve">บริษัท เคบล็อค เทคโนโลยี จำกัด</t>
  </si>
  <si>
    <t xml:space="preserve">1583 ซอยลาดพร้าว 94 ถ.ลาดพร้าว แขวงพลับพลา </t>
  </si>
  <si>
    <t xml:space="preserve">02-5592321</t>
  </si>
  <si>
    <t xml:space="preserve">0105557094571 </t>
  </si>
  <si>
    <t xml:space="preserve">ออย</t>
  </si>
  <si>
    <t xml:space="preserve">095-745-5398</t>
  </si>
  <si>
    <t xml:space="preserve">AP-KKM000</t>
  </si>
  <si>
    <t xml:space="preserve">หจก. คลังเครื่องมือ</t>
  </si>
  <si>
    <t xml:space="preserve">101/255-256 กัลปพฤกษ์ แขวงคลองบางพราน </t>
  </si>
  <si>
    <t xml:space="preserve">092-4408800</t>
  </si>
  <si>
    <t xml:space="preserve">0103562007751 </t>
  </si>
  <si>
    <t xml:space="preserve">AP-LPS000</t>
  </si>
  <si>
    <t xml:space="preserve">บริษัท บี คิว จำกัด</t>
  </si>
  <si>
    <t xml:space="preserve">29 ซ.บางนา-ตราด 34 ต.บางนา</t>
  </si>
  <si>
    <t xml:space="preserve">089-029-8381</t>
  </si>
  <si>
    <t xml:space="preserve">sale@bqbestquality.com</t>
  </si>
  <si>
    <t xml:space="preserve">0105533145175 </t>
  </si>
  <si>
    <t xml:space="preserve">AP-MTH000</t>
  </si>
  <si>
    <t xml:space="preserve">บริษัท อังซอรีย์ มาสเตอร์ฮาร์ดแวร์ จำกัด</t>
  </si>
  <si>
    <t xml:space="preserve">1555 ถ.เพชรเกษม ต.หาดใหญ่</t>
  </si>
  <si>
    <t xml:space="preserve"> อ.หาดใหญ่ </t>
  </si>
  <si>
    <t xml:space="preserve">074-266296</t>
  </si>
  <si>
    <t xml:space="preserve">0905557000382 </t>
  </si>
  <si>
    <t xml:space="preserve">AP-PKKT000</t>
  </si>
  <si>
    <t xml:space="preserve">นาย พร คล้ายกระโทก</t>
  </si>
  <si>
    <t xml:space="preserve">81 หมู่ที่ 1 ต.สำโรง</t>
  </si>
  <si>
    <t xml:space="preserve">อ.ปักธงชัย </t>
  </si>
  <si>
    <t xml:space="preserve">098-6563289</t>
  </si>
  <si>
    <t xml:space="preserve">3301400230561 </t>
  </si>
  <si>
    <t xml:space="preserve">บริษัท พีเอ็นพี อินเตอร์แพค</t>
  </si>
  <si>
    <t xml:space="preserve">99/62 หมู่ 7 ต.หลักสาม</t>
  </si>
  <si>
    <t xml:space="preserve"> อ.บ้านแพ้ว </t>
  </si>
  <si>
    <t xml:space="preserve">จ.</t>
  </si>
  <si>
    <t xml:space="preserve">080-9990919</t>
  </si>
  <si>
    <t xml:space="preserve">ppinterpack@gmail.com</t>
  </si>
  <si>
    <t xml:space="preserve">3101501020751 </t>
  </si>
  <si>
    <t xml:space="preserve">AP-PRSK000</t>
  </si>
  <si>
    <t xml:space="preserve">บริษัท แปซิฟิค อาร์.เอส.เค.อินเตอร์เนชั่นแนล</t>
  </si>
  <si>
    <t xml:space="preserve">226,228 ถ.เฉลิมนิมิตร(ฝั่งขวา) แขวงบางโคล่</t>
  </si>
  <si>
    <t xml:space="preserve">เขตบางคอแหลม </t>
  </si>
  <si>
    <t xml:space="preserve">02-2923111-4</t>
  </si>
  <si>
    <t xml:space="preserve">0105533065392 </t>
  </si>
  <si>
    <t xml:space="preserve">AP-SAH000</t>
  </si>
  <si>
    <t xml:space="preserve">สมาคมส่งเสริมความปลอดภัยและอนามัยในการทำงาน(ประเทศไทย)</t>
  </si>
  <si>
    <t xml:space="preserve">4/8 หมู่ ถ.บางนาตราด กม.16  ต.บางโฉลง</t>
  </si>
  <si>
    <t xml:space="preserve">1101400063059 </t>
  </si>
  <si>
    <t xml:space="preserve">AP-SAH001</t>
  </si>
  <si>
    <t xml:space="preserve">22/3 หมู่3 ถ.บรมราชชนนี แขวงฉิมพลี</t>
  </si>
  <si>
    <t xml:space="preserve">02-8841852</t>
  </si>
  <si>
    <t xml:space="preserve">0993000133226 </t>
  </si>
  <si>
    <t xml:space="preserve">AP-SAM000</t>
  </si>
  <si>
    <t xml:space="preserve">นาย สามพราน  แสงวัน</t>
  </si>
  <si>
    <t xml:space="preserve">76 หมู่ 8 ต.ทุ่งห้วช้าง</t>
  </si>
  <si>
    <t xml:space="preserve">อ.ทุ่งหัวช้าง</t>
  </si>
  <si>
    <t xml:space="preserve">จ.ลำพูน</t>
  </si>
  <si>
    <t xml:space="preserve">1510100134126 </t>
  </si>
  <si>
    <t xml:space="preserve">AP-SBI000</t>
  </si>
  <si>
    <t xml:space="preserve">บริษัท เอส.บี อินเตอร์เทรด 1996 จำกัด</t>
  </si>
  <si>
    <t xml:space="preserve">439/86 ม.10 ซ.รสทิพย์  ถ.สุขุมวิทสายเก่า ต.บางปูใหม่</t>
  </si>
  <si>
    <t xml:space="preserve">081-3038355</t>
  </si>
  <si>
    <t xml:space="preserve">0115559021864 </t>
  </si>
  <si>
    <t xml:space="preserve">ซ่อมแบตเตอรี่ ขายแบตเตอรี่</t>
  </si>
  <si>
    <t xml:space="preserve">AP-SEG000</t>
  </si>
  <si>
    <t xml:space="preserve">บริษัท สยาม เอ็นเนอร์ยี่ กรุ๊ป (ประเทศไทย) จำกัด</t>
  </si>
  <si>
    <t xml:space="preserve">เลขที่ 89/221 ถ.หทัยราษฎร์</t>
  </si>
  <si>
    <t xml:space="preserve">082-2113992</t>
  </si>
  <si>
    <t xml:space="preserve">mail@siamenergy.co.th</t>
  </si>
  <si>
    <t xml:space="preserve">0105560179930 </t>
  </si>
  <si>
    <t xml:space="preserve">จำหน่ายและติดต้้งไฟฟ้าเครื่องไฟฉุกเฉิน</t>
  </si>
  <si>
    <t xml:space="preserve">คุณ ทัชชภร</t>
  </si>
  <si>
    <t xml:space="preserve">AP-SMP000</t>
  </si>
  <si>
    <t xml:space="preserve">บริษัท สุมิพล คอร์เปอเรชั่น จำกัด</t>
  </si>
  <si>
    <t xml:space="preserve">284 ถ.อ่อนนุช แขวงประเวศ</t>
  </si>
  <si>
    <t xml:space="preserve">02-762-3000</t>
  </si>
  <si>
    <t xml:space="preserve">contact@sumipol.com</t>
  </si>
  <si>
    <t xml:space="preserve">0105556192994 </t>
  </si>
  <si>
    <t xml:space="preserve">ขายปลีกอุปกรณ์สำหรับงานตัดเจาะและกลึงโลหะ</t>
  </si>
  <si>
    <t xml:space="preserve">AP-SRS000</t>
  </si>
  <si>
    <t xml:space="preserve">บริษัท ศิรา เซฟตี้แอนด์ทูล จำกัด (สำนักงานใหญ่)</t>
  </si>
  <si>
    <t xml:space="preserve">64 ซ.นาคนิวาส 37 ถ.นาคนิวาส แขวงลาดพร้าว</t>
  </si>
  <si>
    <t xml:space="preserve">02-530-2173</t>
  </si>
  <si>
    <t xml:space="preserve">SIRA02@THAISAFETYPRODUCT.COM</t>
  </si>
  <si>
    <t xml:space="preserve">0105552011421 </t>
  </si>
  <si>
    <t xml:space="preserve">AP-SSK000</t>
  </si>
  <si>
    <t xml:space="preserve">บริษัท สองสิงห์การช่าง จำกัด</t>
  </si>
  <si>
    <t xml:space="preserve">55/13 หมู่ที่ 8 ถ.เทพารักษ์ ต.เทพารักษ์ </t>
  </si>
  <si>
    <t xml:space="preserve">099-9267177</t>
  </si>
  <si>
    <t xml:space="preserve">0115562011599 </t>
  </si>
  <si>
    <t xml:space="preserve">AP-SSM000</t>
  </si>
  <si>
    <t xml:space="preserve">บริษัท เชลวิ่ง ซิสเต็ม แอนด์ แมททีเรียล จำกัด</t>
  </si>
  <si>
    <t xml:space="preserve">41/53 หมู่5 ถ.เชื่อมสัมพันธ์ แขวงโคกแฝด</t>
  </si>
  <si>
    <t xml:space="preserve">087-0379917</t>
  </si>
  <si>
    <t xml:space="preserve">0105555125762 </t>
  </si>
  <si>
    <t xml:space="preserve">ระกอบกิจการรับจ้างผลิต ติดตั้ง จำหน่าย ชั้นวางสินค้า</t>
  </si>
  <si>
    <t xml:space="preserve">AP-STH000</t>
  </si>
  <si>
    <t xml:space="preserve"> สมาคมส่งเสริมความปลอดภัยและอนามัยในการทำงาน(ประเทศไทย)</t>
  </si>
  <si>
    <t xml:space="preserve">22-3 หมู่ 2 ถนนพระบรมราชชนนี แขวงฉิมพลี</t>
  </si>
  <si>
    <t xml:space="preserve">AP-STSF000</t>
  </si>
  <si>
    <t xml:space="preserve">บริษัท สโตน เซอร์เฟส (ประเทศไทย) จำกัด</t>
  </si>
  <si>
    <t xml:space="preserve">1420 ซอยลาดพร้าว 87 (จันทราสุข) ถ.ประดิษฐ์มนูธรรม แขวงคลองจั่น </t>
  </si>
  <si>
    <t xml:space="preserve">091-8899692</t>
  </si>
  <si>
    <t xml:space="preserve">stonesurfaces@stonesurfaces.co.th</t>
  </si>
  <si>
    <t xml:space="preserve">0525551000252 </t>
  </si>
  <si>
    <t xml:space="preserve">หินอ่อนอัดเทียม</t>
  </si>
  <si>
    <t xml:space="preserve">AP-TGD000</t>
  </si>
  <si>
    <t xml:space="preserve">บริษัท ไทยโกลเด้น นิวเมติค จำกัด</t>
  </si>
  <si>
    <t xml:space="preserve">35/18-19 หมู่ที่ 13 ถนนบางนาตราด กม.115 ต.บางพลีใหญ่</t>
  </si>
  <si>
    <t xml:space="preserve">02-3162418-20</t>
  </si>
  <si>
    <t xml:space="preserve">swantc@swanair.com.tw,thai@swanair.com.tw</t>
  </si>
  <si>
    <t xml:space="preserve">0115545010431 </t>
  </si>
  <si>
    <t xml:space="preserve">นำเข้าและจำหน่ายส่ง-ปลีก เครื่องปั๊มลม คอมเพรสเซอร์</t>
  </si>
  <si>
    <t xml:space="preserve">AP-TPN000</t>
  </si>
  <si>
    <t xml:space="preserve">บริษัท ไทยนครพัฒนา(1982) จำกัด</t>
  </si>
  <si>
    <t xml:space="preserve">เลขที 48/2-3 ถนนเสรีไทย แขวงคลองกุ่ม</t>
  </si>
  <si>
    <t xml:space="preserve">02-3770737</t>
  </si>
  <si>
    <t xml:space="preserve">0105525011432 </t>
  </si>
  <si>
    <t xml:space="preserve">ขายทินเนอร์และสีน้ำมัน</t>
  </si>
  <si>
    <t xml:space="preserve">AP-TWT001</t>
  </si>
  <si>
    <t xml:space="preserve">บริษัท ไทย วาตะ(2020) จำกัด (สำนักงานใหญ่)</t>
  </si>
  <si>
    <t xml:space="preserve">246/11 ม.4 ต.บางเพรียง </t>
  </si>
  <si>
    <t xml:space="preserve">02-7525201</t>
  </si>
  <si>
    <t xml:space="preserve">0115564001027 </t>
  </si>
  <si>
    <t xml:space="preserve">ประกอบกิจการนำเข้าและส่งออกเพื่อจำหน่ายยา ยารักษาโรค เภสัชภัณฑ์ เคมีภัณฑ์</t>
  </si>
  <si>
    <t xml:space="preserve">AP-UPS001</t>
  </si>
  <si>
    <t xml:space="preserve">บริษัท ยูโปรเทค จำกัด</t>
  </si>
  <si>
    <t xml:space="preserve">5 ซ.สุภาพงษ์ 3 แยก 4 ถ.ศรีนครินทร์ ต.หนองบอน</t>
  </si>
  <si>
    <t xml:space="preserve">อ.ประเวศ</t>
  </si>
  <si>
    <t xml:space="preserve">02-743-3998</t>
  </si>
  <si>
    <t xml:space="preserve">sales@u-pt.com</t>
  </si>
  <si>
    <t xml:space="preserve">0105545046991 </t>
  </si>
  <si>
    <t xml:space="preserve">คุณ ธนกร</t>
  </si>
  <si>
    <t xml:space="preserve">AP-WUE000</t>
  </si>
  <si>
    <t xml:space="preserve">บริษัท เวือร์ท (ประเทศไทย) จำกัด</t>
  </si>
  <si>
    <t xml:space="preserve">123/2 หมู่บ้านนิคมอุตสาหกรรมลาดกระบัง แขวงลำปลาทิว</t>
  </si>
  <si>
    <t xml:space="preserve">อ.ลาดกระบัง</t>
  </si>
  <si>
    <t xml:space="preserve">094-4801567</t>
  </si>
  <si>
    <t xml:space="preserve">0105533003389 </t>
  </si>
  <si>
    <t xml:space="preserve">การขายส่งวัสดุก่อสร้างอื่นๆซี่งมิได้จัดประเภทไว้ในที่อื่น</t>
  </si>
  <si>
    <t xml:space="preserve">คุณดิน</t>
  </si>
  <si>
    <t xml:space="preserve">AP-YWD001</t>
  </si>
  <si>
    <t xml:space="preserve">ร้าน ยุวดีแผ่นยาง</t>
  </si>
  <si>
    <t xml:space="preserve">256 ต.แคราย </t>
  </si>
  <si>
    <t xml:space="preserve">086-5491673</t>
  </si>
  <si>
    <t xml:space="preserve">AP-8IP000</t>
  </si>
  <si>
    <t xml:space="preserve">ร้าน 8 ไอ-ปริ้นท์</t>
  </si>
  <si>
    <t xml:space="preserve">4/8 หมู่ 1 ถ.บางนา-ตราด กม.16 ต.บางโฉลง</t>
  </si>
  <si>
    <t xml:space="preserve">NUTTZ4PRINT@GMAIL.COM</t>
  </si>
  <si>
    <t xml:space="preserve">AP-ADS000</t>
  </si>
  <si>
    <t xml:space="preserve">บริษัท เอ.ดี.เอส การไฟฟ้า จำกัด</t>
  </si>
  <si>
    <t xml:space="preserve">109/18-19 หมู่2 ต.บางเสาธง</t>
  </si>
  <si>
    <t xml:space="preserve">02-3303476</t>
  </si>
  <si>
    <t xml:space="preserve">0115548011358 </t>
  </si>
  <si>
    <t xml:space="preserve">บริการติดตั้งระบบไฟฟ้า-อุปกรณ์ไฟฟ้า</t>
  </si>
  <si>
    <t xml:space="preserve">AP-ADV000</t>
  </si>
  <si>
    <t xml:space="preserve">บริษัท แอ๊ดวานซ์ กรุ๊ป เอเซีย</t>
  </si>
  <si>
    <t xml:space="preserve">234/9 ถ.เสรีไทย แขวงคันนายาว</t>
  </si>
  <si>
    <t xml:space="preserve">02-7045333</t>
  </si>
  <si>
    <t xml:space="preserve">0105555020936 </t>
  </si>
  <si>
    <t xml:space="preserve">บริการป้องกันและกำจัด ปลวก มด หนู ค้างคาว นก และแมลงทุกชนิด</t>
  </si>
  <si>
    <t xml:space="preserve">AP-AJS000</t>
  </si>
  <si>
    <t xml:space="preserve">ร้าน A.J Stnless</t>
  </si>
  <si>
    <t xml:space="preserve">4/8 หมู่ 18 ต.คูคต</t>
  </si>
  <si>
    <t xml:space="preserve">081-4239519</t>
  </si>
  <si>
    <t xml:space="preserve">คุณสุวิชัย เมืองจันทร์</t>
  </si>
  <si>
    <t xml:space="preserve">AP-AMP000</t>
  </si>
  <si>
    <t xml:space="preserve">บริษัท อมรินทร์ เทเลวิชั่น จำกัด</t>
  </si>
  <si>
    <t xml:space="preserve">7/9 ถ.อรุณอมรินทร์ แขวงอรุณอมรินทร์</t>
  </si>
  <si>
    <t xml:space="preserve">เขตบางกอกน้อย </t>
  </si>
  <si>
    <t xml:space="preserve">02-4229999</t>
  </si>
  <si>
    <t xml:space="preserve">0105555152069 </t>
  </si>
  <si>
    <t xml:space="preserve">การจัดผังรายการออกอากาศทางโทรทัศน์โดยไม่ต้องสมัครสมาชิกกิจกรรมการผลิตรายการโทรทัศน์</t>
  </si>
  <si>
    <t xml:space="preserve">AP-ANA000</t>
  </si>
  <si>
    <t xml:space="preserve">นาย อนันต์ อุ่นใจ</t>
  </si>
  <si>
    <t xml:space="preserve">เลขที่ 5 หมู่ 4 ต.บางพลีใหญ่</t>
  </si>
  <si>
    <t xml:space="preserve">3110300094012 </t>
  </si>
  <si>
    <t xml:space="preserve">ต่อเติมโรงงาน</t>
  </si>
  <si>
    <t xml:space="preserve">AP-AOS000</t>
  </si>
  <si>
    <t xml:space="preserve">บริษัท เอส เอ็ม ที อิเลคโทรนิคส์ จำกัด</t>
  </si>
  <si>
    <t xml:space="preserve">17/60-61 ซ.หมู่บ้านบ่อฝ้าย ถ.เพชรเกษม ต.หัวหิน </t>
  </si>
  <si>
    <t xml:space="preserve">จ.ประจวบคีรีขันธ์</t>
  </si>
  <si>
    <t xml:space="preserve">02-968-4447</t>
  </si>
  <si>
    <t xml:space="preserve">AP-APB000</t>
  </si>
  <si>
    <t xml:space="preserve">นาย อัมพร บุญค่ำ</t>
  </si>
  <si>
    <t xml:space="preserve">4 หมู่ 2 ต.จาน</t>
  </si>
  <si>
    <t xml:space="preserve"> อ.เมืองศรีสะเกษ </t>
  </si>
  <si>
    <t xml:space="preserve">จ.ศรีษะเกษ</t>
  </si>
  <si>
    <t xml:space="preserve">5330100057436 </t>
  </si>
  <si>
    <t xml:space="preserve">AP-ARY000</t>
  </si>
  <si>
    <t xml:space="preserve">บจ. อารยะ เอ็กซ์โป</t>
  </si>
  <si>
    <t xml:space="preserve">61/97 ซ.ทรงสะอาด ถ.วิภาวดีรังสิต แขวงจอมพล</t>
  </si>
  <si>
    <t xml:space="preserve">02-3184689</t>
  </si>
  <si>
    <t xml:space="preserve">0105561201807 </t>
  </si>
  <si>
    <t xml:space="preserve">การจัดประชุมและการแสดงสินค้า</t>
  </si>
  <si>
    <t xml:space="preserve">AP-ASA000</t>
  </si>
  <si>
    <t xml:space="preserve">บริษัท แอปเปิ้ล เซาท์ เอเซีย (ประเทศไทย)</t>
  </si>
  <si>
    <t xml:space="preserve">999/9 อาคารดิออฟฟิศเศส แอท เซ็นทรัลเวิลด์ ชั้น44 ถ.พระราม1 แขวงปทุมวัน</t>
  </si>
  <si>
    <t xml:space="preserve">1800-01-9209</t>
  </si>
  <si>
    <t xml:space="preserve">0105542056139 </t>
  </si>
  <si>
    <t xml:space="preserve">AP-BAN000</t>
  </si>
  <si>
    <t xml:space="preserve">หจก. บัณฑิต โฟล์คลิฟท์ แอนด์ เซอร์วิส</t>
  </si>
  <si>
    <t xml:space="preserve">เลขที่ 158 ซอยเฉลิมพระเกียรติ ร.9 ซอย 30 แขวงดอกไม้ </t>
  </si>
  <si>
    <t xml:space="preserve">02-1253507,084-3889586</t>
  </si>
  <si>
    <t xml:space="preserve">0103548046923 </t>
  </si>
  <si>
    <t xml:space="preserve">ให้เช่า ซ่อมแซมบำรุงรักษา เครื่องมือลำเลียง เครื่องมือจัดเก็บ เครื่องจักรกลหนัก</t>
  </si>
  <si>
    <t xml:space="preserve">คุณยุ</t>
  </si>
  <si>
    <t xml:space="preserve">AP-BKK000</t>
  </si>
  <si>
    <t xml:space="preserve">บริษัท กรุงเทพประกันภัย จำกัด (มหาชน)</t>
  </si>
  <si>
    <t xml:space="preserve">25 ถนนสาทรเหนือ แขวงทุ่งมหาเมฆ </t>
  </si>
  <si>
    <t xml:space="preserve">02-285-8888</t>
  </si>
  <si>
    <t xml:space="preserve">0107536000625 </t>
  </si>
  <si>
    <t xml:space="preserve">AP-BKK001</t>
  </si>
  <si>
    <t xml:space="preserve">บริษัท จัดหางาน จ๊อบบีเคเค ดอท คอม จำกัด (สำนักงานใหญ่)</t>
  </si>
  <si>
    <t xml:space="preserve">625 อาคารทัศนียา ห้องเลขที่ ยูนิต ดี ชั้น 5  ซ.รามคำแหง 39 ถ.ประชาอุทิศ แขวงวังทองหลา</t>
  </si>
  <si>
    <t xml:space="preserve">02-514-7474</t>
  </si>
  <si>
    <t xml:space="preserve">sales@jobbkk.com</t>
  </si>
  <si>
    <t xml:space="preserve">0105546062940 </t>
  </si>
  <si>
    <t xml:space="preserve">AP-BLK000</t>
  </si>
  <si>
    <t xml:space="preserve"> บุญเลิศ การช่าง</t>
  </si>
  <si>
    <t xml:space="preserve">46/3 หมู่ 9 ถ.เทพารักษ์  ตำบลบางปลา</t>
  </si>
  <si>
    <t xml:space="preserve">02-7063455</t>
  </si>
  <si>
    <t xml:space="preserve">3210600006941 </t>
  </si>
  <si>
    <t xml:space="preserve">AP-BPI000</t>
  </si>
  <si>
    <t xml:space="preserve">บริษัท บีพีเค พริ้นติ้ง จำกัด</t>
  </si>
  <si>
    <t xml:space="preserve">1,73 ซ.สุขสวัสดิ์ 16 แขวงจอมทอง</t>
  </si>
  <si>
    <t xml:space="preserve">02-4620772</t>
  </si>
  <si>
    <t xml:space="preserve">0105535128260 </t>
  </si>
  <si>
    <t xml:space="preserve">คุณกฤษณ์</t>
  </si>
  <si>
    <t xml:space="preserve">AP-BPJ000</t>
  </si>
  <si>
    <t xml:space="preserve">บริษัท บางพลีอิงค์เจ็ท จำกัด</t>
  </si>
  <si>
    <t xml:space="preserve">9/8 หมู่ที่ 20 ถ.บางพลี-ตำหรุ ต.บางพลีใหญ่</t>
  </si>
  <si>
    <t xml:space="preserve">062-392-2323</t>
  </si>
  <si>
    <t xml:space="preserve">bangphliinkjet@gmail.com</t>
  </si>
  <si>
    <t xml:space="preserve">0113562005058 </t>
  </si>
  <si>
    <t xml:space="preserve">กิจกรรมของบริษัทโฆษณา</t>
  </si>
  <si>
    <t xml:space="preserve">AP-BPT000</t>
  </si>
  <si>
    <t xml:space="preserve">บริษัท บางพลีใหญ่ขนส่ง จำกัด</t>
  </si>
  <si>
    <t xml:space="preserve">88/8 หมู่ 6 ถนนสุวรรณภูมิ 3 ต.บางโฉลง</t>
  </si>
  <si>
    <t xml:space="preserve">087-9031204</t>
  </si>
  <si>
    <t xml:space="preserve">0115552005448 </t>
  </si>
  <si>
    <t xml:space="preserve">ขนส่ง</t>
  </si>
  <si>
    <t xml:space="preserve">AP-BTS002</t>
  </si>
  <si>
    <t xml:space="preserve">บริษัท BTS Land Company Limited</t>
  </si>
  <si>
    <t xml:space="preserve">103 Moo 4 Bangchalong </t>
  </si>
  <si>
    <t xml:space="preserve">Bangplee</t>
  </si>
  <si>
    <t xml:space="preserve">02-1722333</t>
  </si>
  <si>
    <t xml:space="preserve">0105552096524 </t>
  </si>
  <si>
    <t xml:space="preserve">AP-CCL000</t>
  </si>
  <si>
    <t xml:space="preserve">บริษัท โชคอนันต์ ซี แอล จำกัด</t>
  </si>
  <si>
    <t xml:space="preserve">94/42 ม.6 ต.บางละมุง </t>
  </si>
  <si>
    <t xml:space="preserve">อ.บางละมุง </t>
  </si>
  <si>
    <t xml:space="preserve">038-241156</t>
  </si>
  <si>
    <t xml:space="preserve">0205543001795 </t>
  </si>
  <si>
    <t xml:space="preserve">ให้บริการขนส่งสินค้าของเหลวหรือก๊าซทางบก</t>
  </si>
  <si>
    <t xml:space="preserve">AP-CGT000</t>
  </si>
  <si>
    <t xml:space="preserve">หจก. ทรัพย์เจริญ.ฐานิตา ทรานสปอร์ต</t>
  </si>
  <si>
    <t xml:space="preserve">115/135ซอยนวมินทร์163แยก15-8 แขวงนวลจันทร์ </t>
  </si>
  <si>
    <t xml:space="preserve">AP-CHA000</t>
  </si>
  <si>
    <t xml:space="preserve">นางสาว จันทร์ศร  เสฏฐัตต์</t>
  </si>
  <si>
    <t xml:space="preserve">17 ซ.สุขสวัสดิ์ 25 แยก1-1-2 แขวงบางกอก</t>
  </si>
  <si>
    <t xml:space="preserve">3102400042075 </t>
  </si>
  <si>
    <t xml:space="preserve">ปรึกษา</t>
  </si>
  <si>
    <t xml:space="preserve">AP-CHT000</t>
  </si>
  <si>
    <t xml:space="preserve">นาย ชาตรี อาจสาแทน</t>
  </si>
  <si>
    <t xml:space="preserve">345 หมู่ที่3 ต.เขาสามสิบ</t>
  </si>
  <si>
    <t xml:space="preserve">3250400775860 </t>
  </si>
  <si>
    <t xml:space="preserve">AP-CIP000</t>
  </si>
  <si>
    <t xml:space="preserve">บริษัท เช็คอิน ปริ้นท์ จำกัด</t>
  </si>
  <si>
    <t xml:space="preserve">119/91 หมู่ที่ 3 ซอยท่าอิฐ ถ.รัตนาธิเบศร์ ต.ไทรม้า</t>
  </si>
  <si>
    <t xml:space="preserve">098-8324378</t>
  </si>
  <si>
    <t xml:space="preserve">0125557018327 </t>
  </si>
  <si>
    <t xml:space="preserve">ประกอบกิจการค้า กระดาษ เครื่องเขียน แบบพิมพ์ เครื่องพิมพ์ สิ่งพิมพ์ คอมพิวเตอร์</t>
  </si>
  <si>
    <t xml:space="preserve">AP-CLB000</t>
  </si>
  <si>
    <t xml:space="preserve">บริษัท แคลิเบรชั่น แลบอราทอรี จำกัด</t>
  </si>
  <si>
    <t xml:space="preserve">2/10-11,14,55 ซ.ประเสริฐมนูกิจ 29 แยก 4 ถ.ประเสริฐมนูกิจ แขวงลาดพร้าว</t>
  </si>
  <si>
    <t xml:space="preserve">02-578-0353</t>
  </si>
  <si>
    <t xml:space="preserve">sale@cal-laboratory.com,info@cal-laboratory.com</t>
  </si>
  <si>
    <t xml:space="preserve">0105540040201 </t>
  </si>
  <si>
    <t xml:space="preserve">AP-CTE000</t>
  </si>
  <si>
    <t xml:space="preserve">นาย สุทธิชัย เกียรติบุตร</t>
  </si>
  <si>
    <t xml:space="preserve">3 ซอย16ถนนอมรเดช ตำบลปากน้ำ </t>
  </si>
  <si>
    <t xml:space="preserve">อำเภอเมือง </t>
  </si>
  <si>
    <t xml:space="preserve">คุณสุทธิชัย</t>
  </si>
  <si>
    <t xml:space="preserve">AP-CTK000</t>
  </si>
  <si>
    <t xml:space="preserve">หจก. ชัยต่อกิจ แอร์ แอนด์ ซัพพลาย</t>
  </si>
  <si>
    <t xml:space="preserve">327 ซอยรามอินทรา 64  แขวง คันนายาว </t>
  </si>
  <si>
    <t xml:space="preserve">02-9181187</t>
  </si>
  <si>
    <t xml:space="preserve">0103538007186 </t>
  </si>
  <si>
    <t xml:space="preserve">จำหน่าย และติดตั้งเครื่องปรับอากาศ</t>
  </si>
  <si>
    <t xml:space="preserve">AP-CYH000</t>
  </si>
  <si>
    <t xml:space="preserve">บริษัท ไชโย โฮสติ้ง จำกัด</t>
  </si>
  <si>
    <t xml:space="preserve">3312/33-34 ซอยลาดพร้าว 101 ถนนลาดพร้าว แขวงคลองจั่น </t>
  </si>
  <si>
    <t xml:space="preserve">086-3408183</t>
  </si>
  <si>
    <t xml:space="preserve">0105547109737 </t>
  </si>
  <si>
    <t xml:space="preserve">การขายส่งอุปกรณ์และชิ้นส่วนอิเล็กทรอนิกส์</t>
  </si>
  <si>
    <t xml:space="preserve">คุณศิริพร</t>
  </si>
  <si>
    <t xml:space="preserve">AP-DCM000</t>
  </si>
  <si>
    <t xml:space="preserve">นาย เด่นชัย มีใส</t>
  </si>
  <si>
    <t xml:space="preserve">34/19 ม.2 ต.ฉลอง</t>
  </si>
  <si>
    <t xml:space="preserve">อ.เมืองภูเก็ต</t>
  </si>
  <si>
    <t xml:space="preserve">จ.ภูเก็ต</t>
  </si>
  <si>
    <t xml:space="preserve">5670100100835 </t>
  </si>
  <si>
    <t xml:space="preserve">AP-DHA000</t>
  </si>
  <si>
    <t xml:space="preserve">บริษัท ฝึกอบรมและสัมมนาธรรมนิติ จำกัด</t>
  </si>
  <si>
    <t xml:space="preserve">178 อาคารธรรมนิติ ชั้น4 ซ.เพิ่มทรัพย์(ประชาชื่น20) ถ.ประชาชื่น  แขวงบางซื่อ</t>
  </si>
  <si>
    <t xml:space="preserve">02-5550700</t>
  </si>
  <si>
    <t xml:space="preserve">0105533001556 </t>
  </si>
  <si>
    <t xml:space="preserve">อบรม</t>
  </si>
  <si>
    <t xml:space="preserve">แผนกสำรองที่นั่ง</t>
  </si>
  <si>
    <t xml:space="preserve">AP-DIR000</t>
  </si>
  <si>
    <t xml:space="preserve">นาย ดิเรก จันทร์จรัส</t>
  </si>
  <si>
    <t xml:space="preserve">128/43 ซ.ราษฏร์อุทิศ 14 แขวงแสนแสบ</t>
  </si>
  <si>
    <t xml:space="preserve"> เขตมีนบุรี</t>
  </si>
  <si>
    <t xml:space="preserve">083-6089160</t>
  </si>
  <si>
    <t xml:space="preserve">3240100089898 </t>
  </si>
  <si>
    <t xml:space="preserve">นายดิเรก</t>
  </si>
  <si>
    <t xml:space="preserve">AP-DIT000</t>
  </si>
  <si>
    <t xml:space="preserve">บริษัท ดีไอที แอร์ จำกัด</t>
  </si>
  <si>
    <t xml:space="preserve">161/2 ม.3 ต.บ้านสวน</t>
  </si>
  <si>
    <t xml:space="preserve"> อ.เมืองชลบุรี</t>
  </si>
  <si>
    <t xml:space="preserve">081-7621790</t>
  </si>
  <si>
    <t xml:space="preserve">0205553014547 </t>
  </si>
  <si>
    <t xml:space="preserve">การผลิตเครื่องทำความเย็น</t>
  </si>
  <si>
    <t xml:space="preserve">AP-DTAC00</t>
  </si>
  <si>
    <t xml:space="preserve">บริษัท ดีแทค ไตรเน็ต จำกัด</t>
  </si>
  <si>
    <t xml:space="preserve">319 อาคารจัตุรัสจามจุรี ชั้น41 ถ.พญาไท แขวงปทุมวัน </t>
  </si>
  <si>
    <t xml:space="preserve">02-202-8000 </t>
  </si>
  <si>
    <t xml:space="preserve">0105549034548 </t>
  </si>
  <si>
    <t xml:space="preserve">คุณดวง </t>
  </si>
  <si>
    <t xml:space="preserve">063-323-1457</t>
  </si>
  <si>
    <t xml:space="preserve">AP-EEC000</t>
  </si>
  <si>
    <t xml:space="preserve">บริษัท อีอีซี ไลน์ จำกัด (สำนักงานใหญ่)</t>
  </si>
  <si>
    <t xml:space="preserve">47/9 ถ.สำนักอ้ายงอน ต.มอบข่า </t>
  </si>
  <si>
    <t xml:space="preserve">อ.นิคมพัฒนา</t>
  </si>
  <si>
    <t xml:space="preserve">จ.ระยอง </t>
  </si>
  <si>
    <t xml:space="preserve">02-6829090</t>
  </si>
  <si>
    <t xml:space="preserve">0215560010314 </t>
  </si>
  <si>
    <t xml:space="preserve">การขนส่งผลิตภัณฑ์ปิโตเลียมทางถนน</t>
  </si>
  <si>
    <t xml:space="preserve">AP-EET000</t>
  </si>
  <si>
    <t xml:space="preserve">บริษัท เอกอุทัย จำกัด</t>
  </si>
  <si>
    <t xml:space="preserve">47/349 ถ.ป๊อบปูล่า ต.บ้านใหม่</t>
  </si>
  <si>
    <t xml:space="preserve"> อ.ปากเกร็ด </t>
  </si>
  <si>
    <t xml:space="preserve">086-376-7873</t>
  </si>
  <si>
    <t xml:space="preserve">0145554001156 </t>
  </si>
  <si>
    <t xml:space="preserve">กิจการทำเชื้อเพลิงทดแทน,คัดแยกวัสดุไม่ใช้แล้ว,ซ่อมล้างบรรจุภัณฑ์,บดย่อย</t>
  </si>
  <si>
    <t xml:space="preserve">AP-EPT000</t>
  </si>
  <si>
    <t xml:space="preserve">บริษัท เอ็กซ์โปซิชั่น เทคโนโลยี</t>
  </si>
  <si>
    <t xml:space="preserve">252 ซอยอยู่เจริญ 29 ถ.รัชดาภิเษก แขวงสามเสนนอก</t>
  </si>
  <si>
    <t xml:space="preserve"> เขตห้วยขวาง</t>
  </si>
  <si>
    <t xml:space="preserve">02-6916918</t>
  </si>
  <si>
    <t xml:space="preserve">0105542010406 </t>
  </si>
  <si>
    <t xml:space="preserve">รับเหมาติดตั้งและให้เช่าอุปกรณ์ไฟฟ้า</t>
  </si>
  <si>
    <t xml:space="preserve">AP-EXP000</t>
  </si>
  <si>
    <t xml:space="preserve">บริษัท เอ็กซ์เพรสซอฟท์แวร์กรุ๊ป จำกัด</t>
  </si>
  <si>
    <t xml:space="preserve">39/69 หมู๋ที่12 ต.ไร่ชิง </t>
  </si>
  <si>
    <t xml:space="preserve">02-2173555</t>
  </si>
  <si>
    <t xml:space="preserve">0105537095903 </t>
  </si>
  <si>
    <t xml:space="preserve">ประกอบกิจการบริการด้านซอฟท์แวร์และโปรแกรมสำเร็จรูป</t>
  </si>
  <si>
    <t xml:space="preserve">AP-FFS000</t>
  </si>
  <si>
    <t xml:space="preserve">บริษัท ฟอร์จูน ฟอร์เอเวอร์ ชิปปิ้ง</t>
  </si>
  <si>
    <t xml:space="preserve">888/37 ม.6 ต.แพรกษา</t>
  </si>
  <si>
    <t xml:space="preserve">02-3243466</t>
  </si>
  <si>
    <t xml:space="preserve">0115546005733 </t>
  </si>
  <si>
    <t xml:space="preserve">ส่งออก-นำเข้า</t>
  </si>
  <si>
    <t xml:space="preserve">AP-FSC000</t>
  </si>
  <si>
    <t xml:space="preserve">บริษัท เอฟเอส คอมเพรสเซอร์ (ประเทศไทย) จำกัด</t>
  </si>
  <si>
    <t xml:space="preserve">140/1-2 ม.12  ต.ราชาเทวะ</t>
  </si>
  <si>
    <t xml:space="preserve">02-3124547</t>
  </si>
  <si>
    <t xml:space="preserve">0105542027180 </t>
  </si>
  <si>
    <t xml:space="preserve">จำหน่ายเครื่องปั๊มลม</t>
  </si>
  <si>
    <t xml:space="preserve">คุณนิด</t>
  </si>
  <si>
    <t xml:space="preserve">AP-FSCC000</t>
  </si>
  <si>
    <t xml:space="preserve">บริษัท ที่ปรึกษา เฟิร์สสตาร์ จำกัด</t>
  </si>
  <si>
    <t xml:space="preserve">57 อาคารเอเวอรี่ มอลล์ ชั้นG ห้องG0080095 ถ.รัตนาธิเบศร์ ต.บางกระสอ </t>
  </si>
  <si>
    <t xml:space="preserve">02-5914461</t>
  </si>
  <si>
    <t xml:space="preserve">0125541004771 </t>
  </si>
  <si>
    <t xml:space="preserve">รับจ้างประเมินราคาสังหาริมทรัพย์และอสังหาริมทรัพย์</t>
  </si>
  <si>
    <t xml:space="preserve">AP-FUR000</t>
  </si>
  <si>
    <t xml:space="preserve"> สมาคมเฟอร์นิเจอร์ไทย</t>
  </si>
  <si>
    <t xml:space="preserve">65/13 ซอยแจ้งวัฒนะ 1 ถนนแจ้งวัฒนะ แขวงตลาดบางเขน</t>
  </si>
  <si>
    <t xml:space="preserve">02-97334411</t>
  </si>
  <si>
    <t xml:space="preserve">0109523000020 </t>
  </si>
  <si>
    <t xml:space="preserve">สมาคม</t>
  </si>
  <si>
    <t xml:space="preserve">AP-GCZ000</t>
  </si>
  <si>
    <t xml:space="preserve">บริษัท พันธวณิช จำกัด</t>
  </si>
  <si>
    <t xml:space="preserve">อาคารลุมพินี ทาวเวอร์ ชั้นที่ 31 1168/94 ถ.พระราม 4 แขวงทุ่งมหาเมฆ </t>
  </si>
  <si>
    <t xml:space="preserve">064-1814139</t>
  </si>
  <si>
    <t xml:space="preserve">0105544028248 </t>
  </si>
  <si>
    <t xml:space="preserve">E-Procurement </t>
  </si>
  <si>
    <t xml:space="preserve">AP-GLL000</t>
  </si>
  <si>
    <t xml:space="preserve">บริษัท แกรนด์ลิงค์ ลอจิสติคส์ จำกัด</t>
  </si>
  <si>
    <t xml:space="preserve">79/345-350 ถ.สาธุประดิษฐ์  แขวงช่องนนทรี </t>
  </si>
  <si>
    <t xml:space="preserve">063-6534862</t>
  </si>
  <si>
    <t xml:space="preserve">0105558158599 </t>
  </si>
  <si>
    <t xml:space="preserve">ตัวแทนขนส่งสินค้าและตัวแทนส่งออก</t>
  </si>
  <si>
    <t xml:space="preserve">คุณกุ๊ก</t>
  </si>
  <si>
    <t xml:space="preserve">AP-GOL000</t>
  </si>
  <si>
    <t xml:space="preserve">ร้าน GOLDWATER 2003</t>
  </si>
  <si>
    <t xml:space="preserve">18/4 หมู่ที่ 6 ต.บางกร่าง</t>
  </si>
  <si>
    <t xml:space="preserve">จังหวัดนนทบุรี </t>
  </si>
  <si>
    <t xml:space="preserve">3120100216882 </t>
  </si>
  <si>
    <t xml:space="preserve">AP-GSN000</t>
  </si>
  <si>
    <t xml:space="preserve">บริษัท โทรคมนาคมแห่งชาติ จำกัด (มหาชน)</t>
  </si>
  <si>
    <t xml:space="preserve">99 ถ.แจ้งวัฒนะ แขวงทุ่งสองห้อง </t>
  </si>
  <si>
    <t xml:space="preserve">0107564000014 </t>
  </si>
  <si>
    <t xml:space="preserve">AP-HAT000</t>
  </si>
  <si>
    <t xml:space="preserve">บจ. เน็ตเวิร์ค เทคนิคอล ซิสเต็ม (สำนักงานใหญ่)</t>
  </si>
  <si>
    <t xml:space="preserve">เลขที่ 999/9 อาคารดิ ออฟฟิศเศส แอท เซ็นทรัลเวิลด์ ชั้น29 ห้อง2982  ถ.พระราม1</t>
  </si>
  <si>
    <t xml:space="preserve"> แขวงปทุมวัน</t>
  </si>
  <si>
    <t xml:space="preserve">02-1073466</t>
  </si>
  <si>
    <t xml:space="preserve">0205555037064 </t>
  </si>
  <si>
    <t xml:space="preserve">ให้บริการเช่าอุปกรณ์อิเล็คทรอนิคส์ บริการด้านเครือข่ายและศูนย์ข้อมูล</t>
  </si>
  <si>
    <t xml:space="preserve">คุณกวาง</t>
  </si>
  <si>
    <t xml:space="preserve">AP-HDT000</t>
  </si>
  <si>
    <t xml:space="preserve">บริษัท ฮอนด้า คาร์ส์ เทพารักษ์ จำกัด</t>
  </si>
  <si>
    <t xml:space="preserve">199/2 ม.8 ถ.เทพารักษ์ ต.เทพารักษ์</t>
  </si>
  <si>
    <t xml:space="preserve">02-7575730</t>
  </si>
  <si>
    <t xml:space="preserve">0115539001400 </t>
  </si>
  <si>
    <t xml:space="preserve">ซ่อมรถ</t>
  </si>
  <si>
    <t xml:space="preserve">AP-HEU000</t>
  </si>
  <si>
    <t xml:space="preserve">บริษัท ฮวง เอ ชิพปิ้ง (ประเทศไทย) จำกัด</t>
  </si>
  <si>
    <t xml:space="preserve"> เลขที่968  อาคารอิ้อจื้อเหลียง  ชั้น8  ถ.พระราม4 แขวงสีลม</t>
  </si>
  <si>
    <t xml:space="preserve">เขตสีลม</t>
  </si>
  <si>
    <t xml:space="preserve">02-6375432</t>
  </si>
  <si>
    <t xml:space="preserve">0105546063857 </t>
  </si>
  <si>
    <t xml:space="preserve">บริการ นายหน้าตัวแทนขนส่งสินค้าระหว่างประเทศ</t>
  </si>
  <si>
    <t xml:space="preserve">AP-HTS000</t>
  </si>
  <si>
    <t xml:space="preserve">บริษัท หงไท่ซิน จำกัด</t>
  </si>
  <si>
    <t xml:space="preserve">88/88 ม.12  ตำบลบางปลา</t>
  </si>
  <si>
    <t xml:space="preserve">02-3460888</t>
  </si>
  <si>
    <t xml:space="preserve">Marketing@hongthaishin.com,walaiporn@hongthaishin.com</t>
  </si>
  <si>
    <t xml:space="preserve">0115535007985 </t>
  </si>
  <si>
    <t xml:space="preserve">AP-INP000</t>
  </si>
  <si>
    <t xml:space="preserve">บริษัท อินสเปคเตอร์ คอนซัลแตนท์ พลัส จำกัด</t>
  </si>
  <si>
    <t xml:space="preserve">18/44 ม.6 ต.ลาดสวาย </t>
  </si>
  <si>
    <t xml:space="preserve">อ.ลำลูกกา </t>
  </si>
  <si>
    <t xml:space="preserve">02-000-4120</t>
  </si>
  <si>
    <t xml:space="preserve">home-inspector@hotmail.com</t>
  </si>
  <si>
    <t xml:space="preserve">0135550038420 </t>
  </si>
  <si>
    <t xml:space="preserve">AP-IVF000</t>
  </si>
  <si>
    <t xml:space="preserve">บริษัท พรีซิชั่น ไอวีเอฟ จำกัด</t>
  </si>
  <si>
    <t xml:space="preserve">233/78 ม.1 ต.บางน้ำจืด </t>
  </si>
  <si>
    <t xml:space="preserve">0745561005298 </t>
  </si>
  <si>
    <t xml:space="preserve">AP-JRP002</t>
  </si>
  <si>
    <t xml:space="preserve">นาย จรูญ พร้อมประเสริฐ</t>
  </si>
  <si>
    <t xml:space="preserve">128 ซ.สุขาภิบาล 5 ซ.32 แยก 10 (เคหะพรพระร่วงฯ) แขวงออเงิน</t>
  </si>
  <si>
    <t xml:space="preserve">เขตสายไหม</t>
  </si>
  <si>
    <t xml:space="preserve">3840100655332 </t>
  </si>
  <si>
    <t xml:space="preserve">AP-JYM000</t>
  </si>
  <si>
    <t xml:space="preserve">บริษัท เจ.วาย.เอ็ม เอ็นจิเนียริ่ง จำกัด</t>
  </si>
  <si>
    <t xml:space="preserve">999/450 ซอยหมู่บ้านเศรษฐกิจ 31 แขวงบางแคเหนือ </t>
  </si>
  <si>
    <t xml:space="preserve">02-8080021</t>
  </si>
  <si>
    <t xml:space="preserve">0105547150036 </t>
  </si>
  <si>
    <t xml:space="preserve">ห้บริการซ่อมบำรุงรักษาและขายอะไหล่เครื่องใช้ไฟฟ้า</t>
  </si>
  <si>
    <t xml:space="preserve">AP-KJS000</t>
  </si>
  <si>
    <t xml:space="preserve">นาย ขจรศักดิ์ ประชาสุข</t>
  </si>
  <si>
    <t xml:space="preserve">364 ม.6 ต.วิศิษฐ์</t>
  </si>
  <si>
    <t xml:space="preserve">อ.เมืองบึงกาฬ </t>
  </si>
  <si>
    <t xml:space="preserve">จ.บึงกาฬ</t>
  </si>
  <si>
    <t xml:space="preserve">3440800937580 </t>
  </si>
  <si>
    <t xml:space="preserve">AP-KNR000</t>
  </si>
  <si>
    <t xml:space="preserve">บริษัท คาเนกซ์ รัชดา จำกัด</t>
  </si>
  <si>
    <t xml:space="preserve">168/69-70 ถ.นาคนิวาส แขวงลาดพร้าว</t>
  </si>
  <si>
    <t xml:space="preserve">02-2769229</t>
  </si>
  <si>
    <t xml:space="preserve">0105536074465 </t>
  </si>
  <si>
    <t xml:space="preserve">ผลิต-คัตเตอร์,เร้าเตอร์ของเครื่องจักรงานเฟอร์นิเจอร์ทุกชนิด</t>
  </si>
  <si>
    <t xml:space="preserve">AP-LOE000</t>
  </si>
  <si>
    <t xml:space="preserve">นาย ฤกษ์ หงษ์ทอง</t>
  </si>
  <si>
    <t xml:space="preserve">AP-MDC001</t>
  </si>
  <si>
    <t xml:space="preserve"> มาร์ ดี คราฟท์ สตูดิโอ</t>
  </si>
  <si>
    <t xml:space="preserve">ซ.กรุงธนบุรี 1 ถ.กรุงธนบุรี แขวงคลองต้นไทร</t>
  </si>
  <si>
    <t xml:space="preserve">088-9469788</t>
  </si>
  <si>
    <t xml:space="preserve">2809700017922 </t>
  </si>
  <si>
    <t xml:space="preserve">Nuttaphong Rutthanapun</t>
  </si>
  <si>
    <t xml:space="preserve">AP-MGU000</t>
  </si>
  <si>
    <t xml:space="preserve">บริษัท เมก้า ยูโร จำกัด (สำนักงานใหญ่)</t>
  </si>
  <si>
    <t xml:space="preserve">440/10 ม.5 ถ.ศรีนครินทร์ ต.สำโรงเหนือ อ.เมืองสมุทรปราการ จ.สมุทรปราการ</t>
  </si>
  <si>
    <t xml:space="preserve">083-946-8999</t>
  </si>
  <si>
    <t xml:space="preserve">megaeurotyre@gmail.com,sale@megaeuro.co.th</t>
  </si>
  <si>
    <t xml:space="preserve">0115560029491 </t>
  </si>
  <si>
    <t xml:space="preserve">AP-MKC000</t>
  </si>
  <si>
    <t xml:space="preserve">บจ. มงคลกิจ คอนกรีต</t>
  </si>
  <si>
    <t xml:space="preserve">67/37-38 ถ.เพชรเกษม แขวงวัดท่าพระ </t>
  </si>
  <si>
    <t xml:space="preserve">02-4578542-3</t>
  </si>
  <si>
    <t xml:space="preserve">0105537052813 </t>
  </si>
  <si>
    <t xml:space="preserve">เสาเข็มคอนกรีตอัดแรง</t>
  </si>
  <si>
    <t xml:space="preserve">AP-MKI001</t>
  </si>
  <si>
    <t xml:space="preserve">บริษัท เอ็ม.เค.อินดัสเทรียล ซัพพลาย จำกัด (สำนักงานใหญ่)</t>
  </si>
  <si>
    <t xml:space="preserve">128/1 ซ.อ่อนนุช36 ถ.อ่อนนุช ต.สวนหลวง </t>
  </si>
  <si>
    <t xml:space="preserve">02-386-6159</t>
  </si>
  <si>
    <t xml:space="preserve">info@mksupply.co.th</t>
  </si>
  <si>
    <t xml:space="preserve">0105535155695 </t>
  </si>
  <si>
    <t xml:space="preserve">AP-MNY000</t>
  </si>
  <si>
    <t xml:space="preserve">นาย มะนูญ ยันตะคุ</t>
  </si>
  <si>
    <t xml:space="preserve">615/14 หมู่ที่ 5 ต.แพรกษาใหม่</t>
  </si>
  <si>
    <t xml:space="preserve">085-9210153</t>
  </si>
  <si>
    <t xml:space="preserve">ช่างแดง</t>
  </si>
  <si>
    <t xml:space="preserve">AP-MPP000</t>
  </si>
  <si>
    <t xml:space="preserve"> โมลด์ แอนด์ พลาส โปรดักส์</t>
  </si>
  <si>
    <t xml:space="preserve">1342/25 ม.10 ต.สำโรงเหนือ</t>
  </si>
  <si>
    <t xml:space="preserve">098-536-6426</t>
  </si>
  <si>
    <t xml:space="preserve">3310400404585 </t>
  </si>
  <si>
    <t xml:space="preserve">AP-MRU000</t>
  </si>
  <si>
    <t xml:space="preserve"> มูลนิธิร่วมกตัญญู</t>
  </si>
  <si>
    <t xml:space="preserve">19 เธซเธกเธนเน 13 3256 ต.บางพลีใหญ่</t>
  </si>
  <si>
    <t xml:space="preserve">02-751-0944</t>
  </si>
  <si>
    <t xml:space="preserve">ruamkatanyufoundation@hotmail.com</t>
  </si>
  <si>
    <t xml:space="preserve">AP-NEO000</t>
  </si>
  <si>
    <t xml:space="preserve">บจ. นีโอ เอ็นจิเนียริ่ง</t>
  </si>
  <si>
    <t xml:space="preserve">26/24 ม.4 ต.โคกช้าง </t>
  </si>
  <si>
    <t xml:space="preserve">อ.บางไทร</t>
  </si>
  <si>
    <t xml:space="preserve">จ.พระนครศรีอยุธยา</t>
  </si>
  <si>
    <t xml:space="preserve">035-950471</t>
  </si>
  <si>
    <t xml:space="preserve">0105534005083 </t>
  </si>
  <si>
    <t xml:space="preserve">รับเหมาก่อสร้าง</t>
  </si>
  <si>
    <t xml:space="preserve">AP-NIR000</t>
  </si>
  <si>
    <t xml:space="preserve">นาย นิดรุต บัวแก้ว</t>
  </si>
  <si>
    <t xml:space="preserve">11/1 หมู่ที่6 ต.คันโช้ง</t>
  </si>
  <si>
    <t xml:space="preserve"> อ.วัดโบสถ์ </t>
  </si>
  <si>
    <t xml:space="preserve">จ.พิษณุโลก </t>
  </si>
  <si>
    <t xml:space="preserve">5650700018293 </t>
  </si>
  <si>
    <t xml:space="preserve">AP-NRT000</t>
  </si>
  <si>
    <t xml:space="preserve">นาย นิรุธ ตั้งรักษาสงบ</t>
  </si>
  <si>
    <t xml:space="preserve">421,423 ถนนประชานฤมิตร แขวงบางซื่อ</t>
  </si>
  <si>
    <t xml:space="preserve">3100200885042 </t>
  </si>
  <si>
    <t xml:space="preserve">คุณนิรุธ </t>
  </si>
  <si>
    <t xml:space="preserve">081-802-3208</t>
  </si>
  <si>
    <t xml:space="preserve">AP-NRT001</t>
  </si>
  <si>
    <t xml:space="preserve">นาย นิรันดร์ ทองไพรวรรณ</t>
  </si>
  <si>
    <t xml:space="preserve">13 หมู่ 2 ต.โนนกาหลง </t>
  </si>
  <si>
    <t xml:space="preserve">อ.พิบูลมังสาหาร </t>
  </si>
  <si>
    <t xml:space="preserve">จ.อุบลราชธานี</t>
  </si>
  <si>
    <t xml:space="preserve">1251200069613 </t>
  </si>
  <si>
    <t xml:space="preserve">AP-NTP000</t>
  </si>
  <si>
    <t xml:space="preserve">นาย ณัฐพงษ์ กุณะ</t>
  </si>
  <si>
    <t xml:space="preserve">36 ม.4 ต.แม่ยางฮ่อ </t>
  </si>
  <si>
    <t xml:space="preserve">อ.ร้องกวาง</t>
  </si>
  <si>
    <t xml:space="preserve">1549900306248 </t>
  </si>
  <si>
    <t xml:space="preserve">AP-NTV000</t>
  </si>
  <si>
    <t xml:space="preserve">นาย นิติวัฒน์ ดาวเรือง</t>
  </si>
  <si>
    <t xml:space="preserve">81/96 หมู่ 11 ต.บางพลี</t>
  </si>
  <si>
    <t xml:space="preserve">081-6268367</t>
  </si>
  <si>
    <t xml:space="preserve">3110101426708 </t>
  </si>
  <si>
    <t xml:space="preserve">AP-NUP000</t>
  </si>
  <si>
    <t xml:space="preserve">นาย นพคุณ เชื้ออินต๊ะ</t>
  </si>
  <si>
    <t xml:space="preserve">375 หมู่ 3 ต.ปง.</t>
  </si>
  <si>
    <t xml:space="preserve">อ.ปง</t>
  </si>
  <si>
    <t xml:space="preserve">จ.พะเยา </t>
  </si>
  <si>
    <t xml:space="preserve">3560600343812 </t>
  </si>
  <si>
    <t xml:space="preserve">AP-OBE000</t>
  </si>
  <si>
    <t xml:space="preserve">บริษัท โอเบ เอ็นจิเนียริ่ง จำกัด</t>
  </si>
  <si>
    <t xml:space="preserve">60/238 ซ.ประชาร่วมใจ 31 ถ.ประชาร่วมใจ แขวงทรายกองดินใต้</t>
  </si>
  <si>
    <t xml:space="preserve">0105540041495 </t>
  </si>
  <si>
    <t xml:space="preserve">รับเหมาก่อสร้างค้าวัสดุก่อสร้าง</t>
  </si>
  <si>
    <t xml:space="preserve">AP-PAN000</t>
  </si>
  <si>
    <t xml:space="preserve">นาย ภานุวัฒน์ โกพลรัตน์</t>
  </si>
  <si>
    <t xml:space="preserve">14/274 หมู่ที่8 ต.บางโฉลง</t>
  </si>
  <si>
    <t xml:space="preserve">3480600067719 </t>
  </si>
  <si>
    <t xml:space="preserve">AP-PJP000</t>
  </si>
  <si>
    <t xml:space="preserve">นาย พจิต ปินตาแก้ว</t>
  </si>
  <si>
    <t xml:space="preserve">351 ม.16 ต.น้ำชุน </t>
  </si>
  <si>
    <t xml:space="preserve">อ.หล่มรัก</t>
  </si>
  <si>
    <t xml:space="preserve">จ.เพรชบูรณ์</t>
  </si>
  <si>
    <t xml:space="preserve">3570501343130 </t>
  </si>
  <si>
    <t xml:space="preserve">AP-PKP000</t>
  </si>
  <si>
    <t xml:space="preserve">นาย ภาคิน ปุยแก้ว</t>
  </si>
  <si>
    <t xml:space="preserve">199 หมู่ 5 ต.บ้านกล้วย </t>
  </si>
  <si>
    <t xml:space="preserve">อ.ชนแดน</t>
  </si>
  <si>
    <t xml:space="preserve">จ.เพชรบูรณ์ </t>
  </si>
  <si>
    <t xml:space="preserve">3670200548734 </t>
  </si>
  <si>
    <t xml:space="preserve">คุณภาคิน</t>
  </si>
  <si>
    <t xml:space="preserve">AP-PKT000</t>
  </si>
  <si>
    <t xml:space="preserve">81 ม.1 ต.สำโรง </t>
  </si>
  <si>
    <t xml:space="preserve">อ.ปักธงชัย</t>
  </si>
  <si>
    <t xml:space="preserve">AP-PLB000</t>
  </si>
  <si>
    <t xml:space="preserve">หจก. เดอะ เพอเฟ็ค เลเบล แอนด์ บาร์โค๊ด</t>
  </si>
  <si>
    <t xml:space="preserve">328/40 ม.8 ต.สุรศักดิ์ </t>
  </si>
  <si>
    <t xml:space="preserve">อ.ศรีราชา </t>
  </si>
  <si>
    <t xml:space="preserve">038-119-794</t>
  </si>
  <si>
    <t xml:space="preserve">barcode_label@hotmail.com</t>
  </si>
  <si>
    <t xml:space="preserve">0203546002502 </t>
  </si>
  <si>
    <t xml:space="preserve">พิมท์ฉลากบาร์โค้ดจำหน่ายอุปกรณ์การพิมท์บาร์โค้ด</t>
  </si>
  <si>
    <t xml:space="preserve">AP-PLC000</t>
  </si>
  <si>
    <t xml:space="preserve">บริษัท ไพลอต คอนโซลิเดเตอร์ จำกัด</t>
  </si>
  <si>
    <t xml:space="preserve">2024/164-168 ถ.ริมทางรถไฟสายปากน้ำ แขวงพระโขนง</t>
  </si>
  <si>
    <t xml:space="preserve">02-333-0505</t>
  </si>
  <si>
    <t xml:space="preserve">0105531072322 </t>
  </si>
  <si>
    <t xml:space="preserve">AP-PPS001</t>
  </si>
  <si>
    <t xml:space="preserve">นาย พลประเสริฐ สร้อยคำ</t>
  </si>
  <si>
    <t xml:space="preserve">75/124 หมู่ที่ ม.9 ต.ละหาร</t>
  </si>
  <si>
    <t xml:space="preserve">1610100068556 </t>
  </si>
  <si>
    <t xml:space="preserve">AP-PRP001</t>
  </si>
  <si>
    <t xml:space="preserve">นาย พีรพล วรรณสุทธิ์</t>
  </si>
  <si>
    <t xml:space="preserve">89 ม 1 ต.จานแสนไชย </t>
  </si>
  <si>
    <t xml:space="preserve">อ.ห้วยหับหัน </t>
  </si>
  <si>
    <t xml:space="preserve">1331200007617 </t>
  </si>
  <si>
    <t xml:space="preserve">AP-PSK000</t>
  </si>
  <si>
    <t xml:space="preserve">บริษัท พงศกร เบิกฟ้า โล-ไฮโวท์เทจ จำกัด</t>
  </si>
  <si>
    <t xml:space="preserve">55/28 ม.9 ต.บางปลา</t>
  </si>
  <si>
    <t xml:space="preserve">pannapa_keawyai@hotmail.com</t>
  </si>
  <si>
    <t xml:space="preserve">0115563013447 </t>
  </si>
  <si>
    <t xml:space="preserve">AP-PSS000</t>
  </si>
  <si>
    <t xml:space="preserve">นาย พิสิทธิ์ ขุนทุม</t>
  </si>
  <si>
    <t xml:space="preserve">95 หมู่ที่1 หนองสระปลา </t>
  </si>
  <si>
    <t xml:space="preserve">อ.หนองหาน </t>
  </si>
  <si>
    <t xml:space="preserve">จ.อุดาธานี </t>
  </si>
  <si>
    <t xml:space="preserve">1410600218885 </t>
  </si>
  <si>
    <t xml:space="preserve">AP-PST000</t>
  </si>
  <si>
    <t xml:space="preserve"> ปราสาททองขนส่ง</t>
  </si>
  <si>
    <t xml:space="preserve">79หมู่ 1 ตำบล น้าทรง </t>
  </si>
  <si>
    <t xml:space="preserve">อำเภอ พยุหะคีรี </t>
  </si>
  <si>
    <t xml:space="preserve">จ.นครสวรรค์</t>
  </si>
  <si>
    <t xml:space="preserve">084 074 2838 /087 831 4094</t>
  </si>
  <si>
    <t xml:space="preserve">1180200065413 </t>
  </si>
  <si>
    <t xml:space="preserve">วรรณรัตน์ สลัดทุกข์</t>
  </si>
  <si>
    <t xml:space="preserve">AP-PST001</t>
  </si>
  <si>
    <t xml:space="preserve">ร้าน รับเหมา ฝ้าฉาบเรียบ ฝ้าหลุม ฝ้าทีบาร์ กั้นห้องผนังเบา ทาสี</t>
  </si>
  <si>
    <t xml:space="preserve">36/15 ม.6 ต.บางโฉลง </t>
  </si>
  <si>
    <t xml:space="preserve">นส วาสนา ยี่สุ่นศรี</t>
  </si>
  <si>
    <t xml:space="preserve">AP-PTS000</t>
  </si>
  <si>
    <t xml:space="preserve">บริษัท พีทีเอส กรุ๊ป อินเตอร์เนชั่นแนล (ไทยแลนด์) จำกัด</t>
  </si>
  <si>
    <t xml:space="preserve">36/105 พีเอส ทาวเวอร์ ชั้น33 สุขุมวิท21 อโศกมนตรี คลองเตยเหนือ</t>
  </si>
  <si>
    <t xml:space="preserve">02-844-9210</t>
  </si>
  <si>
    <t xml:space="preserve">TH@PTSGI.COM</t>
  </si>
  <si>
    <t xml:space="preserve">0105561160574 </t>
  </si>
  <si>
    <t xml:space="preserve">AP-PWD000</t>
  </si>
  <si>
    <t xml:space="preserve">นาย ภูวดล ประทาน</t>
  </si>
  <si>
    <t xml:space="preserve">9/111 ม.10 ต.ในคลองบางปลากด</t>
  </si>
  <si>
    <t xml:space="preserve">อ.พระสมุทรเจดีย์</t>
  </si>
  <si>
    <t xml:space="preserve">1102002961694 </t>
  </si>
  <si>
    <t xml:space="preserve">ภูวดล</t>
  </si>
  <si>
    <t xml:space="preserve">AP-PYS000</t>
  </si>
  <si>
    <t xml:space="preserve">นาย ปิยะ สกุลเขียว</t>
  </si>
  <si>
    <t xml:space="preserve">25/7 ม.2 ซ.เพชรหึงส์ 22  ถ.เพชรหึงส์ ต.บางกระสอบ</t>
  </si>
  <si>
    <t xml:space="preserve"> อ.พระประแดง </t>
  </si>
  <si>
    <t xml:space="preserve">085-9058663</t>
  </si>
  <si>
    <t xml:space="preserve">3310400355053 </t>
  </si>
  <si>
    <t xml:space="preserve">AP-RR0000</t>
  </si>
  <si>
    <t xml:space="preserve">นาย รุ่งเรือง มีพวงผล</t>
  </si>
  <si>
    <t xml:space="preserve">40/00236 หมู่ 13 ต.คลองหนึ่ง </t>
  </si>
  <si>
    <t xml:space="preserve">คุณโจ้</t>
  </si>
  <si>
    <t xml:space="preserve">AP-RSD001</t>
  </si>
  <si>
    <t xml:space="preserve">467 หมู่6 ต.เขาฉกรรจ์</t>
  </si>
  <si>
    <t xml:space="preserve">อ.เขาฉกรรณ์ </t>
  </si>
  <si>
    <t xml:space="preserve">AP-SCH001</t>
  </si>
  <si>
    <t xml:space="preserve">นาย สุชาติ ผึ้งประสพ</t>
  </si>
  <si>
    <t xml:space="preserve">424/1 ม. 13 ต.สำโรงใหม่ </t>
  </si>
  <si>
    <t xml:space="preserve">อ.ละหานทราย </t>
  </si>
  <si>
    <t xml:space="preserve">จ.บุรีรัมย์</t>
  </si>
  <si>
    <t xml:space="preserve">1310600220627 </t>
  </si>
  <si>
    <t xml:space="preserve">AP-SGS000</t>
  </si>
  <si>
    <t xml:space="preserve"> SGS (THAILAND) LIMITED</t>
  </si>
  <si>
    <t xml:space="preserve">100 Nanglinchee Road, Chongnonsee,</t>
  </si>
  <si>
    <t xml:space="preserve">Yannawa,</t>
  </si>
  <si>
    <t xml:space="preserve">02-6781813</t>
  </si>
  <si>
    <t xml:space="preserve">0105532106079 </t>
  </si>
  <si>
    <t xml:space="preserve">AP-SHW000</t>
  </si>
  <si>
    <t xml:space="preserve">นาย สัณหวัช ทองเทพ</t>
  </si>
  <si>
    <t xml:space="preserve">19/4 หมู่ที่ 2 ต.พิมพา</t>
  </si>
  <si>
    <t xml:space="preserve">083-0949743</t>
  </si>
  <si>
    <t xml:space="preserve">คุณโบตั๋น</t>
  </si>
  <si>
    <t xml:space="preserve">AP-SIM000</t>
  </si>
  <si>
    <t xml:space="preserve"> SIMBA</t>
  </si>
  <si>
    <t xml:space="preserve">AP-SIP000</t>
  </si>
  <si>
    <t xml:space="preserve">บริษัท SONIC INTERFREIGHT PUBLIC COMPANY LIMITED</t>
  </si>
  <si>
    <t xml:space="preserve">84/1 Moo 15 Kingkaew Rd., T.Bangphleeyai</t>
  </si>
  <si>
    <t xml:space="preserve"> A.Bangphlee,</t>
  </si>
  <si>
    <t xml:space="preserve">02-3124999</t>
  </si>
  <si>
    <t xml:space="preserve">0107560000427 </t>
  </si>
  <si>
    <t xml:space="preserve">AP-SKM000</t>
  </si>
  <si>
    <t xml:space="preserve">บริษัท เอส.เค.แม็กซ์ ช็อป จำกัด</t>
  </si>
  <si>
    <t xml:space="preserve">1/364-367 ม.20 ถ.บางลพี-ตำหรุ ต.บางพลีใหญ่</t>
  </si>
  <si>
    <t xml:space="preserve">02-185-6798</t>
  </si>
  <si>
    <t xml:space="preserve">0115561000062 </t>
  </si>
  <si>
    <t xml:space="preserve">AP-SNT002</t>
  </si>
  <si>
    <t xml:space="preserve">หจก. เอส ไนน์ เท็น ทรานสปอร์ต</t>
  </si>
  <si>
    <t xml:space="preserve">67/25 หมู่ที่ 9 ต.บางเมืองใหม่</t>
  </si>
  <si>
    <t xml:space="preserve">080-8180801</t>
  </si>
  <si>
    <t xml:space="preserve">0113563002354 </t>
  </si>
  <si>
    <t xml:space="preserve">ให้บริการขนส่งสินค้า</t>
  </si>
  <si>
    <t xml:space="preserve">คุณนุ๊ก</t>
  </si>
  <si>
    <t xml:space="preserve">AP-SPB000</t>
  </si>
  <si>
    <t xml:space="preserve">บริษัท Spellbound Soft Solutions</t>
  </si>
  <si>
    <t xml:space="preserve">724, I Square Corporate Park, Near CIMS Hospital, Main Road</t>
  </si>
  <si>
    <t xml:space="preserve">, Science City Rd, Sola,</t>
  </si>
  <si>
    <t xml:space="preserve">Gujarat </t>
  </si>
  <si>
    <t xml:space="preserve">+91 76005 68857</t>
  </si>
  <si>
    <t xml:space="preserve">AP-SPP000</t>
  </si>
  <si>
    <t xml:space="preserve">นาย สุพจน์ ภูดวงดอก</t>
  </si>
  <si>
    <t xml:space="preserve">677 ซ.พระรามที่ 2 ซ.42 แขวงบางมด </t>
  </si>
  <si>
    <t xml:space="preserve">5460700028282 </t>
  </si>
  <si>
    <t xml:space="preserve">AP-SPP001</t>
  </si>
  <si>
    <t xml:space="preserve">AP-SSP001</t>
  </si>
  <si>
    <t xml:space="preserve">นาย สมศักดิ์ ผะดุงสุข</t>
  </si>
  <si>
    <t xml:space="preserve">12 ถ.รุ่งประชา แขวงบางบำหรุ</t>
  </si>
  <si>
    <t xml:space="preserve">เขตบางพลัด</t>
  </si>
  <si>
    <t xml:space="preserve">3321000946713 </t>
  </si>
  <si>
    <t xml:space="preserve">AP-STC000</t>
  </si>
  <si>
    <t xml:space="preserve">บริษัท สแตค คอนซัลติ้ง จำกัด</t>
  </si>
  <si>
    <t xml:space="preserve">14/3052 ม 14 ต.บางบัวทอง</t>
  </si>
  <si>
    <t xml:space="preserve">02-9226573</t>
  </si>
  <si>
    <t xml:space="preserve">0125558023014 </t>
  </si>
  <si>
    <t xml:space="preserve">ให้คำปรึกษาด้านสิ่งแวดล้อมนำเข้า และจำหน่ายเครื่องมอในห้องทดลอง</t>
  </si>
  <si>
    <t xml:space="preserve">คุณ ชาตรี สุดใจดี</t>
  </si>
  <si>
    <t xml:space="preserve">AP-SUA000</t>
  </si>
  <si>
    <t xml:space="preserve">หจก. ศรี-อุดม แอร์</t>
  </si>
  <si>
    <t xml:space="preserve">เลขที 17 ถนนอุดมสุข แขวงหนองบอน </t>
  </si>
  <si>
    <t xml:space="preserve">086-6472457</t>
  </si>
  <si>
    <t xml:space="preserve">0103559004640 </t>
  </si>
  <si>
    <t xml:space="preserve">ขายเครื่องปรับอากาศ</t>
  </si>
  <si>
    <t xml:space="preserve">คุณชื่น</t>
  </si>
  <si>
    <t xml:space="preserve">AP-TAR000</t>
  </si>
  <si>
    <t xml:space="preserve">บริษัท ตายายนำโชคขนส่ง</t>
  </si>
  <si>
    <t xml:space="preserve">28หมู่14  ต.หนองสองห้อง</t>
  </si>
  <si>
    <t xml:space="preserve"> อ.หนองสองห้อง</t>
  </si>
  <si>
    <t xml:space="preserve">จ.ขอนแก่น</t>
  </si>
  <si>
    <t xml:space="preserve">061-0828503</t>
  </si>
  <si>
    <t xml:space="preserve">0405562000594 </t>
  </si>
  <si>
    <t xml:space="preserve">คุณต้น</t>
  </si>
  <si>
    <t xml:space="preserve">AP-TCA000</t>
  </si>
  <si>
    <t xml:space="preserve">ร้าน TC AIR AND SERVICE</t>
  </si>
  <si>
    <t xml:space="preserve">9999 ม.21 ถ.บางพลี ตำหรุ ต.บางพลีใหญ่</t>
  </si>
  <si>
    <t xml:space="preserve">096-1796309</t>
  </si>
  <si>
    <t xml:space="preserve">AP-TCC002</t>
  </si>
  <si>
    <t xml:space="preserve"> หอการค้า</t>
  </si>
  <si>
    <t xml:space="preserve">150 ถ.ราชบพิธ แขวงวัดราชบพิธ </t>
  </si>
  <si>
    <t xml:space="preserve">0108509000033 </t>
  </si>
  <si>
    <t xml:space="preserve">AP-TCT000</t>
  </si>
  <si>
    <t xml:space="preserve">กรม ศุลกากรท่าเรือแหลมฉบัง</t>
  </si>
  <si>
    <t xml:space="preserve">สำนักงานศุลกากรท่าเรือแหลมฉบัง ต.ทุ่งวุขลา</t>
  </si>
  <si>
    <t xml:space="preserve">จ.ชลบรุ</t>
  </si>
  <si>
    <t xml:space="preserve">038-407705</t>
  </si>
  <si>
    <t xml:space="preserve">AP-THI000</t>
  </si>
  <si>
    <t xml:space="preserve">นางสาว ฐิติภรณ์ แก้วงาม</t>
  </si>
  <si>
    <t xml:space="preserve">49/753 หมู่ที่4 ต.โคกขาม</t>
  </si>
  <si>
    <t xml:space="preserve">อ.เมืองสมุทรสาคร</t>
  </si>
  <si>
    <t xml:space="preserve">1749900146591 </t>
  </si>
  <si>
    <t xml:space="preserve">AP-TNS000</t>
  </si>
  <si>
    <t xml:space="preserve">นาย ธนะสิทธิ์ อิทธิพิพัฒนพร</t>
  </si>
  <si>
    <t xml:space="preserve">47 ม.5  ต.บ้านกล้วย </t>
  </si>
  <si>
    <t xml:space="preserve">อ.ชนแดน </t>
  </si>
  <si>
    <t xml:space="preserve">3670200552723 </t>
  </si>
  <si>
    <t xml:space="preserve">AP-TQM000</t>
  </si>
  <si>
    <t xml:space="preserve">บริษัท ทีคิวเอ็ม อินชัวร์รันส์ โบรคเกอร์ จำกัด</t>
  </si>
  <si>
    <t xml:space="preserve">123 ถ.ลาดปลาเค้า  แขวงจรเข้บัว</t>
  </si>
  <si>
    <t xml:space="preserve"> เขตลาดพร้าว </t>
  </si>
  <si>
    <t xml:space="preserve">02-1198800</t>
  </si>
  <si>
    <t xml:space="preserve">0105540084143 </t>
  </si>
  <si>
    <t xml:space="preserve">ประกันรถยนต์</t>
  </si>
  <si>
    <t xml:space="preserve">คุณทิพย์</t>
  </si>
  <si>
    <t xml:space="preserve">AP-TTF000</t>
  </si>
  <si>
    <t xml:space="preserve">บริษัท ทีทีเอฟ อินเตอร์เนชั่นแนล จำกัด</t>
  </si>
  <si>
    <t xml:space="preserve">200/7-14ซ.รามคำแหง 4 ถ.รามคำแหง แขวงสวนหลวง </t>
  </si>
  <si>
    <t xml:space="preserve">02-7172477</t>
  </si>
  <si>
    <t xml:space="preserve">0105539066994 </t>
  </si>
  <si>
    <t xml:space="preserve">ประกอบกิจการจัดงานแสดงสินค้า จำหน่ายหนังสือโฆษณา</t>
  </si>
  <si>
    <t xml:space="preserve">คุณฐาปนีย์ บัญชี</t>
  </si>
  <si>
    <t xml:space="preserve">AP-TTI000</t>
  </si>
  <si>
    <t xml:space="preserve">บริษัท ทริพเพิลทรานส์ อินเตอร์เนชั่นแนล จำกัด</t>
  </si>
  <si>
    <t xml:space="preserve">377/286 288 อาคารเบ็ลพาร์ค เรสซิเด้นซ์ 2 ชั้นที่ 1 ซ.สาธุประดิษฐ์ 19 ถ.สาธุประดิษฐ์ </t>
  </si>
  <si>
    <t xml:space="preserve">แขวงสาธุประดิษฐ์</t>
  </si>
  <si>
    <t xml:space="preserve">02-1291232</t>
  </si>
  <si>
    <t xml:space="preserve">0105543096746 </t>
  </si>
  <si>
    <t xml:space="preserve">นายหน้าตัวแทนขนส่งสินค้า</t>
  </si>
  <si>
    <t xml:space="preserve">AP-TVC000</t>
  </si>
  <si>
    <t xml:space="preserve">ร้าน ธวัชชัย แอร์</t>
  </si>
  <si>
    <t xml:space="preserve">1614/689  ม.6 ต.ท้ายบ้านใหม่</t>
  </si>
  <si>
    <t xml:space="preserve">02-7024270</t>
  </si>
  <si>
    <t xml:space="preserve">3570400150638 </t>
  </si>
  <si>
    <t xml:space="preserve">AP-TVV000</t>
  </si>
  <si>
    <t xml:space="preserve">บมจ. ประกันภัยไทยวิวัฒน์</t>
  </si>
  <si>
    <t xml:space="preserve">71 ถนนดินแดง แขวงสามเสนใน</t>
  </si>
  <si>
    <t xml:space="preserve">info@thaivivat.co.th</t>
  </si>
  <si>
    <t xml:space="preserve">0107536001427 </t>
  </si>
  <si>
    <t xml:space="preserve">AP-TWC000</t>
  </si>
  <si>
    <t xml:space="preserve">นาย ทวัชชัย ทองคำ</t>
  </si>
  <si>
    <t xml:space="preserve">12/27 หมู่ 4 ต.หนองตาคง</t>
  </si>
  <si>
    <t xml:space="preserve">อ.โป่งน้ำร้อน</t>
  </si>
  <si>
    <t xml:space="preserve">065-247694</t>
  </si>
  <si>
    <t xml:space="preserve">3860300128379 </t>
  </si>
  <si>
    <t xml:space="preserve">AP-TWC001</t>
  </si>
  <si>
    <t xml:space="preserve">นาย ธวัชชัย ทองคำ</t>
  </si>
  <si>
    <t xml:space="preserve">12/27 ม.4 ต.หนองตาคง </t>
  </si>
  <si>
    <t xml:space="preserve">AP-TWI000</t>
  </si>
  <si>
    <t xml:space="preserve">นาย ธวัช อินต๊ะสาร</t>
  </si>
  <si>
    <t xml:space="preserve">135 ม.10 ต.คอยงาม </t>
  </si>
  <si>
    <t xml:space="preserve">อ.พาน </t>
  </si>
  <si>
    <t xml:space="preserve">จ.เชียงราย</t>
  </si>
  <si>
    <t xml:space="preserve">3570400032554 </t>
  </si>
  <si>
    <t xml:space="preserve">AP-VAR000</t>
  </si>
  <si>
    <t xml:space="preserve">บริษัท วิริยะประกันภัย จำกัด (มหาชน)</t>
  </si>
  <si>
    <t xml:space="preserve">เลขที่ 121/7(สาขารัชดาภิเษก) ชั้น2 6 อาคารอาร์ เอส ทาวเวอร์ ถนนรัชดาภิเษก</t>
  </si>
  <si>
    <t xml:space="preserve">02-1159410</t>
  </si>
  <si>
    <t xml:space="preserve">info@viriyah.co.th</t>
  </si>
  <si>
    <t xml:space="preserve">0107555000139 </t>
  </si>
  <si>
    <t xml:space="preserve">คุณวิกานดา(TT INSURANCE)</t>
  </si>
  <si>
    <t xml:space="preserve">AP-VRS000</t>
  </si>
  <si>
    <t xml:space="preserve"> วรสุภาอินเตอร์เนชั่นแนล</t>
  </si>
  <si>
    <t xml:space="preserve">325/5 ซ.สะพานยาวบ้านใหม่  ถ.เจริญกรุง แขวงวัดพระยาไกร</t>
  </si>
  <si>
    <t xml:space="preserve">083-8392220</t>
  </si>
  <si>
    <t xml:space="preserve">0103556066865 </t>
  </si>
  <si>
    <t xml:space="preserve">AP-VSN001</t>
  </si>
  <si>
    <t xml:space="preserve">บริษัท วี สมาร์ท เน็ตเวิร์ค จำกัด</t>
  </si>
  <si>
    <t xml:space="preserve">102/14 ซอยสายไหม 85 แขวงสายไหม</t>
  </si>
  <si>
    <t xml:space="preserve">02-0888461</t>
  </si>
  <si>
    <t xml:space="preserve">info@v-smart.com</t>
  </si>
  <si>
    <t xml:space="preserve">0105558089881 </t>
  </si>
  <si>
    <t xml:space="preserve">ให้บริการเป็นตัวแทนผู้รับจัดการขนส่งสินค้า ตัวแทนออกของ</t>
  </si>
  <si>
    <t xml:space="preserve">คุณกิ๊ฟ</t>
  </si>
  <si>
    <t xml:space="preserve">AP-WRN000</t>
  </si>
  <si>
    <t xml:space="preserve">นาย วริทธฺ์นันท์ รัตนนาคินทร์</t>
  </si>
  <si>
    <t xml:space="preserve">711/344 ม.1 ต.แพรกษาใหม่</t>
  </si>
  <si>
    <t xml:space="preserve">1100701373692 </t>
  </si>
  <si>
    <t xml:space="preserve">AP-XHC000</t>
  </si>
  <si>
    <t xml:space="preserve">บริษัท ซิงเฮ้าส์ จำกัด</t>
  </si>
  <si>
    <t xml:space="preserve">9/2 ม.13 ต.ศาลาแดง </t>
  </si>
  <si>
    <t xml:space="preserve">อ.บางน้ำเปรี้ยว </t>
  </si>
  <si>
    <t xml:space="preserve">038 088 296</t>
  </si>
  <si>
    <t xml:space="preserve">sales@xinghouse.com</t>
  </si>
  <si>
    <t xml:space="preserve">0105534120834 </t>
  </si>
  <si>
    <t xml:space="preserve">AP-YJ0001</t>
  </si>
  <si>
    <t xml:space="preserve">นาย โยแฉะ  จะกุ</t>
  </si>
  <si>
    <t xml:space="preserve">189/240 ม.6 ต.แพรกษา</t>
  </si>
  <si>
    <t xml:space="preserve">5570100059653 </t>
  </si>
  <si>
    <t xml:space="preserve">AP-ISU000</t>
  </si>
  <si>
    <t xml:space="preserve">บริษัท อีซูซุชัยเจริญกิจมอเตอร์ส จำกัด</t>
  </si>
  <si>
    <t xml:space="preserve">เลขที่7 หมู่ที่2  ต.ราชาเทวะ</t>
  </si>
  <si>
    <t xml:space="preserve">02-7503030</t>
  </si>
  <si>
    <t xml:space="preserve">icck.kkcr@isuzucck.com,icck.marketing@isuzucck.com</t>
  </si>
  <si>
    <t xml:space="preserve">0105537123079 </t>
  </si>
  <si>
    <t xml:space="preserve">จำหน่ายรถยนต์/ซ่อมรถยนต์</t>
  </si>
  <si>
    <t xml:space="preserve">AP-JVS000</t>
  </si>
  <si>
    <t xml:space="preserve">หจก. เจวัฒนาเซอร์วิส</t>
  </si>
  <si>
    <t xml:space="preserve">149 ม.4 ซ.มังกร นาคดี ถ.พุทธรักษา ต.แพรกษาใหม่</t>
  </si>
  <si>
    <t xml:space="preserve">02-3343343,081-9042978</t>
  </si>
  <si>
    <t xml:space="preserve">0113554005907 </t>
  </si>
  <si>
    <t xml:space="preserve">ซ่อมแซมบำรุงรักษาเครื่องยนต์ทุกชนิด</t>
  </si>
  <si>
    <t xml:space="preserve">AP-SSA000</t>
  </si>
  <si>
    <t xml:space="preserve">บริษัท เอสเอส ออโต้เวิร์ค จำกัด</t>
  </si>
  <si>
    <t xml:space="preserve">315/1 ถ.เปรมใจราษฎร์ ต.เหมือง  </t>
  </si>
  <si>
    <t xml:space="preserve">038-195640,092-2504011</t>
  </si>
  <si>
    <t xml:space="preserve">0205555006428 </t>
  </si>
  <si>
    <t xml:space="preserve">บำรุงรักษายานยนต์และชิ้นส่วนยานยนต์</t>
  </si>
  <si>
    <t xml:space="preserve">AP-TPI000</t>
  </si>
  <si>
    <t xml:space="preserve">บจ. ตีเพชรอีซูซุลิสซิ่ง (สำนักงานใหญ่)</t>
  </si>
  <si>
    <t xml:space="preserve">1088 ถ.วิภาวดีรังสิต แขวงจตุจักร </t>
  </si>
  <si>
    <t xml:space="preserve">02 792 2000</t>
  </si>
  <si>
    <t xml:space="preserve">0105528009471 </t>
  </si>
  <si>
    <t xml:space="preserve">AP-ITCITY0</t>
  </si>
  <si>
    <t xml:space="preserve">บริษัท ไอที ซิตี้ จำกัด(มหาชน)</t>
  </si>
  <si>
    <t xml:space="preserve">555 ศูนย์การค้าเดอะพาลาเดียมเวิลด์ช้อปปิ้ง ชั้น B1,B2,5 ถ.ราชปรารภ  แขวงมักกะสัน</t>
  </si>
  <si>
    <t xml:space="preserve">เขตราชเทวี</t>
  </si>
  <si>
    <t xml:space="preserve">02-6562030</t>
  </si>
  <si>
    <t xml:space="preserve">0107545000349 </t>
  </si>
  <si>
    <t xml:space="preserve">AP-KGW000</t>
  </si>
  <si>
    <t xml:space="preserve">บริษัท คากาวา จำกัด</t>
  </si>
  <si>
    <t xml:space="preserve">12 ซอยจินตะเวช  ถ.สุทธิสารฯ</t>
  </si>
  <si>
    <t xml:space="preserve"> ห้วยขวาง</t>
  </si>
  <si>
    <t xml:space="preserve">02-2757485</t>
  </si>
  <si>
    <t xml:space="preserve">kagawacompany@hotmail.com</t>
  </si>
  <si>
    <t xml:space="preserve">0105534033354 </t>
  </si>
  <si>
    <t xml:space="preserve">ขายเครื่องโทรศัพท์,เครื่องกรองน้ำ,ตู้น้ำเย็นรับซ่อมตู้น้ำเย็น</t>
  </si>
  <si>
    <t xml:space="preserve">AP-MF0000</t>
  </si>
  <si>
    <t xml:space="preserve">บริษัท มงคล เฟอร์นิเจอร์ เอ็นเอส จำกัด</t>
  </si>
  <si>
    <t xml:space="preserve">159/11 ม.8 ต.บางพลีใหญ่</t>
  </si>
  <si>
    <t xml:space="preserve">02-0398898</t>
  </si>
  <si>
    <t xml:space="preserve">0115563003514 </t>
  </si>
  <si>
    <t xml:space="preserve">จำหน่ายเฟอร์นิเจอร์ทุกชนิด</t>
  </si>
  <si>
    <t xml:space="preserve">AP-NPM001</t>
  </si>
  <si>
    <t xml:space="preserve">บริษัท นิปปอนมัลติบอร์ด จำกัด</t>
  </si>
  <si>
    <t xml:space="preserve">48/65 หมู่8 ถ.พุทธมณฑลสาย4 ต.กระทุ่มล้ม</t>
  </si>
  <si>
    <t xml:space="preserve">02 814 0949</t>
  </si>
  <si>
    <t xml:space="preserve">nipponboard@gmail.com</t>
  </si>
  <si>
    <t xml:space="preserve">0105534004311 </t>
  </si>
  <si>
    <t xml:space="preserve">AP-PIN000</t>
  </si>
  <si>
    <t xml:space="preserve">บริษัท ภิญแอสเซทส์ จำกัด (สำนักงานใหญ่)</t>
  </si>
  <si>
    <t xml:space="preserve">โครงการ The Estate เลขที.. 9/32 ถ.อ่อนนุช ซ.46 แขวงสวนหลวง </t>
  </si>
  <si>
    <t xml:space="preserve">096-4265395</t>
  </si>
  <si>
    <t xml:space="preserve">0105563171379 </t>
  </si>
  <si>
    <t xml:space="preserve">ดำเนินธุรกิจหลักในการจำหน่ายอุปกรณ์ทางการแพทย์</t>
  </si>
  <si>
    <t xml:space="preserve">AP-PWB000</t>
  </si>
  <si>
    <t xml:space="preserve">บริษัท เพาเวอร์บาย จำกัด(สำนักงานใหญ่)</t>
  </si>
  <si>
    <t xml:space="preserve">919/555 อาคารเซาท์ทาวเวอร์ ชั้น 11 ถ.สีลม  แขวงสีลม</t>
  </si>
  <si>
    <t xml:space="preserve">02 630 3050</t>
  </si>
  <si>
    <t xml:space="preserve">powerbuycontactcenter@powerbuy.co.th</t>
  </si>
  <si>
    <t xml:space="preserve">0105539004352 </t>
  </si>
  <si>
    <t xml:space="preserve">AP-RCS000</t>
  </si>
  <si>
    <t xml:space="preserve">บริษัท ริชเชส ซัพพลาย จำกัด</t>
  </si>
  <si>
    <t xml:space="preserve">689 ถนนสวนผัก แขวงตลิ่งชัน</t>
  </si>
  <si>
    <t xml:space="preserve">02-4085288</t>
  </si>
  <si>
    <t xml:space="preserve">richestsupply@gmail.com</t>
  </si>
  <si>
    <t xml:space="preserve">0105553023571 </t>
  </si>
  <si>
    <t xml:space="preserve">จำหน่ายอุปกรณ์ไฟฟ้าแสงสว่าง หลอดไฟฟ้า โคมไฟฟ้า</t>
  </si>
  <si>
    <t xml:space="preserve">AP-S&amp;P0000</t>
  </si>
  <si>
    <t xml:space="preserve">บริษัท เอส แอนด์ พี ซินดิเคท จำกัด</t>
  </si>
  <si>
    <t xml:space="preserve">อาคารอิตัลไทยทาวเวอร์ ชั้น 23 2034/100-103 ถ.เพชรบุรีตัดใหม่ แขวงบางกะปิ</t>
  </si>
  <si>
    <t xml:space="preserve">02-785-4000</t>
  </si>
  <si>
    <t xml:space="preserve">crm@snpfood.com</t>
  </si>
  <si>
    <t xml:space="preserve">0107537001170 </t>
  </si>
  <si>
    <t xml:space="preserve">PC-001</t>
  </si>
  <si>
    <t xml:space="preserve"> PETTY CASH</t>
  </si>
  <si>
    <t xml:space="preserve">PC-W001</t>
  </si>
  <si>
    <t xml:space="preserve"> เก็บขยะ รายเดือน</t>
  </si>
  <si>
    <t xml:space="preserve">SALALY</t>
  </si>
  <si>
    <t xml:space="preserve"> SALARY</t>
  </si>
  <si>
    <t xml:space="preserve">AP-DSV000</t>
  </si>
  <si>
    <t xml:space="preserve">บริษัท ดีเอสวี เอ็นจิเนียริ่ง จากัด</t>
  </si>
  <si>
    <t xml:space="preserve">19/8 หมู่9  ต.บึงคาพร้อย </t>
  </si>
  <si>
    <t xml:space="preserve">อ.ลำลูกกา</t>
  </si>
  <si>
    <t xml:space="preserve">02-159-8708</t>
  </si>
  <si>
    <t xml:space="preserve">saledsv@hotmail.com</t>
  </si>
  <si>
    <t xml:space="preserve">0105553019175</t>
  </si>
  <si>
    <t xml:space="preserve">รับจ้างออกแบบและติดตั้งระบบปรับอากาศ ระบายอากาศ</t>
  </si>
  <si>
    <t xml:space="preserve">AR-00000</t>
  </si>
  <si>
    <t xml:space="preserve">บริษัท สยาม อาร์ต มาร์เบิล จำกัด</t>
  </si>
  <si>
    <t xml:space="preserve">sales@lavaredo-kitchen.com</t>
  </si>
  <si>
    <t xml:space="preserve">Product Account</t>
  </si>
  <si>
    <r>
      <rPr>
        <sz val="12"/>
        <color rgb="FF000000"/>
        <rFont val="Arial"/>
        <family val="0"/>
        <charset val="134"/>
      </rPr>
      <t xml:space="preserve">0</t>
    </r>
    <r>
      <rPr>
        <sz val="12"/>
        <color rgb="FF000000"/>
        <rFont val="Tahoma"/>
        <family val="0"/>
        <charset val="134"/>
      </rPr>
      <t xml:space="preserve">  </t>
    </r>
    <r>
      <rPr>
        <sz val="12"/>
        <color rgb="FF000000"/>
        <rFont val="Arial"/>
        <family val="0"/>
        <charset val="134"/>
      </rPr>
      <t xml:space="preserve">DAYS</t>
    </r>
  </si>
  <si>
    <t xml:space="preserve">True/False</t>
  </si>
  <si>
    <t xml:space="preserve">Units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</si>
</sst>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(* #,##0.00_);_(* \(#,##0.00\);_(* \-??_);_(@_)"/>
    <numFmt numFmtId="166" formatCode="mmm\-yy"/>
    <numFmt numFmtId="167" formatCode="General"/>
    <numFmt numFmtId="168" formatCode="0"/>
    <numFmt numFmtId="169" formatCode="0%"/>
    <numFmt numFmtId="170" formatCode="#,##0"/>
  </numFmts>
  <fonts count="13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9C5700"/>
      <name val="Calibri"/>
      <family val="0"/>
      <charset val="222"/>
    </font>
    <font>
      <sz val="11"/>
      <color rgb="FF000000"/>
      <name val="Calibri"/>
      <family val="0"/>
      <charset val="222"/>
    </font>
    <font>
      <sz val="12"/>
      <color rgb="FF000000"/>
      <name val="Tahoma"/>
      <family val="0"/>
      <charset val="134"/>
    </font>
    <font>
      <b val="true"/>
      <sz val="12"/>
      <color rgb="FFFF0000"/>
      <name val="Tahoma"/>
      <family val="0"/>
      <charset val="134"/>
    </font>
    <font>
      <b val="true"/>
      <sz val="12"/>
      <color rgb="FFFF0000"/>
      <name val="Arial"/>
      <family val="0"/>
      <charset val="134"/>
    </font>
    <font>
      <b val="true"/>
      <sz val="12"/>
      <color rgb="FF9C6500"/>
      <name val="Tahoma"/>
      <family val="0"/>
      <charset val="134"/>
    </font>
    <font>
      <b val="true"/>
      <sz val="12"/>
      <color rgb="FF9C6500"/>
      <name val="Arial"/>
      <family val="0"/>
      <charset val="134"/>
    </font>
    <font>
      <sz val="12"/>
      <color rgb="FF000000"/>
      <name val="Arial"/>
      <family val="0"/>
      <charset val="134"/>
    </font>
    <font>
      <sz val="12"/>
      <color rgb="FF333333"/>
      <name val="Tahoma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EB9C"/>
        <bgColor rgb="FFFBE5D6"/>
      </patternFill>
    </fill>
    <fill>
      <patternFill patternType="solid">
        <fgColor rgb="FFFBE5D6"/>
        <bgColor rgb="FFFFEB9C"/>
      </patternFill>
    </fill>
    <fill>
      <patternFill patternType="solid">
        <fgColor rgb="FFFFFFFF"/>
        <bgColor rgb="FFFBE5D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21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4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" fillId="4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6" fillId="4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21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9" fontId="6" fillId="4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0" xfId="21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6" fillId="4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eutral 2" xfId="20"/>
    <cellStyle name="Normal 2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info@tpqtools.com" TargetMode="External"/><Relationship Id="rId2" Type="http://schemas.openxmlformats.org/officeDocument/2006/relationships/hyperlink" Target="mailto:info@vphydraulic.com" TargetMode="External"/><Relationship Id="rId3" Type="http://schemas.openxmlformats.org/officeDocument/2006/relationships/hyperlink" Target="mailto:cbfactory70@gmail.com" TargetMode="External"/><Relationship Id="rId4" Type="http://schemas.openxmlformats.org/officeDocument/2006/relationships/hyperlink" Target="mailto:shoponline@hardwarehouse.co.th" TargetMode="External"/><Relationship Id="rId5" Type="http://schemas.openxmlformats.org/officeDocument/2006/relationships/hyperlink" Target="mailto:sales@jobbkk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709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pane xSplit="0" ySplit="1" topLeftCell="A2" activePane="bottomLeft" state="frozen"/>
      <selection pane="topLeft" activeCell="I1" activeCellId="0" sqref="I1"/>
      <selection pane="bottomLeft" activeCell="M1" activeCellId="0" sqref="M1"/>
    </sheetView>
  </sheetViews>
  <sheetFormatPr defaultColWidth="9" defaultRowHeight="13.8" zeroHeight="false" outlineLevelRow="0" outlineLevelCol="0"/>
  <cols>
    <col collapsed="false" customWidth="true" hidden="false" outlineLevel="0" max="1" min="1" style="0" width="15.23"/>
    <col collapsed="false" customWidth="true" hidden="false" outlineLevel="0" max="4" min="2" style="0" width="22.78"/>
    <col collapsed="false" customWidth="true" hidden="false" outlineLevel="0" max="6" min="5" style="0" width="21.89"/>
    <col collapsed="false" customWidth="true" hidden="false" outlineLevel="0" max="7" min="7" style="0" width="58.34"/>
    <col collapsed="false" customWidth="true" hidden="false" outlineLevel="0" max="8" min="8" style="0" width="73.22"/>
    <col collapsed="false" customWidth="true" hidden="false" outlineLevel="0" max="10" min="9" style="0" width="10.44"/>
    <col collapsed="false" customWidth="true" hidden="false" outlineLevel="0" max="11" min="11" style="0" width="11.23"/>
    <col collapsed="false" customWidth="true" hidden="false" outlineLevel="0" max="12" min="12" style="0" width="67.32"/>
    <col collapsed="false" customWidth="true" hidden="false" outlineLevel="0" max="13" min="13" style="1" width="19.1"/>
    <col collapsed="false" customWidth="true" hidden="false" outlineLevel="0" max="14" min="14" style="2" width="16.66"/>
    <col collapsed="false" customWidth="true" hidden="false" outlineLevel="0" max="15" min="15" style="0" width="11.23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3" t="s">
        <v>14</v>
      </c>
    </row>
    <row r="2" customFormat="false" ht="16.4" hidden="false" customHeight="false" outlineLevel="0" collapsed="false">
      <c r="A2" s="0" t="s">
        <v>15</v>
      </c>
      <c r="B2" s="0" t="s">
        <v>16</v>
      </c>
      <c r="C2" s="0" t="n">
        <v>513025</v>
      </c>
      <c r="D2" s="0" t="n">
        <v>513025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tr">
        <f aca="false">IFERROR(VLOOKUP(K2,'Supplier list'!B:C,2,0),"")</f>
        <v/>
      </c>
      <c r="M2" s="1" t="s">
        <v>24</v>
      </c>
      <c r="O2" s="2" t="n">
        <v>202</v>
      </c>
    </row>
    <row r="3" customFormat="false" ht="16.4" hidden="false" customHeight="false" outlineLevel="0" collapsed="false">
      <c r="A3" s="0" t="s">
        <v>15</v>
      </c>
      <c r="B3" s="0" t="s">
        <v>25</v>
      </c>
      <c r="C3" s="0" t="n">
        <v>513025</v>
      </c>
      <c r="D3" s="0" t="n">
        <v>513025</v>
      </c>
      <c r="E3" s="0" t="s">
        <v>26</v>
      </c>
      <c r="F3" s="0" t="s">
        <v>18</v>
      </c>
      <c r="G3" s="0" t="s">
        <v>27</v>
      </c>
      <c r="H3" s="0" t="s">
        <v>28</v>
      </c>
      <c r="I3" s="0" t="s">
        <v>21</v>
      </c>
      <c r="J3" s="0" t="s">
        <v>22</v>
      </c>
      <c r="K3" s="0" t="s">
        <v>29</v>
      </c>
      <c r="L3" s="0" t="str">
        <f aca="false">IFERROR(VLOOKUP(K3,'Supplier list'!B:C,2,0),"")</f>
        <v/>
      </c>
      <c r="M3" s="1" t="s">
        <v>24</v>
      </c>
      <c r="O3" s="2" t="n">
        <v>0</v>
      </c>
    </row>
    <row r="4" customFormat="false" ht="16.4" hidden="false" customHeight="false" outlineLevel="0" collapsed="false">
      <c r="A4" s="0" t="s">
        <v>15</v>
      </c>
      <c r="B4" s="0" t="s">
        <v>30</v>
      </c>
      <c r="C4" s="0" t="n">
        <v>513025</v>
      </c>
      <c r="D4" s="0" t="n">
        <v>513025</v>
      </c>
      <c r="E4" s="0" t="s">
        <v>31</v>
      </c>
      <c r="F4" s="0" t="s">
        <v>18</v>
      </c>
      <c r="G4" s="0" t="s">
        <v>32</v>
      </c>
      <c r="H4" s="0" t="s">
        <v>33</v>
      </c>
      <c r="I4" s="0" t="s">
        <v>34</v>
      </c>
      <c r="J4" s="0" t="s">
        <v>35</v>
      </c>
      <c r="K4" s="0" t="s">
        <v>29</v>
      </c>
      <c r="L4" s="0" t="str">
        <f aca="false">IFERROR(VLOOKUP(K4,'Supplier list'!B:C,2,0),"")</f>
        <v/>
      </c>
      <c r="M4" s="1" t="s">
        <v>24</v>
      </c>
      <c r="O4" s="2" t="n">
        <v>0</v>
      </c>
    </row>
    <row r="5" customFormat="false" ht="16.4" hidden="false" customHeight="false" outlineLevel="0" collapsed="false">
      <c r="A5" s="0" t="s">
        <v>15</v>
      </c>
      <c r="B5" s="0" t="s">
        <v>36</v>
      </c>
      <c r="C5" s="0" t="n">
        <v>513025</v>
      </c>
      <c r="D5" s="0" t="n">
        <v>513025</v>
      </c>
      <c r="E5" s="0" t="s">
        <v>31</v>
      </c>
      <c r="F5" s="0" t="s">
        <v>18</v>
      </c>
      <c r="G5" s="0" t="s">
        <v>37</v>
      </c>
      <c r="H5" s="0" t="s">
        <v>38</v>
      </c>
      <c r="I5" s="0" t="s">
        <v>34</v>
      </c>
      <c r="J5" s="0" t="s">
        <v>35</v>
      </c>
      <c r="K5" s="0" t="s">
        <v>29</v>
      </c>
      <c r="L5" s="0" t="str">
        <f aca="false">IFERROR(VLOOKUP(K5,'Supplier list'!B:C,2,0),"")</f>
        <v/>
      </c>
      <c r="M5" s="1" t="s">
        <v>24</v>
      </c>
      <c r="O5" s="2" t="n">
        <v>0</v>
      </c>
    </row>
    <row r="6" customFormat="false" ht="16.4" hidden="false" customHeight="false" outlineLevel="0" collapsed="false">
      <c r="A6" s="0" t="s">
        <v>15</v>
      </c>
      <c r="B6" s="0" t="s">
        <v>39</v>
      </c>
      <c r="C6" s="0" t="n">
        <v>513025</v>
      </c>
      <c r="D6" s="0" t="n">
        <v>513025</v>
      </c>
      <c r="E6" s="0" t="s">
        <v>31</v>
      </c>
      <c r="F6" s="0" t="s">
        <v>18</v>
      </c>
      <c r="G6" s="0" t="s">
        <v>40</v>
      </c>
      <c r="H6" s="0" t="s">
        <v>41</v>
      </c>
      <c r="I6" s="0" t="s">
        <v>34</v>
      </c>
      <c r="J6" s="0" t="s">
        <v>35</v>
      </c>
      <c r="K6" s="0" t="s">
        <v>29</v>
      </c>
      <c r="L6" s="0" t="str">
        <f aca="false">IFERROR(VLOOKUP(K6,'Supplier list'!B:C,2,0),"")</f>
        <v/>
      </c>
      <c r="M6" s="1" t="s">
        <v>24</v>
      </c>
      <c r="O6" s="2" t="n">
        <v>0</v>
      </c>
    </row>
    <row r="7" customFormat="false" ht="13.8" hidden="false" customHeight="false" outlineLevel="0" collapsed="false">
      <c r="A7" s="0" t="s">
        <v>15</v>
      </c>
      <c r="B7" s="0" t="s">
        <v>42</v>
      </c>
      <c r="C7" s="0" t="n">
        <v>513025</v>
      </c>
      <c r="D7" s="0" t="n">
        <v>513025</v>
      </c>
      <c r="E7" s="0" t="s">
        <v>17</v>
      </c>
      <c r="F7" s="0" t="s">
        <v>18</v>
      </c>
      <c r="G7" s="0" t="s">
        <v>43</v>
      </c>
      <c r="H7" s="0" t="s">
        <v>20</v>
      </c>
      <c r="I7" s="0" t="s">
        <v>21</v>
      </c>
      <c r="J7" s="0" t="s">
        <v>22</v>
      </c>
      <c r="K7" s="0" t="s">
        <v>44</v>
      </c>
      <c r="L7" s="0" t="str">
        <f aca="false">IFERROR(VLOOKUP(K7,'Supplier list'!B:C,2,0),"")</f>
        <v/>
      </c>
      <c r="M7" s="1" t="s">
        <v>24</v>
      </c>
      <c r="O7" s="2" t="n">
        <v>84</v>
      </c>
    </row>
    <row r="8" customFormat="false" ht="16.4" hidden="false" customHeight="false" outlineLevel="0" collapsed="false">
      <c r="A8" s="0" t="s">
        <v>15</v>
      </c>
      <c r="B8" s="0" t="s">
        <v>45</v>
      </c>
      <c r="C8" s="0" t="n">
        <v>513025</v>
      </c>
      <c r="D8" s="0" t="n">
        <v>513025</v>
      </c>
      <c r="E8" s="0" t="s">
        <v>46</v>
      </c>
      <c r="F8" s="0" t="s">
        <v>18</v>
      </c>
      <c r="G8" s="0" t="s">
        <v>47</v>
      </c>
      <c r="H8" s="0" t="s">
        <v>48</v>
      </c>
      <c r="I8" s="0" t="s">
        <v>49</v>
      </c>
      <c r="J8" s="0" t="s">
        <v>50</v>
      </c>
      <c r="K8" s="0" t="s">
        <v>51</v>
      </c>
      <c r="L8" s="0" t="str">
        <f aca="false">IFERROR(VLOOKUP(K8,'Supplier list'!B:C,2,0),"")</f>
        <v/>
      </c>
      <c r="M8" s="1" t="s">
        <v>24</v>
      </c>
      <c r="O8" s="2" t="n">
        <v>680</v>
      </c>
    </row>
    <row r="9" customFormat="false" ht="16.4" hidden="false" customHeight="false" outlineLevel="0" collapsed="false">
      <c r="A9" s="0" t="s">
        <v>15</v>
      </c>
      <c r="B9" s="0" t="s">
        <v>52</v>
      </c>
      <c r="C9" s="0" t="n">
        <v>513025</v>
      </c>
      <c r="D9" s="0" t="n">
        <v>513025</v>
      </c>
      <c r="E9" s="0" t="s">
        <v>53</v>
      </c>
      <c r="F9" s="0" t="s">
        <v>18</v>
      </c>
      <c r="G9" s="0" t="s">
        <v>54</v>
      </c>
      <c r="H9" s="0" t="s">
        <v>55</v>
      </c>
      <c r="I9" s="0" t="s">
        <v>21</v>
      </c>
      <c r="J9" s="0" t="s">
        <v>22</v>
      </c>
      <c r="K9" s="0" t="s">
        <v>56</v>
      </c>
      <c r="L9" s="0" t="str">
        <f aca="false">IFERROR(VLOOKUP(K9,'Supplier list'!B:C,2,0),"")</f>
        <v>CO.,LTD QINGDAO NEW LIBERTY INT'L TRADING CO.LTD.</v>
      </c>
      <c r="M9" s="1" t="s">
        <v>24</v>
      </c>
      <c r="O9" s="2" t="n">
        <v>0.35</v>
      </c>
    </row>
    <row r="10" customFormat="false" ht="13.8" hidden="false" customHeight="false" outlineLevel="0" collapsed="false">
      <c r="A10" s="0" t="s">
        <v>15</v>
      </c>
      <c r="B10" s="0" t="s">
        <v>57</v>
      </c>
      <c r="C10" s="0" t="n">
        <v>513025</v>
      </c>
      <c r="D10" s="0" t="n">
        <v>513025</v>
      </c>
      <c r="E10" s="0" t="s">
        <v>31</v>
      </c>
      <c r="F10" s="0" t="s">
        <v>18</v>
      </c>
      <c r="G10" s="0" t="s">
        <v>58</v>
      </c>
      <c r="H10" s="0" t="s">
        <v>59</v>
      </c>
      <c r="I10" s="0" t="s">
        <v>34</v>
      </c>
      <c r="J10" s="0" t="s">
        <v>35</v>
      </c>
      <c r="K10" s="0" t="s">
        <v>29</v>
      </c>
      <c r="L10" s="0" t="str">
        <f aca="false">IFERROR(VLOOKUP(K10,'Supplier list'!B:C,2,0),"")</f>
        <v/>
      </c>
      <c r="M10" s="1" t="s">
        <v>24</v>
      </c>
      <c r="O10" s="2" t="n">
        <v>0</v>
      </c>
    </row>
    <row r="11" customFormat="false" ht="16.4" hidden="false" customHeight="false" outlineLevel="0" collapsed="false">
      <c r="A11" s="0" t="s">
        <v>15</v>
      </c>
      <c r="B11" s="0" t="s">
        <v>60</v>
      </c>
      <c r="C11" s="0" t="n">
        <v>513025</v>
      </c>
      <c r="D11" s="0" t="n">
        <v>513025</v>
      </c>
      <c r="E11" s="0" t="s">
        <v>61</v>
      </c>
      <c r="F11" s="0" t="s">
        <v>18</v>
      </c>
      <c r="G11" s="0" t="s">
        <v>62</v>
      </c>
      <c r="H11" s="0" t="s">
        <v>63</v>
      </c>
      <c r="I11" s="0" t="s">
        <v>21</v>
      </c>
      <c r="J11" s="0" t="s">
        <v>22</v>
      </c>
      <c r="K11" s="0" t="s">
        <v>56</v>
      </c>
      <c r="L11" s="0" t="str">
        <f aca="false">IFERROR(VLOOKUP(K11,'Supplier list'!B:C,2,0),"")</f>
        <v>CO.,LTD QINGDAO NEW LIBERTY INT'L TRADING CO.LTD.</v>
      </c>
      <c r="M11" s="1" t="s">
        <v>24</v>
      </c>
      <c r="O11" s="2" t="n">
        <v>5.7</v>
      </c>
    </row>
    <row r="12" customFormat="false" ht="16.4" hidden="false" customHeight="false" outlineLevel="0" collapsed="false">
      <c r="A12" s="0" t="s">
        <v>15</v>
      </c>
      <c r="B12" s="0" t="s">
        <v>64</v>
      </c>
      <c r="C12" s="0" t="n">
        <v>513025</v>
      </c>
      <c r="D12" s="0" t="n">
        <v>513025</v>
      </c>
      <c r="E12" s="0" t="s">
        <v>65</v>
      </c>
      <c r="F12" s="0" t="s">
        <v>18</v>
      </c>
      <c r="G12" s="0" t="s">
        <v>66</v>
      </c>
      <c r="H12" s="0" t="s">
        <v>67</v>
      </c>
      <c r="I12" s="0" t="s">
        <v>21</v>
      </c>
      <c r="J12" s="0" t="s">
        <v>22</v>
      </c>
      <c r="K12" s="0" t="s">
        <v>68</v>
      </c>
      <c r="L12" s="0" t="str">
        <f aca="false">IFERROR(VLOOKUP(K12,'Supplier list'!B:C,2,0),"")</f>
        <v>หจก. กรีน ดิสทริบิวชั่น</v>
      </c>
      <c r="M12" s="1" t="s">
        <v>24</v>
      </c>
      <c r="O12" s="2" t="n">
        <v>2990</v>
      </c>
    </row>
    <row r="13" customFormat="false" ht="16.4" hidden="false" customHeight="false" outlineLevel="0" collapsed="false">
      <c r="A13" s="0" t="s">
        <v>15</v>
      </c>
      <c r="B13" s="0" t="s">
        <v>69</v>
      </c>
      <c r="C13" s="0" t="n">
        <v>513025</v>
      </c>
      <c r="D13" s="0" t="n">
        <v>513025</v>
      </c>
      <c r="E13" s="0" t="s">
        <v>65</v>
      </c>
      <c r="F13" s="0" t="s">
        <v>18</v>
      </c>
      <c r="G13" s="0" t="s">
        <v>70</v>
      </c>
      <c r="H13" s="0" t="s">
        <v>71</v>
      </c>
      <c r="I13" s="0" t="s">
        <v>21</v>
      </c>
      <c r="J13" s="0" t="s">
        <v>22</v>
      </c>
      <c r="K13" s="0" t="s">
        <v>29</v>
      </c>
      <c r="L13" s="0" t="str">
        <f aca="false">IFERROR(VLOOKUP(K13,'Supplier list'!B:C,2,0),"")</f>
        <v/>
      </c>
      <c r="M13" s="1" t="s">
        <v>24</v>
      </c>
      <c r="O13" s="2" t="n">
        <v>4200</v>
      </c>
    </row>
    <row r="14" customFormat="false" ht="13.8" hidden="false" customHeight="false" outlineLevel="0" collapsed="false">
      <c r="A14" s="0" t="s">
        <v>15</v>
      </c>
      <c r="B14" s="0" t="s">
        <v>72</v>
      </c>
      <c r="C14" s="0" t="n">
        <v>513025</v>
      </c>
      <c r="D14" s="0" t="n">
        <v>513025</v>
      </c>
      <c r="E14" s="0" t="s">
        <v>65</v>
      </c>
      <c r="F14" s="0" t="s">
        <v>18</v>
      </c>
      <c r="G14" s="0" t="s">
        <v>73</v>
      </c>
      <c r="H14" s="0" t="s">
        <v>74</v>
      </c>
      <c r="I14" s="0" t="s">
        <v>21</v>
      </c>
      <c r="J14" s="0" t="s">
        <v>22</v>
      </c>
      <c r="K14" s="0" t="s">
        <v>75</v>
      </c>
      <c r="L14" s="0" t="str">
        <f aca="false">IFERROR(VLOOKUP(K14,'Supplier list'!B:C,2,0),"")</f>
        <v/>
      </c>
      <c r="M14" s="1" t="s">
        <v>24</v>
      </c>
      <c r="O14" s="2" t="n">
        <v>90</v>
      </c>
    </row>
    <row r="15" customFormat="false" ht="16.4" hidden="false" customHeight="false" outlineLevel="0" collapsed="false">
      <c r="A15" s="0" t="s">
        <v>15</v>
      </c>
      <c r="B15" s="0" t="s">
        <v>76</v>
      </c>
      <c r="C15" s="0" t="n">
        <v>513025</v>
      </c>
      <c r="D15" s="0" t="n">
        <v>513025</v>
      </c>
      <c r="E15" s="0" t="s">
        <v>65</v>
      </c>
      <c r="F15" s="0" t="s">
        <v>18</v>
      </c>
      <c r="G15" s="0" t="s">
        <v>77</v>
      </c>
      <c r="H15" s="0" t="s">
        <v>78</v>
      </c>
      <c r="I15" s="0" t="s">
        <v>21</v>
      </c>
      <c r="J15" s="0" t="s">
        <v>22</v>
      </c>
      <c r="K15" s="0" t="s">
        <v>75</v>
      </c>
      <c r="L15" s="0" t="str">
        <f aca="false">IFERROR(VLOOKUP(K15,'Supplier list'!B:C,2,0),"")</f>
        <v/>
      </c>
      <c r="M15" s="1" t="s">
        <v>24</v>
      </c>
      <c r="O15" s="2" t="n">
        <v>290</v>
      </c>
    </row>
    <row r="16" customFormat="false" ht="16.4" hidden="false" customHeight="false" outlineLevel="0" collapsed="false">
      <c r="A16" s="0" t="s">
        <v>15</v>
      </c>
      <c r="B16" s="0" t="s">
        <v>79</v>
      </c>
      <c r="C16" s="0" t="n">
        <v>513025</v>
      </c>
      <c r="D16" s="0" t="n">
        <v>513025</v>
      </c>
      <c r="E16" s="0" t="s">
        <v>65</v>
      </c>
      <c r="F16" s="0" t="s">
        <v>18</v>
      </c>
      <c r="G16" s="0" t="s">
        <v>80</v>
      </c>
      <c r="H16" s="0" t="s">
        <v>81</v>
      </c>
      <c r="I16" s="0" t="s">
        <v>21</v>
      </c>
      <c r="J16" s="0" t="s">
        <v>22</v>
      </c>
      <c r="K16" s="0" t="s">
        <v>82</v>
      </c>
      <c r="L16" s="0" t="str">
        <f aca="false">IFERROR(VLOOKUP(K16,'Supplier list'!B:C,2,0),"")</f>
        <v>บริษัท เกรียงศิริพัฒนา (1995) จำกัด</v>
      </c>
      <c r="M16" s="1" t="s">
        <v>24</v>
      </c>
      <c r="O16" s="2" t="n">
        <v>550</v>
      </c>
    </row>
    <row r="17" customFormat="false" ht="13.8" hidden="false" customHeight="false" outlineLevel="0" collapsed="false">
      <c r="A17" s="0" t="s">
        <v>15</v>
      </c>
      <c r="B17" s="0" t="s">
        <v>83</v>
      </c>
      <c r="C17" s="0" t="n">
        <v>513025</v>
      </c>
      <c r="D17" s="0" t="n">
        <v>513025</v>
      </c>
      <c r="E17" s="0" t="s">
        <v>65</v>
      </c>
      <c r="F17" s="0" t="s">
        <v>18</v>
      </c>
      <c r="G17" s="0" t="s">
        <v>84</v>
      </c>
      <c r="H17" s="0" t="s">
        <v>85</v>
      </c>
      <c r="I17" s="0" t="s">
        <v>21</v>
      </c>
      <c r="J17" s="0" t="s">
        <v>22</v>
      </c>
      <c r="K17" s="0" t="s">
        <v>75</v>
      </c>
      <c r="L17" s="0" t="str">
        <f aca="false">IFERROR(VLOOKUP(K17,'Supplier list'!B:C,2,0),"")</f>
        <v/>
      </c>
      <c r="M17" s="1" t="s">
        <v>24</v>
      </c>
      <c r="O17" s="2" t="n">
        <v>150</v>
      </c>
    </row>
    <row r="18" customFormat="false" ht="16.4" hidden="false" customHeight="false" outlineLevel="0" collapsed="false">
      <c r="A18" s="0" t="s">
        <v>15</v>
      </c>
      <c r="B18" s="0" t="s">
        <v>86</v>
      </c>
      <c r="C18" s="0" t="n">
        <v>513025</v>
      </c>
      <c r="D18" s="0" t="n">
        <v>513025</v>
      </c>
      <c r="E18" s="0" t="s">
        <v>87</v>
      </c>
      <c r="F18" s="0" t="s">
        <v>18</v>
      </c>
      <c r="G18" s="0" t="s">
        <v>88</v>
      </c>
      <c r="H18" s="0" t="s">
        <v>88</v>
      </c>
      <c r="I18" s="0" t="s">
        <v>21</v>
      </c>
      <c r="J18" s="0" t="s">
        <v>22</v>
      </c>
      <c r="K18" s="0" t="s">
        <v>89</v>
      </c>
      <c r="L18" s="0" t="str">
        <f aca="false">IFERROR(VLOOKUP(K18,'Supplier list'!B:C,2,0),"")</f>
        <v>บริษัท เฮเฟเล่ (ประเทศไทย) จำกัด</v>
      </c>
      <c r="M18" s="1" t="s">
        <v>24</v>
      </c>
      <c r="O18" s="2" t="n">
        <v>1705</v>
      </c>
    </row>
    <row r="19" customFormat="false" ht="16.4" hidden="false" customHeight="false" outlineLevel="0" collapsed="false">
      <c r="A19" s="0" t="s">
        <v>15</v>
      </c>
      <c r="B19" s="0" t="s">
        <v>90</v>
      </c>
      <c r="C19" s="0" t="n">
        <v>513025</v>
      </c>
      <c r="D19" s="0" t="n">
        <v>513025</v>
      </c>
      <c r="E19" s="0" t="s">
        <v>87</v>
      </c>
      <c r="F19" s="0" t="s">
        <v>18</v>
      </c>
      <c r="G19" s="0" t="s">
        <v>91</v>
      </c>
      <c r="H19" s="0" t="s">
        <v>91</v>
      </c>
      <c r="I19" s="0" t="s">
        <v>21</v>
      </c>
      <c r="J19" s="0" t="s">
        <v>22</v>
      </c>
      <c r="K19" s="0" t="s">
        <v>89</v>
      </c>
      <c r="L19" s="0" t="str">
        <f aca="false">IFERROR(VLOOKUP(K19,'Supplier list'!B:C,2,0),"")</f>
        <v>บริษัท เฮเฟเล่ (ประเทศไทย) จำกัด</v>
      </c>
      <c r="M19" s="1" t="s">
        <v>24</v>
      </c>
      <c r="O19" s="2" t="n">
        <v>1158</v>
      </c>
    </row>
    <row r="20" customFormat="false" ht="16.4" hidden="false" customHeight="false" outlineLevel="0" collapsed="false">
      <c r="A20" s="0" t="s">
        <v>15</v>
      </c>
      <c r="B20" s="0" t="s">
        <v>92</v>
      </c>
      <c r="C20" s="0" t="n">
        <v>513025</v>
      </c>
      <c r="D20" s="0" t="n">
        <v>513025</v>
      </c>
      <c r="E20" s="0" t="s">
        <v>93</v>
      </c>
      <c r="F20" s="0" t="s">
        <v>18</v>
      </c>
      <c r="G20" s="0" t="s">
        <v>94</v>
      </c>
      <c r="H20" s="0" t="s">
        <v>95</v>
      </c>
      <c r="I20" s="0" t="s">
        <v>21</v>
      </c>
      <c r="J20" s="0" t="s">
        <v>22</v>
      </c>
      <c r="K20" s="0" t="s">
        <v>89</v>
      </c>
      <c r="L20" s="0" t="str">
        <f aca="false">IFERROR(VLOOKUP(K20,'Supplier list'!B:C,2,0),"")</f>
        <v>บริษัท เฮเฟเล่ (ประเทศไทย) จำกัด</v>
      </c>
      <c r="M20" s="1" t="s">
        <v>24</v>
      </c>
      <c r="O20" s="2" t="n">
        <v>804</v>
      </c>
    </row>
    <row r="21" customFormat="false" ht="16.4" hidden="false" customHeight="false" outlineLevel="0" collapsed="false">
      <c r="A21" s="0" t="s">
        <v>15</v>
      </c>
      <c r="B21" s="0" t="s">
        <v>96</v>
      </c>
      <c r="C21" s="0" t="n">
        <v>513025</v>
      </c>
      <c r="D21" s="0" t="n">
        <v>513025</v>
      </c>
      <c r="E21" s="0" t="s">
        <v>97</v>
      </c>
      <c r="F21" s="0" t="s">
        <v>18</v>
      </c>
      <c r="G21" s="0" t="s">
        <v>98</v>
      </c>
      <c r="H21" s="0" t="s">
        <v>99</v>
      </c>
      <c r="I21" s="0" t="s">
        <v>21</v>
      </c>
      <c r="J21" s="0" t="s">
        <v>22</v>
      </c>
      <c r="K21" s="0" t="s">
        <v>75</v>
      </c>
      <c r="L21" s="0" t="str">
        <f aca="false">IFERROR(VLOOKUP(K21,'Supplier list'!B:C,2,0),"")</f>
        <v/>
      </c>
      <c r="M21" s="1" t="s">
        <v>24</v>
      </c>
      <c r="O21" s="2" t="n">
        <v>645</v>
      </c>
    </row>
    <row r="22" customFormat="false" ht="16.4" hidden="false" customHeight="false" outlineLevel="0" collapsed="false">
      <c r="A22" s="0" t="s">
        <v>15</v>
      </c>
      <c r="B22" s="0" t="s">
        <v>100</v>
      </c>
      <c r="C22" s="0" t="n">
        <v>513025</v>
      </c>
      <c r="D22" s="0" t="n">
        <v>513025</v>
      </c>
      <c r="E22" s="0" t="s">
        <v>87</v>
      </c>
      <c r="F22" s="0" t="s">
        <v>18</v>
      </c>
      <c r="G22" s="0" t="s">
        <v>101</v>
      </c>
      <c r="H22" s="0" t="s">
        <v>101</v>
      </c>
      <c r="I22" s="0" t="s">
        <v>102</v>
      </c>
      <c r="J22" s="0" t="s">
        <v>103</v>
      </c>
      <c r="K22" s="0" t="s">
        <v>89</v>
      </c>
      <c r="L22" s="0" t="str">
        <f aca="false">IFERROR(VLOOKUP(K22,'Supplier list'!B:C,2,0),"")</f>
        <v>บริษัท เฮเฟเล่ (ประเทศไทย) จำกัด</v>
      </c>
      <c r="M22" s="1" t="s">
        <v>24</v>
      </c>
      <c r="O22" s="2" t="n">
        <v>3100</v>
      </c>
    </row>
    <row r="23" customFormat="false" ht="16.4" hidden="false" customHeight="false" outlineLevel="0" collapsed="false">
      <c r="A23" s="0" t="s">
        <v>15</v>
      </c>
      <c r="B23" s="0" t="s">
        <v>104</v>
      </c>
      <c r="C23" s="0" t="n">
        <v>513025</v>
      </c>
      <c r="D23" s="0" t="n">
        <v>513025</v>
      </c>
      <c r="E23" s="0" t="s">
        <v>105</v>
      </c>
      <c r="F23" s="0" t="s">
        <v>18</v>
      </c>
      <c r="G23" s="0" t="s">
        <v>106</v>
      </c>
      <c r="H23" s="0" t="s">
        <v>107</v>
      </c>
      <c r="I23" s="0" t="s">
        <v>108</v>
      </c>
      <c r="J23" s="0" t="s">
        <v>109</v>
      </c>
      <c r="K23" s="0" t="s">
        <v>110</v>
      </c>
      <c r="L23" s="0" t="str">
        <f aca="false">IFERROR(VLOOKUP(K23,'Supplier list'!B:C,2,0),"")</f>
        <v>บริษัท ที.พี.เค ไทยเมท แมชชีนทูลล์ จำกัด</v>
      </c>
      <c r="M23" s="1" t="s">
        <v>24</v>
      </c>
      <c r="O23" s="2" t="n">
        <v>229</v>
      </c>
    </row>
    <row r="24" customFormat="false" ht="16.4" hidden="false" customHeight="false" outlineLevel="0" collapsed="false">
      <c r="A24" s="0" t="s">
        <v>15</v>
      </c>
      <c r="B24" s="0" t="s">
        <v>111</v>
      </c>
      <c r="C24" s="0" t="n">
        <v>513025</v>
      </c>
      <c r="D24" s="0" t="n">
        <v>513025</v>
      </c>
      <c r="E24" s="0" t="s">
        <v>105</v>
      </c>
      <c r="F24" s="0" t="s">
        <v>18</v>
      </c>
      <c r="G24" s="0" t="s">
        <v>112</v>
      </c>
      <c r="H24" s="0" t="s">
        <v>113</v>
      </c>
      <c r="I24" s="0" t="s">
        <v>108</v>
      </c>
      <c r="J24" s="0" t="s">
        <v>109</v>
      </c>
      <c r="L24" s="0" t="str">
        <f aca="false">IFERROR(VLOOKUP(K24,'Supplier list'!B:C,2,0),"")</f>
        <v/>
      </c>
      <c r="M24" s="1" t="s">
        <v>24</v>
      </c>
      <c r="O24" s="2" t="n">
        <v>63</v>
      </c>
    </row>
    <row r="25" customFormat="false" ht="16.4" hidden="false" customHeight="false" outlineLevel="0" collapsed="false">
      <c r="A25" s="0" t="s">
        <v>15</v>
      </c>
      <c r="B25" s="0" t="s">
        <v>114</v>
      </c>
      <c r="C25" s="0" t="n">
        <v>513025</v>
      </c>
      <c r="D25" s="0" t="n">
        <v>513025</v>
      </c>
      <c r="E25" s="0" t="s">
        <v>65</v>
      </c>
      <c r="F25" s="0" t="s">
        <v>18</v>
      </c>
      <c r="G25" s="0" t="s">
        <v>115</v>
      </c>
      <c r="H25" s="0" t="s">
        <v>116</v>
      </c>
      <c r="I25" s="0" t="s">
        <v>21</v>
      </c>
      <c r="J25" s="0" t="s">
        <v>22</v>
      </c>
      <c r="K25" s="0" t="s">
        <v>29</v>
      </c>
      <c r="L25" s="0" t="str">
        <f aca="false">IFERROR(VLOOKUP(K25,'Supplier list'!B:C,2,0),"")</f>
        <v/>
      </c>
      <c r="M25" s="1" t="s">
        <v>24</v>
      </c>
      <c r="O25" s="2" t="n">
        <v>0</v>
      </c>
    </row>
    <row r="26" customFormat="false" ht="16.4" hidden="false" customHeight="false" outlineLevel="0" collapsed="false">
      <c r="A26" s="0" t="s">
        <v>15</v>
      </c>
      <c r="B26" s="0" t="s">
        <v>117</v>
      </c>
      <c r="C26" s="0" t="n">
        <v>513025</v>
      </c>
      <c r="D26" s="0" t="n">
        <v>513025</v>
      </c>
      <c r="E26" s="0" t="s">
        <v>65</v>
      </c>
      <c r="F26" s="0" t="s">
        <v>18</v>
      </c>
      <c r="G26" s="0" t="s">
        <v>118</v>
      </c>
      <c r="H26" s="0" t="s">
        <v>119</v>
      </c>
      <c r="I26" s="0" t="s">
        <v>21</v>
      </c>
      <c r="J26" s="0" t="s">
        <v>22</v>
      </c>
      <c r="K26" s="0" t="s">
        <v>29</v>
      </c>
      <c r="L26" s="0" t="str">
        <f aca="false">IFERROR(VLOOKUP(K26,'Supplier list'!B:C,2,0),"")</f>
        <v/>
      </c>
      <c r="M26" s="1" t="s">
        <v>24</v>
      </c>
      <c r="O26" s="2" t="n">
        <v>0</v>
      </c>
    </row>
    <row r="27" customFormat="false" ht="16.4" hidden="false" customHeight="false" outlineLevel="0" collapsed="false">
      <c r="A27" s="0" t="s">
        <v>15</v>
      </c>
      <c r="B27" s="0" t="s">
        <v>120</v>
      </c>
      <c r="C27" s="0" t="n">
        <v>513025</v>
      </c>
      <c r="D27" s="0" t="n">
        <v>513025</v>
      </c>
      <c r="E27" s="0" t="s">
        <v>121</v>
      </c>
      <c r="F27" s="0" t="s">
        <v>18</v>
      </c>
      <c r="G27" s="0" t="s">
        <v>122</v>
      </c>
      <c r="H27" s="0" t="s">
        <v>123</v>
      </c>
      <c r="I27" s="0" t="s">
        <v>124</v>
      </c>
      <c r="J27" s="0" t="s">
        <v>125</v>
      </c>
      <c r="K27" s="0" t="s">
        <v>82</v>
      </c>
      <c r="L27" s="0" t="str">
        <f aca="false">IFERROR(VLOOKUP(K27,'Supplier list'!B:C,2,0),"")</f>
        <v>บริษัท เกรียงศิริพัฒนา (1995) จำกัด</v>
      </c>
      <c r="M27" s="1" t="s">
        <v>24</v>
      </c>
      <c r="O27" s="2" t="n">
        <v>15</v>
      </c>
    </row>
    <row r="28" customFormat="false" ht="16.4" hidden="false" customHeight="false" outlineLevel="0" collapsed="false">
      <c r="A28" s="0" t="s">
        <v>15</v>
      </c>
      <c r="B28" s="0" t="s">
        <v>126</v>
      </c>
      <c r="C28" s="0" t="n">
        <v>513025</v>
      </c>
      <c r="D28" s="0" t="n">
        <v>513025</v>
      </c>
      <c r="E28" s="0" t="s">
        <v>127</v>
      </c>
      <c r="F28" s="0" t="s">
        <v>18</v>
      </c>
      <c r="G28" s="0" t="s">
        <v>128</v>
      </c>
      <c r="H28" s="0" t="s">
        <v>129</v>
      </c>
      <c r="I28" s="0" t="s">
        <v>21</v>
      </c>
      <c r="J28" s="0" t="s">
        <v>22</v>
      </c>
      <c r="K28" s="0" t="s">
        <v>82</v>
      </c>
      <c r="L28" s="0" t="str">
        <f aca="false">IFERROR(VLOOKUP(K28,'Supplier list'!B:C,2,0),"")</f>
        <v>บริษัท เกรียงศิริพัฒนา (1995) จำกัด</v>
      </c>
      <c r="M28" s="1" t="s">
        <v>24</v>
      </c>
      <c r="O28" s="2" t="n">
        <v>190</v>
      </c>
    </row>
    <row r="29" customFormat="false" ht="16.4" hidden="false" customHeight="false" outlineLevel="0" collapsed="false">
      <c r="A29" s="0" t="s">
        <v>15</v>
      </c>
      <c r="B29" s="0" t="s">
        <v>130</v>
      </c>
      <c r="C29" s="0" t="n">
        <v>513025</v>
      </c>
      <c r="D29" s="0" t="n">
        <v>513025</v>
      </c>
      <c r="E29" s="0" t="s">
        <v>127</v>
      </c>
      <c r="F29" s="0" t="s">
        <v>18</v>
      </c>
      <c r="G29" s="0" t="s">
        <v>131</v>
      </c>
      <c r="H29" s="0" t="s">
        <v>132</v>
      </c>
      <c r="I29" s="0" t="s">
        <v>21</v>
      </c>
      <c r="J29" s="0" t="s">
        <v>22</v>
      </c>
      <c r="K29" s="0" t="s">
        <v>82</v>
      </c>
      <c r="L29" s="0" t="str">
        <f aca="false">IFERROR(VLOOKUP(K29,'Supplier list'!B:C,2,0),"")</f>
        <v>บริษัท เกรียงศิริพัฒนา (1995) จำกัด</v>
      </c>
      <c r="M29" s="1" t="s">
        <v>24</v>
      </c>
      <c r="O29" s="2" t="n">
        <v>20</v>
      </c>
    </row>
    <row r="30" customFormat="false" ht="16.4" hidden="false" customHeight="false" outlineLevel="0" collapsed="false">
      <c r="A30" s="0" t="s">
        <v>15</v>
      </c>
      <c r="B30" s="0" t="s">
        <v>133</v>
      </c>
      <c r="C30" s="0" t="n">
        <v>513025</v>
      </c>
      <c r="D30" s="0" t="n">
        <v>513025</v>
      </c>
      <c r="E30" s="0" t="s">
        <v>97</v>
      </c>
      <c r="F30" s="0" t="s">
        <v>18</v>
      </c>
      <c r="G30" s="0" t="s">
        <v>134</v>
      </c>
      <c r="H30" s="0" t="s">
        <v>135</v>
      </c>
      <c r="I30" s="0" t="s">
        <v>21</v>
      </c>
      <c r="J30" s="0" t="s">
        <v>22</v>
      </c>
      <c r="K30" s="0" t="s">
        <v>82</v>
      </c>
      <c r="L30" s="0" t="str">
        <f aca="false">IFERROR(VLOOKUP(K30,'Supplier list'!B:C,2,0),"")</f>
        <v>บริษัท เกรียงศิริพัฒนา (1995) จำกัด</v>
      </c>
      <c r="M30" s="1" t="s">
        <v>24</v>
      </c>
      <c r="O30" s="2" t="n">
        <v>200</v>
      </c>
    </row>
    <row r="31" customFormat="false" ht="16.4" hidden="false" customHeight="false" outlineLevel="0" collapsed="false">
      <c r="A31" s="0" t="s">
        <v>15</v>
      </c>
      <c r="B31" s="0" t="s">
        <v>136</v>
      </c>
      <c r="C31" s="0" t="n">
        <v>513025</v>
      </c>
      <c r="D31" s="0" t="n">
        <v>513025</v>
      </c>
      <c r="E31" s="0" t="s">
        <v>93</v>
      </c>
      <c r="F31" s="0" t="s">
        <v>18</v>
      </c>
      <c r="G31" s="0" t="s">
        <v>137</v>
      </c>
      <c r="H31" s="0" t="s">
        <v>137</v>
      </c>
      <c r="I31" s="0" t="s">
        <v>21</v>
      </c>
      <c r="J31" s="0" t="s">
        <v>22</v>
      </c>
      <c r="K31" s="0" t="s">
        <v>89</v>
      </c>
      <c r="L31" s="0" t="str">
        <f aca="false">IFERROR(VLOOKUP(K31,'Supplier list'!B:C,2,0),"")</f>
        <v>บริษัท เฮเฟเล่ (ประเทศไทย) จำกัด</v>
      </c>
      <c r="M31" s="1" t="s">
        <v>24</v>
      </c>
      <c r="O31" s="2" t="n">
        <v>1776</v>
      </c>
    </row>
    <row r="32" customFormat="false" ht="16.4" hidden="false" customHeight="false" outlineLevel="0" collapsed="false">
      <c r="A32" s="0" t="s">
        <v>15</v>
      </c>
      <c r="B32" s="0" t="s">
        <v>138</v>
      </c>
      <c r="C32" s="0" t="n">
        <v>513025</v>
      </c>
      <c r="D32" s="0" t="n">
        <v>513025</v>
      </c>
      <c r="E32" s="0" t="s">
        <v>139</v>
      </c>
      <c r="F32" s="0" t="s">
        <v>18</v>
      </c>
      <c r="G32" s="0" t="s">
        <v>140</v>
      </c>
      <c r="H32" s="0" t="s">
        <v>141</v>
      </c>
      <c r="I32" s="0" t="s">
        <v>142</v>
      </c>
      <c r="J32" s="0" t="s">
        <v>143</v>
      </c>
      <c r="K32" s="0" t="s">
        <v>144</v>
      </c>
      <c r="L32" s="0" t="str">
        <f aca="false">IFERROR(VLOOKUP(K32,'Supplier list'!B:C,2,0),"")</f>
        <v/>
      </c>
      <c r="M32" s="1" t="s">
        <v>24</v>
      </c>
      <c r="O32" s="2" t="n">
        <v>435</v>
      </c>
    </row>
    <row r="33" customFormat="false" ht="16.4" hidden="false" customHeight="false" outlineLevel="0" collapsed="false">
      <c r="A33" s="0" t="s">
        <v>15</v>
      </c>
      <c r="B33" s="0" t="s">
        <v>145</v>
      </c>
      <c r="C33" s="0" t="n">
        <v>513025</v>
      </c>
      <c r="D33" s="0" t="n">
        <v>513025</v>
      </c>
      <c r="E33" s="0" t="s">
        <v>146</v>
      </c>
      <c r="F33" s="0" t="s">
        <v>18</v>
      </c>
      <c r="G33" s="0" t="s">
        <v>147</v>
      </c>
      <c r="H33" s="0" t="s">
        <v>148</v>
      </c>
      <c r="I33" s="0" t="s">
        <v>149</v>
      </c>
      <c r="J33" s="0" t="s">
        <v>150</v>
      </c>
      <c r="K33" s="0" t="s">
        <v>151</v>
      </c>
      <c r="L33" s="0" t="str">
        <f aca="false">IFERROR(VLOOKUP(K33,'Supplier list'!B:C,2,0),"")</f>
        <v>บริษัท สยามแม็คโคร จำกัด (มหาชน)</v>
      </c>
      <c r="M33" s="1" t="s">
        <v>24</v>
      </c>
      <c r="O33" s="2" t="n">
        <v>209</v>
      </c>
    </row>
    <row r="34" customFormat="false" ht="16.4" hidden="false" customHeight="false" outlineLevel="0" collapsed="false">
      <c r="A34" s="0" t="s">
        <v>15</v>
      </c>
      <c r="B34" s="0" t="s">
        <v>152</v>
      </c>
      <c r="C34" s="0" t="n">
        <v>513025</v>
      </c>
      <c r="D34" s="0" t="n">
        <v>513025</v>
      </c>
      <c r="E34" s="0" t="s">
        <v>121</v>
      </c>
      <c r="F34" s="0" t="s">
        <v>18</v>
      </c>
      <c r="G34" s="0" t="s">
        <v>153</v>
      </c>
      <c r="H34" s="0" t="s">
        <v>154</v>
      </c>
      <c r="I34" s="0" t="s">
        <v>21</v>
      </c>
      <c r="J34" s="0" t="s">
        <v>22</v>
      </c>
      <c r="K34" s="0" t="s">
        <v>155</v>
      </c>
      <c r="L34" s="0" t="str">
        <f aca="false">IFERROR(VLOOKUP(K34,'Supplier list'!B:C,2,0),"")</f>
        <v>บริษัท ก.เจริญฮาร์ดแวร์ จำกัด</v>
      </c>
      <c r="M34" s="1" t="s">
        <v>24</v>
      </c>
      <c r="O34" s="2" t="n">
        <v>0.25</v>
      </c>
    </row>
    <row r="35" customFormat="false" ht="16.4" hidden="false" customHeight="false" outlineLevel="0" collapsed="false">
      <c r="A35" s="0" t="s">
        <v>15</v>
      </c>
      <c r="B35" s="0" t="s">
        <v>156</v>
      </c>
      <c r="C35" s="0" t="n">
        <v>513025</v>
      </c>
      <c r="D35" s="0" t="n">
        <v>513025</v>
      </c>
      <c r="E35" s="0" t="s">
        <v>97</v>
      </c>
      <c r="F35" s="0" t="s">
        <v>18</v>
      </c>
      <c r="G35" s="0" t="s">
        <v>157</v>
      </c>
      <c r="H35" s="0" t="s">
        <v>158</v>
      </c>
      <c r="I35" s="0" t="s">
        <v>124</v>
      </c>
      <c r="J35" s="0" t="s">
        <v>125</v>
      </c>
      <c r="K35" s="0" t="s">
        <v>159</v>
      </c>
      <c r="L35" s="0" t="str">
        <f aca="false">IFERROR(VLOOKUP(K35,'Supplier list'!B:C,2,0),"")</f>
        <v>บริษัท ซูเปอร์โฮมมาร์ท จำกัด (สำนักงานใหญ่)</v>
      </c>
      <c r="M35" s="1" t="s">
        <v>24</v>
      </c>
      <c r="O35" s="2" t="n">
        <v>115</v>
      </c>
    </row>
    <row r="36" customFormat="false" ht="13.8" hidden="false" customHeight="false" outlineLevel="0" collapsed="false">
      <c r="A36" s="0" t="s">
        <v>15</v>
      </c>
      <c r="B36" s="0" t="s">
        <v>160</v>
      </c>
      <c r="C36" s="0" t="n">
        <v>513025</v>
      </c>
      <c r="D36" s="0" t="n">
        <v>513025</v>
      </c>
      <c r="E36" s="0" t="s">
        <v>161</v>
      </c>
      <c r="F36" s="0" t="s">
        <v>18</v>
      </c>
      <c r="G36" s="0" t="s">
        <v>162</v>
      </c>
      <c r="H36" s="0" t="s">
        <v>162</v>
      </c>
      <c r="I36" s="0" t="s">
        <v>21</v>
      </c>
      <c r="J36" s="0" t="s">
        <v>22</v>
      </c>
      <c r="K36" s="0" t="s">
        <v>163</v>
      </c>
      <c r="L36" s="0" t="str">
        <f aca="false">IFERROR(VLOOKUP(K36,'Supplier list'!B:C,2,0),"")</f>
        <v/>
      </c>
      <c r="M36" s="1" t="s">
        <v>24</v>
      </c>
      <c r="O36" s="2" t="n">
        <v>4.5</v>
      </c>
    </row>
    <row r="37" customFormat="false" ht="16.4" hidden="false" customHeight="false" outlineLevel="0" collapsed="false">
      <c r="A37" s="0" t="s">
        <v>15</v>
      </c>
      <c r="B37" s="0" t="s">
        <v>164</v>
      </c>
      <c r="C37" s="0" t="n">
        <v>513025</v>
      </c>
      <c r="D37" s="0" t="n">
        <v>513025</v>
      </c>
      <c r="E37" s="0" t="s">
        <v>165</v>
      </c>
      <c r="F37" s="0" t="s">
        <v>18</v>
      </c>
      <c r="G37" s="0" t="s">
        <v>166</v>
      </c>
      <c r="H37" s="0" t="s">
        <v>167</v>
      </c>
      <c r="I37" s="0" t="s">
        <v>168</v>
      </c>
      <c r="J37" s="0" t="s">
        <v>169</v>
      </c>
      <c r="K37" s="0" t="s">
        <v>155</v>
      </c>
      <c r="L37" s="0" t="str">
        <f aca="false">IFERROR(VLOOKUP(K37,'Supplier list'!B:C,2,0),"")</f>
        <v>บริษัท ก.เจริญฮาร์ดแวร์ จำกัด</v>
      </c>
      <c r="M37" s="1" t="s">
        <v>24</v>
      </c>
      <c r="O37" s="2" t="n">
        <v>1030</v>
      </c>
    </row>
    <row r="38" customFormat="false" ht="16.4" hidden="false" customHeight="false" outlineLevel="0" collapsed="false">
      <c r="A38" s="0" t="s">
        <v>15</v>
      </c>
      <c r="B38" s="0" t="s">
        <v>170</v>
      </c>
      <c r="C38" s="0" t="n">
        <v>513025</v>
      </c>
      <c r="D38" s="0" t="n">
        <v>513025</v>
      </c>
      <c r="E38" s="0" t="s">
        <v>121</v>
      </c>
      <c r="F38" s="0" t="s">
        <v>18</v>
      </c>
      <c r="G38" s="0" t="s">
        <v>171</v>
      </c>
      <c r="H38" s="0" t="s">
        <v>172</v>
      </c>
      <c r="I38" s="0" t="s">
        <v>21</v>
      </c>
      <c r="J38" s="0" t="s">
        <v>22</v>
      </c>
      <c r="K38" s="0" t="s">
        <v>82</v>
      </c>
      <c r="L38" s="0" t="str">
        <f aca="false">IFERROR(VLOOKUP(K38,'Supplier list'!B:C,2,0),"")</f>
        <v>บริษัท เกรียงศิริพัฒนา (1995) จำกัด</v>
      </c>
      <c r="M38" s="1" t="s">
        <v>24</v>
      </c>
      <c r="O38" s="2" t="n">
        <v>800</v>
      </c>
    </row>
    <row r="39" customFormat="false" ht="16.4" hidden="false" customHeight="false" outlineLevel="0" collapsed="false">
      <c r="A39" s="0" t="s">
        <v>15</v>
      </c>
      <c r="B39" s="0" t="s">
        <v>173</v>
      </c>
      <c r="C39" s="0" t="n">
        <v>513025</v>
      </c>
      <c r="D39" s="0" t="n">
        <v>513025</v>
      </c>
      <c r="E39" s="0" t="s">
        <v>97</v>
      </c>
      <c r="F39" s="0" t="s">
        <v>18</v>
      </c>
      <c r="G39" s="0" t="s">
        <v>174</v>
      </c>
      <c r="H39" s="0" t="s">
        <v>175</v>
      </c>
      <c r="I39" s="0" t="s">
        <v>21</v>
      </c>
      <c r="J39" s="0" t="s">
        <v>22</v>
      </c>
      <c r="K39" s="0" t="s">
        <v>176</v>
      </c>
      <c r="L39" s="0" t="str">
        <f aca="false">IFERROR(VLOOKUP(K39,'Supplier list'!B:C,2,0),"")</f>
        <v>บริษัท ต้าโจว อินดัสทรี จำกัด</v>
      </c>
      <c r="M39" s="1" t="s">
        <v>24</v>
      </c>
      <c r="O39" s="2" t="n">
        <v>120</v>
      </c>
    </row>
    <row r="40" customFormat="false" ht="16.4" hidden="false" customHeight="false" outlineLevel="0" collapsed="false">
      <c r="A40" s="0" t="s">
        <v>15</v>
      </c>
      <c r="B40" s="0" t="s">
        <v>177</v>
      </c>
      <c r="C40" s="0" t="n">
        <v>513025</v>
      </c>
      <c r="D40" s="0" t="n">
        <v>513025</v>
      </c>
      <c r="E40" s="0" t="s">
        <v>97</v>
      </c>
      <c r="F40" s="0" t="s">
        <v>18</v>
      </c>
      <c r="G40" s="0" t="s">
        <v>178</v>
      </c>
      <c r="H40" s="0" t="s">
        <v>179</v>
      </c>
      <c r="I40" s="0" t="s">
        <v>21</v>
      </c>
      <c r="J40" s="0" t="s">
        <v>22</v>
      </c>
      <c r="K40" s="0" t="s">
        <v>176</v>
      </c>
      <c r="L40" s="0" t="str">
        <f aca="false">IFERROR(VLOOKUP(K40,'Supplier list'!B:C,2,0),"")</f>
        <v>บริษัท ต้าโจว อินดัสทรี จำกัด</v>
      </c>
      <c r="M40" s="1" t="s">
        <v>24</v>
      </c>
      <c r="O40" s="2" t="n">
        <v>120</v>
      </c>
    </row>
    <row r="41" customFormat="false" ht="16.4" hidden="false" customHeight="false" outlineLevel="0" collapsed="false">
      <c r="A41" s="0" t="s">
        <v>15</v>
      </c>
      <c r="B41" s="0" t="s">
        <v>180</v>
      </c>
      <c r="C41" s="0" t="n">
        <v>513025</v>
      </c>
      <c r="D41" s="0" t="n">
        <v>513025</v>
      </c>
      <c r="E41" s="0" t="s">
        <v>97</v>
      </c>
      <c r="F41" s="0" t="s">
        <v>18</v>
      </c>
      <c r="G41" s="0" t="s">
        <v>181</v>
      </c>
      <c r="H41" s="0" t="s">
        <v>182</v>
      </c>
      <c r="I41" s="0" t="s">
        <v>21</v>
      </c>
      <c r="J41" s="0" t="s">
        <v>22</v>
      </c>
      <c r="K41" s="0" t="s">
        <v>176</v>
      </c>
      <c r="L41" s="0" t="str">
        <f aca="false">IFERROR(VLOOKUP(K41,'Supplier list'!B:C,2,0),"")</f>
        <v>บริษัท ต้าโจว อินดัสทรี จำกัด</v>
      </c>
      <c r="M41" s="1" t="s">
        <v>24</v>
      </c>
      <c r="O41" s="2" t="n">
        <v>250</v>
      </c>
    </row>
    <row r="42" customFormat="false" ht="16.4" hidden="false" customHeight="false" outlineLevel="0" collapsed="false">
      <c r="A42" s="0" t="s">
        <v>15</v>
      </c>
      <c r="B42" s="0" t="s">
        <v>183</v>
      </c>
      <c r="C42" s="0" t="n">
        <v>513025</v>
      </c>
      <c r="D42" s="0" t="n">
        <v>513025</v>
      </c>
      <c r="E42" s="0" t="s">
        <v>97</v>
      </c>
      <c r="F42" s="0" t="s">
        <v>18</v>
      </c>
      <c r="G42" s="0" t="s">
        <v>184</v>
      </c>
      <c r="H42" s="0" t="s">
        <v>185</v>
      </c>
      <c r="I42" s="0" t="s">
        <v>21</v>
      </c>
      <c r="J42" s="0" t="s">
        <v>22</v>
      </c>
      <c r="K42" s="0" t="s">
        <v>176</v>
      </c>
      <c r="L42" s="0" t="str">
        <f aca="false">IFERROR(VLOOKUP(K42,'Supplier list'!B:C,2,0),"")</f>
        <v>บริษัท ต้าโจว อินดัสทรี จำกัด</v>
      </c>
      <c r="M42" s="1" t="s">
        <v>24</v>
      </c>
      <c r="O42" s="2" t="n">
        <v>250</v>
      </c>
    </row>
    <row r="43" customFormat="false" ht="16.4" hidden="false" customHeight="false" outlineLevel="0" collapsed="false">
      <c r="A43" s="0" t="s">
        <v>15</v>
      </c>
      <c r="B43" s="0" t="s">
        <v>186</v>
      </c>
      <c r="C43" s="0" t="n">
        <v>513025</v>
      </c>
      <c r="D43" s="0" t="n">
        <v>513025</v>
      </c>
      <c r="E43" s="0" t="s">
        <v>97</v>
      </c>
      <c r="F43" s="0" t="s">
        <v>18</v>
      </c>
      <c r="G43" s="0" t="s">
        <v>187</v>
      </c>
      <c r="H43" s="0" t="s">
        <v>188</v>
      </c>
      <c r="I43" s="0" t="s">
        <v>21</v>
      </c>
      <c r="J43" s="0" t="s">
        <v>22</v>
      </c>
      <c r="K43" s="0" t="s">
        <v>176</v>
      </c>
      <c r="L43" s="0" t="str">
        <f aca="false">IFERROR(VLOOKUP(K43,'Supplier list'!B:C,2,0),"")</f>
        <v>บริษัท ต้าโจว อินดัสทรี จำกัด</v>
      </c>
      <c r="M43" s="1" t="s">
        <v>24</v>
      </c>
      <c r="O43" s="2" t="n">
        <v>200</v>
      </c>
    </row>
    <row r="44" customFormat="false" ht="28.35" hidden="false" customHeight="false" outlineLevel="0" collapsed="false">
      <c r="A44" s="0" t="s">
        <v>15</v>
      </c>
      <c r="B44" s="0" t="s">
        <v>189</v>
      </c>
      <c r="C44" s="0" t="n">
        <v>513025</v>
      </c>
      <c r="D44" s="0" t="n">
        <v>513025</v>
      </c>
      <c r="E44" s="0" t="s">
        <v>121</v>
      </c>
      <c r="F44" s="0" t="s">
        <v>18</v>
      </c>
      <c r="G44" s="0" t="s">
        <v>190</v>
      </c>
      <c r="H44" s="0" t="s">
        <v>191</v>
      </c>
      <c r="I44" s="0" t="s">
        <v>21</v>
      </c>
      <c r="J44" s="0" t="s">
        <v>22</v>
      </c>
      <c r="K44" s="6" t="s">
        <v>192</v>
      </c>
      <c r="L44" s="0" t="str">
        <f aca="false">IFERROR(VLOOKUP(K44,'Supplier list'!B:C,2,0),"")</f>
        <v/>
      </c>
      <c r="M44" s="1" t="s">
        <v>24</v>
      </c>
      <c r="O44" s="2" t="n">
        <v>0.39</v>
      </c>
    </row>
    <row r="45" customFormat="false" ht="16.4" hidden="false" customHeight="false" outlineLevel="0" collapsed="false">
      <c r="A45" s="0" t="s">
        <v>15</v>
      </c>
      <c r="B45" s="0" t="s">
        <v>193</v>
      </c>
      <c r="C45" s="0" t="n">
        <v>513025</v>
      </c>
      <c r="D45" s="0" t="n">
        <v>513025</v>
      </c>
      <c r="E45" s="0" t="s">
        <v>127</v>
      </c>
      <c r="F45" s="0" t="s">
        <v>18</v>
      </c>
      <c r="G45" s="0" t="s">
        <v>194</v>
      </c>
      <c r="H45" s="0" t="s">
        <v>195</v>
      </c>
      <c r="I45" s="0" t="s">
        <v>21</v>
      </c>
      <c r="J45" s="0" t="s">
        <v>22</v>
      </c>
      <c r="K45" s="0" t="s">
        <v>82</v>
      </c>
      <c r="L45" s="0" t="str">
        <f aca="false">IFERROR(VLOOKUP(K45,'Supplier list'!B:C,2,0),"")</f>
        <v>บริษัท เกรียงศิริพัฒนา (1995) จำกัด</v>
      </c>
      <c r="M45" s="1" t="s">
        <v>24</v>
      </c>
      <c r="O45" s="2" t="n">
        <v>25</v>
      </c>
    </row>
    <row r="46" customFormat="false" ht="16.4" hidden="false" customHeight="false" outlineLevel="0" collapsed="false">
      <c r="A46" s="0" t="s">
        <v>15</v>
      </c>
      <c r="B46" s="0" t="s">
        <v>196</v>
      </c>
      <c r="C46" s="0" t="n">
        <v>513025</v>
      </c>
      <c r="D46" s="0" t="n">
        <v>513025</v>
      </c>
      <c r="E46" s="0" t="s">
        <v>197</v>
      </c>
      <c r="F46" s="0" t="s">
        <v>18</v>
      </c>
      <c r="G46" s="0" t="s">
        <v>198</v>
      </c>
      <c r="H46" s="0" t="s">
        <v>199</v>
      </c>
      <c r="I46" s="0" t="s">
        <v>21</v>
      </c>
      <c r="J46" s="0" t="s">
        <v>22</v>
      </c>
      <c r="K46" s="0" t="s">
        <v>89</v>
      </c>
      <c r="L46" s="0" t="str">
        <f aca="false">IFERROR(VLOOKUP(K46,'Supplier list'!B:C,2,0),"")</f>
        <v>บริษัท เฮเฟเล่ (ประเทศไทย) จำกัด</v>
      </c>
      <c r="M46" s="1" t="s">
        <v>24</v>
      </c>
      <c r="O46" s="2" t="n">
        <v>720</v>
      </c>
    </row>
    <row r="47" customFormat="false" ht="16.4" hidden="false" customHeight="false" outlineLevel="0" collapsed="false">
      <c r="A47" s="0" t="s">
        <v>15</v>
      </c>
      <c r="B47" s="0" t="s">
        <v>200</v>
      </c>
      <c r="C47" s="0" t="n">
        <v>513025</v>
      </c>
      <c r="D47" s="0" t="n">
        <v>513025</v>
      </c>
      <c r="E47" s="0" t="s">
        <v>97</v>
      </c>
      <c r="F47" s="0" t="s">
        <v>18</v>
      </c>
      <c r="G47" s="0" t="s">
        <v>201</v>
      </c>
      <c r="H47" s="0" t="s">
        <v>202</v>
      </c>
      <c r="I47" s="0" t="s">
        <v>21</v>
      </c>
      <c r="J47" s="0" t="s">
        <v>22</v>
      </c>
      <c r="K47" s="0" t="s">
        <v>176</v>
      </c>
      <c r="L47" s="0" t="str">
        <f aca="false">IFERROR(VLOOKUP(K47,'Supplier list'!B:C,2,0),"")</f>
        <v>บริษัท ต้าโจว อินดัสทรี จำกัด</v>
      </c>
      <c r="M47" s="1" t="s">
        <v>24</v>
      </c>
      <c r="O47" s="2" t="n">
        <v>260</v>
      </c>
    </row>
    <row r="48" customFormat="false" ht="16.4" hidden="false" customHeight="false" outlineLevel="0" collapsed="false">
      <c r="A48" s="0" t="s">
        <v>15</v>
      </c>
      <c r="B48" s="0" t="s">
        <v>203</v>
      </c>
      <c r="C48" s="0" t="n">
        <v>513025</v>
      </c>
      <c r="D48" s="0" t="n">
        <v>513025</v>
      </c>
      <c r="E48" s="0" t="s">
        <v>97</v>
      </c>
      <c r="F48" s="0" t="s">
        <v>18</v>
      </c>
      <c r="G48" s="0" t="s">
        <v>204</v>
      </c>
      <c r="H48" s="0" t="s">
        <v>205</v>
      </c>
      <c r="I48" s="0" t="s">
        <v>21</v>
      </c>
      <c r="J48" s="0" t="s">
        <v>22</v>
      </c>
      <c r="K48" s="0" t="s">
        <v>176</v>
      </c>
      <c r="L48" s="0" t="str">
        <f aca="false">IFERROR(VLOOKUP(K48,'Supplier list'!B:C,2,0),"")</f>
        <v>บริษัท ต้าโจว อินดัสทรี จำกัด</v>
      </c>
      <c r="M48" s="1" t="s">
        <v>24</v>
      </c>
      <c r="O48" s="2" t="n">
        <v>260</v>
      </c>
    </row>
    <row r="49" customFormat="false" ht="16.4" hidden="false" customHeight="false" outlineLevel="0" collapsed="false">
      <c r="A49" s="0" t="s">
        <v>15</v>
      </c>
      <c r="B49" s="0" t="s">
        <v>206</v>
      </c>
      <c r="C49" s="0" t="n">
        <v>513025</v>
      </c>
      <c r="D49" s="0" t="n">
        <v>513025</v>
      </c>
      <c r="E49" s="0" t="s">
        <v>97</v>
      </c>
      <c r="F49" s="0" t="s">
        <v>18</v>
      </c>
      <c r="G49" s="0" t="s">
        <v>207</v>
      </c>
      <c r="H49" s="0" t="s">
        <v>208</v>
      </c>
      <c r="I49" s="0" t="s">
        <v>21</v>
      </c>
      <c r="J49" s="0" t="s">
        <v>22</v>
      </c>
      <c r="K49" s="0" t="s">
        <v>176</v>
      </c>
      <c r="L49" s="0" t="str">
        <f aca="false">IFERROR(VLOOKUP(K49,'Supplier list'!B:C,2,0),"")</f>
        <v>บริษัท ต้าโจว อินดัสทรี จำกัด</v>
      </c>
      <c r="M49" s="1" t="s">
        <v>24</v>
      </c>
      <c r="O49" s="2" t="n">
        <v>120</v>
      </c>
    </row>
    <row r="50" customFormat="false" ht="16.4" hidden="false" customHeight="false" outlineLevel="0" collapsed="false">
      <c r="A50" s="0" t="s">
        <v>15</v>
      </c>
      <c r="B50" s="0" t="s">
        <v>209</v>
      </c>
      <c r="C50" s="0" t="n">
        <v>513025</v>
      </c>
      <c r="D50" s="0" t="n">
        <v>513025</v>
      </c>
      <c r="E50" s="0" t="s">
        <v>97</v>
      </c>
      <c r="F50" s="0" t="s">
        <v>18</v>
      </c>
      <c r="G50" s="0" t="s">
        <v>210</v>
      </c>
      <c r="H50" s="0" t="s">
        <v>211</v>
      </c>
      <c r="I50" s="0" t="s">
        <v>21</v>
      </c>
      <c r="J50" s="0" t="s">
        <v>22</v>
      </c>
      <c r="K50" s="0" t="s">
        <v>176</v>
      </c>
      <c r="L50" s="0" t="str">
        <f aca="false">IFERROR(VLOOKUP(K50,'Supplier list'!B:C,2,0),"")</f>
        <v>บริษัท ต้าโจว อินดัสทรี จำกัด</v>
      </c>
      <c r="M50" s="1" t="s">
        <v>24</v>
      </c>
      <c r="O50" s="2" t="n">
        <v>120</v>
      </c>
    </row>
    <row r="51" customFormat="false" ht="16.4" hidden="false" customHeight="false" outlineLevel="0" collapsed="false">
      <c r="A51" s="0" t="s">
        <v>15</v>
      </c>
      <c r="B51" s="0" t="s">
        <v>212</v>
      </c>
      <c r="C51" s="0" t="n">
        <v>513025</v>
      </c>
      <c r="D51" s="0" t="n">
        <v>513025</v>
      </c>
      <c r="E51" s="0" t="s">
        <v>213</v>
      </c>
      <c r="F51" s="0" t="s">
        <v>18</v>
      </c>
      <c r="G51" s="0" t="s">
        <v>214</v>
      </c>
      <c r="H51" s="0" t="s">
        <v>215</v>
      </c>
      <c r="I51" s="0" t="s">
        <v>21</v>
      </c>
      <c r="J51" s="0" t="s">
        <v>22</v>
      </c>
      <c r="K51" s="0" t="s">
        <v>75</v>
      </c>
      <c r="L51" s="0" t="str">
        <f aca="false">IFERROR(VLOOKUP(K51,'Supplier list'!B:C,2,0),"")</f>
        <v/>
      </c>
      <c r="M51" s="1" t="s">
        <v>24</v>
      </c>
      <c r="O51" s="2" t="n">
        <v>3</v>
      </c>
    </row>
    <row r="52" customFormat="false" ht="16.4" hidden="false" customHeight="false" outlineLevel="0" collapsed="false">
      <c r="A52" s="0" t="s">
        <v>15</v>
      </c>
      <c r="B52" s="0" t="s">
        <v>216</v>
      </c>
      <c r="C52" s="0" t="n">
        <v>513025</v>
      </c>
      <c r="D52" s="0" t="n">
        <v>513025</v>
      </c>
      <c r="E52" s="0" t="s">
        <v>217</v>
      </c>
      <c r="F52" s="0" t="s">
        <v>18</v>
      </c>
      <c r="G52" s="0" t="s">
        <v>218</v>
      </c>
      <c r="H52" s="0" t="s">
        <v>219</v>
      </c>
      <c r="I52" s="0" t="s">
        <v>21</v>
      </c>
      <c r="J52" s="0" t="s">
        <v>22</v>
      </c>
      <c r="K52" s="0" t="s">
        <v>82</v>
      </c>
      <c r="L52" s="0" t="str">
        <f aca="false">IFERROR(VLOOKUP(K52,'Supplier list'!B:C,2,0),"")</f>
        <v>บริษัท เกรียงศิริพัฒนา (1995) จำกัด</v>
      </c>
      <c r="M52" s="1" t="s">
        <v>24</v>
      </c>
      <c r="O52" s="2" t="n">
        <v>150</v>
      </c>
    </row>
    <row r="53" customFormat="false" ht="16.4" hidden="false" customHeight="false" outlineLevel="0" collapsed="false">
      <c r="A53" s="0" t="s">
        <v>15</v>
      </c>
      <c r="B53" s="0" t="s">
        <v>220</v>
      </c>
      <c r="C53" s="0" t="n">
        <v>513025</v>
      </c>
      <c r="D53" s="0" t="n">
        <v>513025</v>
      </c>
      <c r="E53" s="0" t="s">
        <v>221</v>
      </c>
      <c r="F53" s="0" t="s">
        <v>18</v>
      </c>
      <c r="G53" s="0" t="s">
        <v>222</v>
      </c>
      <c r="H53" s="0" t="s">
        <v>223</v>
      </c>
      <c r="I53" s="0" t="s">
        <v>21</v>
      </c>
      <c r="J53" s="0" t="s">
        <v>22</v>
      </c>
      <c r="K53" s="0" t="s">
        <v>82</v>
      </c>
      <c r="L53" s="0" t="str">
        <f aca="false">IFERROR(VLOOKUP(K53,'Supplier list'!B:C,2,0),"")</f>
        <v>บริษัท เกรียงศิริพัฒนา (1995) จำกัด</v>
      </c>
      <c r="M53" s="1" t="s">
        <v>24</v>
      </c>
      <c r="O53" s="2" t="n">
        <v>65</v>
      </c>
    </row>
    <row r="54" customFormat="false" ht="16.4" hidden="false" customHeight="false" outlineLevel="0" collapsed="false">
      <c r="A54" s="0" t="s">
        <v>15</v>
      </c>
      <c r="B54" s="0" t="s">
        <v>224</v>
      </c>
      <c r="C54" s="0" t="n">
        <v>513025</v>
      </c>
      <c r="D54" s="0" t="n">
        <v>513025</v>
      </c>
      <c r="E54" s="0" t="s">
        <v>225</v>
      </c>
      <c r="F54" s="0" t="s">
        <v>18</v>
      </c>
      <c r="G54" s="0" t="s">
        <v>226</v>
      </c>
      <c r="H54" s="0" t="s">
        <v>227</v>
      </c>
      <c r="I54" s="0" t="s">
        <v>21</v>
      </c>
      <c r="J54" s="0" t="s">
        <v>22</v>
      </c>
      <c r="K54" s="0" t="s">
        <v>56</v>
      </c>
      <c r="L54" s="0" t="str">
        <f aca="false">IFERROR(VLOOKUP(K54,'Supplier list'!B:C,2,0),"")</f>
        <v>CO.,LTD QINGDAO NEW LIBERTY INT'L TRADING CO.LTD.</v>
      </c>
      <c r="M54" s="1" t="s">
        <v>24</v>
      </c>
      <c r="O54" s="2" t="n">
        <v>1100</v>
      </c>
    </row>
    <row r="55" customFormat="false" ht="16.4" hidden="false" customHeight="false" outlineLevel="0" collapsed="false">
      <c r="A55" s="0" t="s">
        <v>15</v>
      </c>
      <c r="B55" s="0" t="s">
        <v>228</v>
      </c>
      <c r="C55" s="0" t="n">
        <v>513025</v>
      </c>
      <c r="D55" s="0" t="n">
        <v>513025</v>
      </c>
      <c r="E55" s="0" t="s">
        <v>127</v>
      </c>
      <c r="F55" s="0" t="s">
        <v>18</v>
      </c>
      <c r="G55" s="0" t="s">
        <v>229</v>
      </c>
      <c r="H55" s="0" t="s">
        <v>230</v>
      </c>
      <c r="I55" s="0" t="s">
        <v>21</v>
      </c>
      <c r="J55" s="0" t="s">
        <v>22</v>
      </c>
      <c r="K55" s="0" t="s">
        <v>68</v>
      </c>
      <c r="L55" s="0" t="str">
        <f aca="false">IFERROR(VLOOKUP(K55,'Supplier list'!B:C,2,0),"")</f>
        <v>หจก. กรีน ดิสทริบิวชั่น</v>
      </c>
      <c r="M55" s="1" t="s">
        <v>24</v>
      </c>
      <c r="O55" s="2" t="n">
        <v>24</v>
      </c>
    </row>
    <row r="56" customFormat="false" ht="16.4" hidden="false" customHeight="false" outlineLevel="0" collapsed="false">
      <c r="A56" s="0" t="s">
        <v>15</v>
      </c>
      <c r="B56" s="0" t="s">
        <v>231</v>
      </c>
      <c r="C56" s="0" t="n">
        <v>513025</v>
      </c>
      <c r="D56" s="0" t="n">
        <v>513025</v>
      </c>
      <c r="E56" s="0" t="s">
        <v>97</v>
      </c>
      <c r="F56" s="0" t="s">
        <v>18</v>
      </c>
      <c r="G56" s="0" t="s">
        <v>232</v>
      </c>
      <c r="H56" s="0" t="s">
        <v>233</v>
      </c>
      <c r="I56" s="0" t="s">
        <v>21</v>
      </c>
      <c r="J56" s="0" t="s">
        <v>22</v>
      </c>
      <c r="K56" s="0" t="s">
        <v>234</v>
      </c>
      <c r="L56" s="0" t="str">
        <f aca="false">IFERROR(VLOOKUP(K56,'Supplier list'!B:C,2,0),"")</f>
        <v/>
      </c>
      <c r="M56" s="1" t="s">
        <v>24</v>
      </c>
      <c r="O56" s="2" t="n">
        <v>200</v>
      </c>
    </row>
    <row r="57" customFormat="false" ht="16.4" hidden="false" customHeight="false" outlineLevel="0" collapsed="false">
      <c r="A57" s="0" t="s">
        <v>15</v>
      </c>
      <c r="B57" s="0" t="s">
        <v>235</v>
      </c>
      <c r="C57" s="0" t="n">
        <v>513025</v>
      </c>
      <c r="D57" s="0" t="n">
        <v>513025</v>
      </c>
      <c r="E57" s="0" t="s">
        <v>97</v>
      </c>
      <c r="F57" s="0" t="s">
        <v>18</v>
      </c>
      <c r="G57" s="0" t="s">
        <v>236</v>
      </c>
      <c r="H57" s="0" t="s">
        <v>237</v>
      </c>
      <c r="I57" s="0" t="s">
        <v>21</v>
      </c>
      <c r="J57" s="0" t="s">
        <v>22</v>
      </c>
      <c r="K57" s="0" t="s">
        <v>234</v>
      </c>
      <c r="L57" s="0" t="str">
        <f aca="false">IFERROR(VLOOKUP(K57,'Supplier list'!B:C,2,0),"")</f>
        <v/>
      </c>
      <c r="M57" s="1" t="s">
        <v>24</v>
      </c>
      <c r="O57" s="2" t="n">
        <v>200</v>
      </c>
    </row>
    <row r="58" customFormat="false" ht="16.4" hidden="false" customHeight="false" outlineLevel="0" collapsed="false">
      <c r="A58" s="0" t="s">
        <v>15</v>
      </c>
      <c r="B58" s="0" t="s">
        <v>238</v>
      </c>
      <c r="C58" s="0" t="n">
        <v>513025</v>
      </c>
      <c r="D58" s="0" t="n">
        <v>513025</v>
      </c>
      <c r="E58" s="0" t="s">
        <v>97</v>
      </c>
      <c r="F58" s="0" t="s">
        <v>18</v>
      </c>
      <c r="G58" s="0" t="s">
        <v>239</v>
      </c>
      <c r="H58" s="0" t="s">
        <v>240</v>
      </c>
      <c r="I58" s="0" t="s">
        <v>21</v>
      </c>
      <c r="J58" s="0" t="s">
        <v>22</v>
      </c>
      <c r="K58" s="0" t="s">
        <v>234</v>
      </c>
      <c r="L58" s="0" t="str">
        <f aca="false">IFERROR(VLOOKUP(K58,'Supplier list'!B:C,2,0),"")</f>
        <v/>
      </c>
      <c r="M58" s="1" t="s">
        <v>24</v>
      </c>
      <c r="O58" s="2" t="n">
        <v>200</v>
      </c>
    </row>
    <row r="59" customFormat="false" ht="16.4" hidden="false" customHeight="false" outlineLevel="0" collapsed="false">
      <c r="A59" s="0" t="s">
        <v>15</v>
      </c>
      <c r="B59" s="0" t="s">
        <v>241</v>
      </c>
      <c r="C59" s="0" t="n">
        <v>513025</v>
      </c>
      <c r="D59" s="0" t="n">
        <v>513025</v>
      </c>
      <c r="E59" s="0" t="s">
        <v>121</v>
      </c>
      <c r="F59" s="0" t="s">
        <v>18</v>
      </c>
      <c r="G59" s="0" t="s">
        <v>242</v>
      </c>
      <c r="H59" s="0" t="s">
        <v>243</v>
      </c>
      <c r="I59" s="0" t="s">
        <v>21</v>
      </c>
      <c r="J59" s="0" t="s">
        <v>22</v>
      </c>
      <c r="K59" s="0" t="s">
        <v>82</v>
      </c>
      <c r="L59" s="0" t="str">
        <f aca="false">IFERROR(VLOOKUP(K59,'Supplier list'!B:C,2,0),"")</f>
        <v>บริษัท เกรียงศิริพัฒนา (1995) จำกัด</v>
      </c>
      <c r="M59" s="1" t="s">
        <v>24</v>
      </c>
      <c r="O59" s="2" t="n">
        <v>550</v>
      </c>
    </row>
    <row r="60" customFormat="false" ht="16.4" hidden="false" customHeight="false" outlineLevel="0" collapsed="false">
      <c r="A60" s="0" t="s">
        <v>15</v>
      </c>
      <c r="B60" s="0" t="s">
        <v>244</v>
      </c>
      <c r="C60" s="0" t="n">
        <v>513025</v>
      </c>
      <c r="D60" s="0" t="n">
        <v>513025</v>
      </c>
      <c r="E60" s="0" t="s">
        <v>245</v>
      </c>
      <c r="F60" s="0" t="s">
        <v>18</v>
      </c>
      <c r="G60" s="0" t="s">
        <v>246</v>
      </c>
      <c r="H60" s="0" t="s">
        <v>247</v>
      </c>
      <c r="I60" s="0" t="s">
        <v>248</v>
      </c>
      <c r="J60" s="0" t="s">
        <v>249</v>
      </c>
      <c r="K60" s="0" t="s">
        <v>68</v>
      </c>
      <c r="L60" s="0" t="str">
        <f aca="false">IFERROR(VLOOKUP(K60,'Supplier list'!B:C,2,0),"")</f>
        <v>หจก. กรีน ดิสทริบิวชั่น</v>
      </c>
      <c r="M60" s="1" t="s">
        <v>24</v>
      </c>
      <c r="O60" s="2" t="n">
        <v>1450</v>
      </c>
    </row>
    <row r="61" customFormat="false" ht="16.4" hidden="false" customHeight="false" outlineLevel="0" collapsed="false">
      <c r="A61" s="0" t="s">
        <v>15</v>
      </c>
      <c r="B61" s="0" t="s">
        <v>250</v>
      </c>
      <c r="C61" s="0" t="n">
        <v>513025</v>
      </c>
      <c r="D61" s="0" t="n">
        <v>513025</v>
      </c>
      <c r="E61" s="0" t="s">
        <v>245</v>
      </c>
      <c r="F61" s="0" t="s">
        <v>18</v>
      </c>
      <c r="G61" s="0" t="s">
        <v>251</v>
      </c>
      <c r="H61" s="0" t="s">
        <v>252</v>
      </c>
      <c r="I61" s="0" t="s">
        <v>248</v>
      </c>
      <c r="J61" s="0" t="s">
        <v>249</v>
      </c>
      <c r="K61" s="0" t="s">
        <v>68</v>
      </c>
      <c r="L61" s="0" t="str">
        <f aca="false">IFERROR(VLOOKUP(K61,'Supplier list'!B:C,2,0),"")</f>
        <v>หจก. กรีน ดิสทริบิวชั่น</v>
      </c>
      <c r="M61" s="1" t="s">
        <v>24</v>
      </c>
      <c r="O61" s="2" t="n">
        <v>2100</v>
      </c>
    </row>
    <row r="62" customFormat="false" ht="13.8" hidden="false" customHeight="false" outlineLevel="0" collapsed="false">
      <c r="A62" s="0" t="s">
        <v>15</v>
      </c>
      <c r="B62" s="0" t="s">
        <v>253</v>
      </c>
      <c r="C62" s="0" t="n">
        <v>114003</v>
      </c>
      <c r="D62" s="0" t="n">
        <v>114003</v>
      </c>
      <c r="E62" s="0" t="s">
        <v>254</v>
      </c>
      <c r="F62" s="0" t="s">
        <v>18</v>
      </c>
      <c r="G62" s="0" t="s">
        <v>255</v>
      </c>
      <c r="H62" s="0" t="s">
        <v>254</v>
      </c>
      <c r="I62" s="0" t="s">
        <v>21</v>
      </c>
      <c r="J62" s="0" t="s">
        <v>22</v>
      </c>
      <c r="K62" s="0" t="s">
        <v>29</v>
      </c>
      <c r="L62" s="0" t="str">
        <f aca="false">IFERROR(VLOOKUP(K62,'Supplier list'!B:C,2,0),"")</f>
        <v/>
      </c>
      <c r="M62" s="1" t="s">
        <v>24</v>
      </c>
      <c r="O62" s="2" t="n">
        <v>1290</v>
      </c>
    </row>
    <row r="63" customFormat="false" ht="16.4" hidden="false" customHeight="false" outlineLevel="0" collapsed="false">
      <c r="A63" s="0" t="s">
        <v>15</v>
      </c>
      <c r="B63" s="0" t="s">
        <v>256</v>
      </c>
      <c r="C63" s="0" t="n">
        <v>114003</v>
      </c>
      <c r="D63" s="0" t="n">
        <v>114003</v>
      </c>
      <c r="E63" s="0" t="s">
        <v>257</v>
      </c>
      <c r="F63" s="0" t="s">
        <v>18</v>
      </c>
      <c r="G63" s="0" t="s">
        <v>258</v>
      </c>
      <c r="H63" s="0" t="s">
        <v>259</v>
      </c>
      <c r="I63" s="0" t="s">
        <v>260</v>
      </c>
      <c r="J63" s="0" t="s">
        <v>261</v>
      </c>
      <c r="K63" s="0" t="s">
        <v>89</v>
      </c>
      <c r="L63" s="0" t="str">
        <f aca="false">IFERROR(VLOOKUP(K63,'Supplier list'!B:C,2,0),"")</f>
        <v>บริษัท เฮเฟเล่ (ประเทศไทย) จำกัด</v>
      </c>
      <c r="M63" s="1" t="s">
        <v>24</v>
      </c>
      <c r="O63" s="2" t="n">
        <v>178</v>
      </c>
    </row>
    <row r="64" customFormat="false" ht="16.4" hidden="false" customHeight="false" outlineLevel="0" collapsed="false">
      <c r="A64" s="0" t="s">
        <v>15</v>
      </c>
      <c r="B64" s="0" t="s">
        <v>262</v>
      </c>
      <c r="C64" s="0" t="n">
        <v>114003</v>
      </c>
      <c r="D64" s="0" t="n">
        <v>114003</v>
      </c>
      <c r="E64" s="0" t="s">
        <v>263</v>
      </c>
      <c r="F64" s="0" t="s">
        <v>18</v>
      </c>
      <c r="G64" s="0" t="s">
        <v>264</v>
      </c>
      <c r="H64" s="0" t="s">
        <v>265</v>
      </c>
      <c r="I64" s="0" t="s">
        <v>21</v>
      </c>
      <c r="J64" s="0" t="s">
        <v>22</v>
      </c>
      <c r="L64" s="0" t="str">
        <f aca="false">IFERROR(VLOOKUP(K64,'Supplier list'!B:C,2,0),"")</f>
        <v/>
      </c>
      <c r="M64" s="1" t="s">
        <v>24</v>
      </c>
      <c r="O64" s="2" t="n">
        <v>28</v>
      </c>
    </row>
    <row r="65" customFormat="false" ht="16.4" hidden="false" customHeight="false" outlineLevel="0" collapsed="false">
      <c r="A65" s="0" t="s">
        <v>15</v>
      </c>
      <c r="B65" s="0" t="s">
        <v>266</v>
      </c>
      <c r="C65" s="0" t="n">
        <v>114003</v>
      </c>
      <c r="D65" s="0" t="n">
        <v>114003</v>
      </c>
      <c r="E65" s="0" t="s">
        <v>267</v>
      </c>
      <c r="F65" s="0" t="s">
        <v>18</v>
      </c>
      <c r="G65" s="0" t="s">
        <v>268</v>
      </c>
      <c r="H65" s="0" t="s">
        <v>269</v>
      </c>
      <c r="I65" s="0" t="s">
        <v>21</v>
      </c>
      <c r="J65" s="0" t="s">
        <v>22</v>
      </c>
      <c r="L65" s="0" t="str">
        <f aca="false">IFERROR(VLOOKUP(K65,'Supplier list'!B:C,2,0),"")</f>
        <v/>
      </c>
      <c r="M65" s="1" t="s">
        <v>24</v>
      </c>
      <c r="O65" s="2" t="n">
        <v>68</v>
      </c>
    </row>
    <row r="66" customFormat="false" ht="16.4" hidden="false" customHeight="false" outlineLevel="0" collapsed="false">
      <c r="A66" s="0" t="s">
        <v>15</v>
      </c>
      <c r="B66" s="0" t="s">
        <v>270</v>
      </c>
      <c r="C66" s="0" t="n">
        <v>114003</v>
      </c>
      <c r="D66" s="0" t="n">
        <v>114003</v>
      </c>
      <c r="E66" s="0" t="s">
        <v>271</v>
      </c>
      <c r="F66" s="0" t="s">
        <v>18</v>
      </c>
      <c r="G66" s="0" t="s">
        <v>272</v>
      </c>
      <c r="H66" s="0" t="s">
        <v>273</v>
      </c>
      <c r="I66" s="0" t="s">
        <v>142</v>
      </c>
      <c r="J66" s="0" t="s">
        <v>143</v>
      </c>
      <c r="K66" s="0" t="s">
        <v>75</v>
      </c>
      <c r="L66" s="0" t="str">
        <f aca="false">IFERROR(VLOOKUP(K66,'Supplier list'!B:C,2,0),"")</f>
        <v/>
      </c>
      <c r="M66" s="1" t="s">
        <v>24</v>
      </c>
      <c r="O66" s="2" t="n">
        <v>100</v>
      </c>
    </row>
    <row r="67" customFormat="false" ht="16.4" hidden="false" customHeight="false" outlineLevel="0" collapsed="false">
      <c r="A67" s="0" t="s">
        <v>15</v>
      </c>
      <c r="B67" s="0" t="s">
        <v>274</v>
      </c>
      <c r="C67" s="0" t="n">
        <v>114003</v>
      </c>
      <c r="D67" s="0" t="n">
        <v>114003</v>
      </c>
      <c r="E67" s="0" t="s">
        <v>275</v>
      </c>
      <c r="F67" s="0" t="s">
        <v>18</v>
      </c>
      <c r="G67" s="0" t="s">
        <v>276</v>
      </c>
      <c r="H67" s="0" t="s">
        <v>277</v>
      </c>
      <c r="I67" s="0" t="s">
        <v>142</v>
      </c>
      <c r="J67" s="0" t="s">
        <v>143</v>
      </c>
      <c r="L67" s="0" t="str">
        <f aca="false">IFERROR(VLOOKUP(K67,'Supplier list'!B:C,2,0),"")</f>
        <v/>
      </c>
      <c r="M67" s="1" t="s">
        <v>24</v>
      </c>
      <c r="O67" s="2" t="n">
        <v>261</v>
      </c>
    </row>
    <row r="68" customFormat="false" ht="13.8" hidden="false" customHeight="false" outlineLevel="0" collapsed="false">
      <c r="A68" s="0" t="s">
        <v>15</v>
      </c>
      <c r="B68" s="0" t="s">
        <v>278</v>
      </c>
      <c r="C68" s="0" t="n">
        <v>114003</v>
      </c>
      <c r="D68" s="0" t="n">
        <v>114003</v>
      </c>
      <c r="E68" s="0" t="s">
        <v>279</v>
      </c>
      <c r="F68" s="0" t="s">
        <v>18</v>
      </c>
      <c r="G68" s="0" t="s">
        <v>280</v>
      </c>
      <c r="H68" s="0" t="s">
        <v>279</v>
      </c>
      <c r="I68" s="0" t="s">
        <v>168</v>
      </c>
      <c r="J68" s="0" t="s">
        <v>169</v>
      </c>
      <c r="L68" s="0" t="str">
        <f aca="false">IFERROR(VLOOKUP(K68,'Supplier list'!B:C,2,0),"")</f>
        <v/>
      </c>
      <c r="M68" s="1" t="s">
        <v>24</v>
      </c>
      <c r="O68" s="2" t="n">
        <v>60</v>
      </c>
    </row>
    <row r="69" customFormat="false" ht="16.4" hidden="false" customHeight="false" outlineLevel="0" collapsed="false">
      <c r="A69" s="0" t="s">
        <v>15</v>
      </c>
      <c r="B69" s="0" t="s">
        <v>281</v>
      </c>
      <c r="C69" s="0" t="n">
        <v>114003</v>
      </c>
      <c r="D69" s="0" t="n">
        <v>114003</v>
      </c>
      <c r="E69" s="0" t="s">
        <v>271</v>
      </c>
      <c r="F69" s="0" t="s">
        <v>18</v>
      </c>
      <c r="G69" s="0" t="s">
        <v>282</v>
      </c>
      <c r="H69" s="0" t="s">
        <v>283</v>
      </c>
      <c r="I69" s="0" t="s">
        <v>142</v>
      </c>
      <c r="J69" s="0" t="s">
        <v>143</v>
      </c>
      <c r="L69" s="0" t="str">
        <f aca="false">IFERROR(VLOOKUP(K69,'Supplier list'!B:C,2,0),"")</f>
        <v/>
      </c>
      <c r="M69" s="1" t="s">
        <v>24</v>
      </c>
      <c r="O69" s="2" t="n">
        <v>93</v>
      </c>
    </row>
    <row r="70" customFormat="false" ht="16.4" hidden="false" customHeight="false" outlineLevel="0" collapsed="false">
      <c r="A70" s="0" t="s">
        <v>15</v>
      </c>
      <c r="B70" s="0" t="s">
        <v>284</v>
      </c>
      <c r="C70" s="0" t="n">
        <v>114003</v>
      </c>
      <c r="D70" s="0" t="n">
        <v>114003</v>
      </c>
      <c r="E70" s="0" t="s">
        <v>271</v>
      </c>
      <c r="F70" s="0" t="s">
        <v>18</v>
      </c>
      <c r="G70" s="0" t="s">
        <v>285</v>
      </c>
      <c r="H70" s="0" t="s">
        <v>286</v>
      </c>
      <c r="I70" s="0" t="s">
        <v>142</v>
      </c>
      <c r="J70" s="0" t="s">
        <v>143</v>
      </c>
      <c r="L70" s="0" t="str">
        <f aca="false">IFERROR(VLOOKUP(K70,'Supplier list'!B:C,2,0),"")</f>
        <v/>
      </c>
      <c r="M70" s="1" t="s">
        <v>24</v>
      </c>
      <c r="O70" s="2" t="n">
        <v>93</v>
      </c>
    </row>
    <row r="71" customFormat="false" ht="16.4" hidden="false" customHeight="false" outlineLevel="0" collapsed="false">
      <c r="A71" s="0" t="s">
        <v>15</v>
      </c>
      <c r="B71" s="0" t="s">
        <v>287</v>
      </c>
      <c r="C71" s="0" t="n">
        <v>114003</v>
      </c>
      <c r="D71" s="0" t="n">
        <v>114003</v>
      </c>
      <c r="E71" s="0" t="s">
        <v>197</v>
      </c>
      <c r="F71" s="0" t="s">
        <v>18</v>
      </c>
      <c r="G71" s="0" t="s">
        <v>288</v>
      </c>
      <c r="H71" s="0" t="s">
        <v>289</v>
      </c>
      <c r="I71" s="0" t="s">
        <v>21</v>
      </c>
      <c r="J71" s="0" t="s">
        <v>22</v>
      </c>
      <c r="K71" s="0" t="s">
        <v>68</v>
      </c>
      <c r="L71" s="0" t="str">
        <f aca="false">IFERROR(VLOOKUP(K71,'Supplier list'!B:C,2,0),"")</f>
        <v>หจก. กรีน ดิสทริบิวชั่น</v>
      </c>
      <c r="M71" s="1" t="s">
        <v>24</v>
      </c>
      <c r="O71" s="2" t="n">
        <v>28</v>
      </c>
    </row>
    <row r="72" customFormat="false" ht="16.4" hidden="false" customHeight="false" outlineLevel="0" collapsed="false">
      <c r="A72" s="0" t="s">
        <v>15</v>
      </c>
      <c r="B72" s="0" t="s">
        <v>290</v>
      </c>
      <c r="C72" s="0" t="n">
        <v>114003</v>
      </c>
      <c r="D72" s="0" t="n">
        <v>114003</v>
      </c>
      <c r="E72" s="0" t="s">
        <v>197</v>
      </c>
      <c r="F72" s="0" t="s">
        <v>18</v>
      </c>
      <c r="G72" s="0" t="s">
        <v>291</v>
      </c>
      <c r="H72" s="0" t="s">
        <v>292</v>
      </c>
      <c r="I72" s="0" t="s">
        <v>21</v>
      </c>
      <c r="J72" s="0" t="s">
        <v>22</v>
      </c>
      <c r="K72" s="0" t="s">
        <v>68</v>
      </c>
      <c r="L72" s="0" t="str">
        <f aca="false">IFERROR(VLOOKUP(K72,'Supplier list'!B:C,2,0),"")</f>
        <v>หจก. กรีน ดิสทริบิวชั่น</v>
      </c>
      <c r="M72" s="1" t="s">
        <v>24</v>
      </c>
      <c r="O72" s="2" t="n">
        <v>20</v>
      </c>
    </row>
    <row r="73" customFormat="false" ht="16.4" hidden="false" customHeight="false" outlineLevel="0" collapsed="false">
      <c r="A73" s="0" t="s">
        <v>15</v>
      </c>
      <c r="B73" s="0" t="s">
        <v>293</v>
      </c>
      <c r="C73" s="0" t="n">
        <v>114003</v>
      </c>
      <c r="D73" s="0" t="n">
        <v>114003</v>
      </c>
      <c r="E73" s="0" t="s">
        <v>294</v>
      </c>
      <c r="F73" s="0" t="s">
        <v>18</v>
      </c>
      <c r="G73" s="0" t="s">
        <v>295</v>
      </c>
      <c r="H73" s="0" t="s">
        <v>296</v>
      </c>
      <c r="I73" s="0" t="s">
        <v>149</v>
      </c>
      <c r="J73" s="0" t="s">
        <v>150</v>
      </c>
      <c r="K73" s="0" t="s">
        <v>75</v>
      </c>
      <c r="L73" s="0" t="str">
        <f aca="false">IFERROR(VLOOKUP(K73,'Supplier list'!B:C,2,0),"")</f>
        <v/>
      </c>
      <c r="M73" s="1" t="s">
        <v>24</v>
      </c>
      <c r="O73" s="2" t="n">
        <v>55</v>
      </c>
    </row>
    <row r="74" customFormat="false" ht="16.4" hidden="false" customHeight="false" outlineLevel="0" collapsed="false">
      <c r="A74" s="0" t="s">
        <v>15</v>
      </c>
      <c r="B74" s="0" t="s">
        <v>297</v>
      </c>
      <c r="C74" s="0" t="n">
        <v>114003</v>
      </c>
      <c r="D74" s="0" t="n">
        <v>114003</v>
      </c>
      <c r="E74" s="0" t="s">
        <v>298</v>
      </c>
      <c r="F74" s="0" t="s">
        <v>18</v>
      </c>
      <c r="G74" s="0" t="s">
        <v>299</v>
      </c>
      <c r="H74" s="0" t="s">
        <v>300</v>
      </c>
      <c r="I74" s="0" t="s">
        <v>301</v>
      </c>
      <c r="J74" s="0" t="s">
        <v>302</v>
      </c>
      <c r="K74" s="0" t="s">
        <v>303</v>
      </c>
      <c r="L74" s="0" t="str">
        <f aca="false">IFERROR(VLOOKUP(K74,'Supplier list'!B:C,2,0),"")</f>
        <v>บริษัท เอ็มเค วู้ดเทค จำกัด</v>
      </c>
      <c r="M74" s="1" t="s">
        <v>24</v>
      </c>
      <c r="O74" s="2" t="n">
        <v>80</v>
      </c>
    </row>
    <row r="75" customFormat="false" ht="16.4" hidden="false" customHeight="false" outlineLevel="0" collapsed="false">
      <c r="A75" s="0" t="s">
        <v>15</v>
      </c>
      <c r="B75" s="0" t="s">
        <v>304</v>
      </c>
      <c r="C75" s="0" t="n">
        <v>114003</v>
      </c>
      <c r="D75" s="0" t="n">
        <v>114003</v>
      </c>
      <c r="E75" s="0" t="s">
        <v>298</v>
      </c>
      <c r="F75" s="0" t="s">
        <v>18</v>
      </c>
      <c r="G75" s="0" t="s">
        <v>305</v>
      </c>
      <c r="H75" s="0" t="s">
        <v>306</v>
      </c>
      <c r="I75" s="0" t="s">
        <v>301</v>
      </c>
      <c r="J75" s="0" t="s">
        <v>302</v>
      </c>
      <c r="K75" s="0" t="s">
        <v>303</v>
      </c>
      <c r="L75" s="0" t="str">
        <f aca="false">IFERROR(VLOOKUP(K75,'Supplier list'!B:C,2,0),"")</f>
        <v>บริษัท เอ็มเค วู้ดเทค จำกัด</v>
      </c>
      <c r="M75" s="1" t="s">
        <v>24</v>
      </c>
      <c r="O75" s="2" t="n">
        <v>80</v>
      </c>
    </row>
    <row r="76" customFormat="false" ht="16.4" hidden="false" customHeight="false" outlineLevel="0" collapsed="false">
      <c r="A76" s="0" t="s">
        <v>15</v>
      </c>
      <c r="B76" s="0" t="s">
        <v>307</v>
      </c>
      <c r="C76" s="0" t="n">
        <v>114003</v>
      </c>
      <c r="D76" s="0" t="n">
        <v>114003</v>
      </c>
      <c r="E76" s="0" t="s">
        <v>298</v>
      </c>
      <c r="F76" s="0" t="s">
        <v>18</v>
      </c>
      <c r="G76" s="0" t="s">
        <v>308</v>
      </c>
      <c r="H76" s="0" t="s">
        <v>309</v>
      </c>
      <c r="I76" s="0" t="s">
        <v>301</v>
      </c>
      <c r="J76" s="0" t="s">
        <v>302</v>
      </c>
      <c r="K76" s="0" t="s">
        <v>303</v>
      </c>
      <c r="L76" s="0" t="str">
        <f aca="false">IFERROR(VLOOKUP(K76,'Supplier list'!B:C,2,0),"")</f>
        <v>บริษัท เอ็มเค วู้ดเทค จำกัด</v>
      </c>
      <c r="M76" s="1" t="s">
        <v>24</v>
      </c>
      <c r="O76" s="2" t="n">
        <v>80</v>
      </c>
    </row>
    <row r="77" customFormat="false" ht="16.4" hidden="false" customHeight="false" outlineLevel="0" collapsed="false">
      <c r="A77" s="0" t="s">
        <v>15</v>
      </c>
      <c r="B77" s="0" t="s">
        <v>310</v>
      </c>
      <c r="C77" s="0" t="n">
        <v>114003</v>
      </c>
      <c r="D77" s="0" t="n">
        <v>114003</v>
      </c>
      <c r="E77" s="0" t="s">
        <v>298</v>
      </c>
      <c r="F77" s="0" t="s">
        <v>18</v>
      </c>
      <c r="G77" s="0" t="s">
        <v>311</v>
      </c>
      <c r="H77" s="0" t="s">
        <v>312</v>
      </c>
      <c r="I77" s="0" t="s">
        <v>301</v>
      </c>
      <c r="J77" s="0" t="s">
        <v>302</v>
      </c>
      <c r="K77" s="0" t="s">
        <v>303</v>
      </c>
      <c r="L77" s="0" t="str">
        <f aca="false">IFERROR(VLOOKUP(K77,'Supplier list'!B:C,2,0),"")</f>
        <v>บริษัท เอ็มเค วู้ดเทค จำกัด</v>
      </c>
      <c r="M77" s="1" t="s">
        <v>24</v>
      </c>
      <c r="O77" s="2" t="n">
        <v>80</v>
      </c>
    </row>
    <row r="78" customFormat="false" ht="16.4" hidden="false" customHeight="false" outlineLevel="0" collapsed="false">
      <c r="A78" s="0" t="s">
        <v>15</v>
      </c>
      <c r="B78" s="0" t="s">
        <v>313</v>
      </c>
      <c r="C78" s="0" t="n">
        <v>114003</v>
      </c>
      <c r="D78" s="0" t="n">
        <v>114003</v>
      </c>
      <c r="E78" s="0" t="s">
        <v>298</v>
      </c>
      <c r="F78" s="0" t="s">
        <v>18</v>
      </c>
      <c r="G78" s="0" t="s">
        <v>314</v>
      </c>
      <c r="H78" s="0" t="s">
        <v>315</v>
      </c>
      <c r="I78" s="0" t="s">
        <v>301</v>
      </c>
      <c r="J78" s="0" t="s">
        <v>302</v>
      </c>
      <c r="K78" s="0" t="s">
        <v>303</v>
      </c>
      <c r="L78" s="0" t="str">
        <f aca="false">IFERROR(VLOOKUP(K78,'Supplier list'!B:C,2,0),"")</f>
        <v>บริษัท เอ็มเค วู้ดเทค จำกัด</v>
      </c>
      <c r="M78" s="1" t="s">
        <v>24</v>
      </c>
      <c r="O78" s="2" t="n">
        <v>80</v>
      </c>
    </row>
    <row r="79" customFormat="false" ht="16.4" hidden="false" customHeight="false" outlineLevel="0" collapsed="false">
      <c r="A79" s="0" t="s">
        <v>15</v>
      </c>
      <c r="B79" s="0" t="s">
        <v>316</v>
      </c>
      <c r="C79" s="0" t="n">
        <v>114003</v>
      </c>
      <c r="D79" s="0" t="n">
        <v>114003</v>
      </c>
      <c r="E79" s="0" t="s">
        <v>298</v>
      </c>
      <c r="F79" s="0" t="s">
        <v>18</v>
      </c>
      <c r="G79" s="0" t="s">
        <v>317</v>
      </c>
      <c r="H79" s="0" t="s">
        <v>318</v>
      </c>
      <c r="I79" s="0" t="s">
        <v>301</v>
      </c>
      <c r="J79" s="0" t="s">
        <v>302</v>
      </c>
      <c r="K79" s="0" t="s">
        <v>303</v>
      </c>
      <c r="L79" s="0" t="str">
        <f aca="false">IFERROR(VLOOKUP(K79,'Supplier list'!B:C,2,0),"")</f>
        <v>บริษัท เอ็มเค วู้ดเทค จำกัด</v>
      </c>
      <c r="M79" s="1" t="s">
        <v>24</v>
      </c>
      <c r="O79" s="2" t="n">
        <v>80</v>
      </c>
    </row>
    <row r="80" customFormat="false" ht="16.4" hidden="false" customHeight="false" outlineLevel="0" collapsed="false">
      <c r="A80" s="0" t="s">
        <v>15</v>
      </c>
      <c r="B80" s="0" t="s">
        <v>319</v>
      </c>
      <c r="C80" s="0" t="n">
        <v>114003</v>
      </c>
      <c r="D80" s="0" t="n">
        <v>114003</v>
      </c>
      <c r="E80" s="0" t="s">
        <v>298</v>
      </c>
      <c r="F80" s="0" t="s">
        <v>18</v>
      </c>
      <c r="G80" s="0" t="s">
        <v>320</v>
      </c>
      <c r="H80" s="0" t="s">
        <v>321</v>
      </c>
      <c r="I80" s="0" t="s">
        <v>301</v>
      </c>
      <c r="J80" s="0" t="s">
        <v>302</v>
      </c>
      <c r="K80" s="0" t="s">
        <v>303</v>
      </c>
      <c r="L80" s="0" t="str">
        <f aca="false">IFERROR(VLOOKUP(K80,'Supplier list'!B:C,2,0),"")</f>
        <v>บริษัท เอ็มเค วู้ดเทค จำกัด</v>
      </c>
      <c r="M80" s="1" t="s">
        <v>24</v>
      </c>
      <c r="O80" s="2" t="n">
        <v>80</v>
      </c>
    </row>
    <row r="81" customFormat="false" ht="16.4" hidden="false" customHeight="false" outlineLevel="0" collapsed="false">
      <c r="A81" s="0" t="s">
        <v>15</v>
      </c>
      <c r="B81" s="0" t="s">
        <v>322</v>
      </c>
      <c r="C81" s="0" t="n">
        <v>114003</v>
      </c>
      <c r="D81" s="0" t="n">
        <v>114003</v>
      </c>
      <c r="E81" s="0" t="s">
        <v>298</v>
      </c>
      <c r="F81" s="0" t="s">
        <v>18</v>
      </c>
      <c r="G81" s="0" t="s">
        <v>323</v>
      </c>
      <c r="H81" s="0" t="s">
        <v>324</v>
      </c>
      <c r="I81" s="0" t="s">
        <v>301</v>
      </c>
      <c r="J81" s="0" t="s">
        <v>302</v>
      </c>
      <c r="K81" s="0" t="s">
        <v>303</v>
      </c>
      <c r="L81" s="0" t="str">
        <f aca="false">IFERROR(VLOOKUP(K81,'Supplier list'!B:C,2,0),"")</f>
        <v>บริษัท เอ็มเค วู้ดเทค จำกัด</v>
      </c>
      <c r="M81" s="1" t="s">
        <v>24</v>
      </c>
      <c r="O81" s="2" t="n">
        <v>80</v>
      </c>
    </row>
    <row r="82" customFormat="false" ht="16.4" hidden="false" customHeight="false" outlineLevel="0" collapsed="false">
      <c r="A82" s="0" t="s">
        <v>15</v>
      </c>
      <c r="B82" s="0" t="s">
        <v>325</v>
      </c>
      <c r="C82" s="0" t="n">
        <v>114001</v>
      </c>
      <c r="D82" s="0" t="n">
        <v>114001</v>
      </c>
      <c r="E82" s="0" t="s">
        <v>298</v>
      </c>
      <c r="F82" s="0" t="s">
        <v>18</v>
      </c>
      <c r="G82" s="0" t="s">
        <v>326</v>
      </c>
      <c r="H82" s="0" t="s">
        <v>327</v>
      </c>
      <c r="I82" s="0" t="s">
        <v>301</v>
      </c>
      <c r="J82" s="0" t="s">
        <v>302</v>
      </c>
      <c r="K82" s="0" t="s">
        <v>303</v>
      </c>
      <c r="L82" s="0" t="str">
        <f aca="false">IFERROR(VLOOKUP(K82,'Supplier list'!B:C,2,0),"")</f>
        <v>บริษัท เอ็มเค วู้ดเทค จำกัด</v>
      </c>
      <c r="M82" s="1" t="s">
        <v>24</v>
      </c>
      <c r="O82" s="2" t="n">
        <v>80</v>
      </c>
    </row>
    <row r="83" customFormat="false" ht="16.4" hidden="false" customHeight="false" outlineLevel="0" collapsed="false">
      <c r="A83" s="0" t="s">
        <v>15</v>
      </c>
      <c r="B83" s="0" t="s">
        <v>328</v>
      </c>
      <c r="C83" s="0" t="n">
        <v>114001</v>
      </c>
      <c r="D83" s="0" t="n">
        <v>114001</v>
      </c>
      <c r="E83" s="0" t="s">
        <v>294</v>
      </c>
      <c r="F83" s="0" t="s">
        <v>18</v>
      </c>
      <c r="G83" s="0" t="s">
        <v>329</v>
      </c>
      <c r="H83" s="0" t="s">
        <v>330</v>
      </c>
      <c r="I83" s="0" t="s">
        <v>331</v>
      </c>
      <c r="J83" s="0" t="s">
        <v>332</v>
      </c>
      <c r="K83" s="0" t="s">
        <v>82</v>
      </c>
      <c r="L83" s="0" t="str">
        <f aca="false">IFERROR(VLOOKUP(K83,'Supplier list'!B:C,2,0),"")</f>
        <v>บริษัท เกรียงศิริพัฒนา (1995) จำกัด</v>
      </c>
      <c r="M83" s="1" t="s">
        <v>24</v>
      </c>
      <c r="O83" s="2" t="n">
        <v>700</v>
      </c>
    </row>
    <row r="84" customFormat="false" ht="16.4" hidden="false" customHeight="false" outlineLevel="0" collapsed="false">
      <c r="A84" s="0" t="s">
        <v>15</v>
      </c>
      <c r="B84" s="0" t="s">
        <v>333</v>
      </c>
      <c r="C84" s="0" t="n">
        <v>114001</v>
      </c>
      <c r="D84" s="0" t="n">
        <v>114001</v>
      </c>
      <c r="E84" s="0" t="s">
        <v>334</v>
      </c>
      <c r="F84" s="0" t="s">
        <v>18</v>
      </c>
      <c r="G84" s="0" t="s">
        <v>335</v>
      </c>
      <c r="H84" s="0" t="s">
        <v>334</v>
      </c>
      <c r="I84" s="0" t="s">
        <v>336</v>
      </c>
      <c r="J84" s="0" t="s">
        <v>337</v>
      </c>
      <c r="K84" s="0" t="s">
        <v>110</v>
      </c>
      <c r="L84" s="0" t="str">
        <f aca="false">IFERROR(VLOOKUP(K84,'Supplier list'!B:C,2,0),"")</f>
        <v>บริษัท ที.พี.เค ไทยเมท แมชชีนทูลล์ จำกัด</v>
      </c>
      <c r="M84" s="1" t="s">
        <v>24</v>
      </c>
      <c r="O84" s="2" t="n">
        <v>400</v>
      </c>
    </row>
    <row r="85" customFormat="false" ht="13.8" hidden="false" customHeight="false" outlineLevel="0" collapsed="false">
      <c r="A85" s="0" t="s">
        <v>15</v>
      </c>
      <c r="B85" s="0" t="s">
        <v>338</v>
      </c>
      <c r="C85" s="0" t="n">
        <v>114001</v>
      </c>
      <c r="D85" s="0" t="n">
        <v>114001</v>
      </c>
      <c r="E85" s="0" t="s">
        <v>339</v>
      </c>
      <c r="F85" s="0" t="s">
        <v>18</v>
      </c>
      <c r="G85" s="0" t="s">
        <v>340</v>
      </c>
      <c r="H85" s="0" t="s">
        <v>341</v>
      </c>
      <c r="I85" s="0" t="s">
        <v>108</v>
      </c>
      <c r="J85" s="0" t="s">
        <v>109</v>
      </c>
      <c r="L85" s="0" t="str">
        <f aca="false">IFERROR(VLOOKUP(K85,'Supplier list'!B:C,2,0),"")</f>
        <v/>
      </c>
      <c r="M85" s="1" t="s">
        <v>24</v>
      </c>
      <c r="O85" s="2" t="n">
        <v>65</v>
      </c>
    </row>
    <row r="86" customFormat="false" ht="16.4" hidden="false" customHeight="false" outlineLevel="0" collapsed="false">
      <c r="A86" s="0" t="s">
        <v>15</v>
      </c>
      <c r="B86" s="0" t="s">
        <v>342</v>
      </c>
      <c r="C86" s="0" t="n">
        <v>114001</v>
      </c>
      <c r="D86" s="0" t="n">
        <v>114001</v>
      </c>
      <c r="E86" s="0" t="s">
        <v>343</v>
      </c>
      <c r="F86" s="0" t="s">
        <v>18</v>
      </c>
      <c r="G86" s="0" t="s">
        <v>344</v>
      </c>
      <c r="H86" s="0" t="s">
        <v>345</v>
      </c>
      <c r="I86" s="0" t="s">
        <v>331</v>
      </c>
      <c r="J86" s="0" t="s">
        <v>332</v>
      </c>
      <c r="K86" s="0" t="s">
        <v>75</v>
      </c>
      <c r="L86" s="0" t="str">
        <f aca="false">IFERROR(VLOOKUP(K86,'Supplier list'!B:C,2,0),"")</f>
        <v/>
      </c>
      <c r="M86" s="1" t="s">
        <v>24</v>
      </c>
      <c r="O86" s="2" t="n">
        <v>30</v>
      </c>
    </row>
    <row r="87" customFormat="false" ht="16.4" hidden="false" customHeight="false" outlineLevel="0" collapsed="false">
      <c r="A87" s="0" t="s">
        <v>15</v>
      </c>
      <c r="B87" s="0" t="s">
        <v>346</v>
      </c>
      <c r="C87" s="0" t="n">
        <v>114001</v>
      </c>
      <c r="D87" s="0" t="n">
        <v>114001</v>
      </c>
      <c r="E87" s="0" t="s">
        <v>294</v>
      </c>
      <c r="F87" s="0" t="s">
        <v>18</v>
      </c>
      <c r="G87" s="0" t="s">
        <v>347</v>
      </c>
      <c r="H87" s="0" t="s">
        <v>348</v>
      </c>
      <c r="I87" s="0" t="s">
        <v>108</v>
      </c>
      <c r="J87" s="0" t="s">
        <v>109</v>
      </c>
      <c r="K87" s="0" t="s">
        <v>68</v>
      </c>
      <c r="L87" s="0" t="str">
        <f aca="false">IFERROR(VLOOKUP(K87,'Supplier list'!B:C,2,0),"")</f>
        <v>หจก. กรีน ดิสทริบิวชั่น</v>
      </c>
      <c r="M87" s="1" t="s">
        <v>24</v>
      </c>
      <c r="O87" s="2" t="n">
        <v>90</v>
      </c>
    </row>
    <row r="88" customFormat="false" ht="13.8" hidden="false" customHeight="false" outlineLevel="0" collapsed="false">
      <c r="A88" s="0" t="s">
        <v>15</v>
      </c>
      <c r="B88" s="0" t="s">
        <v>349</v>
      </c>
      <c r="C88" s="0" t="n">
        <v>114001</v>
      </c>
      <c r="D88" s="0" t="n">
        <v>114001</v>
      </c>
      <c r="E88" s="0" t="s">
        <v>294</v>
      </c>
      <c r="F88" s="0" t="s">
        <v>18</v>
      </c>
      <c r="G88" s="0" t="s">
        <v>350</v>
      </c>
      <c r="H88" s="0" t="s">
        <v>351</v>
      </c>
      <c r="I88" s="0" t="s">
        <v>108</v>
      </c>
      <c r="J88" s="0" t="s">
        <v>109</v>
      </c>
      <c r="K88" s="0" t="s">
        <v>352</v>
      </c>
      <c r="L88" s="0" t="str">
        <f aca="false">IFERROR(VLOOKUP(K88,'Supplier list'!B:C,2,0),"")</f>
        <v>บริษัท พีเอ็นพี อินเตอร์แพค</v>
      </c>
      <c r="M88" s="1" t="s">
        <v>24</v>
      </c>
      <c r="O88" s="2" t="n">
        <v>10</v>
      </c>
    </row>
    <row r="89" customFormat="false" ht="16.4" hidden="false" customHeight="false" outlineLevel="0" collapsed="false">
      <c r="A89" s="0" t="s">
        <v>15</v>
      </c>
      <c r="B89" s="0" t="s">
        <v>353</v>
      </c>
      <c r="C89" s="0" t="n">
        <v>114001</v>
      </c>
      <c r="D89" s="0" t="n">
        <v>114001</v>
      </c>
      <c r="E89" s="0" t="s">
        <v>354</v>
      </c>
      <c r="F89" s="0" t="s">
        <v>18</v>
      </c>
      <c r="G89" s="0" t="s">
        <v>355</v>
      </c>
      <c r="H89" s="0" t="s">
        <v>356</v>
      </c>
      <c r="I89" s="0" t="s">
        <v>331</v>
      </c>
      <c r="J89" s="0" t="s">
        <v>332</v>
      </c>
      <c r="K89" s="0" t="s">
        <v>68</v>
      </c>
      <c r="L89" s="0" t="str">
        <f aca="false">IFERROR(VLOOKUP(K89,'Supplier list'!B:C,2,0),"")</f>
        <v>หจก. กรีน ดิสทริบิวชั่น</v>
      </c>
      <c r="M89" s="1" t="s">
        <v>24</v>
      </c>
      <c r="O89" s="2" t="n">
        <v>95</v>
      </c>
    </row>
    <row r="90" customFormat="false" ht="16.4" hidden="false" customHeight="false" outlineLevel="0" collapsed="false">
      <c r="A90" s="0" t="s">
        <v>15</v>
      </c>
      <c r="B90" s="0" t="s">
        <v>357</v>
      </c>
      <c r="C90" s="0" t="n">
        <v>114001</v>
      </c>
      <c r="D90" s="0" t="n">
        <v>114001</v>
      </c>
      <c r="E90" s="0" t="s">
        <v>358</v>
      </c>
      <c r="F90" s="0" t="s">
        <v>18</v>
      </c>
      <c r="G90" s="0" t="s">
        <v>359</v>
      </c>
      <c r="H90" s="0" t="s">
        <v>360</v>
      </c>
      <c r="I90" s="0" t="s">
        <v>21</v>
      </c>
      <c r="J90" s="0" t="s">
        <v>22</v>
      </c>
      <c r="L90" s="0" t="str">
        <f aca="false">IFERROR(VLOOKUP(K90,'Supplier list'!B:C,2,0),"")</f>
        <v/>
      </c>
      <c r="M90" s="1" t="s">
        <v>24</v>
      </c>
      <c r="O90" s="2" t="n">
        <v>69</v>
      </c>
    </row>
    <row r="91" customFormat="false" ht="16.4" hidden="false" customHeight="false" outlineLevel="0" collapsed="false">
      <c r="A91" s="0" t="s">
        <v>15</v>
      </c>
      <c r="B91" s="0" t="s">
        <v>361</v>
      </c>
      <c r="C91" s="0" t="n">
        <v>114001</v>
      </c>
      <c r="D91" s="0" t="n">
        <v>114001</v>
      </c>
      <c r="E91" s="0" t="s">
        <v>358</v>
      </c>
      <c r="F91" s="0" t="s">
        <v>18</v>
      </c>
      <c r="G91" s="0" t="s">
        <v>362</v>
      </c>
      <c r="H91" s="0" t="s">
        <v>363</v>
      </c>
      <c r="I91" s="0" t="s">
        <v>21</v>
      </c>
      <c r="J91" s="0" t="s">
        <v>22</v>
      </c>
      <c r="K91" s="0" t="s">
        <v>82</v>
      </c>
      <c r="L91" s="0" t="str">
        <f aca="false">IFERROR(VLOOKUP(K91,'Supplier list'!B:C,2,0),"")</f>
        <v>บริษัท เกรียงศิริพัฒนา (1995) จำกัด</v>
      </c>
      <c r="M91" s="1" t="s">
        <v>24</v>
      </c>
      <c r="O91" s="2" t="n">
        <v>40</v>
      </c>
    </row>
    <row r="92" customFormat="false" ht="16.4" hidden="false" customHeight="false" outlineLevel="0" collapsed="false">
      <c r="A92" s="0" t="s">
        <v>15</v>
      </c>
      <c r="B92" s="0" t="s">
        <v>364</v>
      </c>
      <c r="C92" s="0" t="n">
        <v>114001</v>
      </c>
      <c r="D92" s="0" t="n">
        <v>114001</v>
      </c>
      <c r="E92" s="0" t="s">
        <v>61</v>
      </c>
      <c r="F92" s="0" t="s">
        <v>18</v>
      </c>
      <c r="G92" s="0" t="s">
        <v>365</v>
      </c>
      <c r="H92" s="0" t="s">
        <v>366</v>
      </c>
      <c r="I92" s="0" t="s">
        <v>21</v>
      </c>
      <c r="J92" s="0" t="s">
        <v>22</v>
      </c>
      <c r="K92" s="0" t="s">
        <v>367</v>
      </c>
      <c r="L92" s="0" t="str">
        <f aca="false">IFERROR(VLOOKUP(K92,'Supplier list'!B:C,2,0),"")</f>
        <v>บริษัท จิ่นเหม่ยเปเปอร์ จำกัด</v>
      </c>
      <c r="M92" s="1" t="s">
        <v>24</v>
      </c>
      <c r="O92" s="2" t="n">
        <v>5.7</v>
      </c>
    </row>
    <row r="93" customFormat="false" ht="16.4" hidden="false" customHeight="false" outlineLevel="0" collapsed="false">
      <c r="A93" s="0" t="s">
        <v>15</v>
      </c>
      <c r="B93" s="0" t="s">
        <v>368</v>
      </c>
      <c r="C93" s="0" t="n">
        <v>114001</v>
      </c>
      <c r="D93" s="0" t="n">
        <v>114001</v>
      </c>
      <c r="E93" s="0" t="s">
        <v>369</v>
      </c>
      <c r="F93" s="0" t="s">
        <v>18</v>
      </c>
      <c r="G93" s="0" t="s">
        <v>370</v>
      </c>
      <c r="H93" s="0" t="s">
        <v>371</v>
      </c>
      <c r="I93" s="0" t="s">
        <v>248</v>
      </c>
      <c r="J93" s="0" t="s">
        <v>249</v>
      </c>
      <c r="K93" s="0" t="s">
        <v>372</v>
      </c>
      <c r="L93" s="0" t="str">
        <f aca="false">IFERROR(VLOOKUP(K93,'Supplier list'!B:C,2,0),"")</f>
        <v>บริษัท เหย่ายี่ กรุ๊ป จำกัด</v>
      </c>
      <c r="M93" s="1" t="s">
        <v>24</v>
      </c>
      <c r="O93" s="2" t="n">
        <v>105</v>
      </c>
    </row>
    <row r="94" customFormat="false" ht="16.4" hidden="false" customHeight="false" outlineLevel="0" collapsed="false">
      <c r="A94" s="0" t="s">
        <v>15</v>
      </c>
      <c r="B94" s="0" t="s">
        <v>373</v>
      </c>
      <c r="C94" s="0" t="n">
        <v>114001</v>
      </c>
      <c r="D94" s="0" t="n">
        <v>114001</v>
      </c>
      <c r="E94" s="0" t="s">
        <v>374</v>
      </c>
      <c r="F94" s="0" t="s">
        <v>18</v>
      </c>
      <c r="G94" s="0" t="s">
        <v>375</v>
      </c>
      <c r="H94" s="0" t="s">
        <v>376</v>
      </c>
      <c r="I94" s="0" t="s">
        <v>102</v>
      </c>
      <c r="J94" s="0" t="s">
        <v>103</v>
      </c>
      <c r="L94" s="0" t="str">
        <f aca="false">IFERROR(VLOOKUP(K94,'Supplier list'!B:C,2,0),"")</f>
        <v/>
      </c>
      <c r="M94" s="1" t="s">
        <v>24</v>
      </c>
      <c r="O94" s="2" t="n">
        <v>43</v>
      </c>
    </row>
    <row r="95" customFormat="false" ht="16.4" hidden="false" customHeight="false" outlineLevel="0" collapsed="false">
      <c r="A95" s="0" t="s">
        <v>15</v>
      </c>
      <c r="B95" s="0" t="s">
        <v>377</v>
      </c>
      <c r="C95" s="0" t="n">
        <v>114001</v>
      </c>
      <c r="D95" s="0" t="n">
        <v>114001</v>
      </c>
      <c r="E95" s="0" t="s">
        <v>374</v>
      </c>
      <c r="F95" s="0" t="s">
        <v>18</v>
      </c>
      <c r="G95" s="0" t="s">
        <v>378</v>
      </c>
      <c r="H95" s="0" t="s">
        <v>379</v>
      </c>
      <c r="I95" s="0" t="s">
        <v>102</v>
      </c>
      <c r="J95" s="0" t="s">
        <v>103</v>
      </c>
      <c r="K95" s="0" t="s">
        <v>380</v>
      </c>
      <c r="L95" s="0" t="str">
        <f aca="false">IFERROR(VLOOKUP(K95,'Supplier list'!B:C,2,0),"")</f>
        <v>บริษัท เอ.ที.คอน อินซูเลชั่น จำกัด</v>
      </c>
      <c r="M95" s="1" t="s">
        <v>24</v>
      </c>
      <c r="O95" s="2" t="n">
        <v>43.25</v>
      </c>
    </row>
    <row r="96" customFormat="false" ht="16.4" hidden="false" customHeight="false" outlineLevel="0" collapsed="false">
      <c r="A96" s="0" t="s">
        <v>15</v>
      </c>
      <c r="B96" s="0" t="s">
        <v>381</v>
      </c>
      <c r="C96" s="0" t="n">
        <v>114001</v>
      </c>
      <c r="D96" s="0" t="n">
        <v>114001</v>
      </c>
      <c r="E96" s="0" t="s">
        <v>294</v>
      </c>
      <c r="F96" s="0" t="s">
        <v>18</v>
      </c>
      <c r="G96" s="0" t="s">
        <v>382</v>
      </c>
      <c r="H96" s="0" t="s">
        <v>383</v>
      </c>
      <c r="I96" s="0" t="s">
        <v>384</v>
      </c>
      <c r="J96" s="0" t="s">
        <v>385</v>
      </c>
      <c r="L96" s="0" t="str">
        <f aca="false">IFERROR(VLOOKUP(K96,'Supplier list'!B:C,2,0),"")</f>
        <v/>
      </c>
      <c r="M96" s="1" t="s">
        <v>24</v>
      </c>
      <c r="O96" s="2" t="n">
        <v>144</v>
      </c>
    </row>
    <row r="97" customFormat="false" ht="16.4" hidden="false" customHeight="false" outlineLevel="0" collapsed="false">
      <c r="A97" s="0" t="s">
        <v>15</v>
      </c>
      <c r="B97" s="0" t="s">
        <v>386</v>
      </c>
      <c r="C97" s="0" t="n">
        <v>114001</v>
      </c>
      <c r="D97" s="0" t="n">
        <v>114001</v>
      </c>
      <c r="E97" s="0" t="s">
        <v>93</v>
      </c>
      <c r="F97" s="0" t="s">
        <v>18</v>
      </c>
      <c r="G97" s="0" t="s">
        <v>387</v>
      </c>
      <c r="H97" s="0" t="s">
        <v>388</v>
      </c>
      <c r="I97" s="0" t="s">
        <v>21</v>
      </c>
      <c r="J97" s="0" t="s">
        <v>22</v>
      </c>
      <c r="L97" s="0" t="str">
        <f aca="false">IFERROR(VLOOKUP(K97,'Supplier list'!B:C,2,0),"")</f>
        <v/>
      </c>
      <c r="M97" s="1" t="s">
        <v>24</v>
      </c>
      <c r="O97" s="2" t="n">
        <v>60</v>
      </c>
    </row>
    <row r="98" customFormat="false" ht="16.4" hidden="false" customHeight="false" outlineLevel="0" collapsed="false">
      <c r="A98" s="0" t="s">
        <v>15</v>
      </c>
      <c r="B98" s="0" t="s">
        <v>389</v>
      </c>
      <c r="C98" s="0" t="n">
        <v>114001</v>
      </c>
      <c r="D98" s="0" t="n">
        <v>114001</v>
      </c>
      <c r="E98" s="0" t="s">
        <v>294</v>
      </c>
      <c r="F98" s="0" t="s">
        <v>18</v>
      </c>
      <c r="G98" s="0" t="s">
        <v>390</v>
      </c>
      <c r="H98" s="0" t="s">
        <v>391</v>
      </c>
      <c r="I98" s="0" t="s">
        <v>384</v>
      </c>
      <c r="J98" s="0" t="s">
        <v>385</v>
      </c>
      <c r="K98" s="0" t="s">
        <v>392</v>
      </c>
      <c r="L98" s="0" t="str">
        <f aca="false">IFERROR(VLOOKUP(K98,'Supplier list'!B:C,2,0),"")</f>
        <v>บริษัท สไตเนอร์ท จำกัด</v>
      </c>
      <c r="M98" s="1" t="s">
        <v>24</v>
      </c>
      <c r="O98" s="2" t="n">
        <v>145</v>
      </c>
    </row>
    <row r="99" customFormat="false" ht="16.4" hidden="false" customHeight="false" outlineLevel="0" collapsed="false">
      <c r="A99" s="0" t="s">
        <v>15</v>
      </c>
      <c r="B99" s="0" t="s">
        <v>393</v>
      </c>
      <c r="C99" s="0" t="n">
        <v>114001</v>
      </c>
      <c r="D99" s="0" t="n">
        <v>114001</v>
      </c>
      <c r="E99" s="0" t="s">
        <v>245</v>
      </c>
      <c r="F99" s="0" t="s">
        <v>18</v>
      </c>
      <c r="G99" s="0" t="s">
        <v>394</v>
      </c>
      <c r="H99" s="0" t="s">
        <v>395</v>
      </c>
      <c r="I99" s="0" t="s">
        <v>396</v>
      </c>
      <c r="J99" s="0" t="s">
        <v>397</v>
      </c>
      <c r="K99" s="0" t="s">
        <v>155</v>
      </c>
      <c r="L99" s="0" t="str">
        <f aca="false">IFERROR(VLOOKUP(K99,'Supplier list'!B:C,2,0),"")</f>
        <v>บริษัท ก.เจริญฮาร์ดแวร์ จำกัด</v>
      </c>
      <c r="M99" s="1" t="s">
        <v>24</v>
      </c>
      <c r="O99" s="2" t="n">
        <v>2250</v>
      </c>
    </row>
    <row r="100" customFormat="false" ht="16.4" hidden="false" customHeight="false" outlineLevel="0" collapsed="false">
      <c r="A100" s="0" t="s">
        <v>15</v>
      </c>
      <c r="B100" s="0" t="s">
        <v>398</v>
      </c>
      <c r="C100" s="0" t="n">
        <v>114001</v>
      </c>
      <c r="D100" s="0" t="n">
        <v>114001</v>
      </c>
      <c r="E100" s="0" t="s">
        <v>399</v>
      </c>
      <c r="F100" s="0" t="s">
        <v>18</v>
      </c>
      <c r="G100" s="0" t="s">
        <v>400</v>
      </c>
      <c r="H100" s="0" t="s">
        <v>401</v>
      </c>
      <c r="I100" s="0" t="s">
        <v>402</v>
      </c>
      <c r="J100" s="0" t="s">
        <v>403</v>
      </c>
      <c r="L100" s="0" t="str">
        <f aca="false">IFERROR(VLOOKUP(K100,'Supplier list'!B:C,2,0),"")</f>
        <v/>
      </c>
      <c r="M100" s="1" t="s">
        <v>24</v>
      </c>
      <c r="O100" s="2" t="n">
        <v>1078</v>
      </c>
    </row>
    <row r="101" customFormat="false" ht="16.4" hidden="false" customHeight="false" outlineLevel="0" collapsed="false">
      <c r="A101" s="0" t="s">
        <v>15</v>
      </c>
      <c r="B101" s="0" t="s">
        <v>404</v>
      </c>
      <c r="C101" s="0" t="n">
        <v>114001</v>
      </c>
      <c r="D101" s="0" t="n">
        <v>114001</v>
      </c>
      <c r="E101" s="0" t="s">
        <v>405</v>
      </c>
      <c r="F101" s="0" t="s">
        <v>18</v>
      </c>
      <c r="G101" s="0" t="s">
        <v>406</v>
      </c>
      <c r="H101" s="0" t="s">
        <v>407</v>
      </c>
      <c r="I101" s="0" t="s">
        <v>142</v>
      </c>
      <c r="J101" s="0" t="s">
        <v>143</v>
      </c>
      <c r="L101" s="0" t="str">
        <f aca="false">IFERROR(VLOOKUP(K101,'Supplier list'!B:C,2,0),"")</f>
        <v/>
      </c>
      <c r="M101" s="1" t="s">
        <v>24</v>
      </c>
      <c r="O101" s="2" t="n">
        <v>68</v>
      </c>
    </row>
    <row r="102" customFormat="false" ht="16.4" hidden="false" customHeight="false" outlineLevel="0" collapsed="false">
      <c r="A102" s="0" t="s">
        <v>15</v>
      </c>
      <c r="B102" s="0" t="s">
        <v>408</v>
      </c>
      <c r="C102" s="0" t="n">
        <v>114001</v>
      </c>
      <c r="D102" s="0" t="n">
        <v>114001</v>
      </c>
      <c r="E102" s="0" t="s">
        <v>405</v>
      </c>
      <c r="F102" s="0" t="s">
        <v>18</v>
      </c>
      <c r="G102" s="0" t="s">
        <v>409</v>
      </c>
      <c r="H102" s="0" t="s">
        <v>410</v>
      </c>
      <c r="I102" s="0" t="s">
        <v>142</v>
      </c>
      <c r="J102" s="0" t="s">
        <v>143</v>
      </c>
      <c r="L102" s="0" t="str">
        <f aca="false">IFERROR(VLOOKUP(K102,'Supplier list'!B:C,2,0),"")</f>
        <v/>
      </c>
      <c r="M102" s="1" t="s">
        <v>24</v>
      </c>
      <c r="O102" s="2" t="n">
        <v>60</v>
      </c>
    </row>
    <row r="103" customFormat="false" ht="16.4" hidden="false" customHeight="false" outlineLevel="0" collapsed="false">
      <c r="A103" s="0" t="s">
        <v>15</v>
      </c>
      <c r="B103" s="0" t="s">
        <v>411</v>
      </c>
      <c r="C103" s="0" t="n">
        <v>114001</v>
      </c>
      <c r="D103" s="0" t="n">
        <v>114001</v>
      </c>
      <c r="E103" s="0" t="s">
        <v>339</v>
      </c>
      <c r="F103" s="0" t="s">
        <v>18</v>
      </c>
      <c r="G103" s="0" t="s">
        <v>412</v>
      </c>
      <c r="H103" s="0" t="s">
        <v>413</v>
      </c>
      <c r="I103" s="0" t="s">
        <v>108</v>
      </c>
      <c r="J103" s="0" t="s">
        <v>109</v>
      </c>
      <c r="K103" s="0" t="s">
        <v>68</v>
      </c>
      <c r="L103" s="0" t="str">
        <f aca="false">IFERROR(VLOOKUP(K103,'Supplier list'!B:C,2,0),"")</f>
        <v>หจก. กรีน ดิสทริบิวชั่น</v>
      </c>
      <c r="M103" s="1" t="s">
        <v>24</v>
      </c>
      <c r="O103" s="2" t="n">
        <v>65</v>
      </c>
    </row>
    <row r="104" customFormat="false" ht="16.4" hidden="false" customHeight="false" outlineLevel="0" collapsed="false">
      <c r="A104" s="0" t="s">
        <v>15</v>
      </c>
      <c r="B104" s="0" t="s">
        <v>414</v>
      </c>
      <c r="C104" s="0" t="n">
        <v>114001</v>
      </c>
      <c r="D104" s="0" t="n">
        <v>114001</v>
      </c>
      <c r="E104" s="0" t="s">
        <v>339</v>
      </c>
      <c r="F104" s="0" t="s">
        <v>18</v>
      </c>
      <c r="G104" s="0" t="s">
        <v>415</v>
      </c>
      <c r="H104" s="0" t="s">
        <v>416</v>
      </c>
      <c r="I104" s="0" t="s">
        <v>108</v>
      </c>
      <c r="J104" s="0" t="s">
        <v>109</v>
      </c>
      <c r="K104" s="0" t="s">
        <v>68</v>
      </c>
      <c r="L104" s="0" t="str">
        <f aca="false">IFERROR(VLOOKUP(K104,'Supplier list'!B:C,2,0),"")</f>
        <v>หจก. กรีน ดิสทริบิวชั่น</v>
      </c>
      <c r="M104" s="1" t="s">
        <v>24</v>
      </c>
      <c r="O104" s="2" t="n">
        <v>65</v>
      </c>
    </row>
    <row r="105" customFormat="false" ht="16.4" hidden="false" customHeight="false" outlineLevel="0" collapsed="false">
      <c r="A105" s="0" t="s">
        <v>15</v>
      </c>
      <c r="B105" s="0" t="s">
        <v>417</v>
      </c>
      <c r="C105" s="0" t="n">
        <v>114001</v>
      </c>
      <c r="D105" s="0" t="n">
        <v>114001</v>
      </c>
      <c r="E105" s="0" t="s">
        <v>339</v>
      </c>
      <c r="F105" s="0" t="s">
        <v>18</v>
      </c>
      <c r="G105" s="0" t="s">
        <v>418</v>
      </c>
      <c r="H105" s="0" t="s">
        <v>419</v>
      </c>
      <c r="I105" s="0" t="s">
        <v>108</v>
      </c>
      <c r="J105" s="0" t="s">
        <v>109</v>
      </c>
      <c r="K105" s="0" t="s">
        <v>68</v>
      </c>
      <c r="L105" s="0" t="str">
        <f aca="false">IFERROR(VLOOKUP(K105,'Supplier list'!B:C,2,0),"")</f>
        <v>หจก. กรีน ดิสทริบิวชั่น</v>
      </c>
      <c r="M105" s="1" t="s">
        <v>24</v>
      </c>
      <c r="O105" s="2" t="n">
        <v>65</v>
      </c>
    </row>
    <row r="106" customFormat="false" ht="16.4" hidden="false" customHeight="false" outlineLevel="0" collapsed="false">
      <c r="A106" s="0" t="s">
        <v>15</v>
      </c>
      <c r="B106" s="0" t="s">
        <v>420</v>
      </c>
      <c r="C106" s="0" t="n">
        <v>114001</v>
      </c>
      <c r="D106" s="0" t="n">
        <v>114001</v>
      </c>
      <c r="E106" s="0" t="s">
        <v>17</v>
      </c>
      <c r="F106" s="0" t="s">
        <v>18</v>
      </c>
      <c r="G106" s="0" t="s">
        <v>421</v>
      </c>
      <c r="H106" s="0" t="s">
        <v>422</v>
      </c>
      <c r="I106" s="0" t="s">
        <v>248</v>
      </c>
      <c r="J106" s="0" t="s">
        <v>249</v>
      </c>
      <c r="K106" s="0" t="s">
        <v>352</v>
      </c>
      <c r="L106" s="0" t="str">
        <f aca="false">IFERROR(VLOOKUP(K106,'Supplier list'!B:C,2,0),"")</f>
        <v>บริษัท พีเอ็นพี อินเตอร์แพค</v>
      </c>
      <c r="M106" s="1" t="s">
        <v>24</v>
      </c>
      <c r="O106" s="2" t="n">
        <v>20.5</v>
      </c>
    </row>
    <row r="107" customFormat="false" ht="16.4" hidden="false" customHeight="false" outlineLevel="0" collapsed="false">
      <c r="A107" s="0" t="s">
        <v>15</v>
      </c>
      <c r="B107" s="0" t="s">
        <v>423</v>
      </c>
      <c r="C107" s="0" t="n">
        <v>114001</v>
      </c>
      <c r="D107" s="0" t="n">
        <v>114001</v>
      </c>
      <c r="E107" s="0" t="s">
        <v>17</v>
      </c>
      <c r="F107" s="0" t="s">
        <v>18</v>
      </c>
      <c r="G107" s="0" t="s">
        <v>424</v>
      </c>
      <c r="H107" s="0" t="s">
        <v>425</v>
      </c>
      <c r="I107" s="0" t="s">
        <v>248</v>
      </c>
      <c r="J107" s="0" t="s">
        <v>249</v>
      </c>
      <c r="K107" s="0" t="s">
        <v>352</v>
      </c>
      <c r="L107" s="0" t="str">
        <f aca="false">IFERROR(VLOOKUP(K107,'Supplier list'!B:C,2,0),"")</f>
        <v>บริษัท พีเอ็นพี อินเตอร์แพค</v>
      </c>
      <c r="M107" s="1" t="s">
        <v>24</v>
      </c>
      <c r="O107" s="2" t="n">
        <v>39.24</v>
      </c>
    </row>
    <row r="108" customFormat="false" ht="16.4" hidden="false" customHeight="false" outlineLevel="0" collapsed="false">
      <c r="A108" s="0" t="s">
        <v>15</v>
      </c>
      <c r="B108" s="0" t="s">
        <v>426</v>
      </c>
      <c r="C108" s="0" t="n">
        <v>114001</v>
      </c>
      <c r="D108" s="0" t="n">
        <v>114001</v>
      </c>
      <c r="E108" s="0" t="s">
        <v>17</v>
      </c>
      <c r="F108" s="0" t="s">
        <v>18</v>
      </c>
      <c r="G108" s="0" t="s">
        <v>427</v>
      </c>
      <c r="H108" s="0" t="s">
        <v>428</v>
      </c>
      <c r="I108" s="0" t="s">
        <v>248</v>
      </c>
      <c r="J108" s="0" t="s">
        <v>249</v>
      </c>
      <c r="K108" s="0" t="s">
        <v>429</v>
      </c>
      <c r="L108" s="0" t="str">
        <f aca="false">IFERROR(VLOOKUP(K108,'Supplier list'!B:C,2,0),"")</f>
        <v>บริษัท โชคเจริญ 2020 จำกัด</v>
      </c>
      <c r="M108" s="1" t="s">
        <v>24</v>
      </c>
      <c r="O108" s="2" t="n">
        <v>14.6</v>
      </c>
    </row>
    <row r="109" customFormat="false" ht="16.4" hidden="false" customHeight="false" outlineLevel="0" collapsed="false">
      <c r="A109" s="0" t="s">
        <v>15</v>
      </c>
      <c r="B109" s="0" t="s">
        <v>430</v>
      </c>
      <c r="C109" s="0" t="n">
        <v>114001</v>
      </c>
      <c r="D109" s="0" t="n">
        <v>114001</v>
      </c>
      <c r="E109" s="0" t="s">
        <v>17</v>
      </c>
      <c r="F109" s="0" t="s">
        <v>18</v>
      </c>
      <c r="G109" s="0" t="s">
        <v>431</v>
      </c>
      <c r="H109" s="0" t="s">
        <v>432</v>
      </c>
      <c r="I109" s="0" t="s">
        <v>248</v>
      </c>
      <c r="J109" s="0" t="s">
        <v>249</v>
      </c>
      <c r="K109" s="0" t="s">
        <v>110</v>
      </c>
      <c r="L109" s="0" t="str">
        <f aca="false">IFERROR(VLOOKUP(K109,'Supplier list'!B:C,2,0),"")</f>
        <v>บริษัท ที.พี.เค ไทยเมท แมชชีนทูลล์ จำกัด</v>
      </c>
      <c r="M109" s="1" t="s">
        <v>24</v>
      </c>
      <c r="O109" s="2" t="n">
        <v>10</v>
      </c>
    </row>
    <row r="110" customFormat="false" ht="16.4" hidden="false" customHeight="false" outlineLevel="0" collapsed="false">
      <c r="A110" s="0" t="s">
        <v>15</v>
      </c>
      <c r="B110" s="0" t="s">
        <v>433</v>
      </c>
      <c r="C110" s="0" t="n">
        <v>114001</v>
      </c>
      <c r="D110" s="0" t="n">
        <v>114001</v>
      </c>
      <c r="E110" s="0" t="s">
        <v>17</v>
      </c>
      <c r="F110" s="0" t="s">
        <v>18</v>
      </c>
      <c r="G110" s="0" t="s">
        <v>434</v>
      </c>
      <c r="H110" s="0" t="s">
        <v>435</v>
      </c>
      <c r="I110" s="0" t="s">
        <v>248</v>
      </c>
      <c r="J110" s="0" t="s">
        <v>249</v>
      </c>
      <c r="K110" s="0" t="s">
        <v>68</v>
      </c>
      <c r="L110" s="0" t="str">
        <f aca="false">IFERROR(VLOOKUP(K110,'Supplier list'!B:C,2,0),"")</f>
        <v>หจก. กรีน ดิสทริบิวชั่น</v>
      </c>
      <c r="M110" s="1" t="s">
        <v>24</v>
      </c>
      <c r="O110" s="2" t="n">
        <v>12</v>
      </c>
    </row>
    <row r="111" customFormat="false" ht="16.4" hidden="false" customHeight="false" outlineLevel="0" collapsed="false">
      <c r="A111" s="0" t="s">
        <v>15</v>
      </c>
      <c r="B111" s="0" t="s">
        <v>436</v>
      </c>
      <c r="C111" s="0" t="n">
        <v>114001</v>
      </c>
      <c r="D111" s="0" t="n">
        <v>114001</v>
      </c>
      <c r="E111" s="0" t="s">
        <v>17</v>
      </c>
      <c r="F111" s="0" t="s">
        <v>18</v>
      </c>
      <c r="G111" s="0" t="s">
        <v>437</v>
      </c>
      <c r="H111" s="0" t="s">
        <v>438</v>
      </c>
      <c r="I111" s="0" t="s">
        <v>248</v>
      </c>
      <c r="J111" s="0" t="s">
        <v>249</v>
      </c>
      <c r="L111" s="0" t="str">
        <f aca="false">IFERROR(VLOOKUP(K111,'Supplier list'!B:C,2,0),"")</f>
        <v/>
      </c>
      <c r="M111" s="1" t="s">
        <v>24</v>
      </c>
      <c r="O111" s="2" t="n">
        <v>169</v>
      </c>
    </row>
    <row r="112" customFormat="false" ht="16.4" hidden="false" customHeight="false" outlineLevel="0" collapsed="false">
      <c r="A112" s="0" t="s">
        <v>15</v>
      </c>
      <c r="B112" s="0" t="s">
        <v>439</v>
      </c>
      <c r="C112" s="0" t="n">
        <v>114001</v>
      </c>
      <c r="D112" s="0" t="n">
        <v>114001</v>
      </c>
      <c r="E112" s="0" t="s">
        <v>17</v>
      </c>
      <c r="F112" s="0" t="s">
        <v>18</v>
      </c>
      <c r="G112" s="0" t="s">
        <v>440</v>
      </c>
      <c r="H112" s="0" t="s">
        <v>441</v>
      </c>
      <c r="I112" s="0" t="s">
        <v>248</v>
      </c>
      <c r="J112" s="0" t="s">
        <v>249</v>
      </c>
      <c r="L112" s="0" t="str">
        <f aca="false">IFERROR(VLOOKUP(K112,'Supplier list'!B:C,2,0),"")</f>
        <v/>
      </c>
      <c r="M112" s="1" t="s">
        <v>24</v>
      </c>
      <c r="O112" s="2" t="n">
        <v>9</v>
      </c>
    </row>
    <row r="113" customFormat="false" ht="16.4" hidden="false" customHeight="false" outlineLevel="0" collapsed="false">
      <c r="A113" s="0" t="s">
        <v>15</v>
      </c>
      <c r="B113" s="0" t="s">
        <v>442</v>
      </c>
      <c r="C113" s="0" t="n">
        <v>114001</v>
      </c>
      <c r="D113" s="0" t="n">
        <v>114001</v>
      </c>
      <c r="E113" s="0" t="s">
        <v>443</v>
      </c>
      <c r="F113" s="0" t="s">
        <v>18</v>
      </c>
      <c r="G113" s="0" t="s">
        <v>444</v>
      </c>
      <c r="H113" s="0" t="s">
        <v>445</v>
      </c>
      <c r="I113" s="0" t="s">
        <v>446</v>
      </c>
      <c r="J113" s="0" t="s">
        <v>447</v>
      </c>
      <c r="K113" s="0" t="s">
        <v>151</v>
      </c>
      <c r="L113" s="0" t="str">
        <f aca="false">IFERROR(VLOOKUP(K113,'Supplier list'!B:C,2,0),"")</f>
        <v>บริษัท สยามแม็คโคร จำกัด (มหาชน)</v>
      </c>
      <c r="M113" s="1" t="s">
        <v>24</v>
      </c>
      <c r="O113" s="2" t="n">
        <v>504</v>
      </c>
    </row>
    <row r="114" customFormat="false" ht="16.4" hidden="false" customHeight="false" outlineLevel="0" collapsed="false">
      <c r="A114" s="0" t="s">
        <v>15</v>
      </c>
      <c r="B114" s="0" t="s">
        <v>448</v>
      </c>
      <c r="C114" s="0" t="n">
        <v>114001</v>
      </c>
      <c r="D114" s="0" t="n">
        <v>114001</v>
      </c>
      <c r="E114" s="0" t="s">
        <v>449</v>
      </c>
      <c r="F114" s="0" t="s">
        <v>18</v>
      </c>
      <c r="G114" s="0" t="s">
        <v>450</v>
      </c>
      <c r="H114" s="0" t="s">
        <v>449</v>
      </c>
      <c r="I114" s="0" t="s">
        <v>451</v>
      </c>
      <c r="J114" s="0" t="s">
        <v>452</v>
      </c>
      <c r="K114" s="0" t="s">
        <v>151</v>
      </c>
      <c r="L114" s="0" t="str">
        <f aca="false">IFERROR(VLOOKUP(K114,'Supplier list'!B:C,2,0),"")</f>
        <v>บริษัท สยามแม็คโคร จำกัด (มหาชน)</v>
      </c>
      <c r="M114" s="1" t="s">
        <v>24</v>
      </c>
      <c r="O114" s="2" t="n">
        <v>45</v>
      </c>
    </row>
    <row r="115" customFormat="false" ht="13.8" hidden="false" customHeight="false" outlineLevel="0" collapsed="false">
      <c r="A115" s="0" t="s">
        <v>15</v>
      </c>
      <c r="B115" s="0" t="s">
        <v>453</v>
      </c>
      <c r="C115" s="0" t="n">
        <v>114001</v>
      </c>
      <c r="D115" s="0" t="n">
        <v>114001</v>
      </c>
      <c r="E115" s="0" t="s">
        <v>454</v>
      </c>
      <c r="F115" s="0" t="s">
        <v>18</v>
      </c>
      <c r="G115" s="0" t="s">
        <v>455</v>
      </c>
      <c r="H115" s="0" t="s">
        <v>454</v>
      </c>
      <c r="I115" s="0" t="s">
        <v>456</v>
      </c>
      <c r="J115" s="0" t="s">
        <v>457</v>
      </c>
      <c r="K115" s="0" t="s">
        <v>75</v>
      </c>
      <c r="L115" s="0" t="str">
        <f aca="false">IFERROR(VLOOKUP(K115,'Supplier list'!B:C,2,0),"")</f>
        <v/>
      </c>
      <c r="M115" s="1" t="s">
        <v>24</v>
      </c>
      <c r="O115" s="2" t="n">
        <v>55</v>
      </c>
    </row>
    <row r="116" customFormat="false" ht="13.8" hidden="false" customHeight="false" outlineLevel="0" collapsed="false">
      <c r="A116" s="0" t="s">
        <v>15</v>
      </c>
      <c r="B116" s="0" t="s">
        <v>458</v>
      </c>
      <c r="C116" s="0" t="n">
        <v>114001</v>
      </c>
      <c r="D116" s="0" t="n">
        <v>114001</v>
      </c>
      <c r="E116" s="0" t="s">
        <v>459</v>
      </c>
      <c r="F116" s="0" t="s">
        <v>18</v>
      </c>
      <c r="G116" s="0" t="s">
        <v>460</v>
      </c>
      <c r="H116" s="0" t="s">
        <v>459</v>
      </c>
      <c r="I116" s="0" t="s">
        <v>456</v>
      </c>
      <c r="J116" s="0" t="s">
        <v>457</v>
      </c>
      <c r="K116" s="0" t="s">
        <v>75</v>
      </c>
      <c r="L116" s="0" t="str">
        <f aca="false">IFERROR(VLOOKUP(K116,'Supplier list'!B:C,2,0),"")</f>
        <v/>
      </c>
      <c r="M116" s="1" t="s">
        <v>24</v>
      </c>
      <c r="O116" s="2" t="n">
        <v>55</v>
      </c>
    </row>
    <row r="117" customFormat="false" ht="13.8" hidden="false" customHeight="false" outlineLevel="0" collapsed="false">
      <c r="A117" s="0" t="s">
        <v>15</v>
      </c>
      <c r="B117" s="0" t="s">
        <v>461</v>
      </c>
      <c r="C117" s="0" t="n">
        <v>114001</v>
      </c>
      <c r="D117" s="0" t="n">
        <v>114001</v>
      </c>
      <c r="E117" s="0" t="s">
        <v>462</v>
      </c>
      <c r="F117" s="0" t="s">
        <v>18</v>
      </c>
      <c r="G117" s="0" t="s">
        <v>463</v>
      </c>
      <c r="H117" s="0" t="s">
        <v>464</v>
      </c>
      <c r="I117" s="0" t="s">
        <v>21</v>
      </c>
      <c r="J117" s="0" t="s">
        <v>22</v>
      </c>
      <c r="K117" s="0" t="s">
        <v>465</v>
      </c>
      <c r="L117" s="0" t="str">
        <f aca="false">IFERROR(VLOOKUP(K117,'Supplier list'!B:C,2,0),"")</f>
        <v/>
      </c>
      <c r="M117" s="1" t="s">
        <v>24</v>
      </c>
      <c r="O117" s="2" t="n">
        <v>42.06</v>
      </c>
    </row>
    <row r="118" customFormat="false" ht="13.8" hidden="false" customHeight="false" outlineLevel="0" collapsed="false">
      <c r="A118" s="0" t="s">
        <v>15</v>
      </c>
      <c r="B118" s="0" t="s">
        <v>466</v>
      </c>
      <c r="C118" s="0" t="n">
        <v>114001</v>
      </c>
      <c r="D118" s="0" t="n">
        <v>114001</v>
      </c>
      <c r="E118" s="0" t="s">
        <v>462</v>
      </c>
      <c r="F118" s="0" t="s">
        <v>18</v>
      </c>
      <c r="G118" s="0" t="s">
        <v>467</v>
      </c>
      <c r="H118" s="0" t="s">
        <v>468</v>
      </c>
      <c r="I118" s="0" t="s">
        <v>21</v>
      </c>
      <c r="J118" s="0" t="s">
        <v>22</v>
      </c>
      <c r="K118" s="0" t="s">
        <v>465</v>
      </c>
      <c r="L118" s="0" t="str">
        <f aca="false">IFERROR(VLOOKUP(K118,'Supplier list'!B:C,2,0),"")</f>
        <v/>
      </c>
      <c r="M118" s="1" t="s">
        <v>24</v>
      </c>
      <c r="O118" s="2" t="n">
        <v>42.06</v>
      </c>
    </row>
    <row r="119" customFormat="false" ht="13.8" hidden="false" customHeight="false" outlineLevel="0" collapsed="false">
      <c r="A119" s="0" t="s">
        <v>15</v>
      </c>
      <c r="B119" s="0" t="s">
        <v>469</v>
      </c>
      <c r="C119" s="0" t="n">
        <v>114001</v>
      </c>
      <c r="D119" s="0" t="n">
        <v>114001</v>
      </c>
      <c r="E119" s="0" t="s">
        <v>470</v>
      </c>
      <c r="F119" s="0" t="s">
        <v>18</v>
      </c>
      <c r="G119" s="0" t="s">
        <v>471</v>
      </c>
      <c r="H119" s="0" t="s">
        <v>470</v>
      </c>
      <c r="I119" s="0" t="s">
        <v>21</v>
      </c>
      <c r="J119" s="0" t="s">
        <v>22</v>
      </c>
      <c r="K119" s="0" t="s">
        <v>75</v>
      </c>
      <c r="L119" s="0" t="str">
        <f aca="false">IFERROR(VLOOKUP(K119,'Supplier list'!B:C,2,0),"")</f>
        <v/>
      </c>
      <c r="M119" s="1" t="s">
        <v>24</v>
      </c>
      <c r="O119" s="2" t="n">
        <v>110</v>
      </c>
    </row>
    <row r="120" customFormat="false" ht="16.4" hidden="false" customHeight="false" outlineLevel="0" collapsed="false">
      <c r="A120" s="0" t="s">
        <v>15</v>
      </c>
      <c r="B120" s="0" t="s">
        <v>472</v>
      </c>
      <c r="C120" s="0" t="n">
        <v>114001</v>
      </c>
      <c r="D120" s="0" t="n">
        <v>114001</v>
      </c>
      <c r="E120" s="0" t="s">
        <v>470</v>
      </c>
      <c r="F120" s="0" t="s">
        <v>18</v>
      </c>
      <c r="G120" s="0" t="s">
        <v>473</v>
      </c>
      <c r="H120" s="0" t="s">
        <v>474</v>
      </c>
      <c r="I120" s="0" t="s">
        <v>21</v>
      </c>
      <c r="J120" s="0" t="s">
        <v>22</v>
      </c>
      <c r="L120" s="0" t="str">
        <f aca="false">IFERROR(VLOOKUP(K120,'Supplier list'!B:C,2,0),"")</f>
        <v/>
      </c>
      <c r="M120" s="1" t="s">
        <v>24</v>
      </c>
      <c r="O120" s="2" t="n">
        <v>119</v>
      </c>
    </row>
    <row r="121" customFormat="false" ht="16.4" hidden="false" customHeight="false" outlineLevel="0" collapsed="false">
      <c r="A121" s="0" t="s">
        <v>15</v>
      </c>
      <c r="B121" s="0" t="s">
        <v>475</v>
      </c>
      <c r="C121" s="0" t="n">
        <v>114001</v>
      </c>
      <c r="D121" s="0" t="n">
        <v>114001</v>
      </c>
      <c r="E121" s="0" t="s">
        <v>476</v>
      </c>
      <c r="F121" s="0" t="s">
        <v>18</v>
      </c>
      <c r="G121" s="0" t="s">
        <v>477</v>
      </c>
      <c r="H121" s="0" t="s">
        <v>478</v>
      </c>
      <c r="I121" s="0" t="s">
        <v>21</v>
      </c>
      <c r="J121" s="0" t="s">
        <v>22</v>
      </c>
      <c r="L121" s="0" t="str">
        <f aca="false">IFERROR(VLOOKUP(K121,'Supplier list'!B:C,2,0),"")</f>
        <v/>
      </c>
      <c r="M121" s="1" t="s">
        <v>24</v>
      </c>
      <c r="O121" s="2" t="n">
        <v>145</v>
      </c>
    </row>
    <row r="122" customFormat="false" ht="16.4" hidden="false" customHeight="false" outlineLevel="0" collapsed="false">
      <c r="A122" s="0" t="s">
        <v>15</v>
      </c>
      <c r="B122" s="0" t="s">
        <v>479</v>
      </c>
      <c r="C122" s="0" t="n">
        <v>114001</v>
      </c>
      <c r="D122" s="0" t="n">
        <v>114001</v>
      </c>
      <c r="E122" s="0" t="s">
        <v>476</v>
      </c>
      <c r="F122" s="0" t="s">
        <v>18</v>
      </c>
      <c r="G122" s="0" t="s">
        <v>480</v>
      </c>
      <c r="H122" s="0" t="s">
        <v>481</v>
      </c>
      <c r="I122" s="0" t="s">
        <v>21</v>
      </c>
      <c r="J122" s="0" t="s">
        <v>22</v>
      </c>
      <c r="K122" s="0" t="s">
        <v>75</v>
      </c>
      <c r="L122" s="0" t="str">
        <f aca="false">IFERROR(VLOOKUP(K122,'Supplier list'!B:C,2,0),"")</f>
        <v/>
      </c>
      <c r="M122" s="1" t="s">
        <v>24</v>
      </c>
      <c r="O122" s="2" t="n">
        <v>60</v>
      </c>
    </row>
    <row r="123" customFormat="false" ht="13.8" hidden="false" customHeight="false" outlineLevel="0" collapsed="false">
      <c r="A123" s="0" t="s">
        <v>15</v>
      </c>
      <c r="B123" s="0" t="s">
        <v>482</v>
      </c>
      <c r="C123" s="0" t="n">
        <v>114001</v>
      </c>
      <c r="D123" s="0" t="n">
        <v>114001</v>
      </c>
      <c r="E123" s="0" t="s">
        <v>483</v>
      </c>
      <c r="F123" s="0" t="s">
        <v>18</v>
      </c>
      <c r="G123" s="0" t="s">
        <v>484</v>
      </c>
      <c r="H123" s="0" t="s">
        <v>485</v>
      </c>
      <c r="I123" s="0" t="s">
        <v>21</v>
      </c>
      <c r="J123" s="0" t="s">
        <v>22</v>
      </c>
      <c r="L123" s="0" t="str">
        <f aca="false">IFERROR(VLOOKUP(K123,'Supplier list'!B:C,2,0),"")</f>
        <v/>
      </c>
      <c r="M123" s="1" t="s">
        <v>24</v>
      </c>
      <c r="O123" s="2" t="n">
        <v>28</v>
      </c>
    </row>
    <row r="124" customFormat="false" ht="16.4" hidden="false" customHeight="false" outlineLevel="0" collapsed="false">
      <c r="A124" s="0" t="s">
        <v>15</v>
      </c>
      <c r="B124" s="0" t="s">
        <v>486</v>
      </c>
      <c r="C124" s="0" t="n">
        <v>114001</v>
      </c>
      <c r="D124" s="0" t="n">
        <v>114001</v>
      </c>
      <c r="E124" s="0" t="s">
        <v>483</v>
      </c>
      <c r="F124" s="0" t="s">
        <v>18</v>
      </c>
      <c r="G124" s="0" t="s">
        <v>487</v>
      </c>
      <c r="H124" s="0" t="s">
        <v>488</v>
      </c>
      <c r="I124" s="0" t="s">
        <v>21</v>
      </c>
      <c r="J124" s="0" t="s">
        <v>22</v>
      </c>
      <c r="K124" s="0" t="s">
        <v>465</v>
      </c>
      <c r="L124" s="0" t="str">
        <f aca="false">IFERROR(VLOOKUP(K124,'Supplier list'!B:C,2,0),"")</f>
        <v/>
      </c>
      <c r="M124" s="1" t="s">
        <v>24</v>
      </c>
      <c r="O124" s="2" t="n">
        <v>60.75</v>
      </c>
    </row>
    <row r="125" customFormat="false" ht="16.4" hidden="false" customHeight="false" outlineLevel="0" collapsed="false">
      <c r="A125" s="0" t="s">
        <v>15</v>
      </c>
      <c r="B125" s="0" t="s">
        <v>489</v>
      </c>
      <c r="C125" s="0" t="n">
        <v>114001</v>
      </c>
      <c r="D125" s="0" t="n">
        <v>114001</v>
      </c>
      <c r="E125" s="0" t="s">
        <v>483</v>
      </c>
      <c r="F125" s="0" t="s">
        <v>18</v>
      </c>
      <c r="G125" s="0" t="s">
        <v>490</v>
      </c>
      <c r="H125" s="0" t="s">
        <v>491</v>
      </c>
      <c r="I125" s="0" t="s">
        <v>21</v>
      </c>
      <c r="J125" s="0" t="s">
        <v>22</v>
      </c>
      <c r="L125" s="0" t="str">
        <f aca="false">IFERROR(VLOOKUP(K125,'Supplier list'!B:C,2,0),"")</f>
        <v/>
      </c>
      <c r="M125" s="1" t="s">
        <v>24</v>
      </c>
      <c r="O125" s="2" t="n">
        <v>28</v>
      </c>
    </row>
    <row r="126" customFormat="false" ht="13.8" hidden="false" customHeight="false" outlineLevel="0" collapsed="false">
      <c r="A126" s="0" t="s">
        <v>15</v>
      </c>
      <c r="B126" s="0" t="s">
        <v>492</v>
      </c>
      <c r="C126" s="0" t="n">
        <v>114001</v>
      </c>
      <c r="D126" s="0" t="n">
        <v>114001</v>
      </c>
      <c r="E126" s="0" t="s">
        <v>17</v>
      </c>
      <c r="F126" s="0" t="s">
        <v>18</v>
      </c>
      <c r="G126" s="0" t="s">
        <v>493</v>
      </c>
      <c r="H126" s="0" t="s">
        <v>494</v>
      </c>
      <c r="I126" s="0" t="s">
        <v>21</v>
      </c>
      <c r="J126" s="0" t="s">
        <v>22</v>
      </c>
      <c r="L126" s="0" t="str">
        <f aca="false">IFERROR(VLOOKUP(K126,'Supplier list'!B:C,2,0),"")</f>
        <v/>
      </c>
      <c r="M126" s="1" t="s">
        <v>24</v>
      </c>
      <c r="O126" s="2" t="n">
        <v>149</v>
      </c>
    </row>
    <row r="127" customFormat="false" ht="16.4" hidden="false" customHeight="false" outlineLevel="0" collapsed="false">
      <c r="A127" s="0" t="s">
        <v>15</v>
      </c>
      <c r="B127" s="0" t="s">
        <v>495</v>
      </c>
      <c r="C127" s="0" t="n">
        <v>114001</v>
      </c>
      <c r="D127" s="0" t="n">
        <v>114001</v>
      </c>
      <c r="E127" s="0" t="s">
        <v>245</v>
      </c>
      <c r="F127" s="0" t="s">
        <v>18</v>
      </c>
      <c r="G127" s="0" t="s">
        <v>496</v>
      </c>
      <c r="H127" s="0" t="s">
        <v>497</v>
      </c>
      <c r="I127" s="0" t="s">
        <v>396</v>
      </c>
      <c r="J127" s="0" t="s">
        <v>397</v>
      </c>
      <c r="K127" s="0" t="s">
        <v>155</v>
      </c>
      <c r="L127" s="0" t="str">
        <f aca="false">IFERROR(VLOOKUP(K127,'Supplier list'!B:C,2,0),"")</f>
        <v>บริษัท ก.เจริญฮาร์ดแวร์ จำกัด</v>
      </c>
      <c r="M127" s="1" t="s">
        <v>24</v>
      </c>
      <c r="O127" s="2" t="n">
        <v>1020</v>
      </c>
    </row>
    <row r="128" customFormat="false" ht="16.4" hidden="false" customHeight="false" outlineLevel="0" collapsed="false">
      <c r="A128" s="0" t="s">
        <v>15</v>
      </c>
      <c r="B128" s="0" t="s">
        <v>498</v>
      </c>
      <c r="C128" s="0" t="n">
        <v>114001</v>
      </c>
      <c r="D128" s="0" t="n">
        <v>114001</v>
      </c>
      <c r="E128" s="0" t="s">
        <v>499</v>
      </c>
      <c r="F128" s="0" t="s">
        <v>18</v>
      </c>
      <c r="G128" s="0" t="s">
        <v>500</v>
      </c>
      <c r="H128" s="0" t="s">
        <v>501</v>
      </c>
      <c r="I128" s="0" t="s">
        <v>502</v>
      </c>
      <c r="J128" s="0" t="s">
        <v>503</v>
      </c>
      <c r="L128" s="0" t="str">
        <f aca="false">IFERROR(VLOOKUP(K128,'Supplier list'!B:C,2,0),"")</f>
        <v/>
      </c>
      <c r="M128" s="1" t="s">
        <v>24</v>
      </c>
      <c r="O128" s="2" t="n">
        <v>650</v>
      </c>
    </row>
    <row r="129" customFormat="false" ht="16.4" hidden="false" customHeight="false" outlineLevel="0" collapsed="false">
      <c r="A129" s="0" t="s">
        <v>15</v>
      </c>
      <c r="B129" s="0" t="s">
        <v>504</v>
      </c>
      <c r="C129" s="0" t="n">
        <v>114001</v>
      </c>
      <c r="D129" s="0" t="n">
        <v>114001</v>
      </c>
      <c r="E129" s="0" t="s">
        <v>505</v>
      </c>
      <c r="F129" s="0" t="s">
        <v>18</v>
      </c>
      <c r="G129" s="0" t="s">
        <v>506</v>
      </c>
      <c r="H129" s="0" t="s">
        <v>507</v>
      </c>
      <c r="I129" s="0" t="s">
        <v>508</v>
      </c>
      <c r="J129" s="0" t="s">
        <v>509</v>
      </c>
      <c r="L129" s="0" t="str">
        <f aca="false">IFERROR(VLOOKUP(K129,'Supplier list'!B:C,2,0),"")</f>
        <v/>
      </c>
      <c r="M129" s="1" t="s">
        <v>24</v>
      </c>
      <c r="O129" s="2" t="n">
        <v>108</v>
      </c>
    </row>
    <row r="130" customFormat="false" ht="16.4" hidden="false" customHeight="false" outlineLevel="0" collapsed="false">
      <c r="A130" s="0" t="s">
        <v>15</v>
      </c>
      <c r="B130" s="0" t="s">
        <v>510</v>
      </c>
      <c r="C130" s="0" t="n">
        <v>114001</v>
      </c>
      <c r="D130" s="0" t="n">
        <v>114001</v>
      </c>
      <c r="E130" s="0" t="s">
        <v>505</v>
      </c>
      <c r="F130" s="0" t="s">
        <v>18</v>
      </c>
      <c r="G130" s="0" t="s">
        <v>511</v>
      </c>
      <c r="H130" s="0" t="s">
        <v>512</v>
      </c>
      <c r="I130" s="0" t="s">
        <v>508</v>
      </c>
      <c r="J130" s="0" t="s">
        <v>509</v>
      </c>
      <c r="K130" s="0" t="s">
        <v>75</v>
      </c>
      <c r="L130" s="0" t="str">
        <f aca="false">IFERROR(VLOOKUP(K130,'Supplier list'!B:C,2,0),"")</f>
        <v/>
      </c>
      <c r="M130" s="1" t="s">
        <v>24</v>
      </c>
      <c r="O130" s="2" t="n">
        <v>100</v>
      </c>
    </row>
    <row r="131" customFormat="false" ht="16.4" hidden="false" customHeight="false" outlineLevel="0" collapsed="false">
      <c r="A131" s="0" t="s">
        <v>15</v>
      </c>
      <c r="B131" s="0" t="s">
        <v>513</v>
      </c>
      <c r="C131" s="0" t="n">
        <v>114001</v>
      </c>
      <c r="D131" s="0" t="n">
        <v>114001</v>
      </c>
      <c r="E131" s="0" t="s">
        <v>514</v>
      </c>
      <c r="F131" s="0" t="s">
        <v>18</v>
      </c>
      <c r="G131" s="0" t="s">
        <v>515</v>
      </c>
      <c r="H131" s="0" t="s">
        <v>516</v>
      </c>
      <c r="I131" s="0" t="s">
        <v>517</v>
      </c>
      <c r="J131" s="0" t="s">
        <v>518</v>
      </c>
      <c r="K131" s="0" t="s">
        <v>352</v>
      </c>
      <c r="L131" s="0" t="str">
        <f aca="false">IFERROR(VLOOKUP(K131,'Supplier list'!B:C,2,0),"")</f>
        <v>บริษัท พีเอ็นพี อินเตอร์แพค</v>
      </c>
      <c r="M131" s="1" t="s">
        <v>24</v>
      </c>
      <c r="O131" s="2" t="n">
        <v>40</v>
      </c>
    </row>
    <row r="132" customFormat="false" ht="16.4" hidden="false" customHeight="false" outlineLevel="0" collapsed="false">
      <c r="A132" s="0" t="s">
        <v>15</v>
      </c>
      <c r="B132" s="0" t="s">
        <v>519</v>
      </c>
      <c r="C132" s="0" t="n">
        <v>114001</v>
      </c>
      <c r="D132" s="0" t="n">
        <v>114001</v>
      </c>
      <c r="E132" s="0" t="s">
        <v>520</v>
      </c>
      <c r="F132" s="0" t="s">
        <v>18</v>
      </c>
      <c r="G132" s="0" t="s">
        <v>521</v>
      </c>
      <c r="H132" s="0" t="s">
        <v>522</v>
      </c>
      <c r="I132" s="0" t="s">
        <v>21</v>
      </c>
      <c r="J132" s="0" t="s">
        <v>22</v>
      </c>
      <c r="K132" s="0" t="s">
        <v>352</v>
      </c>
      <c r="L132" s="0" t="str">
        <f aca="false">IFERROR(VLOOKUP(K132,'Supplier list'!B:C,2,0),"")</f>
        <v>บริษัท พีเอ็นพี อินเตอร์แพค</v>
      </c>
      <c r="M132" s="1" t="s">
        <v>24</v>
      </c>
      <c r="O132" s="2" t="n">
        <v>27.5</v>
      </c>
    </row>
    <row r="133" customFormat="false" ht="16.4" hidden="false" customHeight="false" outlineLevel="0" collapsed="false">
      <c r="A133" s="0" t="s">
        <v>15</v>
      </c>
      <c r="B133" s="0" t="s">
        <v>523</v>
      </c>
      <c r="C133" s="0" t="n">
        <v>114001</v>
      </c>
      <c r="D133" s="0" t="n">
        <v>114001</v>
      </c>
      <c r="E133" s="0" t="s">
        <v>524</v>
      </c>
      <c r="F133" s="0" t="s">
        <v>18</v>
      </c>
      <c r="G133" s="0" t="s">
        <v>525</v>
      </c>
      <c r="H133" s="0" t="s">
        <v>526</v>
      </c>
      <c r="I133" s="0" t="s">
        <v>248</v>
      </c>
      <c r="J133" s="0" t="s">
        <v>249</v>
      </c>
      <c r="K133" s="0" t="s">
        <v>155</v>
      </c>
      <c r="L133" s="0" t="str">
        <f aca="false">IFERROR(VLOOKUP(K133,'Supplier list'!B:C,2,0),"")</f>
        <v>บริษัท ก.เจริญฮาร์ดแวร์ จำกัด</v>
      </c>
      <c r="M133" s="1" t="s">
        <v>24</v>
      </c>
      <c r="O133" s="2" t="n">
        <v>390</v>
      </c>
    </row>
    <row r="134" customFormat="false" ht="16.4" hidden="false" customHeight="false" outlineLevel="0" collapsed="false">
      <c r="A134" s="0" t="s">
        <v>15</v>
      </c>
      <c r="B134" s="0" t="s">
        <v>527</v>
      </c>
      <c r="C134" s="0" t="n">
        <v>114001</v>
      </c>
      <c r="D134" s="0" t="n">
        <v>114001</v>
      </c>
      <c r="E134" s="0" t="s">
        <v>505</v>
      </c>
      <c r="F134" s="0" t="s">
        <v>18</v>
      </c>
      <c r="G134" s="0" t="s">
        <v>528</v>
      </c>
      <c r="H134" s="0" t="s">
        <v>529</v>
      </c>
      <c r="I134" s="0" t="s">
        <v>508</v>
      </c>
      <c r="J134" s="0" t="s">
        <v>509</v>
      </c>
      <c r="L134" s="0" t="str">
        <f aca="false">IFERROR(VLOOKUP(K134,'Supplier list'!B:C,2,0),"")</f>
        <v/>
      </c>
      <c r="M134" s="1" t="s">
        <v>24</v>
      </c>
      <c r="O134" s="2" t="n">
        <v>145</v>
      </c>
    </row>
    <row r="135" customFormat="false" ht="16.4" hidden="false" customHeight="false" outlineLevel="0" collapsed="false">
      <c r="A135" s="0" t="s">
        <v>15</v>
      </c>
      <c r="B135" s="0" t="s">
        <v>530</v>
      </c>
      <c r="C135" s="0" t="n">
        <v>114001</v>
      </c>
      <c r="D135" s="0" t="n">
        <v>114001</v>
      </c>
      <c r="E135" s="0" t="s">
        <v>505</v>
      </c>
      <c r="F135" s="0" t="s">
        <v>18</v>
      </c>
      <c r="G135" s="0" t="s">
        <v>531</v>
      </c>
      <c r="H135" s="0" t="s">
        <v>532</v>
      </c>
      <c r="I135" s="0" t="s">
        <v>508</v>
      </c>
      <c r="J135" s="0" t="s">
        <v>509</v>
      </c>
      <c r="L135" s="0" t="str">
        <f aca="false">IFERROR(VLOOKUP(K135,'Supplier list'!B:C,2,0),"")</f>
        <v/>
      </c>
      <c r="M135" s="1" t="s">
        <v>24</v>
      </c>
      <c r="O135" s="2" t="n">
        <v>83</v>
      </c>
    </row>
    <row r="136" customFormat="false" ht="16.4" hidden="false" customHeight="false" outlineLevel="0" collapsed="false">
      <c r="A136" s="0" t="s">
        <v>15</v>
      </c>
      <c r="B136" s="0" t="s">
        <v>533</v>
      </c>
      <c r="C136" s="0" t="n">
        <v>114001</v>
      </c>
      <c r="D136" s="0" t="n">
        <v>114001</v>
      </c>
      <c r="E136" s="0" t="s">
        <v>93</v>
      </c>
      <c r="F136" s="0" t="s">
        <v>18</v>
      </c>
      <c r="G136" s="0" t="s">
        <v>534</v>
      </c>
      <c r="H136" s="0" t="s">
        <v>535</v>
      </c>
      <c r="I136" s="0" t="s">
        <v>124</v>
      </c>
      <c r="J136" s="0" t="s">
        <v>125</v>
      </c>
      <c r="K136" s="0" t="s">
        <v>110</v>
      </c>
      <c r="L136" s="0" t="str">
        <f aca="false">IFERROR(VLOOKUP(K136,'Supplier list'!B:C,2,0),"")</f>
        <v>บริษัท ที.พี.เค ไทยเมท แมชชีนทูลล์ จำกัด</v>
      </c>
      <c r="M136" s="1" t="s">
        <v>24</v>
      </c>
      <c r="O136" s="2" t="n">
        <v>55</v>
      </c>
    </row>
    <row r="137" customFormat="false" ht="16.4" hidden="false" customHeight="false" outlineLevel="0" collapsed="false">
      <c r="A137" s="0" t="s">
        <v>15</v>
      </c>
      <c r="B137" s="0" t="s">
        <v>536</v>
      </c>
      <c r="C137" s="0" t="n">
        <v>114001</v>
      </c>
      <c r="D137" s="0" t="n">
        <v>114001</v>
      </c>
      <c r="E137" s="0" t="s">
        <v>298</v>
      </c>
      <c r="F137" s="0" t="s">
        <v>18</v>
      </c>
      <c r="G137" s="0" t="s">
        <v>537</v>
      </c>
      <c r="H137" s="0" t="s">
        <v>538</v>
      </c>
      <c r="I137" s="0" t="s">
        <v>301</v>
      </c>
      <c r="J137" s="0" t="s">
        <v>302</v>
      </c>
      <c r="K137" s="0" t="s">
        <v>303</v>
      </c>
      <c r="L137" s="0" t="str">
        <f aca="false">IFERROR(VLOOKUP(K137,'Supplier list'!B:C,2,0),"")</f>
        <v>บริษัท เอ็มเค วู้ดเทค จำกัด</v>
      </c>
      <c r="M137" s="1" t="s">
        <v>24</v>
      </c>
      <c r="O137" s="2" t="n">
        <v>80</v>
      </c>
    </row>
    <row r="138" customFormat="false" ht="16.4" hidden="false" customHeight="false" outlineLevel="0" collapsed="false">
      <c r="A138" s="0" t="s">
        <v>15</v>
      </c>
      <c r="B138" s="0" t="s">
        <v>539</v>
      </c>
      <c r="C138" s="0" t="n">
        <v>114001</v>
      </c>
      <c r="D138" s="0" t="n">
        <v>114001</v>
      </c>
      <c r="E138" s="0" t="s">
        <v>358</v>
      </c>
      <c r="F138" s="0" t="s">
        <v>18</v>
      </c>
      <c r="G138" s="0" t="s">
        <v>540</v>
      </c>
      <c r="H138" s="0" t="s">
        <v>541</v>
      </c>
      <c r="I138" s="0" t="s">
        <v>21</v>
      </c>
      <c r="J138" s="0" t="s">
        <v>22</v>
      </c>
      <c r="L138" s="0" t="str">
        <f aca="false">IFERROR(VLOOKUP(K138,'Supplier list'!B:C,2,0),"")</f>
        <v/>
      </c>
      <c r="M138" s="1" t="s">
        <v>24</v>
      </c>
      <c r="O138" s="2" t="n">
        <v>78</v>
      </c>
    </row>
    <row r="139" customFormat="false" ht="16.4" hidden="false" customHeight="false" outlineLevel="0" collapsed="false">
      <c r="A139" s="0" t="s">
        <v>15</v>
      </c>
      <c r="B139" s="0" t="s">
        <v>542</v>
      </c>
      <c r="C139" s="0" t="n">
        <v>114001</v>
      </c>
      <c r="D139" s="0" t="n">
        <v>114001</v>
      </c>
      <c r="E139" s="0" t="s">
        <v>358</v>
      </c>
      <c r="F139" s="0" t="s">
        <v>18</v>
      </c>
      <c r="G139" s="0" t="s">
        <v>543</v>
      </c>
      <c r="H139" s="0" t="s">
        <v>544</v>
      </c>
      <c r="I139" s="0" t="s">
        <v>21</v>
      </c>
      <c r="J139" s="0" t="s">
        <v>22</v>
      </c>
      <c r="K139" s="0" t="s">
        <v>82</v>
      </c>
      <c r="L139" s="0" t="str">
        <f aca="false">IFERROR(VLOOKUP(K139,'Supplier list'!B:C,2,0),"")</f>
        <v>บริษัท เกรียงศิริพัฒนา (1995) จำกัด</v>
      </c>
      <c r="M139" s="1" t="s">
        <v>24</v>
      </c>
      <c r="O139" s="2" t="n">
        <v>18</v>
      </c>
    </row>
    <row r="140" customFormat="false" ht="16.4" hidden="false" customHeight="false" outlineLevel="0" collapsed="false">
      <c r="A140" s="0" t="s">
        <v>15</v>
      </c>
      <c r="B140" s="0" t="s">
        <v>545</v>
      </c>
      <c r="C140" s="0" t="n">
        <v>114001</v>
      </c>
      <c r="D140" s="0" t="n">
        <v>114001</v>
      </c>
      <c r="E140" s="0" t="s">
        <v>165</v>
      </c>
      <c r="F140" s="0" t="s">
        <v>18</v>
      </c>
      <c r="G140" s="0" t="s">
        <v>546</v>
      </c>
      <c r="H140" s="0" t="s">
        <v>547</v>
      </c>
      <c r="I140" s="0" t="s">
        <v>21</v>
      </c>
      <c r="J140" s="0" t="s">
        <v>22</v>
      </c>
      <c r="L140" s="0" t="str">
        <f aca="false">IFERROR(VLOOKUP(K140,'Supplier list'!B:C,2,0),"")</f>
        <v/>
      </c>
      <c r="M140" s="1" t="s">
        <v>24</v>
      </c>
      <c r="O140" s="2" t="n">
        <v>233</v>
      </c>
    </row>
    <row r="141" customFormat="false" ht="16.4" hidden="false" customHeight="false" outlineLevel="0" collapsed="false">
      <c r="A141" s="0" t="s">
        <v>15</v>
      </c>
      <c r="B141" s="0" t="s">
        <v>548</v>
      </c>
      <c r="C141" s="0" t="n">
        <v>114001</v>
      </c>
      <c r="D141" s="0" t="n">
        <v>114001</v>
      </c>
      <c r="E141" s="0" t="s">
        <v>549</v>
      </c>
      <c r="F141" s="0" t="s">
        <v>18</v>
      </c>
      <c r="G141" s="0" t="s">
        <v>550</v>
      </c>
      <c r="H141" s="0" t="s">
        <v>551</v>
      </c>
      <c r="I141" s="0" t="s">
        <v>21</v>
      </c>
      <c r="J141" s="0" t="s">
        <v>22</v>
      </c>
      <c r="K141" s="0" t="s">
        <v>68</v>
      </c>
      <c r="L141" s="0" t="str">
        <f aca="false">IFERROR(VLOOKUP(K141,'Supplier list'!B:C,2,0),"")</f>
        <v>หจก. กรีน ดิสทริบิวชั่น</v>
      </c>
      <c r="M141" s="1" t="s">
        <v>24</v>
      </c>
      <c r="O141" s="2" t="n">
        <v>8</v>
      </c>
    </row>
    <row r="142" customFormat="false" ht="16.4" hidden="false" customHeight="false" outlineLevel="0" collapsed="false">
      <c r="A142" s="0" t="s">
        <v>15</v>
      </c>
      <c r="B142" s="0" t="s">
        <v>552</v>
      </c>
      <c r="C142" s="0" t="n">
        <v>114001</v>
      </c>
      <c r="D142" s="0" t="n">
        <v>114001</v>
      </c>
      <c r="E142" s="0" t="s">
        <v>553</v>
      </c>
      <c r="F142" s="0" t="s">
        <v>18</v>
      </c>
      <c r="G142" s="0" t="s">
        <v>554</v>
      </c>
      <c r="H142" s="0" t="s">
        <v>555</v>
      </c>
      <c r="I142" s="0" t="s">
        <v>21</v>
      </c>
      <c r="J142" s="0" t="s">
        <v>22</v>
      </c>
      <c r="K142" s="0" t="s">
        <v>68</v>
      </c>
      <c r="L142" s="0" t="str">
        <f aca="false">IFERROR(VLOOKUP(K142,'Supplier list'!B:C,2,0),"")</f>
        <v>หจก. กรีน ดิสทริบิวชั่น</v>
      </c>
      <c r="M142" s="1" t="s">
        <v>24</v>
      </c>
      <c r="O142" s="2" t="n">
        <v>115</v>
      </c>
    </row>
    <row r="143" customFormat="false" ht="16.4" hidden="false" customHeight="false" outlineLevel="0" collapsed="false">
      <c r="A143" s="0" t="s">
        <v>15</v>
      </c>
      <c r="B143" s="0" t="s">
        <v>556</v>
      </c>
      <c r="C143" s="0" t="n">
        <v>114001</v>
      </c>
      <c r="D143" s="0" t="n">
        <v>114001</v>
      </c>
      <c r="E143" s="0" t="s">
        <v>549</v>
      </c>
      <c r="F143" s="0" t="s">
        <v>18</v>
      </c>
      <c r="G143" s="0" t="s">
        <v>557</v>
      </c>
      <c r="H143" s="0" t="s">
        <v>558</v>
      </c>
      <c r="I143" s="0" t="s">
        <v>21</v>
      </c>
      <c r="J143" s="0" t="s">
        <v>22</v>
      </c>
      <c r="K143" s="0" t="s">
        <v>68</v>
      </c>
      <c r="L143" s="0" t="str">
        <f aca="false">IFERROR(VLOOKUP(K143,'Supplier list'!B:C,2,0),"")</f>
        <v>หจก. กรีน ดิสทริบิวชั่น</v>
      </c>
      <c r="M143" s="1" t="s">
        <v>24</v>
      </c>
      <c r="O143" s="2" t="n">
        <v>18</v>
      </c>
    </row>
    <row r="144" customFormat="false" ht="13.8" hidden="false" customHeight="false" outlineLevel="0" collapsed="false">
      <c r="A144" s="0" t="s">
        <v>15</v>
      </c>
      <c r="B144" s="0" t="s">
        <v>559</v>
      </c>
      <c r="C144" s="0" t="n">
        <v>114001</v>
      </c>
      <c r="D144" s="0" t="n">
        <v>114001</v>
      </c>
      <c r="E144" s="0" t="s">
        <v>294</v>
      </c>
      <c r="F144" s="0" t="s">
        <v>18</v>
      </c>
      <c r="G144" s="0" t="s">
        <v>560</v>
      </c>
      <c r="H144" s="0" t="s">
        <v>561</v>
      </c>
      <c r="I144" s="0" t="s">
        <v>149</v>
      </c>
      <c r="J144" s="0" t="s">
        <v>150</v>
      </c>
      <c r="L144" s="0" t="str">
        <f aca="false">IFERROR(VLOOKUP(K144,'Supplier list'!B:C,2,0),"")</f>
        <v/>
      </c>
      <c r="M144" s="1" t="s">
        <v>24</v>
      </c>
      <c r="O144" s="2" t="n">
        <v>108</v>
      </c>
    </row>
    <row r="145" customFormat="false" ht="16.4" hidden="false" customHeight="false" outlineLevel="0" collapsed="false">
      <c r="A145" s="0" t="s">
        <v>15</v>
      </c>
      <c r="B145" s="0" t="s">
        <v>562</v>
      </c>
      <c r="C145" s="0" t="n">
        <v>114001</v>
      </c>
      <c r="D145" s="0" t="n">
        <v>114001</v>
      </c>
      <c r="E145" s="0" t="s">
        <v>514</v>
      </c>
      <c r="F145" s="0" t="s">
        <v>18</v>
      </c>
      <c r="G145" s="0" t="s">
        <v>563</v>
      </c>
      <c r="H145" s="0" t="s">
        <v>564</v>
      </c>
      <c r="I145" s="0" t="s">
        <v>517</v>
      </c>
      <c r="J145" s="0" t="s">
        <v>518</v>
      </c>
      <c r="L145" s="0" t="str">
        <f aca="false">IFERROR(VLOOKUP(K145,'Supplier list'!B:C,2,0),"")</f>
        <v/>
      </c>
      <c r="M145" s="1" t="s">
        <v>24</v>
      </c>
      <c r="O145" s="2" t="n">
        <v>159</v>
      </c>
    </row>
    <row r="146" customFormat="false" ht="13.8" hidden="false" customHeight="false" outlineLevel="0" collapsed="false">
      <c r="A146" s="0" t="s">
        <v>15</v>
      </c>
      <c r="B146" s="0" t="s">
        <v>565</v>
      </c>
      <c r="C146" s="0" t="n">
        <v>114001</v>
      </c>
      <c r="D146" s="0" t="n">
        <v>114001</v>
      </c>
      <c r="E146" s="0" t="s">
        <v>374</v>
      </c>
      <c r="F146" s="0" t="s">
        <v>18</v>
      </c>
      <c r="G146" s="0" t="s">
        <v>566</v>
      </c>
      <c r="H146" s="0" t="s">
        <v>566</v>
      </c>
      <c r="I146" s="0" t="s">
        <v>102</v>
      </c>
      <c r="J146" s="0" t="s">
        <v>103</v>
      </c>
      <c r="K146" s="0" t="s">
        <v>567</v>
      </c>
      <c r="L146" s="0" t="str">
        <f aca="false">IFERROR(VLOOKUP(K146,'Supplier list'!B:C,2,0),"")</f>
        <v>บริษัท ไทย เมก้าแคบ จำกัด</v>
      </c>
      <c r="M146" s="1" t="s">
        <v>24</v>
      </c>
      <c r="O146" s="2" t="n">
        <v>1.85</v>
      </c>
    </row>
    <row r="147" customFormat="false" ht="16.4" hidden="false" customHeight="false" outlineLevel="0" collapsed="false">
      <c r="A147" s="0" t="s">
        <v>15</v>
      </c>
      <c r="B147" s="0" t="s">
        <v>568</v>
      </c>
      <c r="C147" s="0" t="n">
        <v>114001</v>
      </c>
      <c r="D147" s="0" t="n">
        <v>114001</v>
      </c>
      <c r="E147" s="0" t="s">
        <v>121</v>
      </c>
      <c r="F147" s="0" t="s">
        <v>18</v>
      </c>
      <c r="G147" s="0" t="s">
        <v>569</v>
      </c>
      <c r="H147" s="0" t="s">
        <v>570</v>
      </c>
      <c r="I147" s="0" t="s">
        <v>142</v>
      </c>
      <c r="J147" s="0" t="s">
        <v>143</v>
      </c>
      <c r="K147" s="0" t="s">
        <v>75</v>
      </c>
      <c r="L147" s="0" t="str">
        <f aca="false">IFERROR(VLOOKUP(K147,'Supplier list'!B:C,2,0),"")</f>
        <v/>
      </c>
      <c r="M147" s="1" t="s">
        <v>24</v>
      </c>
      <c r="O147" s="2" t="n">
        <v>320</v>
      </c>
    </row>
    <row r="148" customFormat="false" ht="16.4" hidden="false" customHeight="false" outlineLevel="0" collapsed="false">
      <c r="A148" s="0" t="s">
        <v>15</v>
      </c>
      <c r="B148" s="0" t="s">
        <v>571</v>
      </c>
      <c r="C148" s="0" t="n">
        <v>114001</v>
      </c>
      <c r="D148" s="0" t="n">
        <v>114001</v>
      </c>
      <c r="E148" s="0" t="s">
        <v>572</v>
      </c>
      <c r="F148" s="0" t="s">
        <v>18</v>
      </c>
      <c r="G148" s="0" t="s">
        <v>573</v>
      </c>
      <c r="H148" s="0" t="s">
        <v>574</v>
      </c>
      <c r="I148" s="0" t="s">
        <v>248</v>
      </c>
      <c r="J148" s="0" t="s">
        <v>249</v>
      </c>
      <c r="L148" s="0" t="str">
        <f aca="false">IFERROR(VLOOKUP(K148,'Supplier list'!B:C,2,0),"")</f>
        <v/>
      </c>
      <c r="M148" s="1" t="s">
        <v>24</v>
      </c>
      <c r="O148" s="2" t="n">
        <v>471.64</v>
      </c>
    </row>
    <row r="149" customFormat="false" ht="13.8" hidden="false" customHeight="false" outlineLevel="0" collapsed="false">
      <c r="A149" s="0" t="s">
        <v>15</v>
      </c>
      <c r="B149" s="0" t="s">
        <v>575</v>
      </c>
      <c r="C149" s="0" t="n">
        <v>114001</v>
      </c>
      <c r="D149" s="0" t="n">
        <v>114001</v>
      </c>
      <c r="E149" s="0" t="s">
        <v>121</v>
      </c>
      <c r="F149" s="0" t="s">
        <v>18</v>
      </c>
      <c r="G149" s="0" t="s">
        <v>576</v>
      </c>
      <c r="H149" s="0" t="s">
        <v>576</v>
      </c>
      <c r="I149" s="0" t="s">
        <v>21</v>
      </c>
      <c r="J149" s="0" t="s">
        <v>22</v>
      </c>
      <c r="K149" s="0" t="s">
        <v>567</v>
      </c>
      <c r="L149" s="0" t="str">
        <f aca="false">IFERROR(VLOOKUP(K149,'Supplier list'!B:C,2,0),"")</f>
        <v>บริษัท ไทย เมก้าแคบ จำกัด</v>
      </c>
      <c r="M149" s="1" t="s">
        <v>24</v>
      </c>
      <c r="O149" s="2" t="n">
        <v>2.461</v>
      </c>
    </row>
    <row r="150" customFormat="false" ht="16.4" hidden="false" customHeight="false" outlineLevel="0" collapsed="false">
      <c r="A150" s="0" t="s">
        <v>15</v>
      </c>
      <c r="B150" s="0" t="s">
        <v>577</v>
      </c>
      <c r="C150" s="0" t="n">
        <v>114001</v>
      </c>
      <c r="D150" s="0" t="n">
        <v>114001</v>
      </c>
      <c r="E150" s="0" t="s">
        <v>127</v>
      </c>
      <c r="F150" s="0" t="s">
        <v>18</v>
      </c>
      <c r="G150" s="0" t="s">
        <v>578</v>
      </c>
      <c r="H150" s="0" t="s">
        <v>579</v>
      </c>
      <c r="I150" s="0" t="s">
        <v>21</v>
      </c>
      <c r="J150" s="0" t="s">
        <v>22</v>
      </c>
      <c r="K150" s="0" t="s">
        <v>68</v>
      </c>
      <c r="L150" s="0" t="str">
        <f aca="false">IFERROR(VLOOKUP(K150,'Supplier list'!B:C,2,0),"")</f>
        <v>หจก. กรีน ดิสทริบิวชั่น</v>
      </c>
      <c r="M150" s="1" t="s">
        <v>24</v>
      </c>
      <c r="O150" s="2" t="n">
        <v>35</v>
      </c>
    </row>
    <row r="151" customFormat="false" ht="16.4" hidden="false" customHeight="false" outlineLevel="0" collapsed="false">
      <c r="A151" s="0" t="s">
        <v>15</v>
      </c>
      <c r="B151" s="0" t="s">
        <v>580</v>
      </c>
      <c r="C151" s="0" t="n">
        <v>114001</v>
      </c>
      <c r="D151" s="0" t="n">
        <v>114001</v>
      </c>
      <c r="E151" s="0" t="s">
        <v>581</v>
      </c>
      <c r="F151" s="0" t="s">
        <v>18</v>
      </c>
      <c r="G151" s="0" t="s">
        <v>582</v>
      </c>
      <c r="H151" s="0" t="s">
        <v>583</v>
      </c>
      <c r="I151" s="0" t="s">
        <v>21</v>
      </c>
      <c r="J151" s="0" t="s">
        <v>22</v>
      </c>
      <c r="K151" s="0" t="s">
        <v>567</v>
      </c>
      <c r="L151" s="0" t="str">
        <f aca="false">IFERROR(VLOOKUP(K151,'Supplier list'!B:C,2,0),"")</f>
        <v>บริษัท ไทย เมก้าแคบ จำกัด</v>
      </c>
      <c r="M151" s="1" t="s">
        <v>24</v>
      </c>
      <c r="O151" s="2" t="n">
        <v>0.21</v>
      </c>
    </row>
    <row r="152" customFormat="false" ht="16.4" hidden="false" customHeight="false" outlineLevel="0" collapsed="false">
      <c r="A152" s="0" t="s">
        <v>15</v>
      </c>
      <c r="B152" s="0" t="s">
        <v>584</v>
      </c>
      <c r="C152" s="0" t="n">
        <v>114001</v>
      </c>
      <c r="D152" s="0" t="n">
        <v>114001</v>
      </c>
      <c r="E152" s="0" t="s">
        <v>581</v>
      </c>
      <c r="F152" s="0" t="s">
        <v>18</v>
      </c>
      <c r="G152" s="0" t="s">
        <v>585</v>
      </c>
      <c r="H152" s="0" t="s">
        <v>586</v>
      </c>
      <c r="I152" s="0" t="s">
        <v>21</v>
      </c>
      <c r="J152" s="0" t="s">
        <v>22</v>
      </c>
      <c r="K152" s="0" t="s">
        <v>567</v>
      </c>
      <c r="L152" s="0" t="str">
        <f aca="false">IFERROR(VLOOKUP(K152,'Supplier list'!B:C,2,0),"")</f>
        <v>บริษัท ไทย เมก้าแคบ จำกัด</v>
      </c>
      <c r="M152" s="1" t="s">
        <v>24</v>
      </c>
      <c r="O152" s="2" t="n">
        <v>0.298</v>
      </c>
    </row>
    <row r="153" customFormat="false" ht="13.8" hidden="false" customHeight="false" outlineLevel="0" collapsed="false">
      <c r="A153" s="0" t="s">
        <v>15</v>
      </c>
      <c r="B153" s="0" t="s">
        <v>587</v>
      </c>
      <c r="C153" s="0" t="n">
        <v>114001</v>
      </c>
      <c r="D153" s="0" t="n">
        <v>114001</v>
      </c>
      <c r="E153" s="0" t="s">
        <v>374</v>
      </c>
      <c r="F153" s="0" t="s">
        <v>18</v>
      </c>
      <c r="G153" s="0" t="s">
        <v>588</v>
      </c>
      <c r="H153" s="0" t="s">
        <v>588</v>
      </c>
      <c r="I153" s="0" t="s">
        <v>21</v>
      </c>
      <c r="J153" s="0" t="s">
        <v>22</v>
      </c>
      <c r="L153" s="0" t="str">
        <f aca="false">IFERROR(VLOOKUP(K153,'Supplier list'!B:C,2,0),"")</f>
        <v/>
      </c>
      <c r="M153" s="1" t="s">
        <v>24</v>
      </c>
      <c r="O153" s="2" t="n">
        <v>1.85</v>
      </c>
    </row>
    <row r="154" customFormat="false" ht="13.8" hidden="false" customHeight="false" outlineLevel="0" collapsed="false">
      <c r="A154" s="0" t="s">
        <v>15</v>
      </c>
      <c r="B154" s="0" t="s">
        <v>589</v>
      </c>
      <c r="C154" s="0" t="n">
        <v>114001</v>
      </c>
      <c r="D154" s="0" t="n">
        <v>114001</v>
      </c>
      <c r="E154" s="0" t="s">
        <v>590</v>
      </c>
      <c r="F154" s="0" t="s">
        <v>18</v>
      </c>
      <c r="G154" s="0" t="s">
        <v>591</v>
      </c>
      <c r="H154" s="0" t="s">
        <v>590</v>
      </c>
      <c r="I154" s="0" t="s">
        <v>21</v>
      </c>
      <c r="J154" s="0" t="s">
        <v>22</v>
      </c>
      <c r="K154" s="0" t="s">
        <v>352</v>
      </c>
      <c r="L154" s="0" t="str">
        <f aca="false">IFERROR(VLOOKUP(K154,'Supplier list'!B:C,2,0),"")</f>
        <v>บริษัท พีเอ็นพี อินเตอร์แพค</v>
      </c>
      <c r="M154" s="1" t="s">
        <v>24</v>
      </c>
      <c r="O154" s="2" t="n">
        <v>20</v>
      </c>
    </row>
    <row r="155" customFormat="false" ht="13.8" hidden="false" customHeight="false" outlineLevel="0" collapsed="false">
      <c r="A155" s="0" t="s">
        <v>15</v>
      </c>
      <c r="B155" s="0" t="s">
        <v>592</v>
      </c>
      <c r="C155" s="0" t="n">
        <v>114001</v>
      </c>
      <c r="D155" s="0" t="n">
        <v>114001</v>
      </c>
      <c r="E155" s="0" t="s">
        <v>593</v>
      </c>
      <c r="F155" s="0" t="s">
        <v>18</v>
      </c>
      <c r="G155" s="0" t="s">
        <v>594</v>
      </c>
      <c r="H155" s="0" t="s">
        <v>595</v>
      </c>
      <c r="I155" s="0" t="s">
        <v>21</v>
      </c>
      <c r="J155" s="0" t="s">
        <v>22</v>
      </c>
      <c r="L155" s="0" t="str">
        <f aca="false">IFERROR(VLOOKUP(K155,'Supplier list'!B:C,2,0),"")</f>
        <v/>
      </c>
      <c r="M155" s="1" t="s">
        <v>24</v>
      </c>
      <c r="O155" s="2" t="n">
        <v>55</v>
      </c>
    </row>
    <row r="156" customFormat="false" ht="16.4" hidden="false" customHeight="false" outlineLevel="0" collapsed="false">
      <c r="A156" s="0" t="s">
        <v>15</v>
      </c>
      <c r="B156" s="0" t="s">
        <v>596</v>
      </c>
      <c r="C156" s="0" t="n">
        <v>114001</v>
      </c>
      <c r="D156" s="0" t="n">
        <v>114001</v>
      </c>
      <c r="E156" s="0" t="s">
        <v>443</v>
      </c>
      <c r="F156" s="0" t="s">
        <v>18</v>
      </c>
      <c r="G156" s="0" t="s">
        <v>597</v>
      </c>
      <c r="H156" s="0" t="s">
        <v>598</v>
      </c>
      <c r="I156" s="0" t="s">
        <v>446</v>
      </c>
      <c r="J156" s="0" t="s">
        <v>447</v>
      </c>
      <c r="L156" s="0" t="str">
        <f aca="false">IFERROR(VLOOKUP(K156,'Supplier list'!B:C,2,0),"")</f>
        <v/>
      </c>
      <c r="M156" s="1" t="s">
        <v>24</v>
      </c>
      <c r="O156" s="2" t="n">
        <v>720</v>
      </c>
    </row>
    <row r="157" customFormat="false" ht="16.4" hidden="false" customHeight="false" outlineLevel="0" collapsed="false">
      <c r="A157" s="0" t="s">
        <v>15</v>
      </c>
      <c r="B157" s="0" t="s">
        <v>599</v>
      </c>
      <c r="C157" s="0" t="n">
        <v>114001</v>
      </c>
      <c r="D157" s="0" t="n">
        <v>114001</v>
      </c>
      <c r="E157" s="0" t="s">
        <v>600</v>
      </c>
      <c r="F157" s="0" t="s">
        <v>18</v>
      </c>
      <c r="G157" s="0" t="s">
        <v>601</v>
      </c>
      <c r="H157" s="0" t="s">
        <v>602</v>
      </c>
      <c r="I157" s="0" t="s">
        <v>21</v>
      </c>
      <c r="J157" s="0" t="s">
        <v>22</v>
      </c>
      <c r="K157" s="0" t="s">
        <v>68</v>
      </c>
      <c r="L157" s="0" t="str">
        <f aca="false">IFERROR(VLOOKUP(K157,'Supplier list'!B:C,2,0),"")</f>
        <v>หจก. กรีน ดิสทริบิวชั่น</v>
      </c>
      <c r="M157" s="1" t="s">
        <v>24</v>
      </c>
      <c r="O157" s="2" t="n">
        <v>23</v>
      </c>
    </row>
    <row r="158" customFormat="false" ht="16.4" hidden="false" customHeight="false" outlineLevel="0" collapsed="false">
      <c r="A158" s="0" t="s">
        <v>15</v>
      </c>
      <c r="B158" s="0" t="s">
        <v>603</v>
      </c>
      <c r="C158" s="0" t="n">
        <v>114001</v>
      </c>
      <c r="D158" s="0" t="n">
        <v>114001</v>
      </c>
      <c r="E158" s="0" t="s">
        <v>572</v>
      </c>
      <c r="F158" s="0" t="s">
        <v>18</v>
      </c>
      <c r="G158" s="0" t="s">
        <v>604</v>
      </c>
      <c r="H158" s="0" t="s">
        <v>605</v>
      </c>
      <c r="I158" s="0" t="s">
        <v>248</v>
      </c>
      <c r="J158" s="0" t="s">
        <v>249</v>
      </c>
      <c r="K158" s="0" t="s">
        <v>606</v>
      </c>
      <c r="L158" s="0" t="str">
        <f aca="false">IFERROR(VLOOKUP(K158,'Supplier list'!B:C,2,0),"")</f>
        <v/>
      </c>
      <c r="M158" s="1" t="s">
        <v>24</v>
      </c>
      <c r="O158" s="2" t="n">
        <v>26</v>
      </c>
    </row>
    <row r="159" customFormat="false" ht="16.4" hidden="false" customHeight="false" outlineLevel="0" collapsed="false">
      <c r="A159" s="0" t="s">
        <v>15</v>
      </c>
      <c r="B159" s="0" t="s">
        <v>607</v>
      </c>
      <c r="C159" s="0" t="n">
        <v>114001</v>
      </c>
      <c r="D159" s="0" t="n">
        <v>114001</v>
      </c>
      <c r="E159" s="0" t="s">
        <v>608</v>
      </c>
      <c r="F159" s="0" t="s">
        <v>18</v>
      </c>
      <c r="G159" s="0" t="s">
        <v>609</v>
      </c>
      <c r="H159" s="0" t="s">
        <v>610</v>
      </c>
      <c r="I159" s="0" t="s">
        <v>248</v>
      </c>
      <c r="J159" s="0" t="s">
        <v>249</v>
      </c>
      <c r="K159" s="0" t="s">
        <v>611</v>
      </c>
      <c r="L159" s="0" t="str">
        <f aca="false">IFERROR(VLOOKUP(K159,'Supplier list'!B:C,2,0),"")</f>
        <v>ร้าน bee to</v>
      </c>
      <c r="M159" s="1" t="s">
        <v>24</v>
      </c>
      <c r="O159" s="2" t="n">
        <v>218</v>
      </c>
    </row>
    <row r="160" customFormat="false" ht="16.4" hidden="false" customHeight="false" outlineLevel="0" collapsed="false">
      <c r="A160" s="0" t="s">
        <v>15</v>
      </c>
      <c r="B160" s="0" t="s">
        <v>612</v>
      </c>
      <c r="C160" s="0" t="n">
        <v>114001</v>
      </c>
      <c r="D160" s="0" t="n">
        <v>114001</v>
      </c>
      <c r="E160" s="0" t="s">
        <v>613</v>
      </c>
      <c r="F160" s="0" t="s">
        <v>18</v>
      </c>
      <c r="G160" s="0" t="s">
        <v>614</v>
      </c>
      <c r="H160" s="0" t="s">
        <v>615</v>
      </c>
      <c r="I160" s="0" t="s">
        <v>248</v>
      </c>
      <c r="J160" s="0" t="s">
        <v>249</v>
      </c>
      <c r="K160" s="0" t="s">
        <v>616</v>
      </c>
      <c r="L160" s="0" t="str">
        <f aca="false">IFERROR(VLOOKUP(K160,'Supplier list'!B:C,2,0),"")</f>
        <v>บริษัท จิ่งหรง พริ้นติ้ง จากัด</v>
      </c>
      <c r="M160" s="1" t="s">
        <v>24</v>
      </c>
      <c r="O160" s="2" t="n">
        <v>190</v>
      </c>
    </row>
    <row r="161" customFormat="false" ht="16.4" hidden="false" customHeight="false" outlineLevel="0" collapsed="false">
      <c r="A161" s="0" t="s">
        <v>15</v>
      </c>
      <c r="B161" s="0" t="s">
        <v>617</v>
      </c>
      <c r="C161" s="0" t="n">
        <v>114001</v>
      </c>
      <c r="D161" s="0" t="n">
        <v>114001</v>
      </c>
      <c r="E161" s="0" t="s">
        <v>121</v>
      </c>
      <c r="F161" s="0" t="s">
        <v>18</v>
      </c>
      <c r="G161" s="0" t="s">
        <v>618</v>
      </c>
      <c r="H161" s="0" t="s">
        <v>619</v>
      </c>
      <c r="I161" s="0" t="s">
        <v>21</v>
      </c>
      <c r="J161" s="0" t="s">
        <v>22</v>
      </c>
      <c r="K161" s="0" t="s">
        <v>567</v>
      </c>
      <c r="L161" s="0" t="str">
        <f aca="false">IFERROR(VLOOKUP(K161,'Supplier list'!B:C,2,0),"")</f>
        <v>บริษัท ไทย เมก้าแคบ จำกัด</v>
      </c>
      <c r="M161" s="1" t="s">
        <v>24</v>
      </c>
      <c r="O161" s="2" t="n">
        <v>4.3</v>
      </c>
    </row>
    <row r="162" customFormat="false" ht="16.4" hidden="false" customHeight="false" outlineLevel="0" collapsed="false">
      <c r="A162" s="0" t="s">
        <v>15</v>
      </c>
      <c r="B162" s="0" t="s">
        <v>620</v>
      </c>
      <c r="C162" s="0" t="n">
        <v>114001</v>
      </c>
      <c r="D162" s="0" t="n">
        <v>114001</v>
      </c>
      <c r="E162" s="0" t="s">
        <v>621</v>
      </c>
      <c r="F162" s="0" t="s">
        <v>18</v>
      </c>
      <c r="G162" s="0" t="s">
        <v>622</v>
      </c>
      <c r="H162" s="0" t="s">
        <v>623</v>
      </c>
      <c r="I162" s="0" t="s">
        <v>21</v>
      </c>
      <c r="J162" s="0" t="s">
        <v>22</v>
      </c>
      <c r="K162" s="0" t="s">
        <v>567</v>
      </c>
      <c r="L162" s="0" t="str">
        <f aca="false">IFERROR(VLOOKUP(K162,'Supplier list'!B:C,2,0),"")</f>
        <v>บริษัท ไทย เมก้าแคบ จำกัด</v>
      </c>
      <c r="M162" s="1" t="s">
        <v>24</v>
      </c>
      <c r="O162" s="2" t="n">
        <v>8</v>
      </c>
    </row>
    <row r="163" customFormat="false" ht="16.4" hidden="false" customHeight="false" outlineLevel="0" collapsed="false">
      <c r="A163" s="0" t="s">
        <v>15</v>
      </c>
      <c r="B163" s="0" t="s">
        <v>624</v>
      </c>
      <c r="C163" s="0" t="n">
        <v>114001</v>
      </c>
      <c r="D163" s="0" t="n">
        <v>114001</v>
      </c>
      <c r="E163" s="0" t="s">
        <v>625</v>
      </c>
      <c r="F163" s="0" t="s">
        <v>18</v>
      </c>
      <c r="G163" s="0" t="s">
        <v>626</v>
      </c>
      <c r="H163" s="0" t="s">
        <v>627</v>
      </c>
      <c r="I163" s="0" t="s">
        <v>248</v>
      </c>
      <c r="J163" s="0" t="s">
        <v>249</v>
      </c>
      <c r="K163" s="0" t="s">
        <v>352</v>
      </c>
      <c r="L163" s="0" t="str">
        <f aca="false">IFERROR(VLOOKUP(K163,'Supplier list'!B:C,2,0),"")</f>
        <v>บริษัท พีเอ็นพี อินเตอร์แพค</v>
      </c>
      <c r="M163" s="1" t="s">
        <v>24</v>
      </c>
      <c r="O163" s="2" t="n">
        <v>55</v>
      </c>
    </row>
    <row r="164" customFormat="false" ht="16.4" hidden="false" customHeight="false" outlineLevel="0" collapsed="false">
      <c r="A164" s="0" t="s">
        <v>15</v>
      </c>
      <c r="B164" s="0" t="s">
        <v>628</v>
      </c>
      <c r="C164" s="0" t="n">
        <v>114001</v>
      </c>
      <c r="D164" s="0" t="n">
        <v>114001</v>
      </c>
      <c r="E164" s="0" t="s">
        <v>298</v>
      </c>
      <c r="F164" s="0" t="s">
        <v>18</v>
      </c>
      <c r="G164" s="0" t="s">
        <v>629</v>
      </c>
      <c r="H164" s="0" t="s">
        <v>630</v>
      </c>
      <c r="I164" s="0" t="s">
        <v>142</v>
      </c>
      <c r="J164" s="0" t="s">
        <v>143</v>
      </c>
      <c r="K164" s="0" t="s">
        <v>303</v>
      </c>
      <c r="L164" s="0" t="str">
        <f aca="false">IFERROR(VLOOKUP(K164,'Supplier list'!B:C,2,0),"")</f>
        <v>บริษัท เอ็มเค วู้ดเทค จำกัด</v>
      </c>
      <c r="M164" s="1" t="s">
        <v>24</v>
      </c>
      <c r="O164" s="2" t="n">
        <v>80</v>
      </c>
    </row>
    <row r="165" customFormat="false" ht="16.4" hidden="false" customHeight="false" outlineLevel="0" collapsed="false">
      <c r="A165" s="0" t="s">
        <v>15</v>
      </c>
      <c r="B165" s="0" t="s">
        <v>631</v>
      </c>
      <c r="C165" s="0" t="n">
        <v>114001</v>
      </c>
      <c r="D165" s="0" t="n">
        <v>114001</v>
      </c>
      <c r="E165" s="0" t="s">
        <v>97</v>
      </c>
      <c r="F165" s="0" t="s">
        <v>18</v>
      </c>
      <c r="G165" s="0" t="s">
        <v>632</v>
      </c>
      <c r="H165" s="0" t="s">
        <v>633</v>
      </c>
      <c r="I165" s="0" t="s">
        <v>21</v>
      </c>
      <c r="J165" s="0" t="s">
        <v>22</v>
      </c>
      <c r="K165" s="0" t="s">
        <v>68</v>
      </c>
      <c r="L165" s="0" t="str">
        <f aca="false">IFERROR(VLOOKUP(K165,'Supplier list'!B:C,2,0),"")</f>
        <v>หจก. กรีน ดิสทริบิวชั่น</v>
      </c>
      <c r="M165" s="1" t="s">
        <v>24</v>
      </c>
      <c r="O165" s="2" t="n">
        <v>35</v>
      </c>
    </row>
    <row r="166" customFormat="false" ht="16.4" hidden="false" customHeight="false" outlineLevel="0" collapsed="false">
      <c r="A166" s="0" t="s">
        <v>15</v>
      </c>
      <c r="B166" s="0" t="s">
        <v>634</v>
      </c>
      <c r="C166" s="0" t="n">
        <v>114001</v>
      </c>
      <c r="D166" s="0" t="n">
        <v>114001</v>
      </c>
      <c r="E166" s="0" t="s">
        <v>97</v>
      </c>
      <c r="F166" s="0" t="s">
        <v>18</v>
      </c>
      <c r="G166" s="0" t="s">
        <v>635</v>
      </c>
      <c r="H166" s="0" t="s">
        <v>636</v>
      </c>
      <c r="I166" s="0" t="s">
        <v>21</v>
      </c>
      <c r="J166" s="0" t="s">
        <v>22</v>
      </c>
      <c r="K166" s="0" t="s">
        <v>68</v>
      </c>
      <c r="L166" s="0" t="str">
        <f aca="false">IFERROR(VLOOKUP(K166,'Supplier list'!B:C,2,0),"")</f>
        <v>หจก. กรีน ดิสทริบิวชั่น</v>
      </c>
      <c r="M166" s="1" t="s">
        <v>24</v>
      </c>
      <c r="O166" s="2" t="n">
        <v>35</v>
      </c>
    </row>
    <row r="167" customFormat="false" ht="16.4" hidden="false" customHeight="false" outlineLevel="0" collapsed="false">
      <c r="A167" s="0" t="s">
        <v>15</v>
      </c>
      <c r="B167" s="0" t="s">
        <v>637</v>
      </c>
      <c r="C167" s="0" t="n">
        <v>114001</v>
      </c>
      <c r="D167" s="0" t="n">
        <v>114001</v>
      </c>
      <c r="E167" s="0" t="s">
        <v>97</v>
      </c>
      <c r="F167" s="0" t="s">
        <v>18</v>
      </c>
      <c r="G167" s="0" t="s">
        <v>638</v>
      </c>
      <c r="H167" s="0" t="s">
        <v>639</v>
      </c>
      <c r="I167" s="0" t="s">
        <v>21</v>
      </c>
      <c r="J167" s="0" t="s">
        <v>22</v>
      </c>
      <c r="K167" s="0" t="s">
        <v>68</v>
      </c>
      <c r="L167" s="0" t="str">
        <f aca="false">IFERROR(VLOOKUP(K167,'Supplier list'!B:C,2,0),"")</f>
        <v>หจก. กรีน ดิสทริบิวชั่น</v>
      </c>
      <c r="M167" s="1" t="s">
        <v>24</v>
      </c>
      <c r="O167" s="2" t="n">
        <v>32</v>
      </c>
    </row>
    <row r="168" customFormat="false" ht="16.4" hidden="false" customHeight="false" outlineLevel="0" collapsed="false">
      <c r="A168" s="0" t="s">
        <v>15</v>
      </c>
      <c r="B168" s="0" t="s">
        <v>640</v>
      </c>
      <c r="C168" s="0" t="n">
        <v>114001</v>
      </c>
      <c r="D168" s="0" t="n">
        <v>114001</v>
      </c>
      <c r="E168" s="0" t="s">
        <v>97</v>
      </c>
      <c r="F168" s="0" t="s">
        <v>18</v>
      </c>
      <c r="G168" s="0" t="s">
        <v>641</v>
      </c>
      <c r="H168" s="0" t="s">
        <v>642</v>
      </c>
      <c r="I168" s="0" t="s">
        <v>21</v>
      </c>
      <c r="J168" s="0" t="s">
        <v>22</v>
      </c>
      <c r="K168" s="0" t="s">
        <v>68</v>
      </c>
      <c r="L168" s="0" t="str">
        <f aca="false">IFERROR(VLOOKUP(K168,'Supplier list'!B:C,2,0),"")</f>
        <v>หจก. กรีน ดิสทริบิวชั่น</v>
      </c>
      <c r="M168" s="1" t="s">
        <v>24</v>
      </c>
      <c r="O168" s="2" t="n">
        <v>52</v>
      </c>
    </row>
    <row r="169" customFormat="false" ht="16.4" hidden="false" customHeight="false" outlineLevel="0" collapsed="false">
      <c r="A169" s="0" t="s">
        <v>15</v>
      </c>
      <c r="B169" s="0" t="s">
        <v>643</v>
      </c>
      <c r="C169" s="0" t="n">
        <v>114001</v>
      </c>
      <c r="D169" s="0" t="n">
        <v>114001</v>
      </c>
      <c r="E169" s="0" t="s">
        <v>97</v>
      </c>
      <c r="F169" s="0" t="s">
        <v>18</v>
      </c>
      <c r="G169" s="0" t="s">
        <v>644</v>
      </c>
      <c r="H169" s="0" t="s">
        <v>645</v>
      </c>
      <c r="I169" s="0" t="s">
        <v>21</v>
      </c>
      <c r="J169" s="0" t="s">
        <v>22</v>
      </c>
      <c r="K169" s="0" t="s">
        <v>68</v>
      </c>
      <c r="L169" s="0" t="str">
        <f aca="false">IFERROR(VLOOKUP(K169,'Supplier list'!B:C,2,0),"")</f>
        <v>หจก. กรีน ดิสทริบิวชั่น</v>
      </c>
      <c r="M169" s="1" t="s">
        <v>24</v>
      </c>
      <c r="O169" s="2" t="n">
        <v>68</v>
      </c>
    </row>
    <row r="170" customFormat="false" ht="16.4" hidden="false" customHeight="false" outlineLevel="0" collapsed="false">
      <c r="A170" s="0" t="s">
        <v>15</v>
      </c>
      <c r="B170" s="0" t="s">
        <v>646</v>
      </c>
      <c r="C170" s="0" t="n">
        <v>114001</v>
      </c>
      <c r="D170" s="0" t="n">
        <v>114001</v>
      </c>
      <c r="E170" s="0" t="s">
        <v>97</v>
      </c>
      <c r="F170" s="0" t="s">
        <v>18</v>
      </c>
      <c r="G170" s="0" t="s">
        <v>647</v>
      </c>
      <c r="H170" s="0" t="s">
        <v>648</v>
      </c>
      <c r="I170" s="0" t="s">
        <v>21</v>
      </c>
      <c r="J170" s="0" t="s">
        <v>22</v>
      </c>
      <c r="K170" s="0" t="s">
        <v>68</v>
      </c>
      <c r="L170" s="0" t="str">
        <f aca="false">IFERROR(VLOOKUP(K170,'Supplier list'!B:C,2,0),"")</f>
        <v>หจก. กรีน ดิสทริบิวชั่น</v>
      </c>
      <c r="M170" s="1" t="s">
        <v>24</v>
      </c>
      <c r="O170" s="2" t="n">
        <v>163</v>
      </c>
    </row>
    <row r="171" customFormat="false" ht="16.4" hidden="false" customHeight="false" outlineLevel="0" collapsed="false">
      <c r="A171" s="0" t="s">
        <v>15</v>
      </c>
      <c r="B171" s="0" t="s">
        <v>649</v>
      </c>
      <c r="C171" s="0" t="n">
        <v>114001</v>
      </c>
      <c r="D171" s="0" t="n">
        <v>114001</v>
      </c>
      <c r="E171" s="0" t="s">
        <v>97</v>
      </c>
      <c r="F171" s="0" t="s">
        <v>18</v>
      </c>
      <c r="G171" s="0" t="s">
        <v>650</v>
      </c>
      <c r="H171" s="0" t="s">
        <v>651</v>
      </c>
      <c r="I171" s="0" t="s">
        <v>21</v>
      </c>
      <c r="J171" s="0" t="s">
        <v>22</v>
      </c>
      <c r="K171" s="0" t="s">
        <v>68</v>
      </c>
      <c r="L171" s="0" t="str">
        <f aca="false">IFERROR(VLOOKUP(K171,'Supplier list'!B:C,2,0),"")</f>
        <v>หจก. กรีน ดิสทริบิวชั่น</v>
      </c>
      <c r="M171" s="1" t="s">
        <v>24</v>
      </c>
      <c r="O171" s="2" t="n">
        <v>222</v>
      </c>
    </row>
    <row r="172" customFormat="false" ht="16.4" hidden="false" customHeight="false" outlineLevel="0" collapsed="false">
      <c r="A172" s="0" t="s">
        <v>15</v>
      </c>
      <c r="B172" s="0" t="s">
        <v>652</v>
      </c>
      <c r="C172" s="0" t="n">
        <v>114001</v>
      </c>
      <c r="D172" s="0" t="n">
        <v>114001</v>
      </c>
      <c r="E172" s="0" t="s">
        <v>97</v>
      </c>
      <c r="F172" s="0" t="s">
        <v>18</v>
      </c>
      <c r="G172" s="0" t="s">
        <v>653</v>
      </c>
      <c r="H172" s="0" t="s">
        <v>654</v>
      </c>
      <c r="I172" s="0" t="s">
        <v>21</v>
      </c>
      <c r="J172" s="0" t="s">
        <v>22</v>
      </c>
      <c r="K172" s="0" t="s">
        <v>68</v>
      </c>
      <c r="L172" s="0" t="str">
        <f aca="false">IFERROR(VLOOKUP(K172,'Supplier list'!B:C,2,0),"")</f>
        <v>หจก. กรีน ดิสทริบิวชั่น</v>
      </c>
      <c r="M172" s="1" t="s">
        <v>24</v>
      </c>
      <c r="O172" s="2" t="n">
        <v>328</v>
      </c>
    </row>
    <row r="173" customFormat="false" ht="13.8" hidden="false" customHeight="false" outlineLevel="0" collapsed="false">
      <c r="A173" s="0" t="s">
        <v>15</v>
      </c>
      <c r="B173" s="0" t="s">
        <v>655</v>
      </c>
      <c r="C173" s="0" t="n">
        <v>114001</v>
      </c>
      <c r="D173" s="0" t="n">
        <v>114001</v>
      </c>
      <c r="E173" s="0" t="s">
        <v>97</v>
      </c>
      <c r="F173" s="0" t="s">
        <v>18</v>
      </c>
      <c r="G173" s="0" t="s">
        <v>656</v>
      </c>
      <c r="H173" s="0" t="s">
        <v>657</v>
      </c>
      <c r="I173" s="0" t="s">
        <v>21</v>
      </c>
      <c r="J173" s="0" t="s">
        <v>22</v>
      </c>
      <c r="L173" s="0" t="str">
        <f aca="false">IFERROR(VLOOKUP(K173,'Supplier list'!B:C,2,0),"")</f>
        <v/>
      </c>
      <c r="M173" s="1" t="s">
        <v>24</v>
      </c>
      <c r="O173" s="2" t="n">
        <v>155</v>
      </c>
    </row>
    <row r="174" customFormat="false" ht="13.8" hidden="false" customHeight="false" outlineLevel="0" collapsed="false">
      <c r="A174" s="0" t="s">
        <v>15</v>
      </c>
      <c r="B174" s="0" t="s">
        <v>658</v>
      </c>
      <c r="C174" s="0" t="n">
        <v>114001</v>
      </c>
      <c r="D174" s="0" t="n">
        <v>114001</v>
      </c>
      <c r="E174" s="0" t="s">
        <v>659</v>
      </c>
      <c r="F174" s="0" t="s">
        <v>18</v>
      </c>
      <c r="G174" s="0" t="s">
        <v>660</v>
      </c>
      <c r="H174" s="0" t="s">
        <v>661</v>
      </c>
      <c r="I174" s="0" t="s">
        <v>21</v>
      </c>
      <c r="J174" s="0" t="s">
        <v>22</v>
      </c>
      <c r="L174" s="0" t="str">
        <f aca="false">IFERROR(VLOOKUP(K174,'Supplier list'!B:C,2,0),"")</f>
        <v/>
      </c>
      <c r="M174" s="1" t="s">
        <v>24</v>
      </c>
      <c r="O174" s="2" t="n">
        <v>135</v>
      </c>
    </row>
    <row r="175" customFormat="false" ht="16.4" hidden="false" customHeight="false" outlineLevel="0" collapsed="false">
      <c r="A175" s="0" t="s">
        <v>15</v>
      </c>
      <c r="B175" s="0" t="s">
        <v>662</v>
      </c>
      <c r="C175" s="0" t="n">
        <v>114001</v>
      </c>
      <c r="D175" s="0" t="n">
        <v>114001</v>
      </c>
      <c r="E175" s="0" t="s">
        <v>97</v>
      </c>
      <c r="F175" s="0" t="s">
        <v>18</v>
      </c>
      <c r="G175" s="0" t="s">
        <v>663</v>
      </c>
      <c r="H175" s="0" t="s">
        <v>664</v>
      </c>
      <c r="I175" s="0" t="s">
        <v>21</v>
      </c>
      <c r="J175" s="0" t="s">
        <v>22</v>
      </c>
      <c r="K175" s="0" t="s">
        <v>234</v>
      </c>
      <c r="L175" s="0" t="str">
        <f aca="false">IFERROR(VLOOKUP(K175,'Supplier list'!B:C,2,0),"")</f>
        <v/>
      </c>
      <c r="M175" s="1" t="s">
        <v>24</v>
      </c>
      <c r="O175" s="2" t="n">
        <v>299</v>
      </c>
    </row>
    <row r="176" customFormat="false" ht="16.4" hidden="false" customHeight="false" outlineLevel="0" collapsed="false">
      <c r="A176" s="0" t="s">
        <v>15</v>
      </c>
      <c r="B176" s="0" t="s">
        <v>665</v>
      </c>
      <c r="C176" s="0" t="n">
        <v>114001</v>
      </c>
      <c r="D176" s="0" t="n">
        <v>114001</v>
      </c>
      <c r="E176" s="0" t="s">
        <v>97</v>
      </c>
      <c r="F176" s="0" t="s">
        <v>18</v>
      </c>
      <c r="G176" s="0" t="s">
        <v>666</v>
      </c>
      <c r="H176" s="0" t="s">
        <v>667</v>
      </c>
      <c r="I176" s="0" t="s">
        <v>21</v>
      </c>
      <c r="J176" s="0" t="s">
        <v>22</v>
      </c>
      <c r="K176" s="0" t="s">
        <v>234</v>
      </c>
      <c r="L176" s="0" t="str">
        <f aca="false">IFERROR(VLOOKUP(K176,'Supplier list'!B:C,2,0),"")</f>
        <v/>
      </c>
      <c r="M176" s="1" t="s">
        <v>24</v>
      </c>
      <c r="O176" s="2" t="n">
        <v>275</v>
      </c>
    </row>
    <row r="177" customFormat="false" ht="16.4" hidden="false" customHeight="false" outlineLevel="0" collapsed="false">
      <c r="A177" s="0" t="s">
        <v>15</v>
      </c>
      <c r="B177" s="0" t="s">
        <v>668</v>
      </c>
      <c r="C177" s="0" t="n">
        <v>114001</v>
      </c>
      <c r="D177" s="0" t="n">
        <v>114001</v>
      </c>
      <c r="E177" s="0" t="s">
        <v>97</v>
      </c>
      <c r="F177" s="0" t="s">
        <v>18</v>
      </c>
      <c r="G177" s="0" t="s">
        <v>669</v>
      </c>
      <c r="H177" s="0" t="s">
        <v>670</v>
      </c>
      <c r="I177" s="0" t="s">
        <v>21</v>
      </c>
      <c r="J177" s="0" t="s">
        <v>22</v>
      </c>
      <c r="K177" s="0" t="s">
        <v>234</v>
      </c>
      <c r="L177" s="0" t="str">
        <f aca="false">IFERROR(VLOOKUP(K177,'Supplier list'!B:C,2,0),"")</f>
        <v/>
      </c>
      <c r="M177" s="1" t="s">
        <v>24</v>
      </c>
      <c r="O177" s="2" t="n">
        <v>275</v>
      </c>
    </row>
    <row r="178" customFormat="false" ht="16.4" hidden="false" customHeight="false" outlineLevel="0" collapsed="false">
      <c r="A178" s="0" t="s">
        <v>15</v>
      </c>
      <c r="B178" s="0" t="s">
        <v>671</v>
      </c>
      <c r="C178" s="0" t="n">
        <v>114001</v>
      </c>
      <c r="D178" s="0" t="n">
        <v>114001</v>
      </c>
      <c r="E178" s="0" t="s">
        <v>97</v>
      </c>
      <c r="F178" s="0" t="s">
        <v>18</v>
      </c>
      <c r="G178" s="0" t="s">
        <v>672</v>
      </c>
      <c r="H178" s="0" t="s">
        <v>673</v>
      </c>
      <c r="I178" s="0" t="s">
        <v>21</v>
      </c>
      <c r="J178" s="0" t="s">
        <v>22</v>
      </c>
      <c r="K178" s="0" t="s">
        <v>234</v>
      </c>
      <c r="L178" s="0" t="str">
        <f aca="false">IFERROR(VLOOKUP(K178,'Supplier list'!B:C,2,0),"")</f>
        <v/>
      </c>
      <c r="M178" s="1" t="s">
        <v>24</v>
      </c>
      <c r="O178" s="2" t="n">
        <v>290</v>
      </c>
    </row>
    <row r="179" customFormat="false" ht="16.4" hidden="false" customHeight="false" outlineLevel="0" collapsed="false">
      <c r="A179" s="0" t="s">
        <v>15</v>
      </c>
      <c r="B179" s="0" t="s">
        <v>674</v>
      </c>
      <c r="C179" s="0" t="n">
        <v>114001</v>
      </c>
      <c r="D179" s="0" t="n">
        <v>114001</v>
      </c>
      <c r="E179" s="0" t="s">
        <v>97</v>
      </c>
      <c r="F179" s="0" t="s">
        <v>18</v>
      </c>
      <c r="G179" s="0" t="s">
        <v>675</v>
      </c>
      <c r="H179" s="0" t="s">
        <v>676</v>
      </c>
      <c r="I179" s="0" t="s">
        <v>21</v>
      </c>
      <c r="J179" s="0" t="s">
        <v>22</v>
      </c>
      <c r="K179" s="0" t="s">
        <v>234</v>
      </c>
      <c r="L179" s="0" t="str">
        <f aca="false">IFERROR(VLOOKUP(K179,'Supplier list'!B:C,2,0),"")</f>
        <v/>
      </c>
      <c r="M179" s="1" t="s">
        <v>24</v>
      </c>
      <c r="O179" s="2" t="n">
        <v>290</v>
      </c>
    </row>
    <row r="180" customFormat="false" ht="16.4" hidden="false" customHeight="false" outlineLevel="0" collapsed="false">
      <c r="A180" s="0" t="s">
        <v>15</v>
      </c>
      <c r="B180" s="0" t="s">
        <v>677</v>
      </c>
      <c r="C180" s="0" t="n">
        <v>114001</v>
      </c>
      <c r="D180" s="0" t="n">
        <v>114001</v>
      </c>
      <c r="E180" s="0" t="s">
        <v>97</v>
      </c>
      <c r="F180" s="0" t="s">
        <v>18</v>
      </c>
      <c r="G180" s="0" t="s">
        <v>678</v>
      </c>
      <c r="H180" s="0" t="s">
        <v>679</v>
      </c>
      <c r="I180" s="0" t="s">
        <v>21</v>
      </c>
      <c r="J180" s="0" t="s">
        <v>22</v>
      </c>
      <c r="K180" s="0" t="s">
        <v>234</v>
      </c>
      <c r="L180" s="0" t="str">
        <f aca="false">IFERROR(VLOOKUP(K180,'Supplier list'!B:C,2,0),"")</f>
        <v/>
      </c>
      <c r="M180" s="1" t="s">
        <v>24</v>
      </c>
      <c r="O180" s="2" t="n">
        <v>265</v>
      </c>
    </row>
    <row r="181" customFormat="false" ht="16.4" hidden="false" customHeight="false" outlineLevel="0" collapsed="false">
      <c r="A181" s="0" t="s">
        <v>15</v>
      </c>
      <c r="B181" s="0" t="s">
        <v>680</v>
      </c>
      <c r="C181" s="0" t="n">
        <v>114001</v>
      </c>
      <c r="D181" s="0" t="n">
        <v>114001</v>
      </c>
      <c r="E181" s="0" t="s">
        <v>97</v>
      </c>
      <c r="F181" s="0" t="s">
        <v>18</v>
      </c>
      <c r="G181" s="0" t="s">
        <v>681</v>
      </c>
      <c r="H181" s="0" t="s">
        <v>682</v>
      </c>
      <c r="I181" s="0" t="s">
        <v>21</v>
      </c>
      <c r="J181" s="0" t="s">
        <v>22</v>
      </c>
      <c r="K181" s="0" t="s">
        <v>234</v>
      </c>
      <c r="L181" s="0" t="str">
        <f aca="false">IFERROR(VLOOKUP(K181,'Supplier list'!B:C,2,0),"")</f>
        <v/>
      </c>
      <c r="M181" s="1" t="s">
        <v>24</v>
      </c>
      <c r="O181" s="2" t="n">
        <v>265</v>
      </c>
    </row>
    <row r="182" customFormat="false" ht="16.4" hidden="false" customHeight="false" outlineLevel="0" collapsed="false">
      <c r="A182" s="0" t="s">
        <v>15</v>
      </c>
      <c r="B182" s="0" t="s">
        <v>683</v>
      </c>
      <c r="C182" s="0" t="n">
        <v>114001</v>
      </c>
      <c r="D182" s="0" t="n">
        <v>114001</v>
      </c>
      <c r="E182" s="0" t="s">
        <v>97</v>
      </c>
      <c r="F182" s="0" t="s">
        <v>18</v>
      </c>
      <c r="G182" s="0" t="s">
        <v>684</v>
      </c>
      <c r="H182" s="0" t="s">
        <v>685</v>
      </c>
      <c r="I182" s="0" t="s">
        <v>21</v>
      </c>
      <c r="J182" s="0" t="s">
        <v>22</v>
      </c>
      <c r="K182" s="0" t="s">
        <v>234</v>
      </c>
      <c r="L182" s="0" t="str">
        <f aca="false">IFERROR(VLOOKUP(K182,'Supplier list'!B:C,2,0),"")</f>
        <v/>
      </c>
      <c r="M182" s="1" t="s">
        <v>24</v>
      </c>
      <c r="O182" s="2" t="n">
        <v>791</v>
      </c>
    </row>
    <row r="183" customFormat="false" ht="16.4" hidden="false" customHeight="false" outlineLevel="0" collapsed="false">
      <c r="A183" s="0" t="s">
        <v>15</v>
      </c>
      <c r="B183" s="0" t="s">
        <v>686</v>
      </c>
      <c r="C183" s="0" t="n">
        <v>114001</v>
      </c>
      <c r="D183" s="0" t="n">
        <v>114001</v>
      </c>
      <c r="E183" s="0" t="s">
        <v>97</v>
      </c>
      <c r="F183" s="0" t="s">
        <v>18</v>
      </c>
      <c r="G183" s="0" t="s">
        <v>687</v>
      </c>
      <c r="H183" s="0" t="s">
        <v>688</v>
      </c>
      <c r="I183" s="0" t="s">
        <v>21</v>
      </c>
      <c r="J183" s="0" t="s">
        <v>22</v>
      </c>
      <c r="K183" s="0" t="s">
        <v>234</v>
      </c>
      <c r="L183" s="0" t="str">
        <f aca="false">IFERROR(VLOOKUP(K183,'Supplier list'!B:C,2,0),"")</f>
        <v/>
      </c>
      <c r="M183" s="1" t="s">
        <v>24</v>
      </c>
      <c r="O183" s="2" t="n">
        <v>791</v>
      </c>
    </row>
    <row r="184" customFormat="false" ht="16.4" hidden="false" customHeight="false" outlineLevel="0" collapsed="false">
      <c r="A184" s="0" t="s">
        <v>15</v>
      </c>
      <c r="B184" s="0" t="s">
        <v>689</v>
      </c>
      <c r="C184" s="0" t="n">
        <v>114001</v>
      </c>
      <c r="D184" s="0" t="n">
        <v>114001</v>
      </c>
      <c r="E184" s="0" t="s">
        <v>97</v>
      </c>
      <c r="F184" s="0" t="s">
        <v>18</v>
      </c>
      <c r="G184" s="0" t="s">
        <v>690</v>
      </c>
      <c r="H184" s="0" t="s">
        <v>691</v>
      </c>
      <c r="I184" s="0" t="s">
        <v>21</v>
      </c>
      <c r="J184" s="0" t="s">
        <v>22</v>
      </c>
      <c r="K184" s="0" t="s">
        <v>234</v>
      </c>
      <c r="L184" s="0" t="str">
        <f aca="false">IFERROR(VLOOKUP(K184,'Supplier list'!B:C,2,0),"")</f>
        <v/>
      </c>
      <c r="M184" s="1" t="s">
        <v>24</v>
      </c>
      <c r="O184" s="2" t="n">
        <v>585</v>
      </c>
    </row>
    <row r="185" customFormat="false" ht="16.4" hidden="false" customHeight="false" outlineLevel="0" collapsed="false">
      <c r="A185" s="0" t="s">
        <v>15</v>
      </c>
      <c r="B185" s="0" t="s">
        <v>692</v>
      </c>
      <c r="C185" s="0" t="n">
        <v>114001</v>
      </c>
      <c r="D185" s="0" t="n">
        <v>114001</v>
      </c>
      <c r="E185" s="0" t="s">
        <v>97</v>
      </c>
      <c r="F185" s="0" t="s">
        <v>18</v>
      </c>
      <c r="G185" s="0" t="s">
        <v>693</v>
      </c>
      <c r="H185" s="0" t="s">
        <v>694</v>
      </c>
      <c r="I185" s="0" t="s">
        <v>21</v>
      </c>
      <c r="J185" s="0" t="s">
        <v>22</v>
      </c>
      <c r="K185" s="0" t="s">
        <v>176</v>
      </c>
      <c r="L185" s="0" t="str">
        <f aca="false">IFERROR(VLOOKUP(K185,'Supplier list'!B:C,2,0),"")</f>
        <v>บริษัท ต้าโจว อินดัสทรี จำกัด</v>
      </c>
      <c r="M185" s="1" t="s">
        <v>24</v>
      </c>
      <c r="O185" s="2" t="n">
        <v>180</v>
      </c>
    </row>
    <row r="186" customFormat="false" ht="16.4" hidden="false" customHeight="false" outlineLevel="0" collapsed="false">
      <c r="A186" s="0" t="s">
        <v>15</v>
      </c>
      <c r="B186" s="0" t="s">
        <v>695</v>
      </c>
      <c r="C186" s="0" t="n">
        <v>114001</v>
      </c>
      <c r="D186" s="0" t="n">
        <v>114001</v>
      </c>
      <c r="E186" s="0" t="s">
        <v>97</v>
      </c>
      <c r="F186" s="0" t="s">
        <v>18</v>
      </c>
      <c r="G186" s="0" t="s">
        <v>696</v>
      </c>
      <c r="H186" s="0" t="s">
        <v>697</v>
      </c>
      <c r="I186" s="0" t="s">
        <v>21</v>
      </c>
      <c r="J186" s="0" t="s">
        <v>22</v>
      </c>
      <c r="K186" s="0" t="s">
        <v>234</v>
      </c>
      <c r="L186" s="0" t="str">
        <f aca="false">IFERROR(VLOOKUP(K186,'Supplier list'!B:C,2,0),"")</f>
        <v/>
      </c>
      <c r="M186" s="1" t="s">
        <v>24</v>
      </c>
      <c r="O186" s="2" t="n">
        <v>585</v>
      </c>
    </row>
    <row r="187" customFormat="false" ht="16.4" hidden="false" customHeight="false" outlineLevel="0" collapsed="false">
      <c r="A187" s="0" t="s">
        <v>15</v>
      </c>
      <c r="B187" s="0" t="s">
        <v>698</v>
      </c>
      <c r="C187" s="0" t="n">
        <v>114001</v>
      </c>
      <c r="D187" s="0" t="n">
        <v>114001</v>
      </c>
      <c r="E187" s="0" t="s">
        <v>97</v>
      </c>
      <c r="F187" s="0" t="s">
        <v>18</v>
      </c>
      <c r="G187" s="0" t="s">
        <v>699</v>
      </c>
      <c r="H187" s="0" t="s">
        <v>700</v>
      </c>
      <c r="I187" s="0" t="s">
        <v>701</v>
      </c>
      <c r="J187" s="0" t="s">
        <v>22</v>
      </c>
      <c r="K187" s="0" t="s">
        <v>234</v>
      </c>
      <c r="L187" s="0" t="str">
        <f aca="false">IFERROR(VLOOKUP(K187,'Supplier list'!B:C,2,0),"")</f>
        <v/>
      </c>
      <c r="M187" s="1" t="s">
        <v>24</v>
      </c>
      <c r="O187" s="2" t="n">
        <v>585</v>
      </c>
    </row>
    <row r="188" customFormat="false" ht="16.4" hidden="false" customHeight="false" outlineLevel="0" collapsed="false">
      <c r="A188" s="0" t="s">
        <v>15</v>
      </c>
      <c r="B188" s="0" t="s">
        <v>702</v>
      </c>
      <c r="C188" s="0" t="n">
        <v>114001</v>
      </c>
      <c r="D188" s="0" t="n">
        <v>114001</v>
      </c>
      <c r="E188" s="0" t="s">
        <v>97</v>
      </c>
      <c r="F188" s="0" t="s">
        <v>18</v>
      </c>
      <c r="G188" s="0" t="s">
        <v>703</v>
      </c>
      <c r="H188" s="0" t="s">
        <v>704</v>
      </c>
      <c r="I188" s="0" t="s">
        <v>21</v>
      </c>
      <c r="J188" s="0" t="s">
        <v>22</v>
      </c>
      <c r="L188" s="0" t="str">
        <f aca="false">IFERROR(VLOOKUP(K188,'Supplier list'!B:C,2,0),"")</f>
        <v/>
      </c>
      <c r="M188" s="1" t="s">
        <v>24</v>
      </c>
      <c r="O188" s="2" t="n">
        <v>108</v>
      </c>
    </row>
    <row r="189" customFormat="false" ht="16.4" hidden="false" customHeight="false" outlineLevel="0" collapsed="false">
      <c r="A189" s="0" t="s">
        <v>15</v>
      </c>
      <c r="B189" s="0" t="s">
        <v>705</v>
      </c>
      <c r="C189" s="0" t="n">
        <v>114001</v>
      </c>
      <c r="D189" s="0" t="n">
        <v>114001</v>
      </c>
      <c r="E189" s="0" t="s">
        <v>97</v>
      </c>
      <c r="F189" s="0" t="s">
        <v>18</v>
      </c>
      <c r="G189" s="0" t="s">
        <v>706</v>
      </c>
      <c r="H189" s="0" t="s">
        <v>707</v>
      </c>
      <c r="I189" s="0" t="s">
        <v>21</v>
      </c>
      <c r="J189" s="0" t="s">
        <v>22</v>
      </c>
      <c r="L189" s="0" t="str">
        <f aca="false">IFERROR(VLOOKUP(K189,'Supplier list'!B:C,2,0),"")</f>
        <v/>
      </c>
      <c r="M189" s="1" t="s">
        <v>24</v>
      </c>
      <c r="O189" s="2" t="n">
        <v>125</v>
      </c>
    </row>
    <row r="190" customFormat="false" ht="16.4" hidden="false" customHeight="false" outlineLevel="0" collapsed="false">
      <c r="A190" s="0" t="s">
        <v>15</v>
      </c>
      <c r="B190" s="0" t="s">
        <v>708</v>
      </c>
      <c r="C190" s="0" t="n">
        <v>114001</v>
      </c>
      <c r="D190" s="0" t="n">
        <v>114001</v>
      </c>
      <c r="E190" s="0" t="s">
        <v>97</v>
      </c>
      <c r="F190" s="0" t="s">
        <v>18</v>
      </c>
      <c r="G190" s="0" t="s">
        <v>709</v>
      </c>
      <c r="H190" s="0" t="s">
        <v>710</v>
      </c>
      <c r="I190" s="0" t="s">
        <v>21</v>
      </c>
      <c r="J190" s="0" t="s">
        <v>22</v>
      </c>
      <c r="L190" s="0" t="str">
        <f aca="false">IFERROR(VLOOKUP(K190,'Supplier list'!B:C,2,0),"")</f>
        <v/>
      </c>
      <c r="M190" s="1" t="s">
        <v>24</v>
      </c>
      <c r="O190" s="2" t="n">
        <v>195</v>
      </c>
    </row>
    <row r="191" customFormat="false" ht="16.4" hidden="false" customHeight="false" outlineLevel="0" collapsed="false">
      <c r="A191" s="0" t="s">
        <v>15</v>
      </c>
      <c r="B191" s="0" t="s">
        <v>711</v>
      </c>
      <c r="C191" s="0" t="n">
        <v>114001</v>
      </c>
      <c r="D191" s="0" t="n">
        <v>114001</v>
      </c>
      <c r="E191" s="0" t="s">
        <v>97</v>
      </c>
      <c r="F191" s="0" t="s">
        <v>18</v>
      </c>
      <c r="G191" s="0" t="s">
        <v>712</v>
      </c>
      <c r="H191" s="0" t="s">
        <v>713</v>
      </c>
      <c r="I191" s="0" t="s">
        <v>21</v>
      </c>
      <c r="J191" s="0" t="s">
        <v>22</v>
      </c>
      <c r="K191" s="0" t="s">
        <v>176</v>
      </c>
      <c r="L191" s="0" t="str">
        <f aca="false">IFERROR(VLOOKUP(K191,'Supplier list'!B:C,2,0),"")</f>
        <v>บริษัท ต้าโจว อินดัสทรี จำกัด</v>
      </c>
      <c r="M191" s="1" t="s">
        <v>24</v>
      </c>
      <c r="O191" s="2" t="n">
        <v>105</v>
      </c>
    </row>
    <row r="192" customFormat="false" ht="16.4" hidden="false" customHeight="false" outlineLevel="0" collapsed="false">
      <c r="A192" s="0" t="s">
        <v>15</v>
      </c>
      <c r="B192" s="0" t="s">
        <v>714</v>
      </c>
      <c r="C192" s="0" t="n">
        <v>114001</v>
      </c>
      <c r="D192" s="0" t="n">
        <v>114001</v>
      </c>
      <c r="E192" s="0" t="s">
        <v>97</v>
      </c>
      <c r="F192" s="0" t="s">
        <v>18</v>
      </c>
      <c r="G192" s="0" t="s">
        <v>715</v>
      </c>
      <c r="H192" s="0" t="s">
        <v>716</v>
      </c>
      <c r="I192" s="0" t="s">
        <v>21</v>
      </c>
      <c r="J192" s="0" t="s">
        <v>22</v>
      </c>
      <c r="K192" s="0" t="s">
        <v>176</v>
      </c>
      <c r="L192" s="0" t="str">
        <f aca="false">IFERROR(VLOOKUP(K192,'Supplier list'!B:C,2,0),"")</f>
        <v>บริษัท ต้าโจว อินดัสทรี จำกัด</v>
      </c>
      <c r="M192" s="1" t="s">
        <v>24</v>
      </c>
      <c r="O192" s="2" t="n">
        <v>105</v>
      </c>
    </row>
    <row r="193" customFormat="false" ht="16.4" hidden="false" customHeight="false" outlineLevel="0" collapsed="false">
      <c r="A193" s="0" t="s">
        <v>15</v>
      </c>
      <c r="B193" s="0" t="s">
        <v>717</v>
      </c>
      <c r="C193" s="0" t="n">
        <v>114001</v>
      </c>
      <c r="D193" s="0" t="n">
        <v>114001</v>
      </c>
      <c r="E193" s="0" t="s">
        <v>97</v>
      </c>
      <c r="F193" s="0" t="s">
        <v>18</v>
      </c>
      <c r="G193" s="0" t="s">
        <v>718</v>
      </c>
      <c r="H193" s="0" t="s">
        <v>719</v>
      </c>
      <c r="I193" s="0" t="s">
        <v>21</v>
      </c>
      <c r="J193" s="0" t="s">
        <v>22</v>
      </c>
      <c r="K193" s="0" t="s">
        <v>234</v>
      </c>
      <c r="L193" s="0" t="str">
        <f aca="false">IFERROR(VLOOKUP(K193,'Supplier list'!B:C,2,0),"")</f>
        <v/>
      </c>
      <c r="M193" s="1" t="s">
        <v>24</v>
      </c>
      <c r="O193" s="2" t="n">
        <v>420</v>
      </c>
    </row>
    <row r="194" customFormat="false" ht="16.4" hidden="false" customHeight="false" outlineLevel="0" collapsed="false">
      <c r="A194" s="0" t="s">
        <v>15</v>
      </c>
      <c r="B194" s="0" t="s">
        <v>720</v>
      </c>
      <c r="C194" s="0" t="n">
        <v>114001</v>
      </c>
      <c r="D194" s="0" t="n">
        <v>114001</v>
      </c>
      <c r="E194" s="0" t="s">
        <v>97</v>
      </c>
      <c r="F194" s="0" t="s">
        <v>18</v>
      </c>
      <c r="G194" s="0" t="s">
        <v>721</v>
      </c>
      <c r="H194" s="0" t="s">
        <v>722</v>
      </c>
      <c r="I194" s="0" t="s">
        <v>21</v>
      </c>
      <c r="J194" s="0" t="s">
        <v>22</v>
      </c>
      <c r="L194" s="0" t="str">
        <f aca="false">IFERROR(VLOOKUP(K194,'Supplier list'!B:C,2,0),"")</f>
        <v/>
      </c>
      <c r="M194" s="1" t="s">
        <v>24</v>
      </c>
      <c r="O194" s="2" t="n">
        <v>330</v>
      </c>
    </row>
    <row r="195" customFormat="false" ht="16.4" hidden="false" customHeight="false" outlineLevel="0" collapsed="false">
      <c r="A195" s="0" t="s">
        <v>15</v>
      </c>
      <c r="B195" s="0" t="s">
        <v>723</v>
      </c>
      <c r="C195" s="0" t="n">
        <v>114001</v>
      </c>
      <c r="D195" s="0" t="n">
        <v>114001</v>
      </c>
      <c r="E195" s="0" t="s">
        <v>97</v>
      </c>
      <c r="F195" s="0" t="s">
        <v>18</v>
      </c>
      <c r="G195" s="0" t="s">
        <v>724</v>
      </c>
      <c r="H195" s="0" t="s">
        <v>725</v>
      </c>
      <c r="I195" s="0" t="s">
        <v>21</v>
      </c>
      <c r="J195" s="0" t="s">
        <v>22</v>
      </c>
      <c r="L195" s="0" t="str">
        <f aca="false">IFERROR(VLOOKUP(K195,'Supplier list'!B:C,2,0),"")</f>
        <v/>
      </c>
      <c r="M195" s="1" t="s">
        <v>24</v>
      </c>
      <c r="O195" s="2" t="n">
        <v>249</v>
      </c>
    </row>
    <row r="196" customFormat="false" ht="16.4" hidden="false" customHeight="false" outlineLevel="0" collapsed="false">
      <c r="A196" s="0" t="s">
        <v>15</v>
      </c>
      <c r="B196" s="0" t="s">
        <v>726</v>
      </c>
      <c r="C196" s="0" t="n">
        <v>114001</v>
      </c>
      <c r="D196" s="0" t="n">
        <v>114001</v>
      </c>
      <c r="E196" s="0" t="s">
        <v>97</v>
      </c>
      <c r="F196" s="0" t="s">
        <v>18</v>
      </c>
      <c r="G196" s="0" t="s">
        <v>727</v>
      </c>
      <c r="H196" s="0" t="s">
        <v>728</v>
      </c>
      <c r="I196" s="0" t="s">
        <v>21</v>
      </c>
      <c r="J196" s="0" t="s">
        <v>22</v>
      </c>
      <c r="L196" s="0" t="str">
        <f aca="false">IFERROR(VLOOKUP(K196,'Supplier list'!B:C,2,0),"")</f>
        <v/>
      </c>
      <c r="M196" s="1" t="s">
        <v>24</v>
      </c>
      <c r="O196" s="2" t="n">
        <v>249</v>
      </c>
    </row>
    <row r="197" customFormat="false" ht="16.4" hidden="false" customHeight="false" outlineLevel="0" collapsed="false">
      <c r="A197" s="0" t="s">
        <v>15</v>
      </c>
      <c r="B197" s="0" t="s">
        <v>729</v>
      </c>
      <c r="C197" s="0" t="n">
        <v>114001</v>
      </c>
      <c r="D197" s="0" t="n">
        <v>114001</v>
      </c>
      <c r="E197" s="0" t="s">
        <v>97</v>
      </c>
      <c r="F197" s="0" t="s">
        <v>18</v>
      </c>
      <c r="G197" s="0" t="s">
        <v>730</v>
      </c>
      <c r="H197" s="0" t="s">
        <v>731</v>
      </c>
      <c r="I197" s="0" t="s">
        <v>21</v>
      </c>
      <c r="J197" s="0" t="s">
        <v>22</v>
      </c>
      <c r="L197" s="0" t="str">
        <f aca="false">IFERROR(VLOOKUP(K197,'Supplier list'!B:C,2,0),"")</f>
        <v/>
      </c>
      <c r="M197" s="1" t="s">
        <v>24</v>
      </c>
      <c r="O197" s="2" t="n">
        <v>580</v>
      </c>
    </row>
    <row r="198" customFormat="false" ht="16.4" hidden="false" customHeight="false" outlineLevel="0" collapsed="false">
      <c r="A198" s="0" t="s">
        <v>15</v>
      </c>
      <c r="B198" s="0" t="s">
        <v>732</v>
      </c>
      <c r="C198" s="0" t="n">
        <v>114001</v>
      </c>
      <c r="D198" s="0" t="n">
        <v>114001</v>
      </c>
      <c r="E198" s="0" t="s">
        <v>97</v>
      </c>
      <c r="F198" s="0" t="s">
        <v>18</v>
      </c>
      <c r="G198" s="0" t="s">
        <v>733</v>
      </c>
      <c r="H198" s="0" t="s">
        <v>734</v>
      </c>
      <c r="I198" s="0" t="s">
        <v>21</v>
      </c>
      <c r="J198" s="0" t="s">
        <v>22</v>
      </c>
      <c r="L198" s="0" t="str">
        <f aca="false">IFERROR(VLOOKUP(K198,'Supplier list'!B:C,2,0),"")</f>
        <v/>
      </c>
      <c r="M198" s="1" t="s">
        <v>24</v>
      </c>
      <c r="O198" s="2" t="n">
        <v>580</v>
      </c>
    </row>
    <row r="199" customFormat="false" ht="16.4" hidden="false" customHeight="false" outlineLevel="0" collapsed="false">
      <c r="A199" s="0" t="s">
        <v>15</v>
      </c>
      <c r="B199" s="0" t="s">
        <v>735</v>
      </c>
      <c r="C199" s="0" t="n">
        <v>114001</v>
      </c>
      <c r="D199" s="0" t="n">
        <v>114001</v>
      </c>
      <c r="E199" s="0" t="s">
        <v>736</v>
      </c>
      <c r="F199" s="0" t="s">
        <v>18</v>
      </c>
      <c r="G199" s="0" t="s">
        <v>737</v>
      </c>
      <c r="H199" s="0" t="s">
        <v>738</v>
      </c>
      <c r="I199" s="0" t="s">
        <v>124</v>
      </c>
      <c r="J199" s="0" t="s">
        <v>125</v>
      </c>
      <c r="K199" s="0" t="s">
        <v>739</v>
      </c>
      <c r="L199" s="0" t="str">
        <f aca="false">IFERROR(VLOOKUP(K199,'Supplier list'!B:C,2,0),"")</f>
        <v>บริษัท ฮาร์ดแวร์เฮาส์ จำกัด</v>
      </c>
      <c r="M199" s="1" t="s">
        <v>24</v>
      </c>
      <c r="O199" s="2" t="n">
        <v>102</v>
      </c>
    </row>
    <row r="200" customFormat="false" ht="16.4" hidden="false" customHeight="false" outlineLevel="0" collapsed="false">
      <c r="A200" s="0" t="s">
        <v>15</v>
      </c>
      <c r="B200" s="0" t="s">
        <v>740</v>
      </c>
      <c r="C200" s="0" t="n">
        <v>114001</v>
      </c>
      <c r="D200" s="0" t="n">
        <v>114001</v>
      </c>
      <c r="E200" s="0" t="s">
        <v>659</v>
      </c>
      <c r="F200" s="0" t="s">
        <v>18</v>
      </c>
      <c r="G200" s="0" t="s">
        <v>741</v>
      </c>
      <c r="H200" s="0" t="s">
        <v>742</v>
      </c>
      <c r="I200" s="0" t="s">
        <v>701</v>
      </c>
      <c r="J200" s="0" t="s">
        <v>22</v>
      </c>
      <c r="K200" s="0" t="s">
        <v>75</v>
      </c>
      <c r="L200" s="0" t="str">
        <f aca="false">IFERROR(VLOOKUP(K200,'Supplier list'!B:C,2,0),"")</f>
        <v/>
      </c>
      <c r="M200" s="1" t="s">
        <v>24</v>
      </c>
      <c r="O200" s="2" t="n">
        <v>30</v>
      </c>
    </row>
    <row r="201" customFormat="false" ht="16.4" hidden="false" customHeight="false" outlineLevel="0" collapsed="false">
      <c r="A201" s="0" t="s">
        <v>15</v>
      </c>
      <c r="B201" s="0" t="s">
        <v>743</v>
      </c>
      <c r="C201" s="0" t="n">
        <v>114001</v>
      </c>
      <c r="D201" s="0" t="n">
        <v>114001</v>
      </c>
      <c r="E201" s="0" t="s">
        <v>659</v>
      </c>
      <c r="F201" s="0" t="s">
        <v>18</v>
      </c>
      <c r="G201" s="0" t="s">
        <v>744</v>
      </c>
      <c r="H201" s="0" t="s">
        <v>745</v>
      </c>
      <c r="I201" s="0" t="s">
        <v>701</v>
      </c>
      <c r="J201" s="0" t="s">
        <v>22</v>
      </c>
      <c r="K201" s="0" t="s">
        <v>75</v>
      </c>
      <c r="L201" s="0" t="str">
        <f aca="false">IFERROR(VLOOKUP(K201,'Supplier list'!B:C,2,0),"")</f>
        <v/>
      </c>
      <c r="M201" s="1" t="s">
        <v>24</v>
      </c>
      <c r="O201" s="2" t="n">
        <v>30</v>
      </c>
    </row>
    <row r="202" customFormat="false" ht="16.4" hidden="false" customHeight="false" outlineLevel="0" collapsed="false">
      <c r="A202" s="0" t="s">
        <v>15</v>
      </c>
      <c r="B202" s="0" t="s">
        <v>746</v>
      </c>
      <c r="C202" s="0" t="n">
        <v>114001</v>
      </c>
      <c r="D202" s="0" t="n">
        <v>114001</v>
      </c>
      <c r="E202" s="0" t="s">
        <v>97</v>
      </c>
      <c r="F202" s="0" t="s">
        <v>18</v>
      </c>
      <c r="G202" s="0" t="s">
        <v>747</v>
      </c>
      <c r="H202" s="0" t="s">
        <v>748</v>
      </c>
      <c r="I202" s="0" t="s">
        <v>701</v>
      </c>
      <c r="J202" s="0" t="s">
        <v>22</v>
      </c>
      <c r="L202" s="0" t="str">
        <f aca="false">IFERROR(VLOOKUP(K202,'Supplier list'!B:C,2,0),"")</f>
        <v/>
      </c>
      <c r="M202" s="1" t="s">
        <v>24</v>
      </c>
      <c r="O202" s="2" t="n">
        <v>1490</v>
      </c>
    </row>
    <row r="203" customFormat="false" ht="16.4" hidden="false" customHeight="false" outlineLevel="0" collapsed="false">
      <c r="A203" s="0" t="s">
        <v>15</v>
      </c>
      <c r="B203" s="0" t="s">
        <v>749</v>
      </c>
      <c r="C203" s="0" t="n">
        <v>114001</v>
      </c>
      <c r="D203" s="0" t="n">
        <v>114001</v>
      </c>
      <c r="E203" s="0" t="s">
        <v>659</v>
      </c>
      <c r="F203" s="0" t="s">
        <v>18</v>
      </c>
      <c r="G203" s="0" t="s">
        <v>750</v>
      </c>
      <c r="H203" s="0" t="s">
        <v>751</v>
      </c>
      <c r="I203" s="0" t="s">
        <v>701</v>
      </c>
      <c r="J203" s="0" t="s">
        <v>22</v>
      </c>
      <c r="L203" s="0" t="str">
        <f aca="false">IFERROR(VLOOKUP(K203,'Supplier list'!B:C,2,0),"")</f>
        <v/>
      </c>
      <c r="M203" s="1" t="s">
        <v>24</v>
      </c>
      <c r="O203" s="2" t="n">
        <v>163</v>
      </c>
    </row>
    <row r="204" customFormat="false" ht="16.4" hidden="false" customHeight="false" outlineLevel="0" collapsed="false">
      <c r="A204" s="0" t="s">
        <v>15</v>
      </c>
      <c r="B204" s="0" t="s">
        <v>752</v>
      </c>
      <c r="C204" s="0" t="n">
        <v>114001</v>
      </c>
      <c r="D204" s="0" t="n">
        <v>114001</v>
      </c>
      <c r="E204" s="0" t="s">
        <v>659</v>
      </c>
      <c r="F204" s="0" t="s">
        <v>18</v>
      </c>
      <c r="G204" s="0" t="s">
        <v>753</v>
      </c>
      <c r="H204" s="0" t="s">
        <v>754</v>
      </c>
      <c r="I204" s="0" t="s">
        <v>701</v>
      </c>
      <c r="J204" s="0" t="s">
        <v>22</v>
      </c>
      <c r="L204" s="0" t="str">
        <f aca="false">IFERROR(VLOOKUP(K204,'Supplier list'!B:C,2,0),"")</f>
        <v/>
      </c>
      <c r="M204" s="1" t="s">
        <v>24</v>
      </c>
      <c r="O204" s="2" t="n">
        <v>135</v>
      </c>
    </row>
    <row r="205" customFormat="false" ht="28.35" hidden="false" customHeight="false" outlineLevel="0" collapsed="false">
      <c r="A205" s="0" t="s">
        <v>15</v>
      </c>
      <c r="B205" s="0" t="s">
        <v>755</v>
      </c>
      <c r="C205" s="0" t="n">
        <v>114001</v>
      </c>
      <c r="D205" s="0" t="n">
        <v>114001</v>
      </c>
      <c r="E205" s="0" t="s">
        <v>756</v>
      </c>
      <c r="F205" s="0" t="s">
        <v>18</v>
      </c>
      <c r="G205" s="0" t="s">
        <v>757</v>
      </c>
      <c r="H205" s="0" t="s">
        <v>758</v>
      </c>
      <c r="I205" s="0" t="s">
        <v>21</v>
      </c>
      <c r="J205" s="0" t="s">
        <v>22</v>
      </c>
      <c r="K205" s="6" t="s">
        <v>192</v>
      </c>
      <c r="L205" s="0" t="str">
        <f aca="false">IFERROR(VLOOKUP(K205,'Supplier list'!B:C,2,0),"")</f>
        <v/>
      </c>
      <c r="M205" s="1" t="s">
        <v>24</v>
      </c>
      <c r="O205" s="2" t="n">
        <v>0.39</v>
      </c>
    </row>
    <row r="206" customFormat="false" ht="16.4" hidden="false" customHeight="false" outlineLevel="0" collapsed="false">
      <c r="A206" s="0" t="s">
        <v>15</v>
      </c>
      <c r="B206" s="0" t="s">
        <v>759</v>
      </c>
      <c r="C206" s="0" t="n">
        <v>114001</v>
      </c>
      <c r="D206" s="0" t="n">
        <v>114001</v>
      </c>
      <c r="E206" s="0" t="s">
        <v>217</v>
      </c>
      <c r="F206" s="0" t="s">
        <v>18</v>
      </c>
      <c r="G206" s="0" t="s">
        <v>760</v>
      </c>
      <c r="H206" s="0" t="s">
        <v>761</v>
      </c>
      <c r="I206" s="0" t="s">
        <v>21</v>
      </c>
      <c r="J206" s="0" t="s">
        <v>22</v>
      </c>
      <c r="K206" s="0" t="s">
        <v>75</v>
      </c>
      <c r="L206" s="0" t="str">
        <f aca="false">IFERROR(VLOOKUP(K206,'Supplier list'!B:C,2,0),"")</f>
        <v/>
      </c>
      <c r="M206" s="1" t="s">
        <v>24</v>
      </c>
      <c r="O206" s="2" t="n">
        <v>95</v>
      </c>
    </row>
    <row r="207" customFormat="false" ht="16.4" hidden="false" customHeight="false" outlineLevel="0" collapsed="false">
      <c r="A207" s="0" t="s">
        <v>15</v>
      </c>
      <c r="B207" s="0" t="s">
        <v>762</v>
      </c>
      <c r="C207" s="0" t="n">
        <v>114001</v>
      </c>
      <c r="D207" s="0" t="n">
        <v>114001</v>
      </c>
      <c r="E207" s="0" t="s">
        <v>97</v>
      </c>
      <c r="F207" s="0" t="s">
        <v>18</v>
      </c>
      <c r="G207" s="0" t="s">
        <v>763</v>
      </c>
      <c r="H207" s="0" t="s">
        <v>764</v>
      </c>
      <c r="I207" s="0" t="s">
        <v>765</v>
      </c>
      <c r="J207" s="0" t="s">
        <v>22</v>
      </c>
      <c r="L207" s="0" t="str">
        <f aca="false">IFERROR(VLOOKUP(K207,'Supplier list'!B:C,2,0),"")</f>
        <v/>
      </c>
      <c r="M207" s="1" t="s">
        <v>24</v>
      </c>
      <c r="O207" s="2" t="n">
        <v>170</v>
      </c>
    </row>
    <row r="208" customFormat="false" ht="16.4" hidden="false" customHeight="false" outlineLevel="0" collapsed="false">
      <c r="A208" s="0" t="s">
        <v>15</v>
      </c>
      <c r="B208" s="0" t="s">
        <v>766</v>
      </c>
      <c r="C208" s="0" t="n">
        <v>114001</v>
      </c>
      <c r="D208" s="0" t="n">
        <v>114001</v>
      </c>
      <c r="E208" s="0" t="s">
        <v>97</v>
      </c>
      <c r="F208" s="0" t="s">
        <v>18</v>
      </c>
      <c r="G208" s="0" t="s">
        <v>767</v>
      </c>
      <c r="H208" s="0" t="s">
        <v>768</v>
      </c>
      <c r="I208" s="0" t="s">
        <v>765</v>
      </c>
      <c r="J208" s="0" t="s">
        <v>22</v>
      </c>
      <c r="L208" s="0" t="str">
        <f aca="false">IFERROR(VLOOKUP(K208,'Supplier list'!B:C,2,0),"")</f>
        <v/>
      </c>
      <c r="M208" s="1" t="s">
        <v>24</v>
      </c>
      <c r="O208" s="2" t="n">
        <v>150</v>
      </c>
    </row>
    <row r="209" customFormat="false" ht="16.4" hidden="false" customHeight="false" outlineLevel="0" collapsed="false">
      <c r="A209" s="0" t="s">
        <v>15</v>
      </c>
      <c r="B209" s="0" t="s">
        <v>769</v>
      </c>
      <c r="C209" s="0" t="n">
        <v>114001</v>
      </c>
      <c r="D209" s="0" t="n">
        <v>114001</v>
      </c>
      <c r="E209" s="0" t="s">
        <v>97</v>
      </c>
      <c r="F209" s="0" t="s">
        <v>18</v>
      </c>
      <c r="G209" s="0" t="s">
        <v>770</v>
      </c>
      <c r="H209" s="0" t="s">
        <v>771</v>
      </c>
      <c r="I209" s="0" t="s">
        <v>765</v>
      </c>
      <c r="J209" s="0" t="s">
        <v>22</v>
      </c>
      <c r="L209" s="0" t="str">
        <f aca="false">IFERROR(VLOOKUP(K209,'Supplier list'!B:C,2,0),"")</f>
        <v/>
      </c>
      <c r="M209" s="1" t="s">
        <v>24</v>
      </c>
      <c r="O209" s="2" t="n">
        <v>170</v>
      </c>
    </row>
    <row r="210" customFormat="false" ht="16.4" hidden="false" customHeight="false" outlineLevel="0" collapsed="false">
      <c r="A210" s="0" t="s">
        <v>15</v>
      </c>
      <c r="B210" s="0" t="s">
        <v>772</v>
      </c>
      <c r="C210" s="0" t="n">
        <v>114001</v>
      </c>
      <c r="D210" s="0" t="n">
        <v>114001</v>
      </c>
      <c r="E210" s="0" t="s">
        <v>97</v>
      </c>
      <c r="F210" s="0" t="s">
        <v>18</v>
      </c>
      <c r="G210" s="0" t="s">
        <v>773</v>
      </c>
      <c r="H210" s="0" t="s">
        <v>774</v>
      </c>
      <c r="I210" s="0" t="s">
        <v>765</v>
      </c>
      <c r="J210" s="0" t="s">
        <v>22</v>
      </c>
      <c r="L210" s="0" t="str">
        <f aca="false">IFERROR(VLOOKUP(K210,'Supplier list'!B:C,2,0),"")</f>
        <v/>
      </c>
      <c r="M210" s="1" t="s">
        <v>24</v>
      </c>
      <c r="O210" s="2" t="n">
        <v>150</v>
      </c>
    </row>
    <row r="211" customFormat="false" ht="16.4" hidden="false" customHeight="false" outlineLevel="0" collapsed="false">
      <c r="A211" s="0" t="s">
        <v>15</v>
      </c>
      <c r="B211" s="0" t="s">
        <v>775</v>
      </c>
      <c r="C211" s="0" t="n">
        <v>114001</v>
      </c>
      <c r="D211" s="0" t="n">
        <v>114001</v>
      </c>
      <c r="E211" s="0" t="s">
        <v>217</v>
      </c>
      <c r="F211" s="0" t="s">
        <v>18</v>
      </c>
      <c r="G211" s="0" t="s">
        <v>776</v>
      </c>
      <c r="H211" s="0" t="s">
        <v>777</v>
      </c>
      <c r="I211" s="0" t="s">
        <v>765</v>
      </c>
      <c r="J211" s="0" t="s">
        <v>22</v>
      </c>
      <c r="K211" s="0" t="s">
        <v>75</v>
      </c>
      <c r="L211" s="0" t="str">
        <f aca="false">IFERROR(VLOOKUP(K211,'Supplier list'!B:C,2,0),"")</f>
        <v/>
      </c>
      <c r="M211" s="1" t="s">
        <v>24</v>
      </c>
      <c r="O211" s="2" t="n">
        <v>50</v>
      </c>
    </row>
    <row r="212" customFormat="false" ht="16.4" hidden="false" customHeight="false" outlineLevel="0" collapsed="false">
      <c r="A212" s="0" t="s">
        <v>15</v>
      </c>
      <c r="B212" s="0" t="s">
        <v>778</v>
      </c>
      <c r="C212" s="0" t="n">
        <v>114001</v>
      </c>
      <c r="D212" s="0" t="n">
        <v>114001</v>
      </c>
      <c r="E212" s="0" t="s">
        <v>97</v>
      </c>
      <c r="F212" s="0" t="s">
        <v>18</v>
      </c>
      <c r="G212" s="0" t="s">
        <v>779</v>
      </c>
      <c r="H212" s="0" t="s">
        <v>780</v>
      </c>
      <c r="I212" s="0" t="s">
        <v>765</v>
      </c>
      <c r="J212" s="0" t="s">
        <v>22</v>
      </c>
      <c r="L212" s="0" t="str">
        <f aca="false">IFERROR(VLOOKUP(K212,'Supplier list'!B:C,2,0),"")</f>
        <v/>
      </c>
      <c r="M212" s="1" t="s">
        <v>24</v>
      </c>
      <c r="O212" s="2" t="n">
        <v>125</v>
      </c>
    </row>
    <row r="213" customFormat="false" ht="16.4" hidden="false" customHeight="false" outlineLevel="0" collapsed="false">
      <c r="A213" s="0" t="s">
        <v>15</v>
      </c>
      <c r="B213" s="0" t="s">
        <v>781</v>
      </c>
      <c r="C213" s="0" t="n">
        <v>114001</v>
      </c>
      <c r="D213" s="0" t="n">
        <v>114001</v>
      </c>
      <c r="E213" s="0" t="s">
        <v>217</v>
      </c>
      <c r="F213" s="0" t="s">
        <v>18</v>
      </c>
      <c r="G213" s="0" t="s">
        <v>782</v>
      </c>
      <c r="H213" s="0" t="s">
        <v>783</v>
      </c>
      <c r="I213" s="0" t="s">
        <v>765</v>
      </c>
      <c r="J213" s="0" t="s">
        <v>22</v>
      </c>
      <c r="K213" s="0" t="s">
        <v>75</v>
      </c>
      <c r="L213" s="0" t="str">
        <f aca="false">IFERROR(VLOOKUP(K213,'Supplier list'!B:C,2,0),"")</f>
        <v/>
      </c>
      <c r="M213" s="1" t="s">
        <v>24</v>
      </c>
      <c r="O213" s="2" t="n">
        <v>75</v>
      </c>
    </row>
    <row r="214" customFormat="false" ht="16.4" hidden="false" customHeight="false" outlineLevel="0" collapsed="false">
      <c r="A214" s="0" t="s">
        <v>15</v>
      </c>
      <c r="B214" s="0" t="s">
        <v>784</v>
      </c>
      <c r="C214" s="0" t="n">
        <v>114001</v>
      </c>
      <c r="D214" s="0" t="n">
        <v>114001</v>
      </c>
      <c r="E214" s="0" t="s">
        <v>756</v>
      </c>
      <c r="F214" s="0" t="s">
        <v>18</v>
      </c>
      <c r="G214" s="0" t="s">
        <v>785</v>
      </c>
      <c r="H214" s="0" t="s">
        <v>786</v>
      </c>
      <c r="I214" s="0" t="s">
        <v>21</v>
      </c>
      <c r="J214" s="0" t="s">
        <v>22</v>
      </c>
      <c r="K214" s="0" t="s">
        <v>787</v>
      </c>
      <c r="L214" s="0" t="str">
        <f aca="false">IFERROR(VLOOKUP(K214,'Supplier list'!B:C,2,0),"")</f>
        <v>บริษัท ฟิวเจอร์เทค อินเตอร์มาร์เก็ตติ้ง จำกัด</v>
      </c>
      <c r="M214" s="1" t="s">
        <v>24</v>
      </c>
      <c r="O214" s="2" t="n">
        <v>20</v>
      </c>
    </row>
    <row r="215" customFormat="false" ht="16.4" hidden="false" customHeight="false" outlineLevel="0" collapsed="false">
      <c r="A215" s="0" t="s">
        <v>15</v>
      </c>
      <c r="B215" s="0" t="s">
        <v>788</v>
      </c>
      <c r="C215" s="0" t="n">
        <v>114001</v>
      </c>
      <c r="D215" s="0" t="n">
        <v>114001</v>
      </c>
      <c r="E215" s="0" t="s">
        <v>97</v>
      </c>
      <c r="F215" s="0" t="s">
        <v>18</v>
      </c>
      <c r="G215" s="0" t="s">
        <v>789</v>
      </c>
      <c r="H215" s="0" t="s">
        <v>790</v>
      </c>
      <c r="I215" s="0" t="s">
        <v>102</v>
      </c>
      <c r="J215" s="0" t="s">
        <v>103</v>
      </c>
      <c r="L215" s="0" t="str">
        <f aca="false">IFERROR(VLOOKUP(K215,'Supplier list'!B:C,2,0),"")</f>
        <v/>
      </c>
      <c r="M215" s="1" t="s">
        <v>24</v>
      </c>
      <c r="O215" s="2" t="n">
        <v>77</v>
      </c>
    </row>
    <row r="216" customFormat="false" ht="16.4" hidden="false" customHeight="false" outlineLevel="0" collapsed="false">
      <c r="A216" s="0" t="s">
        <v>15</v>
      </c>
      <c r="B216" s="0" t="s">
        <v>791</v>
      </c>
      <c r="C216" s="0" t="n">
        <v>114001</v>
      </c>
      <c r="D216" s="0" t="n">
        <v>114001</v>
      </c>
      <c r="E216" s="0" t="s">
        <v>97</v>
      </c>
      <c r="F216" s="0" t="s">
        <v>18</v>
      </c>
      <c r="G216" s="0" t="s">
        <v>792</v>
      </c>
      <c r="H216" s="0" t="s">
        <v>793</v>
      </c>
      <c r="I216" s="0" t="s">
        <v>102</v>
      </c>
      <c r="J216" s="0" t="s">
        <v>103</v>
      </c>
      <c r="L216" s="0" t="str">
        <f aca="false">IFERROR(VLOOKUP(K216,'Supplier list'!B:C,2,0),"")</f>
        <v/>
      </c>
      <c r="M216" s="1" t="s">
        <v>24</v>
      </c>
      <c r="O216" s="2" t="n">
        <v>129</v>
      </c>
    </row>
    <row r="217" customFormat="false" ht="16.4" hidden="false" customHeight="false" outlineLevel="0" collapsed="false">
      <c r="A217" s="0" t="s">
        <v>15</v>
      </c>
      <c r="B217" s="0" t="s">
        <v>794</v>
      </c>
      <c r="C217" s="0" t="n">
        <v>114001</v>
      </c>
      <c r="D217" s="0" t="n">
        <v>114001</v>
      </c>
      <c r="E217" s="0" t="s">
        <v>97</v>
      </c>
      <c r="F217" s="0" t="s">
        <v>18</v>
      </c>
      <c r="G217" s="0" t="s">
        <v>795</v>
      </c>
      <c r="H217" s="0" t="s">
        <v>796</v>
      </c>
      <c r="I217" s="0" t="s">
        <v>102</v>
      </c>
      <c r="J217" s="0" t="s">
        <v>103</v>
      </c>
      <c r="L217" s="0" t="str">
        <f aca="false">IFERROR(VLOOKUP(K217,'Supplier list'!B:C,2,0),"")</f>
        <v/>
      </c>
      <c r="M217" s="1" t="s">
        <v>24</v>
      </c>
      <c r="O217" s="2" t="n">
        <v>77</v>
      </c>
    </row>
    <row r="218" customFormat="false" ht="16.4" hidden="false" customHeight="false" outlineLevel="0" collapsed="false">
      <c r="A218" s="0" t="s">
        <v>15</v>
      </c>
      <c r="B218" s="0" t="s">
        <v>797</v>
      </c>
      <c r="C218" s="0" t="n">
        <v>114001</v>
      </c>
      <c r="D218" s="0" t="n">
        <v>114001</v>
      </c>
      <c r="E218" s="0" t="s">
        <v>97</v>
      </c>
      <c r="F218" s="0" t="s">
        <v>18</v>
      </c>
      <c r="G218" s="0" t="s">
        <v>798</v>
      </c>
      <c r="H218" s="0" t="s">
        <v>799</v>
      </c>
      <c r="I218" s="0" t="s">
        <v>102</v>
      </c>
      <c r="J218" s="0" t="s">
        <v>103</v>
      </c>
      <c r="L218" s="0" t="str">
        <f aca="false">IFERROR(VLOOKUP(K218,'Supplier list'!B:C,2,0),"")</f>
        <v/>
      </c>
      <c r="M218" s="1" t="s">
        <v>24</v>
      </c>
      <c r="O218" s="2" t="n">
        <v>87</v>
      </c>
    </row>
    <row r="219" customFormat="false" ht="16.4" hidden="false" customHeight="false" outlineLevel="0" collapsed="false">
      <c r="A219" s="0" t="s">
        <v>15</v>
      </c>
      <c r="B219" s="0" t="s">
        <v>800</v>
      </c>
      <c r="C219" s="0" t="n">
        <v>114001</v>
      </c>
      <c r="D219" s="0" t="n">
        <v>114001</v>
      </c>
      <c r="E219" s="0" t="s">
        <v>97</v>
      </c>
      <c r="F219" s="0" t="s">
        <v>18</v>
      </c>
      <c r="G219" s="0" t="s">
        <v>801</v>
      </c>
      <c r="H219" s="0" t="s">
        <v>802</v>
      </c>
      <c r="I219" s="0" t="s">
        <v>102</v>
      </c>
      <c r="J219" s="0" t="s">
        <v>103</v>
      </c>
      <c r="L219" s="0" t="str">
        <f aca="false">IFERROR(VLOOKUP(K219,'Supplier list'!B:C,2,0),"")</f>
        <v/>
      </c>
      <c r="M219" s="1" t="s">
        <v>24</v>
      </c>
      <c r="O219" s="2" t="n">
        <v>93</v>
      </c>
    </row>
    <row r="220" customFormat="false" ht="16.4" hidden="false" customHeight="false" outlineLevel="0" collapsed="false">
      <c r="A220" s="0" t="s">
        <v>15</v>
      </c>
      <c r="B220" s="0" t="s">
        <v>803</v>
      </c>
      <c r="C220" s="0" t="n">
        <v>114001</v>
      </c>
      <c r="D220" s="0" t="n">
        <v>114001</v>
      </c>
      <c r="E220" s="0" t="s">
        <v>97</v>
      </c>
      <c r="F220" s="0" t="s">
        <v>18</v>
      </c>
      <c r="G220" s="0" t="s">
        <v>804</v>
      </c>
      <c r="H220" s="0" t="s">
        <v>805</v>
      </c>
      <c r="I220" s="0" t="s">
        <v>102</v>
      </c>
      <c r="J220" s="0" t="s">
        <v>103</v>
      </c>
      <c r="L220" s="0" t="str">
        <f aca="false">IFERROR(VLOOKUP(K220,'Supplier list'!B:C,2,0),"")</f>
        <v/>
      </c>
      <c r="M220" s="1" t="s">
        <v>24</v>
      </c>
      <c r="O220" s="2" t="n">
        <v>173</v>
      </c>
    </row>
    <row r="221" customFormat="false" ht="16.4" hidden="false" customHeight="false" outlineLevel="0" collapsed="false">
      <c r="A221" s="0" t="s">
        <v>15</v>
      </c>
      <c r="B221" s="0" t="s">
        <v>806</v>
      </c>
      <c r="C221" s="0" t="n">
        <v>114001</v>
      </c>
      <c r="D221" s="0" t="n">
        <v>114001</v>
      </c>
      <c r="E221" s="0" t="s">
        <v>97</v>
      </c>
      <c r="F221" s="0" t="s">
        <v>18</v>
      </c>
      <c r="G221" s="0" t="s">
        <v>807</v>
      </c>
      <c r="H221" s="0" t="s">
        <v>808</v>
      </c>
      <c r="I221" s="0" t="s">
        <v>102</v>
      </c>
      <c r="J221" s="0" t="s">
        <v>103</v>
      </c>
      <c r="L221" s="0" t="str">
        <f aca="false">IFERROR(VLOOKUP(K221,'Supplier list'!B:C,2,0),"")</f>
        <v/>
      </c>
      <c r="M221" s="1" t="s">
        <v>24</v>
      </c>
      <c r="O221" s="2" t="n">
        <v>118</v>
      </c>
    </row>
    <row r="222" customFormat="false" ht="16.4" hidden="false" customHeight="false" outlineLevel="0" collapsed="false">
      <c r="A222" s="0" t="s">
        <v>15</v>
      </c>
      <c r="B222" s="0" t="s">
        <v>809</v>
      </c>
      <c r="C222" s="0" t="n">
        <v>114001</v>
      </c>
      <c r="D222" s="0" t="n">
        <v>114001</v>
      </c>
      <c r="E222" s="0" t="s">
        <v>197</v>
      </c>
      <c r="F222" s="0" t="s">
        <v>18</v>
      </c>
      <c r="G222" s="0" t="s">
        <v>810</v>
      </c>
      <c r="H222" s="0" t="s">
        <v>811</v>
      </c>
      <c r="I222" s="0" t="s">
        <v>102</v>
      </c>
      <c r="J222" s="0" t="s">
        <v>103</v>
      </c>
      <c r="L222" s="0" t="str">
        <f aca="false">IFERROR(VLOOKUP(K222,'Supplier list'!B:C,2,0),"")</f>
        <v/>
      </c>
      <c r="M222" s="1" t="s">
        <v>24</v>
      </c>
      <c r="O222" s="2" t="n">
        <v>99</v>
      </c>
    </row>
    <row r="223" customFormat="false" ht="16.4" hidden="false" customHeight="false" outlineLevel="0" collapsed="false">
      <c r="A223" s="0" t="s">
        <v>15</v>
      </c>
      <c r="B223" s="0" t="s">
        <v>812</v>
      </c>
      <c r="C223" s="0" t="n">
        <v>114001</v>
      </c>
      <c r="D223" s="0" t="n">
        <v>114001</v>
      </c>
      <c r="E223" s="0" t="s">
        <v>139</v>
      </c>
      <c r="F223" s="0" t="s">
        <v>18</v>
      </c>
      <c r="G223" s="0" t="s">
        <v>813</v>
      </c>
      <c r="H223" s="0" t="s">
        <v>814</v>
      </c>
      <c r="I223" s="0" t="s">
        <v>102</v>
      </c>
      <c r="J223" s="0" t="s">
        <v>103</v>
      </c>
      <c r="L223" s="0" t="str">
        <f aca="false">IFERROR(VLOOKUP(K223,'Supplier list'!B:C,2,0),"")</f>
        <v/>
      </c>
      <c r="M223" s="1" t="s">
        <v>24</v>
      </c>
      <c r="O223" s="2" t="n">
        <v>178</v>
      </c>
    </row>
    <row r="224" customFormat="false" ht="16.4" hidden="false" customHeight="false" outlineLevel="0" collapsed="false">
      <c r="A224" s="0" t="s">
        <v>15</v>
      </c>
      <c r="B224" s="0" t="s">
        <v>815</v>
      </c>
      <c r="C224" s="0" t="n">
        <v>114001</v>
      </c>
      <c r="D224" s="0" t="n">
        <v>114001</v>
      </c>
      <c r="E224" s="0" t="s">
        <v>139</v>
      </c>
      <c r="F224" s="0" t="s">
        <v>18</v>
      </c>
      <c r="G224" s="0" t="s">
        <v>816</v>
      </c>
      <c r="H224" s="0" t="s">
        <v>817</v>
      </c>
      <c r="I224" s="0" t="s">
        <v>102</v>
      </c>
      <c r="J224" s="0" t="s">
        <v>103</v>
      </c>
      <c r="L224" s="0" t="str">
        <f aca="false">IFERROR(VLOOKUP(K224,'Supplier list'!B:C,2,0),"")</f>
        <v/>
      </c>
      <c r="M224" s="1" t="s">
        <v>24</v>
      </c>
      <c r="O224" s="2" t="n">
        <v>178</v>
      </c>
    </row>
    <row r="225" customFormat="false" ht="16.4" hidden="false" customHeight="false" outlineLevel="0" collapsed="false">
      <c r="A225" s="0" t="s">
        <v>15</v>
      </c>
      <c r="B225" s="0" t="s">
        <v>818</v>
      </c>
      <c r="C225" s="0" t="n">
        <v>114001</v>
      </c>
      <c r="D225" s="0" t="n">
        <v>114001</v>
      </c>
      <c r="E225" s="0" t="s">
        <v>819</v>
      </c>
      <c r="F225" s="0" t="s">
        <v>18</v>
      </c>
      <c r="G225" s="0" t="s">
        <v>820</v>
      </c>
      <c r="H225" s="0" t="s">
        <v>821</v>
      </c>
      <c r="I225" s="0" t="s">
        <v>102</v>
      </c>
      <c r="J225" s="0" t="s">
        <v>103</v>
      </c>
      <c r="K225" s="0" t="s">
        <v>110</v>
      </c>
      <c r="L225" s="0" t="str">
        <f aca="false">IFERROR(VLOOKUP(K225,'Supplier list'!B:C,2,0),"")</f>
        <v>บริษัท ที.พี.เค ไทยเมท แมชชีนทูลล์ จำกัด</v>
      </c>
      <c r="M225" s="1" t="s">
        <v>24</v>
      </c>
      <c r="O225" s="2" t="n">
        <v>60</v>
      </c>
    </row>
    <row r="226" customFormat="false" ht="16.4" hidden="false" customHeight="false" outlineLevel="0" collapsed="false">
      <c r="A226" s="0" t="s">
        <v>15</v>
      </c>
      <c r="B226" s="0" t="s">
        <v>822</v>
      </c>
      <c r="C226" s="0" t="n">
        <v>114001</v>
      </c>
      <c r="D226" s="0" t="n">
        <v>114001</v>
      </c>
      <c r="E226" s="0" t="s">
        <v>197</v>
      </c>
      <c r="F226" s="0" t="s">
        <v>18</v>
      </c>
      <c r="G226" s="0" t="s">
        <v>823</v>
      </c>
      <c r="H226" s="0" t="s">
        <v>824</v>
      </c>
      <c r="I226" s="0" t="s">
        <v>102</v>
      </c>
      <c r="J226" s="0" t="s">
        <v>103</v>
      </c>
      <c r="L226" s="0" t="str">
        <f aca="false">IFERROR(VLOOKUP(K226,'Supplier list'!B:C,2,0),"")</f>
        <v/>
      </c>
      <c r="M226" s="1" t="s">
        <v>24</v>
      </c>
      <c r="O226" s="2" t="n">
        <v>549</v>
      </c>
    </row>
    <row r="227" customFormat="false" ht="28.35" hidden="false" customHeight="false" outlineLevel="0" collapsed="false">
      <c r="A227" s="0" t="s">
        <v>15</v>
      </c>
      <c r="B227" s="0" t="s">
        <v>825</v>
      </c>
      <c r="C227" s="0" t="n">
        <v>114001</v>
      </c>
      <c r="D227" s="0" t="n">
        <v>114001</v>
      </c>
      <c r="E227" s="0" t="s">
        <v>826</v>
      </c>
      <c r="F227" s="0" t="s">
        <v>18</v>
      </c>
      <c r="G227" s="0" t="s">
        <v>827</v>
      </c>
      <c r="H227" s="0" t="s">
        <v>826</v>
      </c>
      <c r="I227" s="0" t="s">
        <v>21</v>
      </c>
      <c r="J227" s="0" t="s">
        <v>22</v>
      </c>
      <c r="K227" s="6" t="s">
        <v>192</v>
      </c>
      <c r="L227" s="0" t="str">
        <f aca="false">IFERROR(VLOOKUP(K227,'Supplier list'!B:C,2,0),"")</f>
        <v/>
      </c>
      <c r="M227" s="1" t="s">
        <v>24</v>
      </c>
      <c r="O227" s="2" t="n">
        <v>30</v>
      </c>
    </row>
    <row r="228" customFormat="false" ht="16.4" hidden="false" customHeight="false" outlineLevel="0" collapsed="false">
      <c r="A228" s="0" t="s">
        <v>15</v>
      </c>
      <c r="B228" s="0" t="s">
        <v>828</v>
      </c>
      <c r="C228" s="0" t="n">
        <v>114001</v>
      </c>
      <c r="D228" s="0" t="n">
        <v>114001</v>
      </c>
      <c r="E228" s="0" t="s">
        <v>659</v>
      </c>
      <c r="F228" s="0" t="s">
        <v>18</v>
      </c>
      <c r="G228" s="0" t="s">
        <v>829</v>
      </c>
      <c r="H228" s="0" t="s">
        <v>830</v>
      </c>
      <c r="I228" s="0" t="s">
        <v>142</v>
      </c>
      <c r="J228" s="0" t="s">
        <v>143</v>
      </c>
      <c r="K228" s="0" t="s">
        <v>75</v>
      </c>
      <c r="L228" s="0" t="str">
        <f aca="false">IFERROR(VLOOKUP(K228,'Supplier list'!B:C,2,0),"")</f>
        <v/>
      </c>
      <c r="M228" s="1" t="s">
        <v>24</v>
      </c>
      <c r="O228" s="2" t="n">
        <v>120</v>
      </c>
    </row>
    <row r="229" customFormat="false" ht="16.4" hidden="false" customHeight="false" outlineLevel="0" collapsed="false">
      <c r="A229" s="0" t="s">
        <v>15</v>
      </c>
      <c r="B229" s="0" t="s">
        <v>831</v>
      </c>
      <c r="C229" s="0" t="n">
        <v>114001</v>
      </c>
      <c r="D229" s="0" t="n">
        <v>114001</v>
      </c>
      <c r="E229" s="0" t="s">
        <v>756</v>
      </c>
      <c r="F229" s="0" t="s">
        <v>18</v>
      </c>
      <c r="G229" s="0" t="s">
        <v>832</v>
      </c>
      <c r="H229" s="0" t="s">
        <v>833</v>
      </c>
      <c r="I229" s="0" t="s">
        <v>21</v>
      </c>
      <c r="J229" s="0" t="s">
        <v>22</v>
      </c>
      <c r="L229" s="0" t="str">
        <f aca="false">IFERROR(VLOOKUP(K229,'Supplier list'!B:C,2,0),"")</f>
        <v/>
      </c>
      <c r="M229" s="1" t="s">
        <v>24</v>
      </c>
      <c r="O229" s="2" t="n">
        <v>20</v>
      </c>
    </row>
    <row r="230" customFormat="false" ht="16.4" hidden="false" customHeight="false" outlineLevel="0" collapsed="false">
      <c r="A230" s="0" t="s">
        <v>15</v>
      </c>
      <c r="B230" s="0" t="s">
        <v>834</v>
      </c>
      <c r="C230" s="0" t="n">
        <v>114001</v>
      </c>
      <c r="D230" s="0" t="n">
        <v>114001</v>
      </c>
      <c r="E230" s="0" t="s">
        <v>275</v>
      </c>
      <c r="F230" s="0" t="s">
        <v>18</v>
      </c>
      <c r="G230" s="0" t="s">
        <v>835</v>
      </c>
      <c r="H230" s="0" t="s">
        <v>836</v>
      </c>
      <c r="I230" s="0" t="s">
        <v>142</v>
      </c>
      <c r="J230" s="0" t="s">
        <v>143</v>
      </c>
      <c r="K230" s="0" t="s">
        <v>352</v>
      </c>
      <c r="L230" s="0" t="str">
        <f aca="false">IFERROR(VLOOKUP(K230,'Supplier list'!B:C,2,0),"")</f>
        <v>บริษัท พีเอ็นพี อินเตอร์แพค</v>
      </c>
      <c r="M230" s="1" t="s">
        <v>24</v>
      </c>
      <c r="O230" s="2" t="n">
        <v>285</v>
      </c>
    </row>
    <row r="231" customFormat="false" ht="16.4" hidden="false" customHeight="false" outlineLevel="0" collapsed="false">
      <c r="A231" s="0" t="s">
        <v>15</v>
      </c>
      <c r="B231" s="0" t="s">
        <v>837</v>
      </c>
      <c r="C231" s="0" t="n">
        <v>114001</v>
      </c>
      <c r="D231" s="0" t="n">
        <v>114001</v>
      </c>
      <c r="E231" s="0" t="s">
        <v>405</v>
      </c>
      <c r="F231" s="0" t="s">
        <v>18</v>
      </c>
      <c r="G231" s="0" t="s">
        <v>838</v>
      </c>
      <c r="H231" s="0" t="s">
        <v>839</v>
      </c>
      <c r="I231" s="0" t="s">
        <v>142</v>
      </c>
      <c r="J231" s="0" t="s">
        <v>143</v>
      </c>
      <c r="K231" s="0" t="s">
        <v>352</v>
      </c>
      <c r="L231" s="0" t="str">
        <f aca="false">IFERROR(VLOOKUP(K231,'Supplier list'!B:C,2,0),"")</f>
        <v>บริษัท พีเอ็นพี อินเตอร์แพค</v>
      </c>
      <c r="M231" s="1" t="s">
        <v>24</v>
      </c>
      <c r="O231" s="2" t="n">
        <v>274</v>
      </c>
    </row>
    <row r="232" customFormat="false" ht="16.4" hidden="false" customHeight="false" outlineLevel="0" collapsed="false">
      <c r="A232" s="0" t="s">
        <v>15</v>
      </c>
      <c r="B232" s="0" t="s">
        <v>840</v>
      </c>
      <c r="C232" s="0" t="n">
        <v>114001</v>
      </c>
      <c r="D232" s="0" t="n">
        <v>114001</v>
      </c>
      <c r="E232" s="0" t="s">
        <v>613</v>
      </c>
      <c r="F232" s="0" t="s">
        <v>18</v>
      </c>
      <c r="G232" s="0" t="s">
        <v>841</v>
      </c>
      <c r="H232" s="0" t="s">
        <v>842</v>
      </c>
      <c r="I232" s="0" t="s">
        <v>21</v>
      </c>
      <c r="J232" s="0" t="s">
        <v>22</v>
      </c>
      <c r="K232" s="0" t="s">
        <v>616</v>
      </c>
      <c r="L232" s="0" t="str">
        <f aca="false">IFERROR(VLOOKUP(K232,'Supplier list'!B:C,2,0),"")</f>
        <v>บริษัท จิ่งหรง พริ้นติ้ง จากัด</v>
      </c>
      <c r="M232" s="1" t="s">
        <v>24</v>
      </c>
      <c r="O232" s="2" t="n">
        <v>350</v>
      </c>
    </row>
    <row r="233" customFormat="false" ht="16.4" hidden="false" customHeight="false" outlineLevel="0" collapsed="false">
      <c r="A233" s="0" t="s">
        <v>15</v>
      </c>
      <c r="B233" s="0" t="s">
        <v>843</v>
      </c>
      <c r="C233" s="0" t="n">
        <v>114001</v>
      </c>
      <c r="D233" s="0" t="n">
        <v>114001</v>
      </c>
      <c r="E233" s="0" t="s">
        <v>844</v>
      </c>
      <c r="F233" s="0" t="s">
        <v>18</v>
      </c>
      <c r="G233" s="0" t="s">
        <v>845</v>
      </c>
      <c r="H233" s="0" t="s">
        <v>846</v>
      </c>
      <c r="I233" s="0" t="s">
        <v>248</v>
      </c>
      <c r="J233" s="0" t="s">
        <v>249</v>
      </c>
      <c r="L233" s="0" t="str">
        <f aca="false">IFERROR(VLOOKUP(K233,'Supplier list'!B:C,2,0),"")</f>
        <v/>
      </c>
      <c r="M233" s="1" t="s">
        <v>24</v>
      </c>
      <c r="O233" s="2" t="n">
        <v>512</v>
      </c>
    </row>
    <row r="234" customFormat="false" ht="16.4" hidden="false" customHeight="false" outlineLevel="0" collapsed="false">
      <c r="A234" s="0" t="s">
        <v>15</v>
      </c>
      <c r="B234" s="0" t="s">
        <v>847</v>
      </c>
      <c r="C234" s="0" t="n">
        <v>114001</v>
      </c>
      <c r="D234" s="0" t="n">
        <v>114001</v>
      </c>
      <c r="E234" s="0" t="s">
        <v>405</v>
      </c>
      <c r="F234" s="0" t="s">
        <v>18</v>
      </c>
      <c r="G234" s="0" t="s">
        <v>848</v>
      </c>
      <c r="H234" s="0" t="s">
        <v>849</v>
      </c>
      <c r="I234" s="0" t="s">
        <v>142</v>
      </c>
      <c r="J234" s="0" t="s">
        <v>143</v>
      </c>
      <c r="K234" s="0" t="s">
        <v>155</v>
      </c>
      <c r="L234" s="0" t="str">
        <f aca="false">IFERROR(VLOOKUP(K234,'Supplier list'!B:C,2,0),"")</f>
        <v>บริษัท ก.เจริญฮาร์ดแวร์ จำกัด</v>
      </c>
      <c r="M234" s="1" t="s">
        <v>24</v>
      </c>
      <c r="O234" s="2" t="n">
        <v>171</v>
      </c>
    </row>
    <row r="235" customFormat="false" ht="16.4" hidden="false" customHeight="false" outlineLevel="0" collapsed="false">
      <c r="A235" s="0" t="s">
        <v>15</v>
      </c>
      <c r="B235" s="0" t="s">
        <v>850</v>
      </c>
      <c r="C235" s="0" t="n">
        <v>114001</v>
      </c>
      <c r="D235" s="0" t="n">
        <v>114001</v>
      </c>
      <c r="E235" s="0" t="s">
        <v>659</v>
      </c>
      <c r="F235" s="0" t="s">
        <v>18</v>
      </c>
      <c r="G235" s="0" t="s">
        <v>851</v>
      </c>
      <c r="H235" s="0" t="s">
        <v>852</v>
      </c>
      <c r="I235" s="0" t="s">
        <v>21</v>
      </c>
      <c r="J235" s="0" t="s">
        <v>22</v>
      </c>
      <c r="L235" s="0" t="str">
        <f aca="false">IFERROR(VLOOKUP(K235,'Supplier list'!B:C,2,0),"")</f>
        <v/>
      </c>
      <c r="M235" s="1" t="s">
        <v>24</v>
      </c>
      <c r="O235" s="2" t="n">
        <v>633</v>
      </c>
    </row>
    <row r="236" customFormat="false" ht="16.4" hidden="false" customHeight="false" outlineLevel="0" collapsed="false">
      <c r="A236" s="0" t="s">
        <v>15</v>
      </c>
      <c r="B236" s="0" t="s">
        <v>853</v>
      </c>
      <c r="C236" s="0" t="n">
        <v>114001</v>
      </c>
      <c r="D236" s="0" t="n">
        <v>114001</v>
      </c>
      <c r="E236" s="0" t="s">
        <v>514</v>
      </c>
      <c r="F236" s="0" t="s">
        <v>18</v>
      </c>
      <c r="G236" s="0" t="s">
        <v>854</v>
      </c>
      <c r="H236" s="0" t="s">
        <v>855</v>
      </c>
      <c r="I236" s="0" t="s">
        <v>517</v>
      </c>
      <c r="J236" s="0" t="s">
        <v>518</v>
      </c>
      <c r="K236" s="0" t="s">
        <v>68</v>
      </c>
      <c r="L236" s="0" t="str">
        <f aca="false">IFERROR(VLOOKUP(K236,'Supplier list'!B:C,2,0),"")</f>
        <v>หจก. กรีน ดิสทริบิวชั่น</v>
      </c>
      <c r="M236" s="1" t="s">
        <v>24</v>
      </c>
      <c r="O236" s="2" t="n">
        <v>16</v>
      </c>
    </row>
    <row r="237" customFormat="false" ht="16.4" hidden="false" customHeight="false" outlineLevel="0" collapsed="false">
      <c r="A237" s="0" t="s">
        <v>15</v>
      </c>
      <c r="B237" s="0" t="s">
        <v>856</v>
      </c>
      <c r="C237" s="0" t="n">
        <v>114001</v>
      </c>
      <c r="D237" s="0" t="n">
        <v>114001</v>
      </c>
      <c r="E237" s="0" t="s">
        <v>369</v>
      </c>
      <c r="F237" s="0" t="s">
        <v>18</v>
      </c>
      <c r="G237" s="0" t="s">
        <v>857</v>
      </c>
      <c r="H237" s="0" t="s">
        <v>858</v>
      </c>
      <c r="I237" s="0" t="s">
        <v>248</v>
      </c>
      <c r="J237" s="0" t="s">
        <v>249</v>
      </c>
      <c r="K237" s="0" t="s">
        <v>859</v>
      </c>
      <c r="L237" s="0" t="str">
        <f aca="false">IFERROR(VLOOKUP(K237,'Supplier list'!B:C,2,0),"")</f>
        <v/>
      </c>
      <c r="M237" s="1" t="s">
        <v>24</v>
      </c>
      <c r="O237" s="2" t="n">
        <v>150</v>
      </c>
    </row>
    <row r="238" customFormat="false" ht="16.4" hidden="false" customHeight="false" outlineLevel="0" collapsed="false">
      <c r="A238" s="0" t="s">
        <v>15</v>
      </c>
      <c r="B238" s="0" t="s">
        <v>860</v>
      </c>
      <c r="C238" s="0" t="n">
        <v>114001</v>
      </c>
      <c r="D238" s="0" t="n">
        <v>114001</v>
      </c>
      <c r="E238" s="0" t="s">
        <v>294</v>
      </c>
      <c r="F238" s="0" t="s">
        <v>18</v>
      </c>
      <c r="G238" s="0" t="s">
        <v>861</v>
      </c>
      <c r="H238" s="0" t="s">
        <v>862</v>
      </c>
      <c r="I238" s="0" t="s">
        <v>384</v>
      </c>
      <c r="J238" s="0" t="s">
        <v>385</v>
      </c>
      <c r="L238" s="0" t="str">
        <f aca="false">IFERROR(VLOOKUP(K238,'Supplier list'!B:C,2,0),"")</f>
        <v/>
      </c>
      <c r="M238" s="1" t="s">
        <v>24</v>
      </c>
      <c r="O238" s="2" t="n">
        <v>390</v>
      </c>
    </row>
    <row r="239" customFormat="false" ht="16.4" hidden="false" customHeight="false" outlineLevel="0" collapsed="false">
      <c r="A239" s="0" t="s">
        <v>15</v>
      </c>
      <c r="B239" s="0" t="s">
        <v>863</v>
      </c>
      <c r="C239" s="0" t="n">
        <v>114001</v>
      </c>
      <c r="D239" s="0" t="n">
        <v>114001</v>
      </c>
      <c r="E239" s="0" t="s">
        <v>514</v>
      </c>
      <c r="F239" s="0" t="s">
        <v>18</v>
      </c>
      <c r="G239" s="0" t="s">
        <v>864</v>
      </c>
      <c r="H239" s="0" t="s">
        <v>865</v>
      </c>
      <c r="I239" s="0" t="s">
        <v>866</v>
      </c>
      <c r="J239" s="0" t="s">
        <v>509</v>
      </c>
      <c r="L239" s="0" t="str">
        <f aca="false">IFERROR(VLOOKUP(K239,'Supplier list'!B:C,2,0),"")</f>
        <v/>
      </c>
      <c r="M239" s="1" t="s">
        <v>24</v>
      </c>
      <c r="O239" s="2" t="n">
        <v>530</v>
      </c>
    </row>
    <row r="240" customFormat="false" ht="16.4" hidden="false" customHeight="false" outlineLevel="0" collapsed="false">
      <c r="A240" s="0" t="s">
        <v>15</v>
      </c>
      <c r="B240" s="0" t="s">
        <v>867</v>
      </c>
      <c r="C240" s="0" t="n">
        <v>114001</v>
      </c>
      <c r="D240" s="0" t="n">
        <v>114001</v>
      </c>
      <c r="E240" s="0" t="s">
        <v>127</v>
      </c>
      <c r="F240" s="0" t="s">
        <v>18</v>
      </c>
      <c r="G240" s="0" t="s">
        <v>868</v>
      </c>
      <c r="H240" s="0" t="s">
        <v>869</v>
      </c>
      <c r="I240" s="0" t="s">
        <v>21</v>
      </c>
      <c r="J240" s="0" t="s">
        <v>22</v>
      </c>
      <c r="K240" s="0" t="s">
        <v>155</v>
      </c>
      <c r="L240" s="0" t="str">
        <f aca="false">IFERROR(VLOOKUP(K240,'Supplier list'!B:C,2,0),"")</f>
        <v>บริษัท ก.เจริญฮาร์ดแวร์ จำกัด</v>
      </c>
      <c r="M240" s="1" t="s">
        <v>24</v>
      </c>
      <c r="O240" s="2" t="n">
        <v>57</v>
      </c>
    </row>
    <row r="241" customFormat="false" ht="16.4" hidden="false" customHeight="false" outlineLevel="0" collapsed="false">
      <c r="A241" s="0" t="s">
        <v>15</v>
      </c>
      <c r="B241" s="0" t="s">
        <v>870</v>
      </c>
      <c r="C241" s="0" t="n">
        <v>114001</v>
      </c>
      <c r="D241" s="0" t="n">
        <v>114001</v>
      </c>
      <c r="E241" s="0" t="s">
        <v>127</v>
      </c>
      <c r="F241" s="0" t="s">
        <v>18</v>
      </c>
      <c r="G241" s="0" t="s">
        <v>871</v>
      </c>
      <c r="H241" s="0" t="s">
        <v>872</v>
      </c>
      <c r="I241" s="0" t="s">
        <v>21</v>
      </c>
      <c r="J241" s="0" t="s">
        <v>22</v>
      </c>
      <c r="K241" s="0" t="s">
        <v>155</v>
      </c>
      <c r="L241" s="0" t="str">
        <f aca="false">IFERROR(VLOOKUP(K241,'Supplier list'!B:C,2,0),"")</f>
        <v>บริษัท ก.เจริญฮาร์ดแวร์ จำกัด</v>
      </c>
      <c r="M241" s="1" t="s">
        <v>24</v>
      </c>
      <c r="O241" s="2" t="n">
        <v>11</v>
      </c>
    </row>
    <row r="242" customFormat="false" ht="16.4" hidden="false" customHeight="false" outlineLevel="0" collapsed="false">
      <c r="A242" s="0" t="s">
        <v>15</v>
      </c>
      <c r="B242" s="0" t="s">
        <v>873</v>
      </c>
      <c r="C242" s="0" t="n">
        <v>114001</v>
      </c>
      <c r="D242" s="0" t="n">
        <v>114001</v>
      </c>
      <c r="E242" s="0" t="s">
        <v>874</v>
      </c>
      <c r="F242" s="0" t="s">
        <v>18</v>
      </c>
      <c r="G242" s="0" t="s">
        <v>875</v>
      </c>
      <c r="H242" s="0" t="s">
        <v>876</v>
      </c>
      <c r="I242" s="0" t="s">
        <v>21</v>
      </c>
      <c r="J242" s="0" t="s">
        <v>22</v>
      </c>
      <c r="K242" s="0" t="s">
        <v>155</v>
      </c>
      <c r="L242" s="0" t="str">
        <f aca="false">IFERROR(VLOOKUP(K242,'Supplier list'!B:C,2,0),"")</f>
        <v>บริษัท ก.เจริญฮาร์ดแวร์ จำกัด</v>
      </c>
      <c r="M242" s="1" t="s">
        <v>24</v>
      </c>
      <c r="O242" s="2" t="n">
        <v>162</v>
      </c>
    </row>
    <row r="243" customFormat="false" ht="16.4" hidden="false" customHeight="false" outlineLevel="0" collapsed="false">
      <c r="A243" s="0" t="s">
        <v>15</v>
      </c>
      <c r="B243" s="0" t="s">
        <v>877</v>
      </c>
      <c r="C243" s="0" t="n">
        <v>114001</v>
      </c>
      <c r="D243" s="0" t="n">
        <v>114001</v>
      </c>
      <c r="E243" s="0" t="s">
        <v>121</v>
      </c>
      <c r="F243" s="0" t="s">
        <v>18</v>
      </c>
      <c r="G243" s="0" t="s">
        <v>878</v>
      </c>
      <c r="H243" s="0" t="s">
        <v>879</v>
      </c>
      <c r="I243" s="0" t="s">
        <v>21</v>
      </c>
      <c r="J243" s="0" t="s">
        <v>22</v>
      </c>
      <c r="K243" s="0" t="s">
        <v>155</v>
      </c>
      <c r="L243" s="0" t="str">
        <f aca="false">IFERROR(VLOOKUP(K243,'Supplier list'!B:C,2,0),"")</f>
        <v>บริษัท ก.เจริญฮาร์ดแวร์ จำกัด</v>
      </c>
      <c r="M243" s="1" t="s">
        <v>24</v>
      </c>
      <c r="O243" s="2" t="n">
        <v>0.69</v>
      </c>
    </row>
    <row r="244" customFormat="false" ht="28.35" hidden="false" customHeight="false" outlineLevel="0" collapsed="false">
      <c r="A244" s="0" t="s">
        <v>15</v>
      </c>
      <c r="B244" s="0" t="s">
        <v>880</v>
      </c>
      <c r="C244" s="0" t="n">
        <v>114001</v>
      </c>
      <c r="D244" s="0" t="n">
        <v>114001</v>
      </c>
      <c r="E244" s="0" t="s">
        <v>121</v>
      </c>
      <c r="F244" s="0" t="s">
        <v>18</v>
      </c>
      <c r="G244" s="0" t="s">
        <v>881</v>
      </c>
      <c r="H244" s="0" t="s">
        <v>882</v>
      </c>
      <c r="I244" s="0" t="s">
        <v>21</v>
      </c>
      <c r="J244" s="0" t="s">
        <v>22</v>
      </c>
      <c r="K244" s="6" t="s">
        <v>192</v>
      </c>
      <c r="L244" s="0" t="str">
        <f aca="false">IFERROR(VLOOKUP(K244,'Supplier list'!B:C,2,0),"")</f>
        <v/>
      </c>
      <c r="M244" s="1" t="s">
        <v>24</v>
      </c>
      <c r="O244" s="2" t="n">
        <v>0.3</v>
      </c>
    </row>
    <row r="245" customFormat="false" ht="16.4" hidden="false" customHeight="false" outlineLevel="0" collapsed="false">
      <c r="A245" s="0" t="s">
        <v>15</v>
      </c>
      <c r="B245" s="0" t="s">
        <v>883</v>
      </c>
      <c r="C245" s="0" t="n">
        <v>114001</v>
      </c>
      <c r="D245" s="0" t="n">
        <v>114001</v>
      </c>
      <c r="E245" s="0" t="s">
        <v>121</v>
      </c>
      <c r="F245" s="0" t="s">
        <v>18</v>
      </c>
      <c r="G245" s="0" t="s">
        <v>884</v>
      </c>
      <c r="H245" s="0" t="s">
        <v>885</v>
      </c>
      <c r="I245" s="0" t="s">
        <v>21</v>
      </c>
      <c r="J245" s="0" t="s">
        <v>22</v>
      </c>
      <c r="K245" s="0" t="s">
        <v>155</v>
      </c>
      <c r="L245" s="0" t="str">
        <f aca="false">IFERROR(VLOOKUP(K245,'Supplier list'!B:C,2,0),"")</f>
        <v>บริษัท ก.เจริญฮาร์ดแวร์ จำกัด</v>
      </c>
      <c r="M245" s="1" t="s">
        <v>24</v>
      </c>
      <c r="O245" s="2" t="n">
        <v>0.34</v>
      </c>
    </row>
    <row r="246" customFormat="false" ht="16.4" hidden="false" customHeight="false" outlineLevel="0" collapsed="false">
      <c r="A246" s="0" t="s">
        <v>15</v>
      </c>
      <c r="B246" s="0" t="s">
        <v>886</v>
      </c>
      <c r="C246" s="0" t="n">
        <v>114001</v>
      </c>
      <c r="D246" s="0" t="n">
        <v>114001</v>
      </c>
      <c r="E246" s="0" t="s">
        <v>483</v>
      </c>
      <c r="F246" s="0" t="s">
        <v>18</v>
      </c>
      <c r="G246" s="0" t="s">
        <v>887</v>
      </c>
      <c r="H246" s="0" t="s">
        <v>888</v>
      </c>
      <c r="I246" s="0" t="s">
        <v>21</v>
      </c>
      <c r="J246" s="0" t="s">
        <v>22</v>
      </c>
      <c r="K246" s="0" t="s">
        <v>75</v>
      </c>
      <c r="L246" s="0" t="str">
        <f aca="false">IFERROR(VLOOKUP(K246,'Supplier list'!B:C,2,0),"")</f>
        <v/>
      </c>
      <c r="M246" s="1" t="s">
        <v>24</v>
      </c>
      <c r="O246" s="2" t="n">
        <v>40</v>
      </c>
    </row>
    <row r="247" customFormat="false" ht="16.4" hidden="false" customHeight="false" outlineLevel="0" collapsed="false">
      <c r="A247" s="0" t="s">
        <v>15</v>
      </c>
      <c r="B247" s="0" t="s">
        <v>889</v>
      </c>
      <c r="C247" s="0" t="n">
        <v>114001</v>
      </c>
      <c r="D247" s="0" t="n">
        <v>114001</v>
      </c>
      <c r="E247" s="0" t="s">
        <v>294</v>
      </c>
      <c r="F247" s="0" t="s">
        <v>18</v>
      </c>
      <c r="G247" s="0" t="s">
        <v>890</v>
      </c>
      <c r="H247" s="0" t="s">
        <v>891</v>
      </c>
      <c r="I247" s="0" t="s">
        <v>384</v>
      </c>
      <c r="J247" s="0" t="s">
        <v>385</v>
      </c>
      <c r="K247" s="0" t="s">
        <v>567</v>
      </c>
      <c r="L247" s="0" t="str">
        <f aca="false">IFERROR(VLOOKUP(K247,'Supplier list'!B:C,2,0),"")</f>
        <v>บริษัท ไทย เมก้าแคบ จำกัด</v>
      </c>
      <c r="M247" s="1" t="s">
        <v>24</v>
      </c>
      <c r="O247" s="2" t="n">
        <v>101.16</v>
      </c>
    </row>
    <row r="248" customFormat="false" ht="16.4" hidden="false" customHeight="false" outlineLevel="0" collapsed="false">
      <c r="A248" s="0" t="s">
        <v>15</v>
      </c>
      <c r="B248" s="0" t="s">
        <v>892</v>
      </c>
      <c r="C248" s="0" t="n">
        <v>114001</v>
      </c>
      <c r="D248" s="0" t="n">
        <v>114001</v>
      </c>
      <c r="E248" s="0" t="s">
        <v>294</v>
      </c>
      <c r="F248" s="0" t="s">
        <v>18</v>
      </c>
      <c r="G248" s="0" t="s">
        <v>893</v>
      </c>
      <c r="H248" s="0" t="s">
        <v>894</v>
      </c>
      <c r="I248" s="0" t="s">
        <v>384</v>
      </c>
      <c r="J248" s="0" t="s">
        <v>385</v>
      </c>
      <c r="K248" s="0" t="s">
        <v>392</v>
      </c>
      <c r="L248" s="0" t="str">
        <f aca="false">IFERROR(VLOOKUP(K248,'Supplier list'!B:C,2,0),"")</f>
        <v>บริษัท สไตเนอร์ท จำกัด</v>
      </c>
      <c r="M248" s="1" t="s">
        <v>24</v>
      </c>
      <c r="O248" s="2" t="n">
        <v>140</v>
      </c>
    </row>
    <row r="249" customFormat="false" ht="16.4" hidden="false" customHeight="false" outlineLevel="0" collapsed="false">
      <c r="A249" s="0" t="s">
        <v>15</v>
      </c>
      <c r="B249" s="0" t="s">
        <v>895</v>
      </c>
      <c r="C249" s="0" t="n">
        <v>114001</v>
      </c>
      <c r="D249" s="0" t="n">
        <v>114001</v>
      </c>
      <c r="E249" s="0" t="s">
        <v>896</v>
      </c>
      <c r="F249" s="0" t="s">
        <v>18</v>
      </c>
      <c r="G249" s="0" t="s">
        <v>897</v>
      </c>
      <c r="H249" s="0" t="s">
        <v>898</v>
      </c>
      <c r="I249" s="0" t="s">
        <v>384</v>
      </c>
      <c r="J249" s="0" t="s">
        <v>385</v>
      </c>
      <c r="K249" s="0" t="s">
        <v>899</v>
      </c>
      <c r="L249" s="0" t="str">
        <f aca="false">IFERROR(VLOOKUP(K249,'Supplier list'!B:C,2,0),"")</f>
        <v>บริษัท ไทฟง อินเตอร์เนชั่นแนล จำกัด</v>
      </c>
      <c r="M249" s="1" t="s">
        <v>24</v>
      </c>
      <c r="O249" s="2" t="n">
        <v>810</v>
      </c>
    </row>
    <row r="250" customFormat="false" ht="16.4" hidden="false" customHeight="false" outlineLevel="0" collapsed="false">
      <c r="A250" s="0" t="s">
        <v>15</v>
      </c>
      <c r="B250" s="0" t="s">
        <v>900</v>
      </c>
      <c r="C250" s="0" t="n">
        <v>114001</v>
      </c>
      <c r="D250" s="0" t="n">
        <v>114001</v>
      </c>
      <c r="E250" s="0" t="s">
        <v>901</v>
      </c>
      <c r="F250" s="0" t="s">
        <v>18</v>
      </c>
      <c r="G250" s="0" t="s">
        <v>902</v>
      </c>
      <c r="H250" s="0" t="s">
        <v>903</v>
      </c>
      <c r="I250" s="0" t="s">
        <v>904</v>
      </c>
      <c r="J250" s="0" t="s">
        <v>905</v>
      </c>
      <c r="K250" s="0" t="s">
        <v>899</v>
      </c>
      <c r="L250" s="0" t="str">
        <f aca="false">IFERROR(VLOOKUP(K250,'Supplier list'!B:C,2,0),"")</f>
        <v>บริษัท ไทฟง อินเตอร์เนชั่นแนล จำกัด</v>
      </c>
      <c r="M250" s="1" t="s">
        <v>24</v>
      </c>
      <c r="O250" s="2" t="n">
        <v>1220</v>
      </c>
    </row>
    <row r="251" customFormat="false" ht="16.4" hidden="false" customHeight="false" outlineLevel="0" collapsed="false">
      <c r="A251" s="0" t="s">
        <v>15</v>
      </c>
      <c r="B251" s="0" t="s">
        <v>906</v>
      </c>
      <c r="C251" s="0" t="n">
        <v>114001</v>
      </c>
      <c r="D251" s="0" t="n">
        <v>114001</v>
      </c>
      <c r="E251" s="0" t="s">
        <v>907</v>
      </c>
      <c r="F251" s="0" t="s">
        <v>18</v>
      </c>
      <c r="G251" s="0" t="s">
        <v>908</v>
      </c>
      <c r="H251" s="0" t="s">
        <v>909</v>
      </c>
      <c r="I251" s="0" t="s">
        <v>517</v>
      </c>
      <c r="J251" s="0" t="s">
        <v>518</v>
      </c>
      <c r="K251" s="0" t="s">
        <v>89</v>
      </c>
      <c r="L251" s="0" t="str">
        <f aca="false">IFERROR(VLOOKUP(K251,'Supplier list'!B:C,2,0),"")</f>
        <v>บริษัท เฮเฟเล่ (ประเทศไทย) จำกัด</v>
      </c>
      <c r="M251" s="1" t="s">
        <v>24</v>
      </c>
      <c r="O251" s="2" t="n">
        <v>47</v>
      </c>
    </row>
    <row r="252" customFormat="false" ht="16.4" hidden="false" customHeight="false" outlineLevel="0" collapsed="false">
      <c r="A252" s="0" t="s">
        <v>15</v>
      </c>
      <c r="B252" s="0" t="s">
        <v>910</v>
      </c>
      <c r="C252" s="0" t="n">
        <v>114001</v>
      </c>
      <c r="D252" s="0" t="n">
        <v>114001</v>
      </c>
      <c r="E252" s="0" t="s">
        <v>907</v>
      </c>
      <c r="F252" s="0" t="s">
        <v>18</v>
      </c>
      <c r="G252" s="0" t="s">
        <v>911</v>
      </c>
      <c r="H252" s="0" t="s">
        <v>912</v>
      </c>
      <c r="I252" s="0" t="s">
        <v>21</v>
      </c>
      <c r="J252" s="0" t="s">
        <v>22</v>
      </c>
      <c r="K252" s="0" t="s">
        <v>89</v>
      </c>
      <c r="L252" s="0" t="str">
        <f aca="false">IFERROR(VLOOKUP(K252,'Supplier list'!B:C,2,0),"")</f>
        <v>บริษัท เฮเฟเล่ (ประเทศไทย) จำกัด</v>
      </c>
      <c r="M252" s="1" t="s">
        <v>24</v>
      </c>
      <c r="O252" s="2" t="n">
        <v>112</v>
      </c>
    </row>
    <row r="253" customFormat="false" ht="16.4" hidden="false" customHeight="false" outlineLevel="0" collapsed="false">
      <c r="A253" s="0" t="s">
        <v>15</v>
      </c>
      <c r="B253" s="0" t="s">
        <v>913</v>
      </c>
      <c r="C253" s="0" t="n">
        <v>114001</v>
      </c>
      <c r="D253" s="0" t="n">
        <v>114001</v>
      </c>
      <c r="E253" s="0" t="s">
        <v>907</v>
      </c>
      <c r="F253" s="0" t="s">
        <v>18</v>
      </c>
      <c r="G253" s="0" t="s">
        <v>914</v>
      </c>
      <c r="H253" s="0" t="s">
        <v>915</v>
      </c>
      <c r="I253" s="0" t="s">
        <v>21</v>
      </c>
      <c r="J253" s="0" t="s">
        <v>22</v>
      </c>
      <c r="K253" s="0" t="s">
        <v>89</v>
      </c>
      <c r="L253" s="0" t="str">
        <f aca="false">IFERROR(VLOOKUP(K253,'Supplier list'!B:C,2,0),"")</f>
        <v>บริษัท เฮเฟเล่ (ประเทศไทย) จำกัด</v>
      </c>
      <c r="M253" s="1" t="s">
        <v>24</v>
      </c>
      <c r="O253" s="2" t="n">
        <v>112</v>
      </c>
    </row>
    <row r="254" customFormat="false" ht="16.4" hidden="false" customHeight="false" outlineLevel="0" collapsed="false">
      <c r="A254" s="0" t="s">
        <v>15</v>
      </c>
      <c r="B254" s="0" t="s">
        <v>916</v>
      </c>
      <c r="C254" s="0" t="n">
        <v>114001</v>
      </c>
      <c r="D254" s="0" t="n">
        <v>114001</v>
      </c>
      <c r="E254" s="0" t="s">
        <v>127</v>
      </c>
      <c r="F254" s="0" t="s">
        <v>18</v>
      </c>
      <c r="G254" s="0" t="s">
        <v>917</v>
      </c>
      <c r="H254" s="0" t="s">
        <v>918</v>
      </c>
      <c r="I254" s="0" t="s">
        <v>21</v>
      </c>
      <c r="J254" s="0" t="s">
        <v>22</v>
      </c>
      <c r="K254" s="0" t="s">
        <v>89</v>
      </c>
      <c r="L254" s="0" t="str">
        <f aca="false">IFERROR(VLOOKUP(K254,'Supplier list'!B:C,2,0),"")</f>
        <v>บริษัท เฮเฟเล่ (ประเทศไทย) จำกัด</v>
      </c>
      <c r="M254" s="1" t="s">
        <v>24</v>
      </c>
      <c r="O254" s="2" t="n">
        <v>21</v>
      </c>
    </row>
    <row r="255" customFormat="false" ht="16.4" hidden="false" customHeight="false" outlineLevel="0" collapsed="false">
      <c r="A255" s="0" t="s">
        <v>15</v>
      </c>
      <c r="B255" s="0" t="s">
        <v>919</v>
      </c>
      <c r="C255" s="0" t="n">
        <v>114001</v>
      </c>
      <c r="D255" s="0" t="n">
        <v>114001</v>
      </c>
      <c r="E255" s="0" t="s">
        <v>127</v>
      </c>
      <c r="F255" s="0" t="s">
        <v>18</v>
      </c>
      <c r="G255" s="0" t="s">
        <v>920</v>
      </c>
      <c r="H255" s="0" t="s">
        <v>921</v>
      </c>
      <c r="I255" s="0" t="s">
        <v>21</v>
      </c>
      <c r="J255" s="0" t="s">
        <v>22</v>
      </c>
      <c r="K255" s="0" t="s">
        <v>89</v>
      </c>
      <c r="L255" s="0" t="str">
        <f aca="false">IFERROR(VLOOKUP(K255,'Supplier list'!B:C,2,0),"")</f>
        <v>บริษัท เฮเฟเล่ (ประเทศไทย) จำกัด</v>
      </c>
      <c r="M255" s="1" t="s">
        <v>24</v>
      </c>
      <c r="O255" s="2" t="n">
        <v>25</v>
      </c>
    </row>
    <row r="256" customFormat="false" ht="16.4" hidden="false" customHeight="false" outlineLevel="0" collapsed="false">
      <c r="A256" s="0" t="s">
        <v>15</v>
      </c>
      <c r="B256" s="0" t="s">
        <v>922</v>
      </c>
      <c r="C256" s="0" t="n">
        <v>114001</v>
      </c>
      <c r="D256" s="0" t="n">
        <v>114001</v>
      </c>
      <c r="E256" s="0" t="s">
        <v>923</v>
      </c>
      <c r="F256" s="0" t="s">
        <v>18</v>
      </c>
      <c r="G256" s="0" t="s">
        <v>924</v>
      </c>
      <c r="H256" s="0" t="s">
        <v>925</v>
      </c>
      <c r="I256" s="0" t="s">
        <v>21</v>
      </c>
      <c r="J256" s="0" t="s">
        <v>22</v>
      </c>
      <c r="K256" s="0" t="s">
        <v>68</v>
      </c>
      <c r="L256" s="0" t="str">
        <f aca="false">IFERROR(VLOOKUP(K256,'Supplier list'!B:C,2,0),"")</f>
        <v>หจก. กรีน ดิสทริบิวชั่น</v>
      </c>
      <c r="M256" s="1" t="s">
        <v>24</v>
      </c>
      <c r="O256" s="2" t="n">
        <v>110</v>
      </c>
    </row>
    <row r="257" customFormat="false" ht="16.4" hidden="false" customHeight="false" outlineLevel="0" collapsed="false">
      <c r="A257" s="0" t="s">
        <v>15</v>
      </c>
      <c r="B257" s="0" t="s">
        <v>926</v>
      </c>
      <c r="C257" s="0" t="n">
        <v>114001</v>
      </c>
      <c r="D257" s="0" t="n">
        <v>114001</v>
      </c>
      <c r="E257" s="0" t="s">
        <v>923</v>
      </c>
      <c r="F257" s="0" t="s">
        <v>18</v>
      </c>
      <c r="G257" s="0" t="s">
        <v>927</v>
      </c>
      <c r="H257" s="0" t="s">
        <v>928</v>
      </c>
      <c r="I257" s="0" t="s">
        <v>21</v>
      </c>
      <c r="J257" s="0" t="s">
        <v>22</v>
      </c>
      <c r="K257" s="0" t="s">
        <v>68</v>
      </c>
      <c r="L257" s="0" t="str">
        <f aca="false">IFERROR(VLOOKUP(K257,'Supplier list'!B:C,2,0),"")</f>
        <v>หจก. กรีน ดิสทริบิวชั่น</v>
      </c>
      <c r="M257" s="1" t="s">
        <v>24</v>
      </c>
      <c r="O257" s="2" t="n">
        <v>80</v>
      </c>
    </row>
    <row r="258" customFormat="false" ht="16.4" hidden="false" customHeight="false" outlineLevel="0" collapsed="false">
      <c r="A258" s="0" t="s">
        <v>15</v>
      </c>
      <c r="B258" s="0" t="s">
        <v>929</v>
      </c>
      <c r="C258" s="0" t="n">
        <v>114001</v>
      </c>
      <c r="D258" s="0" t="n">
        <v>114001</v>
      </c>
      <c r="E258" s="0" t="s">
        <v>923</v>
      </c>
      <c r="F258" s="0" t="s">
        <v>18</v>
      </c>
      <c r="G258" s="0" t="s">
        <v>930</v>
      </c>
      <c r="H258" s="0" t="s">
        <v>931</v>
      </c>
      <c r="I258" s="0" t="s">
        <v>21</v>
      </c>
      <c r="J258" s="0" t="s">
        <v>22</v>
      </c>
      <c r="K258" s="0" t="s">
        <v>68</v>
      </c>
      <c r="L258" s="0" t="str">
        <f aca="false">IFERROR(VLOOKUP(K258,'Supplier list'!B:C,2,0),"")</f>
        <v>หจก. กรีน ดิสทริบิวชั่น</v>
      </c>
      <c r="M258" s="1" t="s">
        <v>24</v>
      </c>
      <c r="O258" s="2" t="n">
        <v>180</v>
      </c>
    </row>
    <row r="259" customFormat="false" ht="16.4" hidden="false" customHeight="false" outlineLevel="0" collapsed="false">
      <c r="A259" s="0" t="s">
        <v>15</v>
      </c>
      <c r="B259" s="0" t="s">
        <v>932</v>
      </c>
      <c r="C259" s="0" t="n">
        <v>114001</v>
      </c>
      <c r="D259" s="0" t="n">
        <v>114001</v>
      </c>
      <c r="E259" s="0" t="s">
        <v>121</v>
      </c>
      <c r="F259" s="0" t="s">
        <v>18</v>
      </c>
      <c r="G259" s="0" t="s">
        <v>933</v>
      </c>
      <c r="H259" s="0" t="s">
        <v>934</v>
      </c>
      <c r="I259" s="0" t="s">
        <v>21</v>
      </c>
      <c r="J259" s="0" t="s">
        <v>22</v>
      </c>
      <c r="K259" s="0" t="s">
        <v>787</v>
      </c>
      <c r="L259" s="0" t="str">
        <f aca="false">IFERROR(VLOOKUP(K259,'Supplier list'!B:C,2,0),"")</f>
        <v>บริษัท ฟิวเจอร์เทค อินเตอร์มาร์เก็ตติ้ง จำกัด</v>
      </c>
      <c r="M259" s="1" t="s">
        <v>24</v>
      </c>
      <c r="O259" s="2" t="n">
        <v>0.5</v>
      </c>
    </row>
    <row r="260" customFormat="false" ht="13.8" hidden="false" customHeight="false" outlineLevel="0" collapsed="false">
      <c r="A260" s="0" t="s">
        <v>15</v>
      </c>
      <c r="B260" s="0" t="s">
        <v>935</v>
      </c>
      <c r="C260" s="0" t="n">
        <v>114001</v>
      </c>
      <c r="D260" s="0" t="n">
        <v>114001</v>
      </c>
      <c r="E260" s="0" t="s">
        <v>161</v>
      </c>
      <c r="F260" s="0" t="s">
        <v>18</v>
      </c>
      <c r="G260" s="0" t="s">
        <v>936</v>
      </c>
      <c r="H260" s="0" t="s">
        <v>937</v>
      </c>
      <c r="I260" s="0" t="s">
        <v>248</v>
      </c>
      <c r="J260" s="0" t="s">
        <v>249</v>
      </c>
      <c r="K260" s="0" t="s">
        <v>938</v>
      </c>
      <c r="L260" s="0" t="str">
        <f aca="false">IFERROR(VLOOKUP(K260,'Supplier list'!B:C,2,0),"")</f>
        <v>บริษัท เคพีเอ แพคกิ้ง แอนด์ โปรดักส์ จำกัด</v>
      </c>
      <c r="M260" s="1" t="s">
        <v>24</v>
      </c>
      <c r="O260" s="2" t="n">
        <v>520</v>
      </c>
    </row>
    <row r="261" customFormat="false" ht="16.4" hidden="false" customHeight="false" outlineLevel="0" collapsed="false">
      <c r="A261" s="0" t="s">
        <v>15</v>
      </c>
      <c r="B261" s="0" t="s">
        <v>939</v>
      </c>
      <c r="C261" s="0" t="n">
        <v>114001</v>
      </c>
      <c r="D261" s="0" t="n">
        <v>114001</v>
      </c>
      <c r="E261" s="0" t="s">
        <v>940</v>
      </c>
      <c r="F261" s="0" t="s">
        <v>18</v>
      </c>
      <c r="G261" s="0" t="s">
        <v>941</v>
      </c>
      <c r="H261" s="0" t="s">
        <v>942</v>
      </c>
      <c r="I261" s="0" t="s">
        <v>21</v>
      </c>
      <c r="J261" s="0" t="s">
        <v>22</v>
      </c>
      <c r="K261" s="0" t="s">
        <v>787</v>
      </c>
      <c r="L261" s="0" t="str">
        <f aca="false">IFERROR(VLOOKUP(K261,'Supplier list'!B:C,2,0),"")</f>
        <v>บริษัท ฟิวเจอร์เทค อินเตอร์มาร์เก็ตติ้ง จำกัด</v>
      </c>
      <c r="M261" s="1" t="s">
        <v>24</v>
      </c>
      <c r="O261" s="2" t="n">
        <v>0.21</v>
      </c>
    </row>
    <row r="262" customFormat="false" ht="16.4" hidden="false" customHeight="false" outlineLevel="0" collapsed="false">
      <c r="A262" s="0" t="s">
        <v>15</v>
      </c>
      <c r="B262" s="0" t="s">
        <v>943</v>
      </c>
      <c r="C262" s="0" t="n">
        <v>114001</v>
      </c>
      <c r="D262" s="0" t="n">
        <v>114001</v>
      </c>
      <c r="E262" s="0" t="s">
        <v>944</v>
      </c>
      <c r="F262" s="0" t="s">
        <v>18</v>
      </c>
      <c r="G262" s="0" t="s">
        <v>945</v>
      </c>
      <c r="H262" s="0" t="s">
        <v>946</v>
      </c>
      <c r="I262" s="0" t="s">
        <v>947</v>
      </c>
      <c r="J262" s="0" t="s">
        <v>948</v>
      </c>
      <c r="K262" s="0" t="s">
        <v>392</v>
      </c>
      <c r="L262" s="0" t="str">
        <f aca="false">IFERROR(VLOOKUP(K262,'Supplier list'!B:C,2,0),"")</f>
        <v>บริษัท สไตเนอร์ท จำกัด</v>
      </c>
      <c r="M262" s="1" t="s">
        <v>24</v>
      </c>
      <c r="O262" s="2" t="n">
        <v>4050</v>
      </c>
    </row>
    <row r="263" customFormat="false" ht="16.4" hidden="false" customHeight="false" outlineLevel="0" collapsed="false">
      <c r="A263" s="0" t="s">
        <v>15</v>
      </c>
      <c r="B263" s="0" t="s">
        <v>949</v>
      </c>
      <c r="C263" s="0" t="n">
        <v>114001</v>
      </c>
      <c r="D263" s="0" t="n">
        <v>114001</v>
      </c>
      <c r="E263" s="0" t="s">
        <v>950</v>
      </c>
      <c r="F263" s="0" t="s">
        <v>18</v>
      </c>
      <c r="G263" s="0" t="s">
        <v>951</v>
      </c>
      <c r="H263" s="0" t="s">
        <v>952</v>
      </c>
      <c r="I263" s="0" t="s">
        <v>947</v>
      </c>
      <c r="J263" s="0" t="s">
        <v>948</v>
      </c>
      <c r="K263" s="0" t="s">
        <v>392</v>
      </c>
      <c r="L263" s="0" t="str">
        <f aca="false">IFERROR(VLOOKUP(K263,'Supplier list'!B:C,2,0),"")</f>
        <v>บริษัท สไตเนอร์ท จำกัด</v>
      </c>
      <c r="M263" s="1" t="s">
        <v>24</v>
      </c>
      <c r="O263" s="2" t="n">
        <v>4050</v>
      </c>
    </row>
    <row r="264" customFormat="false" ht="16.4" hidden="false" customHeight="false" outlineLevel="0" collapsed="false">
      <c r="A264" s="0" t="s">
        <v>15</v>
      </c>
      <c r="B264" s="0" t="s">
        <v>953</v>
      </c>
      <c r="C264" s="0" t="n">
        <v>114001</v>
      </c>
      <c r="D264" s="0" t="n">
        <v>114001</v>
      </c>
      <c r="E264" s="0" t="s">
        <v>613</v>
      </c>
      <c r="F264" s="0" t="s">
        <v>18</v>
      </c>
      <c r="G264" s="0" t="s">
        <v>954</v>
      </c>
      <c r="H264" s="0" t="s">
        <v>955</v>
      </c>
      <c r="I264" s="0" t="s">
        <v>21</v>
      </c>
      <c r="J264" s="0" t="s">
        <v>22</v>
      </c>
      <c r="K264" s="0" t="s">
        <v>616</v>
      </c>
      <c r="L264" s="0" t="str">
        <f aca="false">IFERROR(VLOOKUP(K264,'Supplier list'!B:C,2,0),"")</f>
        <v>บริษัท จิ่งหรง พริ้นติ้ง จากัด</v>
      </c>
      <c r="M264" s="1" t="s">
        <v>24</v>
      </c>
      <c r="O264" s="2" t="n">
        <v>0.45</v>
      </c>
    </row>
    <row r="265" customFormat="false" ht="13.8" hidden="false" customHeight="false" outlineLevel="0" collapsed="false">
      <c r="A265" s="0" t="s">
        <v>15</v>
      </c>
      <c r="B265" s="0" t="s">
        <v>956</v>
      </c>
      <c r="C265" s="0" t="n">
        <v>114001</v>
      </c>
      <c r="D265" s="0" t="n">
        <v>114001</v>
      </c>
      <c r="E265" s="0" t="s">
        <v>957</v>
      </c>
      <c r="F265" s="0" t="s">
        <v>18</v>
      </c>
      <c r="G265" s="0" t="s">
        <v>958</v>
      </c>
      <c r="H265" s="0" t="s">
        <v>959</v>
      </c>
      <c r="I265" s="0" t="s">
        <v>248</v>
      </c>
      <c r="J265" s="0" t="s">
        <v>249</v>
      </c>
      <c r="K265" s="0" t="s">
        <v>616</v>
      </c>
      <c r="L265" s="0" t="str">
        <f aca="false">IFERROR(VLOOKUP(K265,'Supplier list'!B:C,2,0),"")</f>
        <v>บริษัท จิ่งหรง พริ้นติ้ง จากัด</v>
      </c>
      <c r="M265" s="1" t="s">
        <v>24</v>
      </c>
      <c r="O265" s="2" t="n">
        <v>260</v>
      </c>
    </row>
    <row r="266" customFormat="false" ht="16.4" hidden="false" customHeight="false" outlineLevel="0" collapsed="false">
      <c r="A266" s="0" t="s">
        <v>15</v>
      </c>
      <c r="B266" s="0" t="s">
        <v>960</v>
      </c>
      <c r="C266" s="0" t="n">
        <v>114001</v>
      </c>
      <c r="D266" s="0" t="n">
        <v>114001</v>
      </c>
      <c r="E266" s="0" t="s">
        <v>961</v>
      </c>
      <c r="F266" s="0" t="s">
        <v>18</v>
      </c>
      <c r="G266" s="0" t="s">
        <v>962</v>
      </c>
      <c r="H266" s="0" t="s">
        <v>963</v>
      </c>
      <c r="I266" s="0" t="s">
        <v>21</v>
      </c>
      <c r="J266" s="0" t="s">
        <v>22</v>
      </c>
      <c r="K266" s="0" t="s">
        <v>89</v>
      </c>
      <c r="L266" s="0" t="str">
        <f aca="false">IFERROR(VLOOKUP(K266,'Supplier list'!B:C,2,0),"")</f>
        <v>บริษัท เฮเฟเล่ (ประเทศไทย) จำกัด</v>
      </c>
      <c r="M266" s="1" t="s">
        <v>24</v>
      </c>
      <c r="O266" s="2" t="n">
        <v>9</v>
      </c>
    </row>
    <row r="267" customFormat="false" ht="16.4" hidden="false" customHeight="false" outlineLevel="0" collapsed="false">
      <c r="A267" s="0" t="s">
        <v>15</v>
      </c>
      <c r="B267" s="0" t="s">
        <v>964</v>
      </c>
      <c r="C267" s="0" t="n">
        <v>114001</v>
      </c>
      <c r="D267" s="0" t="n">
        <v>114001</v>
      </c>
      <c r="E267" s="0" t="s">
        <v>965</v>
      </c>
      <c r="F267" s="0" t="s">
        <v>18</v>
      </c>
      <c r="G267" s="0" t="s">
        <v>966</v>
      </c>
      <c r="H267" s="0" t="s">
        <v>967</v>
      </c>
      <c r="I267" s="0" t="s">
        <v>21</v>
      </c>
      <c r="J267" s="0" t="s">
        <v>22</v>
      </c>
      <c r="K267" s="0" t="s">
        <v>89</v>
      </c>
      <c r="L267" s="0" t="str">
        <f aca="false">IFERROR(VLOOKUP(K267,'Supplier list'!B:C,2,0),"")</f>
        <v>บริษัท เฮเฟเล่ (ประเทศไทย) จำกัด</v>
      </c>
      <c r="M267" s="1" t="s">
        <v>24</v>
      </c>
      <c r="O267" s="2" t="n">
        <v>3</v>
      </c>
    </row>
    <row r="268" customFormat="false" ht="16.4" hidden="false" customHeight="false" outlineLevel="0" collapsed="false">
      <c r="A268" s="0" t="s">
        <v>15</v>
      </c>
      <c r="B268" s="0" t="s">
        <v>968</v>
      </c>
      <c r="C268" s="0" t="n">
        <v>114001</v>
      </c>
      <c r="D268" s="0" t="n">
        <v>114001</v>
      </c>
      <c r="E268" s="0" t="s">
        <v>121</v>
      </c>
      <c r="F268" s="0" t="s">
        <v>18</v>
      </c>
      <c r="G268" s="0" t="s">
        <v>969</v>
      </c>
      <c r="H268" s="0" t="s">
        <v>970</v>
      </c>
      <c r="I268" s="0" t="s">
        <v>21</v>
      </c>
      <c r="J268" s="0" t="s">
        <v>22</v>
      </c>
      <c r="K268" s="0" t="s">
        <v>89</v>
      </c>
      <c r="L268" s="0" t="str">
        <f aca="false">IFERROR(VLOOKUP(K268,'Supplier list'!B:C,2,0),"")</f>
        <v>บริษัท เฮเฟเล่ (ประเทศไทย) จำกัด</v>
      </c>
      <c r="M268" s="1" t="s">
        <v>24</v>
      </c>
      <c r="O268" s="2" t="n">
        <v>2</v>
      </c>
    </row>
    <row r="269" customFormat="false" ht="16.4" hidden="false" customHeight="false" outlineLevel="0" collapsed="false">
      <c r="A269" s="0" t="s">
        <v>15</v>
      </c>
      <c r="B269" s="0" t="s">
        <v>971</v>
      </c>
      <c r="C269" s="0" t="n">
        <v>114001</v>
      </c>
      <c r="D269" s="0" t="n">
        <v>114001</v>
      </c>
      <c r="E269" s="0" t="s">
        <v>965</v>
      </c>
      <c r="F269" s="0" t="s">
        <v>18</v>
      </c>
      <c r="G269" s="0" t="s">
        <v>972</v>
      </c>
      <c r="H269" s="0" t="s">
        <v>973</v>
      </c>
      <c r="I269" s="0" t="s">
        <v>21</v>
      </c>
      <c r="J269" s="0" t="s">
        <v>22</v>
      </c>
      <c r="K269" s="0" t="s">
        <v>89</v>
      </c>
      <c r="L269" s="0" t="str">
        <f aca="false">IFERROR(VLOOKUP(K269,'Supplier list'!B:C,2,0),"")</f>
        <v>บริษัท เฮเฟเล่ (ประเทศไทย) จำกัด</v>
      </c>
      <c r="M269" s="1" t="s">
        <v>24</v>
      </c>
      <c r="O269" s="2" t="n">
        <v>18</v>
      </c>
    </row>
    <row r="270" customFormat="false" ht="16.4" hidden="false" customHeight="false" outlineLevel="0" collapsed="false">
      <c r="A270" s="0" t="s">
        <v>15</v>
      </c>
      <c r="B270" s="0" t="s">
        <v>974</v>
      </c>
      <c r="C270" s="0" t="n">
        <v>114001</v>
      </c>
      <c r="D270" s="0" t="n">
        <v>114001</v>
      </c>
      <c r="E270" s="0" t="s">
        <v>298</v>
      </c>
      <c r="F270" s="0" t="s">
        <v>18</v>
      </c>
      <c r="G270" s="0" t="s">
        <v>975</v>
      </c>
      <c r="H270" s="0" t="s">
        <v>976</v>
      </c>
      <c r="I270" s="0" t="s">
        <v>21</v>
      </c>
      <c r="J270" s="0" t="s">
        <v>22</v>
      </c>
      <c r="K270" s="0" t="s">
        <v>303</v>
      </c>
      <c r="L270" s="0" t="str">
        <f aca="false">IFERROR(VLOOKUP(K270,'Supplier list'!B:C,2,0),"")</f>
        <v>บริษัท เอ็มเค วู้ดเทค จำกัด</v>
      </c>
      <c r="M270" s="1" t="s">
        <v>24</v>
      </c>
      <c r="O270" s="2" t="n">
        <v>80</v>
      </c>
    </row>
    <row r="271" customFormat="false" ht="16.4" hidden="false" customHeight="false" outlineLevel="0" collapsed="false">
      <c r="A271" s="0" t="s">
        <v>15</v>
      </c>
      <c r="B271" s="0" t="s">
        <v>977</v>
      </c>
      <c r="C271" s="0" t="n">
        <v>114001</v>
      </c>
      <c r="D271" s="0" t="n">
        <v>114001</v>
      </c>
      <c r="E271" s="0" t="s">
        <v>298</v>
      </c>
      <c r="F271" s="0" t="s">
        <v>18</v>
      </c>
      <c r="G271" s="0" t="s">
        <v>978</v>
      </c>
      <c r="H271" s="0" t="s">
        <v>979</v>
      </c>
      <c r="I271" s="0" t="s">
        <v>21</v>
      </c>
      <c r="J271" s="0" t="s">
        <v>22</v>
      </c>
      <c r="K271" s="0" t="s">
        <v>303</v>
      </c>
      <c r="L271" s="0" t="str">
        <f aca="false">IFERROR(VLOOKUP(K271,'Supplier list'!B:C,2,0),"")</f>
        <v>บริษัท เอ็มเค วู้ดเทค จำกัด</v>
      </c>
      <c r="M271" s="1" t="s">
        <v>24</v>
      </c>
      <c r="O271" s="2" t="n">
        <v>80</v>
      </c>
    </row>
    <row r="272" customFormat="false" ht="16.4" hidden="false" customHeight="false" outlineLevel="0" collapsed="false">
      <c r="A272" s="0" t="s">
        <v>15</v>
      </c>
      <c r="B272" s="0" t="s">
        <v>980</v>
      </c>
      <c r="C272" s="0" t="n">
        <v>114001</v>
      </c>
      <c r="D272" s="0" t="n">
        <v>114001</v>
      </c>
      <c r="E272" s="0" t="s">
        <v>298</v>
      </c>
      <c r="F272" s="0" t="s">
        <v>18</v>
      </c>
      <c r="G272" s="0" t="s">
        <v>981</v>
      </c>
      <c r="H272" s="0" t="s">
        <v>982</v>
      </c>
      <c r="I272" s="0" t="s">
        <v>21</v>
      </c>
      <c r="J272" s="0" t="s">
        <v>22</v>
      </c>
      <c r="K272" s="0" t="s">
        <v>303</v>
      </c>
      <c r="L272" s="0" t="str">
        <f aca="false">IFERROR(VLOOKUP(K272,'Supplier list'!B:C,2,0),"")</f>
        <v>บริษัท เอ็มเค วู้ดเทค จำกัด</v>
      </c>
      <c r="M272" s="1" t="s">
        <v>24</v>
      </c>
      <c r="O272" s="2" t="n">
        <v>80</v>
      </c>
    </row>
    <row r="273" customFormat="false" ht="16.4" hidden="false" customHeight="false" outlineLevel="0" collapsed="false">
      <c r="A273" s="0" t="s">
        <v>15</v>
      </c>
      <c r="B273" s="0" t="s">
        <v>983</v>
      </c>
      <c r="C273" s="0" t="n">
        <v>114001</v>
      </c>
      <c r="D273" s="0" t="n">
        <v>114001</v>
      </c>
      <c r="E273" s="0" t="s">
        <v>965</v>
      </c>
      <c r="F273" s="0" t="s">
        <v>18</v>
      </c>
      <c r="G273" s="0" t="s">
        <v>984</v>
      </c>
      <c r="H273" s="0" t="s">
        <v>985</v>
      </c>
      <c r="I273" s="0" t="s">
        <v>21</v>
      </c>
      <c r="J273" s="0" t="s">
        <v>22</v>
      </c>
      <c r="K273" s="0" t="s">
        <v>89</v>
      </c>
      <c r="L273" s="0" t="str">
        <f aca="false">IFERROR(VLOOKUP(K273,'Supplier list'!B:C,2,0),"")</f>
        <v>บริษัท เฮเฟเล่ (ประเทศไทย) จำกัด</v>
      </c>
      <c r="M273" s="1" t="s">
        <v>24</v>
      </c>
      <c r="O273" s="2" t="n">
        <v>1</v>
      </c>
    </row>
    <row r="274" customFormat="false" ht="16.4" hidden="false" customHeight="false" outlineLevel="0" collapsed="false">
      <c r="A274" s="0" t="s">
        <v>15</v>
      </c>
      <c r="B274" s="0" t="s">
        <v>986</v>
      </c>
      <c r="C274" s="0" t="n">
        <v>114001</v>
      </c>
      <c r="D274" s="0" t="n">
        <v>114001</v>
      </c>
      <c r="E274" s="0" t="s">
        <v>514</v>
      </c>
      <c r="F274" s="0" t="s">
        <v>18</v>
      </c>
      <c r="G274" s="0" t="s">
        <v>987</v>
      </c>
      <c r="H274" s="0" t="s">
        <v>988</v>
      </c>
      <c r="I274" s="0" t="s">
        <v>517</v>
      </c>
      <c r="J274" s="0" t="s">
        <v>518</v>
      </c>
      <c r="K274" s="0" t="s">
        <v>989</v>
      </c>
      <c r="L274" s="0" t="str">
        <f aca="false">IFERROR(VLOOKUP(K274,'Supplier list'!B:C,2,0),"")</f>
        <v>หจก. โปรเฟส ซัพพลาย</v>
      </c>
      <c r="M274" s="1" t="s">
        <v>24</v>
      </c>
      <c r="O274" s="2" t="n">
        <v>145</v>
      </c>
    </row>
    <row r="275" customFormat="false" ht="16.4" hidden="false" customHeight="false" outlineLevel="0" collapsed="false">
      <c r="A275" s="0" t="s">
        <v>15</v>
      </c>
      <c r="B275" s="0" t="s">
        <v>990</v>
      </c>
      <c r="C275" s="0" t="n">
        <v>114003</v>
      </c>
      <c r="D275" s="0" t="n">
        <v>114003</v>
      </c>
      <c r="E275" s="0" t="s">
        <v>87</v>
      </c>
      <c r="F275" s="0" t="s">
        <v>18</v>
      </c>
      <c r="G275" s="0" t="s">
        <v>991</v>
      </c>
      <c r="H275" s="0" t="s">
        <v>991</v>
      </c>
      <c r="I275" s="0" t="s">
        <v>142</v>
      </c>
      <c r="J275" s="0" t="s">
        <v>143</v>
      </c>
      <c r="K275" s="0" t="s">
        <v>89</v>
      </c>
      <c r="L275" s="0" t="str">
        <f aca="false">IFERROR(VLOOKUP(K275,'Supplier list'!B:C,2,0),"")</f>
        <v>บริษัท เฮเฟเล่ (ประเทศไทย) จำกัด</v>
      </c>
      <c r="M275" s="1" t="s">
        <v>24</v>
      </c>
      <c r="O275" s="2" t="n">
        <v>1450</v>
      </c>
    </row>
    <row r="276" customFormat="false" ht="16.4" hidden="false" customHeight="false" outlineLevel="0" collapsed="false">
      <c r="A276" s="0" t="s">
        <v>15</v>
      </c>
      <c r="B276" s="0" t="s">
        <v>992</v>
      </c>
      <c r="C276" s="0" t="n">
        <v>114003</v>
      </c>
      <c r="D276" s="0" t="n">
        <v>114003</v>
      </c>
      <c r="E276" s="0" t="s">
        <v>87</v>
      </c>
      <c r="F276" s="0" t="s">
        <v>18</v>
      </c>
      <c r="G276" s="0" t="s">
        <v>993</v>
      </c>
      <c r="H276" s="0" t="s">
        <v>993</v>
      </c>
      <c r="I276" s="0" t="s">
        <v>142</v>
      </c>
      <c r="J276" s="0" t="s">
        <v>143</v>
      </c>
      <c r="K276" s="0" t="s">
        <v>89</v>
      </c>
      <c r="L276" s="0" t="str">
        <f aca="false">IFERROR(VLOOKUP(K276,'Supplier list'!B:C,2,0),"")</f>
        <v>บริษัท เฮเฟเล่ (ประเทศไทย) จำกัด</v>
      </c>
      <c r="M276" s="1" t="s">
        <v>24</v>
      </c>
      <c r="O276" s="2" t="n">
        <v>1450</v>
      </c>
    </row>
    <row r="277" customFormat="false" ht="16.4" hidden="false" customHeight="false" outlineLevel="0" collapsed="false">
      <c r="A277" s="0" t="s">
        <v>15</v>
      </c>
      <c r="B277" s="0" t="s">
        <v>994</v>
      </c>
      <c r="C277" s="0" t="n">
        <v>114003</v>
      </c>
      <c r="D277" s="0" t="n">
        <v>114003</v>
      </c>
      <c r="E277" s="0" t="s">
        <v>87</v>
      </c>
      <c r="F277" s="0" t="s">
        <v>18</v>
      </c>
      <c r="G277" s="0" t="s">
        <v>995</v>
      </c>
      <c r="H277" s="0" t="s">
        <v>995</v>
      </c>
      <c r="I277" s="0" t="s">
        <v>142</v>
      </c>
      <c r="J277" s="0" t="s">
        <v>143</v>
      </c>
      <c r="K277" s="0" t="s">
        <v>89</v>
      </c>
      <c r="L277" s="0" t="str">
        <f aca="false">IFERROR(VLOOKUP(K277,'Supplier list'!B:C,2,0),"")</f>
        <v>บริษัท เฮเฟเล่ (ประเทศไทย) จำกัด</v>
      </c>
      <c r="M277" s="1" t="s">
        <v>24</v>
      </c>
      <c r="O277" s="2" t="n">
        <v>1450</v>
      </c>
    </row>
    <row r="278" customFormat="false" ht="16.4" hidden="false" customHeight="false" outlineLevel="0" collapsed="false">
      <c r="A278" s="0" t="s">
        <v>15</v>
      </c>
      <c r="B278" s="0" t="s">
        <v>996</v>
      </c>
      <c r="C278" s="0" t="n">
        <v>114003</v>
      </c>
      <c r="D278" s="0" t="n">
        <v>114003</v>
      </c>
      <c r="E278" s="0" t="s">
        <v>87</v>
      </c>
      <c r="F278" s="0" t="s">
        <v>18</v>
      </c>
      <c r="G278" s="0" t="s">
        <v>997</v>
      </c>
      <c r="H278" s="0" t="s">
        <v>998</v>
      </c>
      <c r="I278" s="0" t="s">
        <v>102</v>
      </c>
      <c r="J278" s="0" t="s">
        <v>103</v>
      </c>
      <c r="K278" s="0" t="s">
        <v>352</v>
      </c>
      <c r="L278" s="0" t="str">
        <f aca="false">IFERROR(VLOOKUP(K278,'Supplier list'!B:C,2,0),"")</f>
        <v>บริษัท พีเอ็นพี อินเตอร์แพค</v>
      </c>
      <c r="M278" s="1" t="s">
        <v>24</v>
      </c>
      <c r="O278" s="2" t="n">
        <v>10.65</v>
      </c>
    </row>
    <row r="279" customFormat="false" ht="16.4" hidden="false" customHeight="false" outlineLevel="0" collapsed="false">
      <c r="A279" s="0" t="s">
        <v>15</v>
      </c>
      <c r="B279" s="0" t="s">
        <v>999</v>
      </c>
      <c r="C279" s="0" t="n">
        <v>114003</v>
      </c>
      <c r="D279" s="0" t="n">
        <v>114003</v>
      </c>
      <c r="E279" s="0" t="s">
        <v>1000</v>
      </c>
      <c r="F279" s="0" t="s">
        <v>18</v>
      </c>
      <c r="G279" s="0" t="s">
        <v>1001</v>
      </c>
      <c r="H279" s="0" t="s">
        <v>1002</v>
      </c>
      <c r="I279" s="0" t="s">
        <v>21</v>
      </c>
      <c r="J279" s="0" t="s">
        <v>22</v>
      </c>
      <c r="L279" s="0" t="str">
        <f aca="false">IFERROR(VLOOKUP(K279,'Supplier list'!B:C,2,0),"")</f>
        <v/>
      </c>
      <c r="M279" s="1" t="s">
        <v>24</v>
      </c>
      <c r="O279" s="2" t="n">
        <v>49</v>
      </c>
    </row>
    <row r="280" customFormat="false" ht="16.4" hidden="false" customHeight="false" outlineLevel="0" collapsed="false">
      <c r="A280" s="0" t="s">
        <v>15</v>
      </c>
      <c r="B280" s="0" t="s">
        <v>1003</v>
      </c>
      <c r="C280" s="0" t="n">
        <v>114003</v>
      </c>
      <c r="D280" s="0" t="n">
        <v>114003</v>
      </c>
      <c r="E280" s="0" t="s">
        <v>17</v>
      </c>
      <c r="F280" s="0" t="s">
        <v>18</v>
      </c>
      <c r="G280" s="0" t="s">
        <v>1004</v>
      </c>
      <c r="H280" s="0" t="s">
        <v>1005</v>
      </c>
      <c r="I280" s="0" t="s">
        <v>248</v>
      </c>
      <c r="J280" s="0" t="s">
        <v>249</v>
      </c>
      <c r="K280" s="0" t="s">
        <v>352</v>
      </c>
      <c r="L280" s="0" t="str">
        <f aca="false">IFERROR(VLOOKUP(K280,'Supplier list'!B:C,2,0),"")</f>
        <v>บริษัท พีเอ็นพี อินเตอร์แพค</v>
      </c>
      <c r="M280" s="1" t="s">
        <v>24</v>
      </c>
      <c r="O280" s="2" t="n">
        <v>185</v>
      </c>
    </row>
    <row r="281" customFormat="false" ht="16.4" hidden="false" customHeight="false" outlineLevel="0" collapsed="false">
      <c r="A281" s="0" t="s">
        <v>15</v>
      </c>
      <c r="B281" s="0" t="s">
        <v>1006</v>
      </c>
      <c r="C281" s="0" t="n">
        <v>114003</v>
      </c>
      <c r="D281" s="0" t="n">
        <v>114003</v>
      </c>
      <c r="E281" s="0" t="s">
        <v>499</v>
      </c>
      <c r="F281" s="0" t="s">
        <v>18</v>
      </c>
      <c r="G281" s="0" t="s">
        <v>1007</v>
      </c>
      <c r="H281" s="0" t="s">
        <v>1008</v>
      </c>
      <c r="I281" s="0" t="s">
        <v>384</v>
      </c>
      <c r="J281" s="0" t="s">
        <v>385</v>
      </c>
      <c r="K281" s="0" t="s">
        <v>1009</v>
      </c>
      <c r="L281" s="0" t="str">
        <f aca="false">IFERROR(VLOOKUP(K281,'Supplier list'!B:C,2,0),"")</f>
        <v/>
      </c>
      <c r="M281" s="1" t="s">
        <v>24</v>
      </c>
      <c r="O281" s="2" t="n">
        <v>55</v>
      </c>
    </row>
    <row r="282" customFormat="false" ht="16.4" hidden="false" customHeight="false" outlineLevel="0" collapsed="false">
      <c r="A282" s="0" t="s">
        <v>15</v>
      </c>
      <c r="B282" s="0" t="s">
        <v>1010</v>
      </c>
      <c r="C282" s="0" t="n">
        <v>114003</v>
      </c>
      <c r="D282" s="0" t="n">
        <v>114003</v>
      </c>
      <c r="E282" s="0" t="s">
        <v>87</v>
      </c>
      <c r="F282" s="0" t="s">
        <v>18</v>
      </c>
      <c r="G282" s="0" t="s">
        <v>1011</v>
      </c>
      <c r="H282" s="0" t="s">
        <v>1012</v>
      </c>
      <c r="I282" s="0" t="s">
        <v>168</v>
      </c>
      <c r="J282" s="0" t="s">
        <v>169</v>
      </c>
      <c r="K282" s="0" t="s">
        <v>352</v>
      </c>
      <c r="L282" s="0" t="str">
        <f aca="false">IFERROR(VLOOKUP(K282,'Supplier list'!B:C,2,0),"")</f>
        <v>บริษัท พีเอ็นพี อินเตอร์แพค</v>
      </c>
      <c r="M282" s="1" t="s">
        <v>24</v>
      </c>
      <c r="O282" s="2" t="n">
        <v>297</v>
      </c>
    </row>
    <row r="283" customFormat="false" ht="16.4" hidden="false" customHeight="false" outlineLevel="0" collapsed="false">
      <c r="A283" s="0" t="s">
        <v>15</v>
      </c>
      <c r="B283" s="0" t="s">
        <v>1013</v>
      </c>
      <c r="C283" s="0" t="n">
        <v>114003</v>
      </c>
      <c r="D283" s="0" t="n">
        <v>114003</v>
      </c>
      <c r="E283" s="0" t="s">
        <v>1014</v>
      </c>
      <c r="F283" s="0" t="s">
        <v>18</v>
      </c>
      <c r="G283" s="0" t="s">
        <v>1015</v>
      </c>
      <c r="H283" s="0" t="s">
        <v>1016</v>
      </c>
      <c r="I283" s="0" t="s">
        <v>331</v>
      </c>
      <c r="J283" s="0" t="s">
        <v>332</v>
      </c>
      <c r="L283" s="0" t="str">
        <f aca="false">IFERROR(VLOOKUP(K283,'Supplier list'!B:C,2,0),"")</f>
        <v/>
      </c>
      <c r="M283" s="1" t="s">
        <v>24</v>
      </c>
      <c r="O283" s="2" t="n">
        <v>320</v>
      </c>
    </row>
    <row r="284" customFormat="false" ht="16.4" hidden="false" customHeight="false" outlineLevel="0" collapsed="false">
      <c r="A284" s="0" t="s">
        <v>15</v>
      </c>
      <c r="B284" s="0" t="s">
        <v>1017</v>
      </c>
      <c r="C284" s="0" t="n">
        <v>114003</v>
      </c>
      <c r="D284" s="0" t="n">
        <v>114003</v>
      </c>
      <c r="E284" s="0" t="s">
        <v>17</v>
      </c>
      <c r="F284" s="0" t="s">
        <v>18</v>
      </c>
      <c r="G284" s="0" t="s">
        <v>1018</v>
      </c>
      <c r="H284" s="0" t="s">
        <v>1019</v>
      </c>
      <c r="I284" s="0" t="s">
        <v>1020</v>
      </c>
      <c r="J284" s="0" t="s">
        <v>1021</v>
      </c>
      <c r="K284" s="0" t="s">
        <v>352</v>
      </c>
      <c r="L284" s="0" t="str">
        <f aca="false">IFERROR(VLOOKUP(K284,'Supplier list'!B:C,2,0),"")</f>
        <v>บริษัท พีเอ็นพี อินเตอร์แพค</v>
      </c>
      <c r="M284" s="1" t="s">
        <v>24</v>
      </c>
      <c r="O284" s="2" t="n">
        <v>4080</v>
      </c>
    </row>
    <row r="285" customFormat="false" ht="16.4" hidden="false" customHeight="false" outlineLevel="0" collapsed="false">
      <c r="A285" s="0" t="s">
        <v>15</v>
      </c>
      <c r="B285" s="0" t="s">
        <v>1022</v>
      </c>
      <c r="C285" s="0" t="n">
        <v>114003</v>
      </c>
      <c r="D285" s="0" t="n">
        <v>114003</v>
      </c>
      <c r="E285" s="0" t="s">
        <v>17</v>
      </c>
      <c r="F285" s="0" t="s">
        <v>18</v>
      </c>
      <c r="G285" s="0" t="s">
        <v>1023</v>
      </c>
      <c r="H285" s="0" t="s">
        <v>1024</v>
      </c>
      <c r="I285" s="0" t="s">
        <v>248</v>
      </c>
      <c r="J285" s="0" t="s">
        <v>249</v>
      </c>
      <c r="K285" s="0" t="s">
        <v>352</v>
      </c>
      <c r="L285" s="0" t="str">
        <f aca="false">IFERROR(VLOOKUP(K285,'Supplier list'!B:C,2,0),"")</f>
        <v>บริษัท พีเอ็นพี อินเตอร์แพค</v>
      </c>
      <c r="M285" s="1" t="s">
        <v>24</v>
      </c>
      <c r="O285" s="2" t="n">
        <v>8.8</v>
      </c>
    </row>
    <row r="286" customFormat="false" ht="16.4" hidden="false" customHeight="false" outlineLevel="0" collapsed="false">
      <c r="A286" s="0" t="s">
        <v>15</v>
      </c>
      <c r="B286" s="0" t="s">
        <v>1025</v>
      </c>
      <c r="C286" s="0" t="n">
        <v>114003</v>
      </c>
      <c r="D286" s="0" t="n">
        <v>114003</v>
      </c>
      <c r="E286" s="0" t="s">
        <v>1026</v>
      </c>
      <c r="F286" s="0" t="s">
        <v>18</v>
      </c>
      <c r="G286" s="0" t="s">
        <v>1027</v>
      </c>
      <c r="H286" s="0" t="s">
        <v>1028</v>
      </c>
      <c r="I286" s="0" t="s">
        <v>331</v>
      </c>
      <c r="J286" s="0" t="s">
        <v>332</v>
      </c>
      <c r="K286" s="0" t="s">
        <v>352</v>
      </c>
      <c r="L286" s="0" t="str">
        <f aca="false">IFERROR(VLOOKUP(K286,'Supplier list'!B:C,2,0),"")</f>
        <v>บริษัท พีเอ็นพี อินเตอร์แพค</v>
      </c>
      <c r="M286" s="1" t="s">
        <v>24</v>
      </c>
      <c r="O286" s="2" t="n">
        <v>289</v>
      </c>
    </row>
    <row r="287" customFormat="false" ht="16.4" hidden="false" customHeight="false" outlineLevel="0" collapsed="false">
      <c r="A287" s="0" t="s">
        <v>15</v>
      </c>
      <c r="B287" s="0" t="s">
        <v>1029</v>
      </c>
      <c r="C287" s="0" t="n">
        <v>114003</v>
      </c>
      <c r="D287" s="0" t="n">
        <v>114003</v>
      </c>
      <c r="E287" s="0" t="s">
        <v>1014</v>
      </c>
      <c r="F287" s="0" t="s">
        <v>18</v>
      </c>
      <c r="G287" s="0" t="s">
        <v>1030</v>
      </c>
      <c r="H287" s="0" t="s">
        <v>1031</v>
      </c>
      <c r="I287" s="0" t="s">
        <v>1032</v>
      </c>
      <c r="J287" s="0" t="s">
        <v>1033</v>
      </c>
      <c r="K287" s="0" t="s">
        <v>82</v>
      </c>
      <c r="L287" s="0" t="str">
        <f aca="false">IFERROR(VLOOKUP(K287,'Supplier list'!B:C,2,0),"")</f>
        <v>บริษัท เกรียงศิริพัฒนา (1995) จำกัด</v>
      </c>
      <c r="M287" s="1" t="s">
        <v>24</v>
      </c>
      <c r="O287" s="2" t="n">
        <v>210</v>
      </c>
    </row>
    <row r="288" customFormat="false" ht="16.4" hidden="false" customHeight="false" outlineLevel="0" collapsed="false">
      <c r="A288" s="0" t="s">
        <v>15</v>
      </c>
      <c r="B288" s="0" t="s">
        <v>1034</v>
      </c>
      <c r="C288" s="0" t="n">
        <v>114003</v>
      </c>
      <c r="D288" s="0" t="n">
        <v>114003</v>
      </c>
      <c r="E288" s="0" t="s">
        <v>87</v>
      </c>
      <c r="F288" s="0" t="s">
        <v>18</v>
      </c>
      <c r="G288" s="0" t="s">
        <v>1035</v>
      </c>
      <c r="H288" s="0" t="s">
        <v>1036</v>
      </c>
      <c r="I288" s="0" t="s">
        <v>248</v>
      </c>
      <c r="J288" s="0" t="s">
        <v>249</v>
      </c>
      <c r="K288" s="0" t="s">
        <v>89</v>
      </c>
      <c r="L288" s="0" t="str">
        <f aca="false">IFERROR(VLOOKUP(K288,'Supplier list'!B:C,2,0),"")</f>
        <v>บริษัท เฮเฟเล่ (ประเทศไทย) จำกัด</v>
      </c>
      <c r="M288" s="1" t="s">
        <v>24</v>
      </c>
      <c r="O288" s="2" t="n">
        <v>1650</v>
      </c>
    </row>
    <row r="289" customFormat="false" ht="16.4" hidden="false" customHeight="false" outlineLevel="0" collapsed="false">
      <c r="A289" s="0" t="s">
        <v>15</v>
      </c>
      <c r="B289" s="0" t="s">
        <v>1037</v>
      </c>
      <c r="C289" s="0" t="n">
        <v>114003</v>
      </c>
      <c r="D289" s="0" t="n">
        <v>114003</v>
      </c>
      <c r="E289" s="0" t="s">
        <v>87</v>
      </c>
      <c r="F289" s="0" t="s">
        <v>18</v>
      </c>
      <c r="G289" s="0" t="s">
        <v>1038</v>
      </c>
      <c r="H289" s="0" t="s">
        <v>1039</v>
      </c>
      <c r="I289" s="0" t="s">
        <v>248</v>
      </c>
      <c r="J289" s="0" t="s">
        <v>249</v>
      </c>
      <c r="K289" s="0" t="s">
        <v>89</v>
      </c>
      <c r="L289" s="0" t="str">
        <f aca="false">IFERROR(VLOOKUP(K289,'Supplier list'!B:C,2,0),"")</f>
        <v>บริษัท เฮเฟเล่ (ประเทศไทย) จำกัด</v>
      </c>
      <c r="M289" s="1" t="s">
        <v>24</v>
      </c>
      <c r="O289" s="2" t="n">
        <v>1650</v>
      </c>
    </row>
    <row r="290" customFormat="false" ht="16.4" hidden="false" customHeight="false" outlineLevel="0" collapsed="false">
      <c r="A290" s="0" t="s">
        <v>15</v>
      </c>
      <c r="B290" s="0" t="s">
        <v>1040</v>
      </c>
      <c r="C290" s="0" t="n">
        <v>114003</v>
      </c>
      <c r="D290" s="0" t="n">
        <v>114003</v>
      </c>
      <c r="E290" s="0" t="s">
        <v>87</v>
      </c>
      <c r="F290" s="0" t="s">
        <v>18</v>
      </c>
      <c r="G290" s="0" t="s">
        <v>1041</v>
      </c>
      <c r="H290" s="0" t="s">
        <v>1042</v>
      </c>
      <c r="I290" s="0" t="s">
        <v>248</v>
      </c>
      <c r="J290" s="0" t="s">
        <v>249</v>
      </c>
      <c r="K290" s="0" t="s">
        <v>89</v>
      </c>
      <c r="L290" s="0" t="str">
        <f aca="false">IFERROR(VLOOKUP(K290,'Supplier list'!B:C,2,0),"")</f>
        <v>บริษัท เฮเฟเล่ (ประเทศไทย) จำกัด</v>
      </c>
      <c r="M290" s="1" t="s">
        <v>24</v>
      </c>
      <c r="O290" s="2" t="n">
        <v>1650</v>
      </c>
    </row>
    <row r="291" customFormat="false" ht="16.4" hidden="false" customHeight="false" outlineLevel="0" collapsed="false">
      <c r="A291" s="0" t="s">
        <v>15</v>
      </c>
      <c r="B291" s="0" t="s">
        <v>1043</v>
      </c>
      <c r="C291" s="0" t="n">
        <v>114003</v>
      </c>
      <c r="D291" s="0" t="n">
        <v>114003</v>
      </c>
      <c r="E291" s="0" t="s">
        <v>1044</v>
      </c>
      <c r="F291" s="0" t="s">
        <v>18</v>
      </c>
      <c r="G291" s="0" t="s">
        <v>1045</v>
      </c>
      <c r="H291" s="0" t="s">
        <v>1046</v>
      </c>
      <c r="I291" s="0" t="s">
        <v>21</v>
      </c>
      <c r="J291" s="0" t="s">
        <v>22</v>
      </c>
      <c r="K291" s="0" t="s">
        <v>352</v>
      </c>
      <c r="L291" s="0" t="str">
        <f aca="false">IFERROR(VLOOKUP(K291,'Supplier list'!B:C,2,0),"")</f>
        <v>บริษัท พีเอ็นพี อินเตอร์แพค</v>
      </c>
      <c r="M291" s="1" t="s">
        <v>24</v>
      </c>
      <c r="O291" s="2" t="n">
        <v>180</v>
      </c>
    </row>
    <row r="292" customFormat="false" ht="16.4" hidden="false" customHeight="false" outlineLevel="0" collapsed="false">
      <c r="A292" s="0" t="s">
        <v>15</v>
      </c>
      <c r="B292" s="0" t="s">
        <v>1047</v>
      </c>
      <c r="C292" s="0" t="n">
        <v>114003</v>
      </c>
      <c r="D292" s="0" t="n">
        <v>114003</v>
      </c>
      <c r="E292" s="0" t="s">
        <v>358</v>
      </c>
      <c r="F292" s="0" t="s">
        <v>18</v>
      </c>
      <c r="G292" s="0" t="s">
        <v>1048</v>
      </c>
      <c r="H292" s="0" t="s">
        <v>1049</v>
      </c>
      <c r="I292" s="0" t="s">
        <v>142</v>
      </c>
      <c r="J292" s="0" t="s">
        <v>143</v>
      </c>
      <c r="K292" s="0" t="s">
        <v>1050</v>
      </c>
      <c r="L292" s="0" t="str">
        <f aca="false">IFERROR(VLOOKUP(K292,'Supplier list'!B:C,2,0),"")</f>
        <v/>
      </c>
      <c r="M292" s="1" t="s">
        <v>24</v>
      </c>
      <c r="O292" s="2" t="n">
        <v>737.5</v>
      </c>
    </row>
    <row r="293" customFormat="false" ht="16.4" hidden="false" customHeight="false" outlineLevel="0" collapsed="false">
      <c r="A293" s="0" t="s">
        <v>15</v>
      </c>
      <c r="B293" s="0" t="s">
        <v>1051</v>
      </c>
      <c r="C293" s="0" t="n">
        <v>114003</v>
      </c>
      <c r="D293" s="0" t="n">
        <v>114003</v>
      </c>
      <c r="E293" s="0" t="s">
        <v>87</v>
      </c>
      <c r="F293" s="0" t="s">
        <v>18</v>
      </c>
      <c r="G293" s="0" t="s">
        <v>1052</v>
      </c>
      <c r="H293" s="0" t="s">
        <v>1053</v>
      </c>
      <c r="I293" s="0" t="s">
        <v>21</v>
      </c>
      <c r="J293" s="0" t="s">
        <v>22</v>
      </c>
      <c r="K293" s="0" t="s">
        <v>1054</v>
      </c>
      <c r="L293" s="0" t="str">
        <f aca="false">IFERROR(VLOOKUP(K293,'Supplier list'!B:C,2,0),"")</f>
        <v>บริษัท บอร์เนียว เทคนิเคิล (ประเทศไทย) จำกัด</v>
      </c>
      <c r="M293" s="1" t="s">
        <v>24</v>
      </c>
      <c r="O293" s="2" t="n">
        <v>950</v>
      </c>
    </row>
    <row r="294" customFormat="false" ht="16.4" hidden="false" customHeight="false" outlineLevel="0" collapsed="false">
      <c r="A294" s="0" t="s">
        <v>15</v>
      </c>
      <c r="B294" s="0" t="s">
        <v>1055</v>
      </c>
      <c r="C294" s="0" t="n">
        <v>114003</v>
      </c>
      <c r="D294" s="0" t="n">
        <v>114003</v>
      </c>
      <c r="E294" s="0" t="s">
        <v>87</v>
      </c>
      <c r="F294" s="0" t="s">
        <v>18</v>
      </c>
      <c r="G294" s="0" t="s">
        <v>1056</v>
      </c>
      <c r="H294" s="0" t="s">
        <v>1057</v>
      </c>
      <c r="I294" s="0" t="s">
        <v>21</v>
      </c>
      <c r="J294" s="0" t="s">
        <v>22</v>
      </c>
      <c r="K294" s="0" t="s">
        <v>1058</v>
      </c>
      <c r="L294" s="0" t="str">
        <f aca="false">IFERROR(VLOOKUP(K294,'Supplier list'!B:C,2,0),"")</f>
        <v>บริษัท เค โซลูชั่น ฟิต จำกัด</v>
      </c>
      <c r="M294" s="1" t="s">
        <v>24</v>
      </c>
      <c r="O294" s="2" t="n">
        <v>950</v>
      </c>
    </row>
    <row r="295" customFormat="false" ht="16.4" hidden="false" customHeight="false" outlineLevel="0" collapsed="false">
      <c r="A295" s="0" t="s">
        <v>15</v>
      </c>
      <c r="B295" s="0" t="s">
        <v>1059</v>
      </c>
      <c r="C295" s="0" t="n">
        <v>114003</v>
      </c>
      <c r="D295" s="0" t="n">
        <v>114003</v>
      </c>
      <c r="E295" s="0" t="s">
        <v>87</v>
      </c>
      <c r="F295" s="0" t="s">
        <v>18</v>
      </c>
      <c r="G295" s="0" t="s">
        <v>1060</v>
      </c>
      <c r="H295" s="0" t="s">
        <v>1061</v>
      </c>
      <c r="I295" s="0" t="s">
        <v>21</v>
      </c>
      <c r="J295" s="0" t="s">
        <v>22</v>
      </c>
      <c r="K295" s="0" t="s">
        <v>1058</v>
      </c>
      <c r="L295" s="0" t="str">
        <f aca="false">IFERROR(VLOOKUP(K295,'Supplier list'!B:C,2,0),"")</f>
        <v>บริษัท เค โซลูชั่น ฟิต จำกัด</v>
      </c>
      <c r="M295" s="1" t="s">
        <v>24</v>
      </c>
      <c r="O295" s="2" t="n">
        <v>840</v>
      </c>
    </row>
    <row r="296" customFormat="false" ht="16.4" hidden="false" customHeight="false" outlineLevel="0" collapsed="false">
      <c r="A296" s="0" t="s">
        <v>15</v>
      </c>
      <c r="B296" s="0" t="s">
        <v>1062</v>
      </c>
      <c r="C296" s="0" t="n">
        <v>114003</v>
      </c>
      <c r="D296" s="0" t="n">
        <v>114003</v>
      </c>
      <c r="E296" s="0" t="s">
        <v>659</v>
      </c>
      <c r="F296" s="0" t="s">
        <v>18</v>
      </c>
      <c r="G296" s="0" t="s">
        <v>1063</v>
      </c>
      <c r="H296" s="0" t="s">
        <v>1063</v>
      </c>
      <c r="I296" s="0" t="s">
        <v>149</v>
      </c>
      <c r="J296" s="0" t="s">
        <v>150</v>
      </c>
      <c r="K296" s="0" t="s">
        <v>1064</v>
      </c>
      <c r="L296" s="0" t="str">
        <f aca="false">IFERROR(VLOOKUP(K296,'Supplier list'!B:C,2,0),"")</f>
        <v>บริษัท เมกไกวส์ (ไทยแลนด์) จำกัด</v>
      </c>
      <c r="M296" s="1" t="s">
        <v>24</v>
      </c>
      <c r="O296" s="2" t="n">
        <v>346.5</v>
      </c>
    </row>
    <row r="297" customFormat="false" ht="16.4" hidden="false" customHeight="false" outlineLevel="0" collapsed="false">
      <c r="A297" s="0" t="s">
        <v>15</v>
      </c>
      <c r="B297" s="0" t="s">
        <v>1065</v>
      </c>
      <c r="C297" s="0" t="n">
        <v>114003</v>
      </c>
      <c r="D297" s="0" t="n">
        <v>114003</v>
      </c>
      <c r="E297" s="0" t="s">
        <v>374</v>
      </c>
      <c r="F297" s="0" t="s">
        <v>18</v>
      </c>
      <c r="G297" s="0" t="s">
        <v>1066</v>
      </c>
      <c r="H297" s="0" t="s">
        <v>1067</v>
      </c>
      <c r="I297" s="0" t="s">
        <v>21</v>
      </c>
      <c r="J297" s="0" t="s">
        <v>22</v>
      </c>
      <c r="K297" s="0" t="s">
        <v>380</v>
      </c>
      <c r="L297" s="0" t="str">
        <f aca="false">IFERROR(VLOOKUP(K297,'Supplier list'!B:C,2,0),"")</f>
        <v>บริษัท เอ.ที.คอน อินซูเลชั่น จำกัด</v>
      </c>
      <c r="M297" s="1" t="s">
        <v>24</v>
      </c>
      <c r="O297" s="2" t="n">
        <v>18</v>
      </c>
    </row>
    <row r="298" customFormat="false" ht="16.4" hidden="false" customHeight="false" outlineLevel="0" collapsed="false">
      <c r="A298" s="0" t="s">
        <v>15</v>
      </c>
      <c r="B298" s="0" t="s">
        <v>1068</v>
      </c>
      <c r="C298" s="0" t="n">
        <v>114003</v>
      </c>
      <c r="D298" s="0" t="n">
        <v>114003</v>
      </c>
      <c r="E298" s="0" t="s">
        <v>1014</v>
      </c>
      <c r="F298" s="0" t="s">
        <v>18</v>
      </c>
      <c r="G298" s="0" t="s">
        <v>1069</v>
      </c>
      <c r="H298" s="0" t="s">
        <v>1070</v>
      </c>
      <c r="I298" s="0" t="s">
        <v>402</v>
      </c>
      <c r="J298" s="0" t="s">
        <v>403</v>
      </c>
      <c r="K298" s="0" t="s">
        <v>1071</v>
      </c>
      <c r="L298" s="0" t="str">
        <f aca="false">IFERROR(VLOOKUP(K298,'Supplier list'!B:C,2,0),"")</f>
        <v/>
      </c>
      <c r="M298" s="1" t="s">
        <v>24</v>
      </c>
      <c r="O298" s="2" t="n">
        <v>610</v>
      </c>
    </row>
    <row r="299" customFormat="false" ht="16.4" hidden="false" customHeight="false" outlineLevel="0" collapsed="false">
      <c r="A299" s="0" t="s">
        <v>15</v>
      </c>
      <c r="B299" s="0" t="s">
        <v>1072</v>
      </c>
      <c r="C299" s="0" t="n">
        <v>114003</v>
      </c>
      <c r="D299" s="0" t="n">
        <v>114003</v>
      </c>
      <c r="E299" s="0" t="s">
        <v>87</v>
      </c>
      <c r="F299" s="0" t="s">
        <v>18</v>
      </c>
      <c r="G299" s="0" t="s">
        <v>1073</v>
      </c>
      <c r="H299" s="0" t="s">
        <v>1073</v>
      </c>
      <c r="I299" s="0" t="s">
        <v>142</v>
      </c>
      <c r="J299" s="0" t="s">
        <v>143</v>
      </c>
      <c r="K299" s="0" t="s">
        <v>89</v>
      </c>
      <c r="L299" s="0" t="str">
        <f aca="false">IFERROR(VLOOKUP(K299,'Supplier list'!B:C,2,0),"")</f>
        <v>บริษัท เฮเฟเล่ (ประเทศไทย) จำกัด</v>
      </c>
      <c r="M299" s="1" t="s">
        <v>24</v>
      </c>
      <c r="O299" s="2" t="n">
        <v>1450</v>
      </c>
    </row>
    <row r="300" customFormat="false" ht="16.4" hidden="false" customHeight="false" outlineLevel="0" collapsed="false">
      <c r="A300" s="0" t="s">
        <v>15</v>
      </c>
      <c r="B300" s="0" t="s">
        <v>1074</v>
      </c>
      <c r="C300" s="0" t="n">
        <v>114003</v>
      </c>
      <c r="D300" s="0" t="n">
        <v>114003</v>
      </c>
      <c r="E300" s="0" t="s">
        <v>127</v>
      </c>
      <c r="F300" s="0" t="s">
        <v>18</v>
      </c>
      <c r="G300" s="0" t="s">
        <v>1075</v>
      </c>
      <c r="H300" s="0" t="s">
        <v>1076</v>
      </c>
      <c r="I300" s="0" t="s">
        <v>21</v>
      </c>
      <c r="J300" s="0" t="s">
        <v>22</v>
      </c>
      <c r="K300" s="0" t="s">
        <v>82</v>
      </c>
      <c r="L300" s="0" t="str">
        <f aca="false">IFERROR(VLOOKUP(K300,'Supplier list'!B:C,2,0),"")</f>
        <v>บริษัท เกรียงศิริพัฒนา (1995) จำกัด</v>
      </c>
      <c r="M300" s="1" t="s">
        <v>24</v>
      </c>
      <c r="O300" s="2" t="n">
        <v>120</v>
      </c>
    </row>
    <row r="301" customFormat="false" ht="16.4" hidden="false" customHeight="false" outlineLevel="0" collapsed="false">
      <c r="A301" s="0" t="s">
        <v>15</v>
      </c>
      <c r="B301" s="0" t="s">
        <v>1077</v>
      </c>
      <c r="C301" s="0" t="n">
        <v>114003</v>
      </c>
      <c r="D301" s="0" t="n">
        <v>114003</v>
      </c>
      <c r="E301" s="0" t="s">
        <v>127</v>
      </c>
      <c r="F301" s="0" t="s">
        <v>18</v>
      </c>
      <c r="G301" s="0" t="s">
        <v>1078</v>
      </c>
      <c r="H301" s="0" t="s">
        <v>1079</v>
      </c>
      <c r="I301" s="0" t="s">
        <v>21</v>
      </c>
      <c r="J301" s="0" t="s">
        <v>22</v>
      </c>
      <c r="K301" s="0" t="s">
        <v>82</v>
      </c>
      <c r="L301" s="0" t="str">
        <f aca="false">IFERROR(VLOOKUP(K301,'Supplier list'!B:C,2,0),"")</f>
        <v>บริษัท เกรียงศิริพัฒนา (1995) จำกัด</v>
      </c>
      <c r="M301" s="1" t="s">
        <v>24</v>
      </c>
      <c r="O301" s="2" t="n">
        <v>50</v>
      </c>
    </row>
    <row r="302" customFormat="false" ht="16.4" hidden="false" customHeight="false" outlineLevel="0" collapsed="false">
      <c r="A302" s="0" t="s">
        <v>15</v>
      </c>
      <c r="B302" s="0" t="s">
        <v>1080</v>
      </c>
      <c r="C302" s="0" t="n">
        <v>114003</v>
      </c>
      <c r="D302" s="0" t="n">
        <v>114003</v>
      </c>
      <c r="E302" s="0" t="s">
        <v>127</v>
      </c>
      <c r="F302" s="0" t="s">
        <v>18</v>
      </c>
      <c r="G302" s="0" t="s">
        <v>1081</v>
      </c>
      <c r="H302" s="0" t="s">
        <v>1082</v>
      </c>
      <c r="I302" s="0" t="s">
        <v>21</v>
      </c>
      <c r="J302" s="0" t="s">
        <v>22</v>
      </c>
      <c r="K302" s="0" t="s">
        <v>82</v>
      </c>
      <c r="L302" s="0" t="str">
        <f aca="false">IFERROR(VLOOKUP(K302,'Supplier list'!B:C,2,0),"")</f>
        <v>บริษัท เกรียงศิริพัฒนา (1995) จำกัด</v>
      </c>
      <c r="M302" s="1" t="s">
        <v>24</v>
      </c>
      <c r="O302" s="2" t="n">
        <v>350</v>
      </c>
    </row>
    <row r="303" customFormat="false" ht="16.4" hidden="false" customHeight="false" outlineLevel="0" collapsed="false">
      <c r="A303" s="0" t="s">
        <v>15</v>
      </c>
      <c r="B303" s="0" t="s">
        <v>1083</v>
      </c>
      <c r="C303" s="0" t="n">
        <v>114003</v>
      </c>
      <c r="D303" s="0" t="n">
        <v>114003</v>
      </c>
      <c r="E303" s="0" t="s">
        <v>87</v>
      </c>
      <c r="F303" s="0" t="s">
        <v>18</v>
      </c>
      <c r="G303" s="0" t="s">
        <v>1084</v>
      </c>
      <c r="H303" s="0" t="s">
        <v>1085</v>
      </c>
      <c r="I303" s="0" t="s">
        <v>142</v>
      </c>
      <c r="J303" s="0" t="s">
        <v>143</v>
      </c>
      <c r="K303" s="0" t="s">
        <v>1054</v>
      </c>
      <c r="L303" s="0" t="str">
        <f aca="false">IFERROR(VLOOKUP(K303,'Supplier list'!B:C,2,0),"")</f>
        <v>บริษัท บอร์เนียว เทคนิเคิล (ประเทศไทย) จำกัด</v>
      </c>
      <c r="M303" s="1" t="s">
        <v>24</v>
      </c>
      <c r="O303" s="2" t="n">
        <v>950</v>
      </c>
    </row>
    <row r="304" customFormat="false" ht="16.4" hidden="false" customHeight="false" outlineLevel="0" collapsed="false">
      <c r="A304" s="0" t="s">
        <v>15</v>
      </c>
      <c r="B304" s="0" t="s">
        <v>1086</v>
      </c>
      <c r="C304" s="0" t="n">
        <v>114003</v>
      </c>
      <c r="D304" s="0" t="n">
        <v>114003</v>
      </c>
      <c r="E304" s="0" t="s">
        <v>87</v>
      </c>
      <c r="F304" s="0" t="s">
        <v>18</v>
      </c>
      <c r="G304" s="0" t="s">
        <v>1087</v>
      </c>
      <c r="H304" s="0" t="s">
        <v>1088</v>
      </c>
      <c r="I304" s="0" t="s">
        <v>21</v>
      </c>
      <c r="J304" s="0" t="s">
        <v>22</v>
      </c>
      <c r="K304" s="0" t="s">
        <v>1054</v>
      </c>
      <c r="L304" s="0" t="str">
        <f aca="false">IFERROR(VLOOKUP(K304,'Supplier list'!B:C,2,0),"")</f>
        <v>บริษัท บอร์เนียว เทคนิเคิล (ประเทศไทย) จำกัด</v>
      </c>
      <c r="M304" s="1" t="s">
        <v>24</v>
      </c>
      <c r="O304" s="2" t="n">
        <v>950</v>
      </c>
    </row>
    <row r="305" customFormat="false" ht="16.4" hidden="false" customHeight="false" outlineLevel="0" collapsed="false">
      <c r="A305" s="0" t="s">
        <v>15</v>
      </c>
      <c r="B305" s="0" t="s">
        <v>1089</v>
      </c>
      <c r="C305" s="0" t="n">
        <v>114004</v>
      </c>
      <c r="D305" s="0" t="n">
        <v>114004</v>
      </c>
      <c r="E305" s="0" t="s">
        <v>87</v>
      </c>
      <c r="F305" s="0" t="s">
        <v>18</v>
      </c>
      <c r="G305" s="0" t="s">
        <v>1090</v>
      </c>
      <c r="H305" s="0" t="s">
        <v>1091</v>
      </c>
      <c r="I305" s="0" t="s">
        <v>102</v>
      </c>
      <c r="J305" s="0" t="s">
        <v>103</v>
      </c>
      <c r="L305" s="0" t="str">
        <f aca="false">IFERROR(VLOOKUP(K305,'Supplier list'!B:C,2,0),"")</f>
        <v/>
      </c>
      <c r="M305" s="1" t="s">
        <v>24</v>
      </c>
      <c r="O305" s="2" t="n">
        <v>13</v>
      </c>
    </row>
    <row r="306" customFormat="false" ht="16.4" hidden="false" customHeight="false" outlineLevel="0" collapsed="false">
      <c r="A306" s="0" t="s">
        <v>15</v>
      </c>
      <c r="B306" s="0" t="s">
        <v>1092</v>
      </c>
      <c r="C306" s="0" t="n">
        <v>114004</v>
      </c>
      <c r="D306" s="0" t="n">
        <v>114004</v>
      </c>
      <c r="E306" s="0" t="s">
        <v>87</v>
      </c>
      <c r="F306" s="0" t="s">
        <v>18</v>
      </c>
      <c r="G306" s="0" t="s">
        <v>1093</v>
      </c>
      <c r="H306" s="0" t="s">
        <v>1094</v>
      </c>
      <c r="I306" s="0" t="s">
        <v>102</v>
      </c>
      <c r="J306" s="0" t="s">
        <v>103</v>
      </c>
      <c r="L306" s="0" t="str">
        <f aca="false">IFERROR(VLOOKUP(K306,'Supplier list'!B:C,2,0),"")</f>
        <v/>
      </c>
      <c r="M306" s="1" t="s">
        <v>24</v>
      </c>
      <c r="O306" s="2" t="n">
        <v>13</v>
      </c>
    </row>
    <row r="307" customFormat="false" ht="16.4" hidden="false" customHeight="false" outlineLevel="0" collapsed="false">
      <c r="A307" s="0" t="s">
        <v>15</v>
      </c>
      <c r="B307" s="0" t="s">
        <v>1095</v>
      </c>
      <c r="C307" s="0" t="n">
        <v>114004</v>
      </c>
      <c r="D307" s="0" t="n">
        <v>114004</v>
      </c>
      <c r="E307" s="0" t="s">
        <v>87</v>
      </c>
      <c r="F307" s="0" t="s">
        <v>18</v>
      </c>
      <c r="G307" s="0" t="s">
        <v>1096</v>
      </c>
      <c r="H307" s="0" t="s">
        <v>1097</v>
      </c>
      <c r="I307" s="0" t="s">
        <v>102</v>
      </c>
      <c r="J307" s="0" t="s">
        <v>103</v>
      </c>
      <c r="L307" s="0" t="str">
        <f aca="false">IFERROR(VLOOKUP(K307,'Supplier list'!B:C,2,0),"")</f>
        <v/>
      </c>
      <c r="M307" s="1" t="s">
        <v>24</v>
      </c>
      <c r="O307" s="2" t="n">
        <v>13.5</v>
      </c>
    </row>
    <row r="308" customFormat="false" ht="16.4" hidden="false" customHeight="false" outlineLevel="0" collapsed="false">
      <c r="A308" s="0" t="s">
        <v>15</v>
      </c>
      <c r="B308" s="0" t="s">
        <v>1098</v>
      </c>
      <c r="C308" s="0" t="n">
        <v>114004</v>
      </c>
      <c r="D308" s="0" t="n">
        <v>114004</v>
      </c>
      <c r="E308" s="0" t="s">
        <v>87</v>
      </c>
      <c r="F308" s="0" t="s">
        <v>18</v>
      </c>
      <c r="G308" s="0" t="s">
        <v>1099</v>
      </c>
      <c r="H308" s="0" t="s">
        <v>1100</v>
      </c>
      <c r="I308" s="0" t="s">
        <v>102</v>
      </c>
      <c r="J308" s="0" t="s">
        <v>103</v>
      </c>
      <c r="L308" s="0" t="str">
        <f aca="false">IFERROR(VLOOKUP(K308,'Supplier list'!B:C,2,0),"")</f>
        <v/>
      </c>
      <c r="M308" s="1" t="s">
        <v>24</v>
      </c>
      <c r="O308" s="2" t="n">
        <v>13.5</v>
      </c>
    </row>
    <row r="309" customFormat="false" ht="16.4" hidden="false" customHeight="false" outlineLevel="0" collapsed="false">
      <c r="A309" s="0" t="s">
        <v>15</v>
      </c>
      <c r="B309" s="0" t="s">
        <v>1101</v>
      </c>
      <c r="C309" s="0" t="n">
        <v>114004</v>
      </c>
      <c r="D309" s="0" t="n">
        <v>114004</v>
      </c>
      <c r="E309" s="0" t="s">
        <v>87</v>
      </c>
      <c r="F309" s="0" t="s">
        <v>18</v>
      </c>
      <c r="G309" s="0" t="s">
        <v>1102</v>
      </c>
      <c r="H309" s="0" t="s">
        <v>1103</v>
      </c>
      <c r="I309" s="0" t="s">
        <v>102</v>
      </c>
      <c r="J309" s="0" t="s">
        <v>103</v>
      </c>
      <c r="K309" s="0" t="s">
        <v>1104</v>
      </c>
      <c r="L309" s="0" t="str">
        <f aca="false">IFERROR(VLOOKUP(K309,'Supplier list'!B:C,2,0),"")</f>
        <v/>
      </c>
      <c r="M309" s="1" t="s">
        <v>24</v>
      </c>
      <c r="O309" s="2" t="n">
        <v>7</v>
      </c>
    </row>
    <row r="310" customFormat="false" ht="16.4" hidden="false" customHeight="false" outlineLevel="0" collapsed="false">
      <c r="A310" s="0" t="s">
        <v>15</v>
      </c>
      <c r="B310" s="0" t="s">
        <v>1105</v>
      </c>
      <c r="C310" s="0" t="n">
        <v>114004</v>
      </c>
      <c r="D310" s="0" t="n">
        <v>114004</v>
      </c>
      <c r="E310" s="0" t="s">
        <v>87</v>
      </c>
      <c r="F310" s="0" t="s">
        <v>18</v>
      </c>
      <c r="G310" s="0" t="s">
        <v>1106</v>
      </c>
      <c r="H310" s="0" t="s">
        <v>1107</v>
      </c>
      <c r="I310" s="0" t="s">
        <v>102</v>
      </c>
      <c r="J310" s="0" t="s">
        <v>103</v>
      </c>
      <c r="K310" s="0" t="s">
        <v>1104</v>
      </c>
      <c r="L310" s="0" t="str">
        <f aca="false">IFERROR(VLOOKUP(K310,'Supplier list'!B:C,2,0),"")</f>
        <v/>
      </c>
      <c r="M310" s="1" t="s">
        <v>24</v>
      </c>
      <c r="O310" s="2" t="n">
        <v>7</v>
      </c>
    </row>
    <row r="311" customFormat="false" ht="16.4" hidden="false" customHeight="false" outlineLevel="0" collapsed="false">
      <c r="A311" s="0" t="s">
        <v>15</v>
      </c>
      <c r="B311" s="0" t="s">
        <v>1108</v>
      </c>
      <c r="C311" s="0" t="n">
        <v>114004</v>
      </c>
      <c r="D311" s="0" t="n">
        <v>114004</v>
      </c>
      <c r="E311" s="0" t="s">
        <v>87</v>
      </c>
      <c r="F311" s="0" t="s">
        <v>18</v>
      </c>
      <c r="G311" s="0" t="s">
        <v>1109</v>
      </c>
      <c r="H311" s="0" t="s">
        <v>1110</v>
      </c>
      <c r="I311" s="0" t="s">
        <v>102</v>
      </c>
      <c r="J311" s="0" t="s">
        <v>103</v>
      </c>
      <c r="K311" s="0" t="s">
        <v>1104</v>
      </c>
      <c r="L311" s="0" t="str">
        <f aca="false">IFERROR(VLOOKUP(K311,'Supplier list'!B:C,2,0),"")</f>
        <v/>
      </c>
      <c r="M311" s="1" t="s">
        <v>24</v>
      </c>
      <c r="O311" s="2" t="n">
        <v>10</v>
      </c>
    </row>
    <row r="312" customFormat="false" ht="16.4" hidden="false" customHeight="false" outlineLevel="0" collapsed="false">
      <c r="A312" s="0" t="s">
        <v>15</v>
      </c>
      <c r="B312" s="0" t="s">
        <v>1111</v>
      </c>
      <c r="C312" s="0" t="n">
        <v>114004</v>
      </c>
      <c r="D312" s="0" t="n">
        <v>114004</v>
      </c>
      <c r="E312" s="0" t="s">
        <v>87</v>
      </c>
      <c r="F312" s="0" t="s">
        <v>18</v>
      </c>
      <c r="G312" s="0" t="s">
        <v>1112</v>
      </c>
      <c r="H312" s="0" t="s">
        <v>1113</v>
      </c>
      <c r="I312" s="0" t="s">
        <v>102</v>
      </c>
      <c r="J312" s="0" t="s">
        <v>103</v>
      </c>
      <c r="K312" s="0" t="s">
        <v>1104</v>
      </c>
      <c r="L312" s="0" t="str">
        <f aca="false">IFERROR(VLOOKUP(K312,'Supplier list'!B:C,2,0),"")</f>
        <v/>
      </c>
      <c r="M312" s="1" t="s">
        <v>24</v>
      </c>
      <c r="O312" s="2" t="n">
        <v>10</v>
      </c>
    </row>
    <row r="313" customFormat="false" ht="16.4" hidden="false" customHeight="false" outlineLevel="0" collapsed="false">
      <c r="A313" s="0" t="s">
        <v>15</v>
      </c>
      <c r="B313" s="0" t="s">
        <v>1114</v>
      </c>
      <c r="C313" s="0" t="n">
        <v>114004</v>
      </c>
      <c r="D313" s="0" t="n">
        <v>114004</v>
      </c>
      <c r="E313" s="0" t="s">
        <v>87</v>
      </c>
      <c r="F313" s="0" t="s">
        <v>18</v>
      </c>
      <c r="G313" s="0" t="s">
        <v>1115</v>
      </c>
      <c r="H313" s="0" t="s">
        <v>1116</v>
      </c>
      <c r="I313" s="0" t="s">
        <v>102</v>
      </c>
      <c r="J313" s="0" t="s">
        <v>103</v>
      </c>
      <c r="K313" s="0" t="s">
        <v>1104</v>
      </c>
      <c r="L313" s="0" t="str">
        <f aca="false">IFERROR(VLOOKUP(K313,'Supplier list'!B:C,2,0),"")</f>
        <v/>
      </c>
      <c r="M313" s="1" t="s">
        <v>24</v>
      </c>
      <c r="O313" s="2" t="n">
        <v>8</v>
      </c>
    </row>
    <row r="314" customFormat="false" ht="16.4" hidden="false" customHeight="false" outlineLevel="0" collapsed="false">
      <c r="A314" s="0" t="s">
        <v>15</v>
      </c>
      <c r="B314" s="0" t="s">
        <v>1117</v>
      </c>
      <c r="C314" s="0" t="n">
        <v>114004</v>
      </c>
      <c r="D314" s="0" t="n">
        <v>114004</v>
      </c>
      <c r="E314" s="0" t="s">
        <v>1000</v>
      </c>
      <c r="F314" s="0" t="s">
        <v>18</v>
      </c>
      <c r="G314" s="0" t="s">
        <v>1118</v>
      </c>
      <c r="H314" s="0" t="s">
        <v>1119</v>
      </c>
      <c r="I314" s="0" t="s">
        <v>21</v>
      </c>
      <c r="J314" s="0" t="s">
        <v>22</v>
      </c>
      <c r="K314" s="0" t="s">
        <v>1120</v>
      </c>
      <c r="L314" s="0" t="str">
        <f aca="false">IFERROR(VLOOKUP(K314,'Supplier list'!B:C,2,0),"")</f>
        <v/>
      </c>
      <c r="M314" s="1" t="s">
        <v>24</v>
      </c>
      <c r="O314" s="2" t="n">
        <v>510</v>
      </c>
    </row>
    <row r="315" customFormat="false" ht="16.4" hidden="false" customHeight="false" outlineLevel="0" collapsed="false">
      <c r="A315" s="0" t="s">
        <v>15</v>
      </c>
      <c r="B315" s="0" t="s">
        <v>1121</v>
      </c>
      <c r="C315" s="0" t="n">
        <v>114004</v>
      </c>
      <c r="D315" s="0" t="n">
        <v>114004</v>
      </c>
      <c r="E315" s="0" t="s">
        <v>87</v>
      </c>
      <c r="F315" s="0" t="s">
        <v>18</v>
      </c>
      <c r="G315" s="0" t="s">
        <v>1122</v>
      </c>
      <c r="H315" s="0" t="s">
        <v>1123</v>
      </c>
      <c r="I315" s="0" t="s">
        <v>701</v>
      </c>
      <c r="J315" s="0" t="s">
        <v>22</v>
      </c>
      <c r="K315" s="0" t="s">
        <v>1124</v>
      </c>
      <c r="L315" s="0" t="str">
        <f aca="false">IFERROR(VLOOKUP(K315,'Supplier list'!B:C,2,0),"")</f>
        <v/>
      </c>
      <c r="M315" s="1" t="s">
        <v>24</v>
      </c>
      <c r="O315" s="2" t="n">
        <v>13</v>
      </c>
    </row>
    <row r="316" customFormat="false" ht="16.4" hidden="false" customHeight="false" outlineLevel="0" collapsed="false">
      <c r="A316" s="0" t="s">
        <v>15</v>
      </c>
      <c r="B316" s="0" t="s">
        <v>1125</v>
      </c>
      <c r="C316" s="0" t="n">
        <v>114004</v>
      </c>
      <c r="D316" s="0" t="n">
        <v>114004</v>
      </c>
      <c r="E316" s="0" t="s">
        <v>87</v>
      </c>
      <c r="F316" s="0" t="s">
        <v>18</v>
      </c>
      <c r="G316" s="0" t="s">
        <v>1126</v>
      </c>
      <c r="H316" s="0" t="s">
        <v>1127</v>
      </c>
      <c r="I316" s="0" t="s">
        <v>701</v>
      </c>
      <c r="J316" s="0" t="s">
        <v>22</v>
      </c>
      <c r="K316" s="0" t="s">
        <v>1124</v>
      </c>
      <c r="L316" s="0" t="str">
        <f aca="false">IFERROR(VLOOKUP(K316,'Supplier list'!B:C,2,0),"")</f>
        <v/>
      </c>
      <c r="M316" s="1" t="s">
        <v>24</v>
      </c>
      <c r="O316" s="2" t="n">
        <v>12</v>
      </c>
    </row>
    <row r="317" customFormat="false" ht="16.4" hidden="false" customHeight="false" outlineLevel="0" collapsed="false">
      <c r="A317" s="0" t="s">
        <v>15</v>
      </c>
      <c r="B317" s="0" t="s">
        <v>1128</v>
      </c>
      <c r="C317" s="0" t="n">
        <v>114004</v>
      </c>
      <c r="D317" s="0" t="n">
        <v>114004</v>
      </c>
      <c r="E317" s="0" t="s">
        <v>1129</v>
      </c>
      <c r="F317" s="0" t="s">
        <v>18</v>
      </c>
      <c r="G317" s="0" t="s">
        <v>1130</v>
      </c>
      <c r="H317" s="0" t="s">
        <v>1131</v>
      </c>
      <c r="I317" s="0" t="s">
        <v>102</v>
      </c>
      <c r="J317" s="0" t="s">
        <v>103</v>
      </c>
      <c r="L317" s="0" t="str">
        <f aca="false">IFERROR(VLOOKUP(K317,'Supplier list'!B:C,2,0),"")</f>
        <v/>
      </c>
      <c r="M317" s="1" t="s">
        <v>24</v>
      </c>
      <c r="O317" s="2" t="n">
        <v>195</v>
      </c>
    </row>
    <row r="318" customFormat="false" ht="16.4" hidden="false" customHeight="false" outlineLevel="0" collapsed="false">
      <c r="A318" s="0" t="s">
        <v>15</v>
      </c>
      <c r="B318" s="0" t="s">
        <v>1132</v>
      </c>
      <c r="C318" s="0" t="n">
        <v>114004</v>
      </c>
      <c r="D318" s="0" t="n">
        <v>114004</v>
      </c>
      <c r="E318" s="0" t="s">
        <v>1129</v>
      </c>
      <c r="F318" s="0" t="s">
        <v>18</v>
      </c>
      <c r="G318" s="0" t="s">
        <v>1133</v>
      </c>
      <c r="H318" s="0" t="s">
        <v>1134</v>
      </c>
      <c r="I318" s="0" t="s">
        <v>21</v>
      </c>
      <c r="J318" s="0" t="s">
        <v>22</v>
      </c>
      <c r="L318" s="0" t="str">
        <f aca="false">IFERROR(VLOOKUP(K318,'Supplier list'!B:C,2,0),"")</f>
        <v/>
      </c>
      <c r="M318" s="1" t="s">
        <v>24</v>
      </c>
      <c r="O318" s="2" t="n">
        <v>500</v>
      </c>
    </row>
    <row r="319" customFormat="false" ht="16.4" hidden="false" customHeight="false" outlineLevel="0" collapsed="false">
      <c r="A319" s="0" t="s">
        <v>15</v>
      </c>
      <c r="B319" s="0" t="s">
        <v>1135</v>
      </c>
      <c r="C319" s="0" t="n">
        <v>114004</v>
      </c>
      <c r="D319" s="0" t="n">
        <v>114004</v>
      </c>
      <c r="E319" s="0" t="s">
        <v>1129</v>
      </c>
      <c r="F319" s="0" t="s">
        <v>18</v>
      </c>
      <c r="G319" s="0" t="s">
        <v>1136</v>
      </c>
      <c r="H319" s="0" t="s">
        <v>1137</v>
      </c>
      <c r="I319" s="0" t="s">
        <v>21</v>
      </c>
      <c r="J319" s="0" t="s">
        <v>22</v>
      </c>
      <c r="L319" s="0" t="str">
        <f aca="false">IFERROR(VLOOKUP(K319,'Supplier list'!B:C,2,0),"")</f>
        <v/>
      </c>
      <c r="M319" s="1" t="s">
        <v>24</v>
      </c>
      <c r="O319" s="2" t="n">
        <v>500</v>
      </c>
    </row>
    <row r="320" customFormat="false" ht="16.4" hidden="false" customHeight="false" outlineLevel="0" collapsed="false">
      <c r="A320" s="0" t="s">
        <v>15</v>
      </c>
      <c r="B320" s="0" t="s">
        <v>1138</v>
      </c>
      <c r="C320" s="0" t="n">
        <v>114004</v>
      </c>
      <c r="D320" s="0" t="n">
        <v>114004</v>
      </c>
      <c r="E320" s="0" t="s">
        <v>1129</v>
      </c>
      <c r="F320" s="0" t="s">
        <v>18</v>
      </c>
      <c r="G320" s="0" t="s">
        <v>1139</v>
      </c>
      <c r="H320" s="0" t="s">
        <v>1140</v>
      </c>
      <c r="I320" s="0" t="s">
        <v>21</v>
      </c>
      <c r="J320" s="0" t="s">
        <v>22</v>
      </c>
      <c r="L320" s="0" t="str">
        <f aca="false">IFERROR(VLOOKUP(K320,'Supplier list'!B:C,2,0),"")</f>
        <v/>
      </c>
      <c r="M320" s="1" t="s">
        <v>24</v>
      </c>
      <c r="O320" s="2" t="n">
        <v>500</v>
      </c>
    </row>
    <row r="321" customFormat="false" ht="16.4" hidden="false" customHeight="false" outlineLevel="0" collapsed="false">
      <c r="A321" s="0" t="s">
        <v>15</v>
      </c>
      <c r="B321" s="0" t="s">
        <v>1141</v>
      </c>
      <c r="C321" s="0" t="n">
        <v>114004</v>
      </c>
      <c r="D321" s="0" t="n">
        <v>114004</v>
      </c>
      <c r="E321" s="0" t="s">
        <v>1129</v>
      </c>
      <c r="F321" s="0" t="s">
        <v>18</v>
      </c>
      <c r="G321" s="0" t="s">
        <v>1142</v>
      </c>
      <c r="H321" s="0" t="s">
        <v>1143</v>
      </c>
      <c r="I321" s="0" t="s">
        <v>21</v>
      </c>
      <c r="J321" s="0" t="s">
        <v>22</v>
      </c>
      <c r="L321" s="0" t="str">
        <f aca="false">IFERROR(VLOOKUP(K321,'Supplier list'!B:C,2,0),"")</f>
        <v/>
      </c>
      <c r="M321" s="1" t="s">
        <v>24</v>
      </c>
      <c r="O321" s="2" t="n">
        <v>500</v>
      </c>
    </row>
    <row r="322" customFormat="false" ht="16.4" hidden="false" customHeight="false" outlineLevel="0" collapsed="false">
      <c r="A322" s="0" t="s">
        <v>15</v>
      </c>
      <c r="B322" s="0" t="s">
        <v>1144</v>
      </c>
      <c r="C322" s="0" t="n">
        <v>114004</v>
      </c>
      <c r="D322" s="0" t="n">
        <v>114004</v>
      </c>
      <c r="E322" s="0" t="s">
        <v>1129</v>
      </c>
      <c r="F322" s="0" t="s">
        <v>18</v>
      </c>
      <c r="G322" s="0" t="s">
        <v>1145</v>
      </c>
      <c r="H322" s="0" t="s">
        <v>1146</v>
      </c>
      <c r="I322" s="0" t="s">
        <v>21</v>
      </c>
      <c r="J322" s="0" t="s">
        <v>22</v>
      </c>
      <c r="L322" s="0" t="str">
        <f aca="false">IFERROR(VLOOKUP(K322,'Supplier list'!B:C,2,0),"")</f>
        <v/>
      </c>
      <c r="M322" s="1" t="s">
        <v>24</v>
      </c>
      <c r="O322" s="2" t="n">
        <v>500</v>
      </c>
    </row>
    <row r="323" customFormat="false" ht="16.4" hidden="false" customHeight="false" outlineLevel="0" collapsed="false">
      <c r="A323" s="0" t="s">
        <v>15</v>
      </c>
      <c r="B323" s="0" t="s">
        <v>1147</v>
      </c>
      <c r="C323" s="0" t="n">
        <v>114004</v>
      </c>
      <c r="D323" s="0" t="n">
        <v>114004</v>
      </c>
      <c r="E323" s="0" t="s">
        <v>1129</v>
      </c>
      <c r="F323" s="0" t="s">
        <v>18</v>
      </c>
      <c r="G323" s="0" t="s">
        <v>1148</v>
      </c>
      <c r="H323" s="0" t="s">
        <v>1149</v>
      </c>
      <c r="I323" s="0" t="s">
        <v>21</v>
      </c>
      <c r="J323" s="0" t="s">
        <v>22</v>
      </c>
      <c r="L323" s="0" t="str">
        <f aca="false">IFERROR(VLOOKUP(K323,'Supplier list'!B:C,2,0),"")</f>
        <v/>
      </c>
      <c r="M323" s="1" t="s">
        <v>24</v>
      </c>
      <c r="O323" s="2" t="n">
        <v>500</v>
      </c>
    </row>
    <row r="324" customFormat="false" ht="16.4" hidden="false" customHeight="false" outlineLevel="0" collapsed="false">
      <c r="A324" s="0" t="s">
        <v>15</v>
      </c>
      <c r="B324" s="0" t="s">
        <v>1150</v>
      </c>
      <c r="C324" s="0" t="n">
        <v>114004</v>
      </c>
      <c r="D324" s="0" t="n">
        <v>114004</v>
      </c>
      <c r="E324" s="0" t="s">
        <v>1129</v>
      </c>
      <c r="F324" s="0" t="s">
        <v>18</v>
      </c>
      <c r="G324" s="0" t="s">
        <v>1151</v>
      </c>
      <c r="H324" s="0" t="s">
        <v>1152</v>
      </c>
      <c r="I324" s="0" t="s">
        <v>21</v>
      </c>
      <c r="J324" s="0" t="s">
        <v>22</v>
      </c>
      <c r="L324" s="0" t="str">
        <f aca="false">IFERROR(VLOOKUP(K324,'Supplier list'!B:C,2,0),"")</f>
        <v/>
      </c>
      <c r="M324" s="1" t="s">
        <v>24</v>
      </c>
      <c r="O324" s="2" t="n">
        <v>500</v>
      </c>
    </row>
    <row r="325" customFormat="false" ht="16.4" hidden="false" customHeight="false" outlineLevel="0" collapsed="false">
      <c r="A325" s="0" t="s">
        <v>15</v>
      </c>
      <c r="B325" s="0" t="s">
        <v>1153</v>
      </c>
      <c r="C325" s="0" t="n">
        <v>114004</v>
      </c>
      <c r="D325" s="0" t="n">
        <v>114004</v>
      </c>
      <c r="E325" s="0" t="s">
        <v>1154</v>
      </c>
      <c r="F325" s="0" t="s">
        <v>18</v>
      </c>
      <c r="G325" s="0" t="s">
        <v>1155</v>
      </c>
      <c r="H325" s="0" t="s">
        <v>1156</v>
      </c>
      <c r="I325" s="0" t="s">
        <v>508</v>
      </c>
      <c r="J325" s="0" t="s">
        <v>509</v>
      </c>
      <c r="K325" s="0" t="s">
        <v>75</v>
      </c>
      <c r="L325" s="0" t="str">
        <f aca="false">IFERROR(VLOOKUP(K325,'Supplier list'!B:C,2,0),"")</f>
        <v/>
      </c>
      <c r="M325" s="1" t="s">
        <v>24</v>
      </c>
      <c r="O325" s="2" t="n">
        <v>150</v>
      </c>
    </row>
    <row r="326" customFormat="false" ht="16.4" hidden="false" customHeight="false" outlineLevel="0" collapsed="false">
      <c r="A326" s="0" t="s">
        <v>15</v>
      </c>
      <c r="B326" s="0" t="s">
        <v>1157</v>
      </c>
      <c r="C326" s="0" t="n">
        <v>114004</v>
      </c>
      <c r="D326" s="0" t="n">
        <v>114004</v>
      </c>
      <c r="E326" s="0" t="s">
        <v>87</v>
      </c>
      <c r="F326" s="0" t="s">
        <v>18</v>
      </c>
      <c r="G326" s="0" t="s">
        <v>1158</v>
      </c>
      <c r="H326" s="0" t="s">
        <v>1159</v>
      </c>
      <c r="I326" s="0" t="s">
        <v>102</v>
      </c>
      <c r="J326" s="0" t="s">
        <v>103</v>
      </c>
      <c r="K326" s="0" t="s">
        <v>1160</v>
      </c>
      <c r="L326" s="0" t="str">
        <f aca="false">IFERROR(VLOOKUP(K326,'Supplier list'!B:C,2,0),"")</f>
        <v/>
      </c>
      <c r="M326" s="1" t="s">
        <v>24</v>
      </c>
      <c r="O326" s="2" t="n">
        <v>6</v>
      </c>
    </row>
    <row r="327" customFormat="false" ht="16.4" hidden="false" customHeight="false" outlineLevel="0" collapsed="false">
      <c r="A327" s="0" t="s">
        <v>15</v>
      </c>
      <c r="B327" s="0" t="s">
        <v>1161</v>
      </c>
      <c r="C327" s="0" t="n">
        <v>114004</v>
      </c>
      <c r="D327" s="0" t="n">
        <v>114004</v>
      </c>
      <c r="E327" s="0" t="s">
        <v>87</v>
      </c>
      <c r="F327" s="0" t="s">
        <v>18</v>
      </c>
      <c r="G327" s="0" t="s">
        <v>1162</v>
      </c>
      <c r="H327" s="0" t="s">
        <v>1163</v>
      </c>
      <c r="I327" s="0" t="s">
        <v>102</v>
      </c>
      <c r="J327" s="0" t="s">
        <v>103</v>
      </c>
      <c r="K327" s="0" t="s">
        <v>1160</v>
      </c>
      <c r="L327" s="0" t="str">
        <f aca="false">IFERROR(VLOOKUP(K327,'Supplier list'!B:C,2,0),"")</f>
        <v/>
      </c>
      <c r="M327" s="1" t="s">
        <v>24</v>
      </c>
      <c r="O327" s="2" t="n">
        <v>6</v>
      </c>
    </row>
    <row r="328" customFormat="false" ht="16.4" hidden="false" customHeight="false" outlineLevel="0" collapsed="false">
      <c r="A328" s="0" t="s">
        <v>15</v>
      </c>
      <c r="B328" s="0" t="s">
        <v>1164</v>
      </c>
      <c r="C328" s="0" t="n">
        <v>114004</v>
      </c>
      <c r="D328" s="0" t="n">
        <v>114004</v>
      </c>
      <c r="E328" s="0" t="s">
        <v>87</v>
      </c>
      <c r="F328" s="0" t="s">
        <v>18</v>
      </c>
      <c r="G328" s="0" t="s">
        <v>1165</v>
      </c>
      <c r="H328" s="0" t="s">
        <v>1166</v>
      </c>
      <c r="I328" s="0" t="s">
        <v>102</v>
      </c>
      <c r="J328" s="0" t="s">
        <v>103</v>
      </c>
      <c r="K328" s="0" t="s">
        <v>1160</v>
      </c>
      <c r="L328" s="0" t="str">
        <f aca="false">IFERROR(VLOOKUP(K328,'Supplier list'!B:C,2,0),"")</f>
        <v/>
      </c>
      <c r="M328" s="1" t="s">
        <v>24</v>
      </c>
      <c r="O328" s="2" t="n">
        <v>6</v>
      </c>
    </row>
    <row r="329" customFormat="false" ht="16.4" hidden="false" customHeight="false" outlineLevel="0" collapsed="false">
      <c r="A329" s="0" t="s">
        <v>15</v>
      </c>
      <c r="B329" s="0" t="s">
        <v>1167</v>
      </c>
      <c r="C329" s="0" t="n">
        <v>114004</v>
      </c>
      <c r="D329" s="0" t="n">
        <v>114004</v>
      </c>
      <c r="E329" s="0" t="s">
        <v>87</v>
      </c>
      <c r="F329" s="0" t="s">
        <v>18</v>
      </c>
      <c r="G329" s="0" t="s">
        <v>1168</v>
      </c>
      <c r="H329" s="0" t="s">
        <v>1169</v>
      </c>
      <c r="I329" s="0" t="s">
        <v>102</v>
      </c>
      <c r="J329" s="0" t="s">
        <v>103</v>
      </c>
      <c r="K329" s="0" t="s">
        <v>1160</v>
      </c>
      <c r="L329" s="0" t="str">
        <f aca="false">IFERROR(VLOOKUP(K329,'Supplier list'!B:C,2,0),"")</f>
        <v/>
      </c>
      <c r="M329" s="1" t="s">
        <v>24</v>
      </c>
      <c r="O329" s="2" t="n">
        <v>6.5</v>
      </c>
    </row>
    <row r="330" customFormat="false" ht="16.4" hidden="false" customHeight="false" outlineLevel="0" collapsed="false">
      <c r="A330" s="0" t="s">
        <v>15</v>
      </c>
      <c r="B330" s="0" t="s">
        <v>1170</v>
      </c>
      <c r="C330" s="0" t="n">
        <v>114004</v>
      </c>
      <c r="D330" s="0" t="n">
        <v>114004</v>
      </c>
      <c r="E330" s="0" t="s">
        <v>87</v>
      </c>
      <c r="F330" s="0" t="s">
        <v>18</v>
      </c>
      <c r="G330" s="0" t="s">
        <v>1171</v>
      </c>
      <c r="H330" s="0" t="s">
        <v>1172</v>
      </c>
      <c r="I330" s="0" t="s">
        <v>102</v>
      </c>
      <c r="J330" s="0" t="s">
        <v>103</v>
      </c>
      <c r="K330" s="0" t="s">
        <v>1160</v>
      </c>
      <c r="L330" s="0" t="str">
        <f aca="false">IFERROR(VLOOKUP(K330,'Supplier list'!B:C,2,0),"")</f>
        <v/>
      </c>
      <c r="M330" s="1" t="s">
        <v>24</v>
      </c>
      <c r="O330" s="2" t="n">
        <v>6.5</v>
      </c>
    </row>
    <row r="331" customFormat="false" ht="16.4" hidden="false" customHeight="false" outlineLevel="0" collapsed="false">
      <c r="A331" s="0" t="s">
        <v>15</v>
      </c>
      <c r="B331" s="0" t="s">
        <v>1173</v>
      </c>
      <c r="C331" s="0" t="n">
        <v>114004</v>
      </c>
      <c r="D331" s="0" t="n">
        <v>114004</v>
      </c>
      <c r="E331" s="0" t="s">
        <v>87</v>
      </c>
      <c r="F331" s="0" t="s">
        <v>18</v>
      </c>
      <c r="G331" s="0" t="s">
        <v>1174</v>
      </c>
      <c r="H331" s="0" t="s">
        <v>1175</v>
      </c>
      <c r="I331" s="0" t="s">
        <v>102</v>
      </c>
      <c r="J331" s="0" t="s">
        <v>103</v>
      </c>
      <c r="K331" s="0" t="s">
        <v>1160</v>
      </c>
      <c r="L331" s="0" t="str">
        <f aca="false">IFERROR(VLOOKUP(K331,'Supplier list'!B:C,2,0),"")</f>
        <v/>
      </c>
      <c r="M331" s="1" t="s">
        <v>24</v>
      </c>
      <c r="O331" s="2" t="n">
        <v>6.5</v>
      </c>
    </row>
    <row r="332" customFormat="false" ht="16.4" hidden="false" customHeight="false" outlineLevel="0" collapsed="false">
      <c r="A332" s="0" t="s">
        <v>15</v>
      </c>
      <c r="B332" s="0" t="s">
        <v>1176</v>
      </c>
      <c r="C332" s="0" t="n">
        <v>114004</v>
      </c>
      <c r="D332" s="0" t="n">
        <v>114004</v>
      </c>
      <c r="E332" s="0" t="s">
        <v>87</v>
      </c>
      <c r="F332" s="0" t="s">
        <v>18</v>
      </c>
      <c r="G332" s="0" t="s">
        <v>1177</v>
      </c>
      <c r="H332" s="0" t="s">
        <v>1178</v>
      </c>
      <c r="I332" s="0" t="s">
        <v>102</v>
      </c>
      <c r="J332" s="0" t="s">
        <v>103</v>
      </c>
      <c r="K332" s="0" t="s">
        <v>1160</v>
      </c>
      <c r="L332" s="0" t="str">
        <f aca="false">IFERROR(VLOOKUP(K332,'Supplier list'!B:C,2,0),"")</f>
        <v/>
      </c>
      <c r="M332" s="1" t="s">
        <v>24</v>
      </c>
      <c r="O332" s="2" t="n">
        <v>7</v>
      </c>
    </row>
    <row r="333" customFormat="false" ht="16.4" hidden="false" customHeight="false" outlineLevel="0" collapsed="false">
      <c r="A333" s="0" t="s">
        <v>15</v>
      </c>
      <c r="B333" s="0" t="s">
        <v>1179</v>
      </c>
      <c r="C333" s="0" t="n">
        <v>114004</v>
      </c>
      <c r="D333" s="0" t="n">
        <v>114004</v>
      </c>
      <c r="E333" s="0" t="s">
        <v>87</v>
      </c>
      <c r="F333" s="0" t="s">
        <v>18</v>
      </c>
      <c r="G333" s="0" t="s">
        <v>1180</v>
      </c>
      <c r="H333" s="0" t="s">
        <v>1181</v>
      </c>
      <c r="I333" s="0" t="s">
        <v>102</v>
      </c>
      <c r="J333" s="0" t="s">
        <v>103</v>
      </c>
      <c r="K333" s="0" t="s">
        <v>89</v>
      </c>
      <c r="L333" s="0" t="str">
        <f aca="false">IFERROR(VLOOKUP(K333,'Supplier list'!B:C,2,0),"")</f>
        <v>บริษัท เฮเฟเล่ (ประเทศไทย) จำกัด</v>
      </c>
      <c r="M333" s="1" t="s">
        <v>24</v>
      </c>
      <c r="O333" s="2" t="n">
        <v>1450</v>
      </c>
    </row>
    <row r="334" customFormat="false" ht="16.4" hidden="false" customHeight="false" outlineLevel="0" collapsed="false">
      <c r="A334" s="0" t="s">
        <v>15</v>
      </c>
      <c r="B334" s="0" t="s">
        <v>1182</v>
      </c>
      <c r="C334" s="0" t="n">
        <v>114004</v>
      </c>
      <c r="D334" s="0" t="n">
        <v>114004</v>
      </c>
      <c r="E334" s="0" t="s">
        <v>87</v>
      </c>
      <c r="F334" s="0" t="s">
        <v>18</v>
      </c>
      <c r="G334" s="0" t="s">
        <v>1183</v>
      </c>
      <c r="H334" s="0" t="s">
        <v>1184</v>
      </c>
      <c r="I334" s="0" t="s">
        <v>102</v>
      </c>
      <c r="J334" s="0" t="s">
        <v>103</v>
      </c>
      <c r="K334" s="0" t="s">
        <v>89</v>
      </c>
      <c r="L334" s="0" t="str">
        <f aca="false">IFERROR(VLOOKUP(K334,'Supplier list'!B:C,2,0),"")</f>
        <v>บริษัท เฮเฟเล่ (ประเทศไทย) จำกัด</v>
      </c>
      <c r="M334" s="1" t="s">
        <v>24</v>
      </c>
      <c r="O334" s="2" t="n">
        <v>1450</v>
      </c>
    </row>
    <row r="335" customFormat="false" ht="16.4" hidden="false" customHeight="false" outlineLevel="0" collapsed="false">
      <c r="A335" s="0" t="s">
        <v>15</v>
      </c>
      <c r="B335" s="0" t="s">
        <v>1185</v>
      </c>
      <c r="C335" s="0" t="n">
        <v>114004</v>
      </c>
      <c r="D335" s="0" t="n">
        <v>114004</v>
      </c>
      <c r="E335" s="0" t="s">
        <v>87</v>
      </c>
      <c r="F335" s="0" t="s">
        <v>18</v>
      </c>
      <c r="G335" s="0" t="s">
        <v>1186</v>
      </c>
      <c r="H335" s="0" t="s">
        <v>1187</v>
      </c>
      <c r="I335" s="0" t="s">
        <v>102</v>
      </c>
      <c r="J335" s="0" t="s">
        <v>103</v>
      </c>
      <c r="K335" s="0" t="s">
        <v>89</v>
      </c>
      <c r="L335" s="0" t="str">
        <f aca="false">IFERROR(VLOOKUP(K335,'Supplier list'!B:C,2,0),"")</f>
        <v>บริษัท เฮเฟเล่ (ประเทศไทย) จำกัด</v>
      </c>
      <c r="M335" s="1" t="s">
        <v>24</v>
      </c>
      <c r="O335" s="2" t="n">
        <v>1450</v>
      </c>
    </row>
    <row r="336" customFormat="false" ht="16.4" hidden="false" customHeight="false" outlineLevel="0" collapsed="false">
      <c r="A336" s="0" t="s">
        <v>15</v>
      </c>
      <c r="B336" s="0" t="s">
        <v>1188</v>
      </c>
      <c r="C336" s="0" t="n">
        <v>114004</v>
      </c>
      <c r="D336" s="0" t="n">
        <v>114004</v>
      </c>
      <c r="E336" s="0" t="s">
        <v>87</v>
      </c>
      <c r="F336" s="0" t="s">
        <v>18</v>
      </c>
      <c r="G336" s="0" t="s">
        <v>1189</v>
      </c>
      <c r="H336" s="0" t="s">
        <v>1190</v>
      </c>
      <c r="I336" s="0" t="s">
        <v>102</v>
      </c>
      <c r="J336" s="0" t="s">
        <v>103</v>
      </c>
      <c r="K336" s="0" t="s">
        <v>89</v>
      </c>
      <c r="L336" s="0" t="str">
        <f aca="false">IFERROR(VLOOKUP(K336,'Supplier list'!B:C,2,0),"")</f>
        <v>บริษัท เฮเฟเล่ (ประเทศไทย) จำกัด</v>
      </c>
      <c r="M336" s="1" t="s">
        <v>24</v>
      </c>
      <c r="O336" s="2" t="n">
        <v>850</v>
      </c>
    </row>
    <row r="337" customFormat="false" ht="16.4" hidden="false" customHeight="false" outlineLevel="0" collapsed="false">
      <c r="A337" s="0" t="s">
        <v>15</v>
      </c>
      <c r="B337" s="0" t="s">
        <v>1191</v>
      </c>
      <c r="C337" s="0" t="n">
        <v>114004</v>
      </c>
      <c r="D337" s="0" t="n">
        <v>114004</v>
      </c>
      <c r="E337" s="0" t="s">
        <v>87</v>
      </c>
      <c r="F337" s="0" t="s">
        <v>18</v>
      </c>
      <c r="G337" s="0" t="s">
        <v>1192</v>
      </c>
      <c r="H337" s="0" t="s">
        <v>1193</v>
      </c>
      <c r="I337" s="0" t="s">
        <v>102</v>
      </c>
      <c r="J337" s="0" t="s">
        <v>103</v>
      </c>
      <c r="K337" s="0" t="s">
        <v>89</v>
      </c>
      <c r="L337" s="0" t="str">
        <f aca="false">IFERROR(VLOOKUP(K337,'Supplier list'!B:C,2,0),"")</f>
        <v>บริษัท เฮเฟเล่ (ประเทศไทย) จำกัด</v>
      </c>
      <c r="M337" s="1" t="s">
        <v>24</v>
      </c>
      <c r="O337" s="2" t="n">
        <v>2440</v>
      </c>
    </row>
    <row r="338" customFormat="false" ht="16.4" hidden="false" customHeight="false" outlineLevel="0" collapsed="false">
      <c r="A338" s="0" t="s">
        <v>15</v>
      </c>
      <c r="B338" s="0" t="s">
        <v>1194</v>
      </c>
      <c r="C338" s="0" t="n">
        <v>114004</v>
      </c>
      <c r="D338" s="0" t="n">
        <v>114004</v>
      </c>
      <c r="E338" s="0" t="s">
        <v>87</v>
      </c>
      <c r="F338" s="0" t="s">
        <v>18</v>
      </c>
      <c r="G338" s="0" t="s">
        <v>1195</v>
      </c>
      <c r="H338" s="0" t="s">
        <v>1196</v>
      </c>
      <c r="I338" s="0" t="s">
        <v>102</v>
      </c>
      <c r="J338" s="0" t="s">
        <v>103</v>
      </c>
      <c r="K338" s="0" t="s">
        <v>89</v>
      </c>
      <c r="L338" s="0" t="str">
        <f aca="false">IFERROR(VLOOKUP(K338,'Supplier list'!B:C,2,0),"")</f>
        <v>บริษัท เฮเฟเล่ (ประเทศไทย) จำกัด</v>
      </c>
      <c r="M338" s="1" t="s">
        <v>24</v>
      </c>
      <c r="O338" s="2" t="n">
        <v>1776</v>
      </c>
    </row>
    <row r="339" customFormat="false" ht="16.4" hidden="false" customHeight="false" outlineLevel="0" collapsed="false">
      <c r="A339" s="0" t="s">
        <v>15</v>
      </c>
      <c r="B339" s="0" t="s">
        <v>1197</v>
      </c>
      <c r="C339" s="0" t="n">
        <v>114004</v>
      </c>
      <c r="D339" s="0" t="n">
        <v>114004</v>
      </c>
      <c r="E339" s="0" t="s">
        <v>87</v>
      </c>
      <c r="F339" s="0" t="s">
        <v>18</v>
      </c>
      <c r="G339" s="0" t="s">
        <v>1198</v>
      </c>
      <c r="H339" s="0" t="s">
        <v>1199</v>
      </c>
      <c r="I339" s="0" t="s">
        <v>102</v>
      </c>
      <c r="J339" s="0" t="s">
        <v>103</v>
      </c>
      <c r="K339" s="0" t="s">
        <v>89</v>
      </c>
      <c r="L339" s="0" t="str">
        <f aca="false">IFERROR(VLOOKUP(K339,'Supplier list'!B:C,2,0),"")</f>
        <v>บริษัท เฮเฟเล่ (ประเทศไทย) จำกัด</v>
      </c>
      <c r="M339" s="1" t="s">
        <v>24</v>
      </c>
      <c r="O339" s="2" t="n">
        <v>950</v>
      </c>
    </row>
    <row r="340" customFormat="false" ht="16.4" hidden="false" customHeight="false" outlineLevel="0" collapsed="false">
      <c r="A340" s="0" t="s">
        <v>15</v>
      </c>
      <c r="B340" s="0" t="s">
        <v>1200</v>
      </c>
      <c r="C340" s="0" t="n">
        <v>114004</v>
      </c>
      <c r="D340" s="0" t="n">
        <v>114004</v>
      </c>
      <c r="E340" s="0" t="s">
        <v>87</v>
      </c>
      <c r="F340" s="0" t="s">
        <v>18</v>
      </c>
      <c r="G340" s="0" t="s">
        <v>1201</v>
      </c>
      <c r="H340" s="0" t="s">
        <v>1202</v>
      </c>
      <c r="I340" s="0" t="s">
        <v>102</v>
      </c>
      <c r="J340" s="0" t="s">
        <v>103</v>
      </c>
      <c r="K340" s="0" t="s">
        <v>89</v>
      </c>
      <c r="L340" s="0" t="str">
        <f aca="false">IFERROR(VLOOKUP(K340,'Supplier list'!B:C,2,0),"")</f>
        <v>บริษัท เฮเฟเล่ (ประเทศไทย) จำกัด</v>
      </c>
      <c r="M340" s="1" t="s">
        <v>24</v>
      </c>
      <c r="O340" s="2" t="n">
        <v>1450</v>
      </c>
    </row>
    <row r="341" customFormat="false" ht="16.4" hidden="false" customHeight="false" outlineLevel="0" collapsed="false">
      <c r="A341" s="0" t="s">
        <v>15</v>
      </c>
      <c r="B341" s="0" t="s">
        <v>1203</v>
      </c>
      <c r="C341" s="0" t="n">
        <v>114004</v>
      </c>
      <c r="D341" s="0" t="n">
        <v>114004</v>
      </c>
      <c r="E341" s="0" t="s">
        <v>87</v>
      </c>
      <c r="F341" s="0" t="s">
        <v>18</v>
      </c>
      <c r="G341" s="0" t="s">
        <v>1204</v>
      </c>
      <c r="H341" s="0" t="s">
        <v>1205</v>
      </c>
      <c r="I341" s="0" t="s">
        <v>102</v>
      </c>
      <c r="J341" s="0" t="s">
        <v>103</v>
      </c>
      <c r="K341" s="0" t="s">
        <v>89</v>
      </c>
      <c r="L341" s="0" t="str">
        <f aca="false">IFERROR(VLOOKUP(K341,'Supplier list'!B:C,2,0),"")</f>
        <v>บริษัท เฮเฟเล่ (ประเทศไทย) จำกัด</v>
      </c>
      <c r="M341" s="1" t="s">
        <v>24</v>
      </c>
      <c r="O341" s="2" t="n">
        <v>1215</v>
      </c>
    </row>
    <row r="342" customFormat="false" ht="16.4" hidden="false" customHeight="false" outlineLevel="0" collapsed="false">
      <c r="A342" s="0" t="s">
        <v>15</v>
      </c>
      <c r="B342" s="0" t="s">
        <v>1206</v>
      </c>
      <c r="C342" s="0" t="n">
        <v>114004</v>
      </c>
      <c r="D342" s="0" t="n">
        <v>114004</v>
      </c>
      <c r="E342" s="0" t="s">
        <v>87</v>
      </c>
      <c r="F342" s="0" t="s">
        <v>18</v>
      </c>
      <c r="G342" s="0" t="s">
        <v>1207</v>
      </c>
      <c r="H342" s="0" t="s">
        <v>1208</v>
      </c>
      <c r="I342" s="0" t="s">
        <v>102</v>
      </c>
      <c r="J342" s="0" t="s">
        <v>103</v>
      </c>
      <c r="K342" s="0" t="s">
        <v>89</v>
      </c>
      <c r="L342" s="0" t="str">
        <f aca="false">IFERROR(VLOOKUP(K342,'Supplier list'!B:C,2,0),"")</f>
        <v>บริษัท เฮเฟเล่ (ประเทศไทย) จำกัด</v>
      </c>
      <c r="M342" s="1" t="s">
        <v>24</v>
      </c>
      <c r="O342" s="2" t="n">
        <v>900</v>
      </c>
    </row>
    <row r="343" customFormat="false" ht="16.4" hidden="false" customHeight="false" outlineLevel="0" collapsed="false">
      <c r="A343" s="0" t="s">
        <v>15</v>
      </c>
      <c r="B343" s="0" t="s">
        <v>1209</v>
      </c>
      <c r="C343" s="0" t="n">
        <v>114004</v>
      </c>
      <c r="D343" s="0" t="n">
        <v>114004</v>
      </c>
      <c r="E343" s="0" t="s">
        <v>87</v>
      </c>
      <c r="F343" s="0" t="s">
        <v>18</v>
      </c>
      <c r="G343" s="0" t="s">
        <v>1210</v>
      </c>
      <c r="H343" s="0" t="s">
        <v>1211</v>
      </c>
      <c r="I343" s="0" t="s">
        <v>102</v>
      </c>
      <c r="J343" s="0" t="s">
        <v>103</v>
      </c>
      <c r="K343" s="0" t="s">
        <v>89</v>
      </c>
      <c r="L343" s="0" t="str">
        <f aca="false">IFERROR(VLOOKUP(K343,'Supplier list'!B:C,2,0),"")</f>
        <v>บริษัท เฮเฟเล่ (ประเทศไทย) จำกัด</v>
      </c>
      <c r="M343" s="1" t="s">
        <v>24</v>
      </c>
      <c r="O343" s="2" t="n">
        <v>900</v>
      </c>
    </row>
    <row r="344" customFormat="false" ht="16.4" hidden="false" customHeight="false" outlineLevel="0" collapsed="false">
      <c r="A344" s="0" t="s">
        <v>15</v>
      </c>
      <c r="B344" s="0" t="s">
        <v>1212</v>
      </c>
      <c r="C344" s="0" t="n">
        <v>114004</v>
      </c>
      <c r="D344" s="0" t="n">
        <v>114004</v>
      </c>
      <c r="E344" s="0" t="s">
        <v>275</v>
      </c>
      <c r="F344" s="0" t="s">
        <v>18</v>
      </c>
      <c r="G344" s="0" t="s">
        <v>1213</v>
      </c>
      <c r="H344" s="0" t="s">
        <v>1214</v>
      </c>
      <c r="I344" s="0" t="s">
        <v>384</v>
      </c>
      <c r="J344" s="0" t="s">
        <v>385</v>
      </c>
      <c r="K344" s="0" t="s">
        <v>82</v>
      </c>
      <c r="L344" s="0" t="str">
        <f aca="false">IFERROR(VLOOKUP(K344,'Supplier list'!B:C,2,0),"")</f>
        <v>บริษัท เกรียงศิริพัฒนา (1995) จำกัด</v>
      </c>
      <c r="M344" s="1" t="s">
        <v>24</v>
      </c>
      <c r="O344" s="2" t="n">
        <v>60</v>
      </c>
    </row>
    <row r="345" customFormat="false" ht="16.4" hidden="false" customHeight="false" outlineLevel="0" collapsed="false">
      <c r="A345" s="0" t="s">
        <v>15</v>
      </c>
      <c r="B345" s="0" t="s">
        <v>1215</v>
      </c>
      <c r="C345" s="0" t="n">
        <v>114004</v>
      </c>
      <c r="D345" s="0" t="n">
        <v>114004</v>
      </c>
      <c r="E345" s="0" t="s">
        <v>87</v>
      </c>
      <c r="F345" s="0" t="s">
        <v>18</v>
      </c>
      <c r="G345" s="0" t="s">
        <v>1216</v>
      </c>
      <c r="H345" s="0" t="s">
        <v>1217</v>
      </c>
      <c r="I345" s="0" t="s">
        <v>102</v>
      </c>
      <c r="J345" s="0" t="s">
        <v>103</v>
      </c>
      <c r="K345" s="0" t="s">
        <v>89</v>
      </c>
      <c r="L345" s="0" t="str">
        <f aca="false">IFERROR(VLOOKUP(K345,'Supplier list'!B:C,2,0),"")</f>
        <v>บริษัท เฮเฟเล่ (ประเทศไทย) จำกัด</v>
      </c>
      <c r="M345" s="1" t="s">
        <v>24</v>
      </c>
      <c r="O345" s="2" t="n">
        <v>2057</v>
      </c>
    </row>
    <row r="346" customFormat="false" ht="16.4" hidden="false" customHeight="false" outlineLevel="0" collapsed="false">
      <c r="A346" s="0" t="s">
        <v>15</v>
      </c>
      <c r="B346" s="0" t="s">
        <v>1218</v>
      </c>
      <c r="C346" s="0" t="n">
        <v>114004</v>
      </c>
      <c r="D346" s="0" t="n">
        <v>114004</v>
      </c>
      <c r="E346" s="0" t="s">
        <v>87</v>
      </c>
      <c r="F346" s="0" t="s">
        <v>18</v>
      </c>
      <c r="G346" s="0" t="s">
        <v>1219</v>
      </c>
      <c r="H346" s="0" t="s">
        <v>1220</v>
      </c>
      <c r="I346" s="0" t="s">
        <v>102</v>
      </c>
      <c r="J346" s="0" t="s">
        <v>103</v>
      </c>
      <c r="K346" s="0" t="s">
        <v>352</v>
      </c>
      <c r="L346" s="0" t="str">
        <f aca="false">IFERROR(VLOOKUP(K346,'Supplier list'!B:C,2,0),"")</f>
        <v>บริษัท พีเอ็นพี อินเตอร์แพค</v>
      </c>
      <c r="M346" s="1" t="s">
        <v>24</v>
      </c>
      <c r="O346" s="2" t="n">
        <v>512</v>
      </c>
    </row>
    <row r="347" customFormat="false" ht="16.4" hidden="false" customHeight="false" outlineLevel="0" collapsed="false">
      <c r="A347" s="0" t="s">
        <v>15</v>
      </c>
      <c r="B347" s="0" t="s">
        <v>1221</v>
      </c>
      <c r="C347" s="0" t="n">
        <v>114004</v>
      </c>
      <c r="D347" s="0" t="n">
        <v>114004</v>
      </c>
      <c r="E347" s="0" t="s">
        <v>87</v>
      </c>
      <c r="F347" s="0" t="s">
        <v>18</v>
      </c>
      <c r="G347" s="0" t="s">
        <v>1222</v>
      </c>
      <c r="H347" s="0" t="s">
        <v>1223</v>
      </c>
      <c r="I347" s="0" t="s">
        <v>102</v>
      </c>
      <c r="J347" s="0" t="s">
        <v>103</v>
      </c>
      <c r="K347" s="0" t="s">
        <v>352</v>
      </c>
      <c r="L347" s="0" t="str">
        <f aca="false">IFERROR(VLOOKUP(K347,'Supplier list'!B:C,2,0),"")</f>
        <v>บริษัท พีเอ็นพี อินเตอร์แพค</v>
      </c>
      <c r="M347" s="1" t="s">
        <v>24</v>
      </c>
      <c r="O347" s="2" t="n">
        <v>512</v>
      </c>
    </row>
    <row r="348" customFormat="false" ht="16.4" hidden="false" customHeight="false" outlineLevel="0" collapsed="false">
      <c r="A348" s="0" t="s">
        <v>15</v>
      </c>
      <c r="B348" s="0" t="s">
        <v>1224</v>
      </c>
      <c r="C348" s="0" t="n">
        <v>114004</v>
      </c>
      <c r="D348" s="0" t="n">
        <v>114004</v>
      </c>
      <c r="E348" s="0" t="s">
        <v>87</v>
      </c>
      <c r="F348" s="0" t="s">
        <v>18</v>
      </c>
      <c r="G348" s="0" t="s">
        <v>1225</v>
      </c>
      <c r="H348" s="0" t="s">
        <v>1226</v>
      </c>
      <c r="I348" s="0" t="s">
        <v>102</v>
      </c>
      <c r="J348" s="0" t="s">
        <v>103</v>
      </c>
      <c r="K348" s="0" t="s">
        <v>352</v>
      </c>
      <c r="L348" s="0" t="str">
        <f aca="false">IFERROR(VLOOKUP(K348,'Supplier list'!B:C,2,0),"")</f>
        <v>บริษัท พีเอ็นพี อินเตอร์แพค</v>
      </c>
      <c r="M348" s="1" t="s">
        <v>24</v>
      </c>
      <c r="O348" s="2" t="n">
        <v>512</v>
      </c>
    </row>
    <row r="349" customFormat="false" ht="16.4" hidden="false" customHeight="false" outlineLevel="0" collapsed="false">
      <c r="A349" s="0" t="s">
        <v>15</v>
      </c>
      <c r="B349" s="0" t="s">
        <v>1227</v>
      </c>
      <c r="C349" s="0" t="n">
        <v>114004</v>
      </c>
      <c r="D349" s="0" t="n">
        <v>114004</v>
      </c>
      <c r="E349" s="0" t="s">
        <v>87</v>
      </c>
      <c r="F349" s="0" t="s">
        <v>18</v>
      </c>
      <c r="G349" s="0" t="s">
        <v>1228</v>
      </c>
      <c r="H349" s="0" t="s">
        <v>1229</v>
      </c>
      <c r="I349" s="0" t="s">
        <v>102</v>
      </c>
      <c r="J349" s="0" t="s">
        <v>103</v>
      </c>
      <c r="K349" s="0" t="s">
        <v>352</v>
      </c>
      <c r="L349" s="0" t="str">
        <f aca="false">IFERROR(VLOOKUP(K349,'Supplier list'!B:C,2,0),"")</f>
        <v>บริษัท พีเอ็นพี อินเตอร์แพค</v>
      </c>
      <c r="M349" s="1" t="s">
        <v>24</v>
      </c>
      <c r="O349" s="2" t="n">
        <v>512</v>
      </c>
    </row>
    <row r="350" customFormat="false" ht="16.4" hidden="false" customHeight="false" outlineLevel="0" collapsed="false">
      <c r="A350" s="0" t="s">
        <v>15</v>
      </c>
      <c r="B350" s="0" t="s">
        <v>1230</v>
      </c>
      <c r="C350" s="0" t="n">
        <v>114004</v>
      </c>
      <c r="D350" s="0" t="n">
        <v>114004</v>
      </c>
      <c r="E350" s="0" t="s">
        <v>87</v>
      </c>
      <c r="F350" s="0" t="s">
        <v>18</v>
      </c>
      <c r="G350" s="0" t="s">
        <v>1231</v>
      </c>
      <c r="H350" s="0" t="s">
        <v>1232</v>
      </c>
      <c r="I350" s="0" t="s">
        <v>102</v>
      </c>
      <c r="J350" s="0" t="s">
        <v>103</v>
      </c>
      <c r="L350" s="0" t="str">
        <f aca="false">IFERROR(VLOOKUP(K350,'Supplier list'!B:C,2,0),"")</f>
        <v/>
      </c>
      <c r="M350" s="1" t="s">
        <v>24</v>
      </c>
      <c r="O350" s="2" t="n">
        <v>175</v>
      </c>
    </row>
    <row r="351" customFormat="false" ht="16.4" hidden="false" customHeight="false" outlineLevel="0" collapsed="false">
      <c r="A351" s="0" t="s">
        <v>15</v>
      </c>
      <c r="B351" s="0" t="s">
        <v>1233</v>
      </c>
      <c r="C351" s="0" t="n">
        <v>114004</v>
      </c>
      <c r="D351" s="0" t="n">
        <v>114004</v>
      </c>
      <c r="E351" s="0" t="s">
        <v>957</v>
      </c>
      <c r="F351" s="0" t="s">
        <v>18</v>
      </c>
      <c r="G351" s="0" t="s">
        <v>1234</v>
      </c>
      <c r="H351" s="0" t="s">
        <v>1235</v>
      </c>
      <c r="I351" s="0" t="s">
        <v>331</v>
      </c>
      <c r="J351" s="0" t="s">
        <v>332</v>
      </c>
      <c r="K351" s="0" t="s">
        <v>56</v>
      </c>
      <c r="L351" s="0" t="str">
        <f aca="false">IFERROR(VLOOKUP(K351,'Supplier list'!B:C,2,0),"")</f>
        <v>CO.,LTD QINGDAO NEW LIBERTY INT'L TRADING CO.LTD.</v>
      </c>
      <c r="M351" s="1" t="s">
        <v>24</v>
      </c>
      <c r="O351" s="2" t="n">
        <v>330</v>
      </c>
    </row>
    <row r="352" customFormat="false" ht="16.4" hidden="false" customHeight="false" outlineLevel="0" collapsed="false">
      <c r="A352" s="0" t="s">
        <v>15</v>
      </c>
      <c r="B352" s="0" t="s">
        <v>1236</v>
      </c>
      <c r="C352" s="0" t="n">
        <v>114004</v>
      </c>
      <c r="D352" s="0" t="n">
        <v>114004</v>
      </c>
      <c r="E352" s="0" t="s">
        <v>957</v>
      </c>
      <c r="F352" s="0" t="s">
        <v>18</v>
      </c>
      <c r="G352" s="0" t="s">
        <v>1237</v>
      </c>
      <c r="H352" s="0" t="s">
        <v>1238</v>
      </c>
      <c r="I352" s="0" t="s">
        <v>331</v>
      </c>
      <c r="J352" s="0" t="s">
        <v>332</v>
      </c>
      <c r="K352" s="0" t="s">
        <v>82</v>
      </c>
      <c r="L352" s="0" t="str">
        <f aca="false">IFERROR(VLOOKUP(K352,'Supplier list'!B:C,2,0),"")</f>
        <v>บริษัท เกรียงศิริพัฒนา (1995) จำกัด</v>
      </c>
      <c r="M352" s="1" t="s">
        <v>24</v>
      </c>
      <c r="O352" s="2" t="n">
        <v>450</v>
      </c>
    </row>
    <row r="353" customFormat="false" ht="16.4" hidden="false" customHeight="false" outlineLevel="0" collapsed="false">
      <c r="A353" s="0" t="s">
        <v>15</v>
      </c>
      <c r="B353" s="0" t="s">
        <v>1239</v>
      </c>
      <c r="C353" s="0" t="n">
        <v>114004</v>
      </c>
      <c r="D353" s="0" t="n">
        <v>114004</v>
      </c>
      <c r="E353" s="0" t="s">
        <v>87</v>
      </c>
      <c r="F353" s="0" t="s">
        <v>18</v>
      </c>
      <c r="G353" s="0" t="s">
        <v>1240</v>
      </c>
      <c r="H353" s="0" t="s">
        <v>1241</v>
      </c>
      <c r="I353" s="0" t="s">
        <v>102</v>
      </c>
      <c r="J353" s="0" t="s">
        <v>103</v>
      </c>
      <c r="L353" s="0" t="str">
        <f aca="false">IFERROR(VLOOKUP(K353,'Supplier list'!B:C,2,0),"")</f>
        <v/>
      </c>
      <c r="M353" s="1" t="s">
        <v>24</v>
      </c>
      <c r="O353" s="2" t="n">
        <v>65</v>
      </c>
    </row>
    <row r="354" customFormat="false" ht="16.4" hidden="false" customHeight="false" outlineLevel="0" collapsed="false">
      <c r="A354" s="0" t="s">
        <v>15</v>
      </c>
      <c r="B354" s="0" t="s">
        <v>1242</v>
      </c>
      <c r="C354" s="0" t="n">
        <v>114004</v>
      </c>
      <c r="D354" s="0" t="n">
        <v>114004</v>
      </c>
      <c r="E354" s="0" t="s">
        <v>1026</v>
      </c>
      <c r="F354" s="0" t="s">
        <v>18</v>
      </c>
      <c r="G354" s="0" t="s">
        <v>1243</v>
      </c>
      <c r="H354" s="0" t="s">
        <v>1244</v>
      </c>
      <c r="I354" s="0" t="s">
        <v>1032</v>
      </c>
      <c r="J354" s="0" t="s">
        <v>1033</v>
      </c>
      <c r="K354" s="0" t="s">
        <v>1064</v>
      </c>
      <c r="L354" s="0" t="str">
        <f aca="false">IFERROR(VLOOKUP(K354,'Supplier list'!B:C,2,0),"")</f>
        <v>บริษัท เมกไกวส์ (ไทยแลนด์) จำกัด</v>
      </c>
      <c r="M354" s="1" t="s">
        <v>24</v>
      </c>
      <c r="O354" s="2" t="n">
        <v>1800</v>
      </c>
    </row>
    <row r="355" customFormat="false" ht="16.4" hidden="false" customHeight="false" outlineLevel="0" collapsed="false">
      <c r="A355" s="0" t="s">
        <v>15</v>
      </c>
      <c r="B355" s="0" t="s">
        <v>1245</v>
      </c>
      <c r="C355" s="0" t="n">
        <v>114004</v>
      </c>
      <c r="D355" s="0" t="n">
        <v>114004</v>
      </c>
      <c r="E355" s="0" t="s">
        <v>1246</v>
      </c>
      <c r="F355" s="0" t="s">
        <v>18</v>
      </c>
      <c r="G355" s="0" t="s">
        <v>1247</v>
      </c>
      <c r="H355" s="0" t="s">
        <v>1248</v>
      </c>
      <c r="I355" s="0" t="s">
        <v>1032</v>
      </c>
      <c r="J355" s="0" t="s">
        <v>1033</v>
      </c>
      <c r="K355" s="0" t="s">
        <v>1064</v>
      </c>
      <c r="L355" s="0" t="str">
        <f aca="false">IFERROR(VLOOKUP(K355,'Supplier list'!B:C,2,0),"")</f>
        <v>บริษัท เมกไกวส์ (ไทยแลนด์) จำกัด</v>
      </c>
      <c r="M355" s="1" t="s">
        <v>24</v>
      </c>
      <c r="O355" s="2" t="n">
        <v>2800</v>
      </c>
    </row>
    <row r="356" customFormat="false" ht="13.8" hidden="false" customHeight="false" outlineLevel="0" collapsed="false">
      <c r="A356" s="0" t="s">
        <v>15</v>
      </c>
      <c r="B356" s="0" t="s">
        <v>1249</v>
      </c>
      <c r="C356" s="0" t="n">
        <v>114004</v>
      </c>
      <c r="D356" s="0" t="n">
        <v>114004</v>
      </c>
      <c r="E356" s="0" t="s">
        <v>294</v>
      </c>
      <c r="F356" s="0" t="s">
        <v>18</v>
      </c>
      <c r="G356" s="0" t="s">
        <v>1250</v>
      </c>
      <c r="H356" s="0" t="s">
        <v>1251</v>
      </c>
      <c r="I356" s="0" t="s">
        <v>384</v>
      </c>
      <c r="J356" s="0" t="s">
        <v>385</v>
      </c>
      <c r="K356" s="0" t="s">
        <v>352</v>
      </c>
      <c r="L356" s="0" t="str">
        <f aca="false">IFERROR(VLOOKUP(K356,'Supplier list'!B:C,2,0),"")</f>
        <v>บริษัท พีเอ็นพี อินเตอร์แพค</v>
      </c>
      <c r="M356" s="1" t="s">
        <v>24</v>
      </c>
      <c r="O356" s="2" t="n">
        <v>156</v>
      </c>
    </row>
    <row r="357" customFormat="false" ht="16.4" hidden="false" customHeight="false" outlineLevel="0" collapsed="false">
      <c r="A357" s="0" t="s">
        <v>15</v>
      </c>
      <c r="B357" s="0" t="s">
        <v>1252</v>
      </c>
      <c r="C357" s="0" t="n">
        <v>114004</v>
      </c>
      <c r="D357" s="0" t="n">
        <v>114004</v>
      </c>
      <c r="E357" s="0" t="s">
        <v>1026</v>
      </c>
      <c r="F357" s="0" t="s">
        <v>18</v>
      </c>
      <c r="G357" s="0" t="s">
        <v>1253</v>
      </c>
      <c r="H357" s="0" t="s">
        <v>1254</v>
      </c>
      <c r="I357" s="0" t="s">
        <v>149</v>
      </c>
      <c r="J357" s="0" t="s">
        <v>150</v>
      </c>
      <c r="L357" s="0" t="str">
        <f aca="false">IFERROR(VLOOKUP(K357,'Supplier list'!B:C,2,0),"")</f>
        <v/>
      </c>
      <c r="M357" s="1" t="s">
        <v>24</v>
      </c>
      <c r="O357" s="2" t="n">
        <v>675</v>
      </c>
    </row>
    <row r="358" customFormat="false" ht="16.4" hidden="false" customHeight="false" outlineLevel="0" collapsed="false">
      <c r="A358" s="0" t="s">
        <v>15</v>
      </c>
      <c r="B358" s="0" t="s">
        <v>1255</v>
      </c>
      <c r="C358" s="0" t="n">
        <v>114004</v>
      </c>
      <c r="D358" s="0" t="n">
        <v>114004</v>
      </c>
      <c r="E358" s="0" t="s">
        <v>17</v>
      </c>
      <c r="F358" s="0" t="s">
        <v>18</v>
      </c>
      <c r="G358" s="0" t="s">
        <v>1256</v>
      </c>
      <c r="H358" s="0" t="s">
        <v>1257</v>
      </c>
      <c r="I358" s="0" t="s">
        <v>248</v>
      </c>
      <c r="J358" s="0" t="s">
        <v>249</v>
      </c>
      <c r="K358" s="0" t="s">
        <v>352</v>
      </c>
      <c r="L358" s="0" t="str">
        <f aca="false">IFERROR(VLOOKUP(K358,'Supplier list'!B:C,2,0),"")</f>
        <v>บริษัท พีเอ็นพี อินเตอร์แพค</v>
      </c>
      <c r="M358" s="1" t="s">
        <v>24</v>
      </c>
      <c r="O358" s="2" t="n">
        <v>27</v>
      </c>
    </row>
    <row r="359" customFormat="false" ht="16.4" hidden="false" customHeight="false" outlineLevel="0" collapsed="false">
      <c r="A359" s="0" t="s">
        <v>15</v>
      </c>
      <c r="B359" s="0" t="s">
        <v>1258</v>
      </c>
      <c r="C359" s="0" t="n">
        <v>114004</v>
      </c>
      <c r="D359" s="0" t="n">
        <v>114004</v>
      </c>
      <c r="E359" s="0" t="s">
        <v>17</v>
      </c>
      <c r="F359" s="0" t="s">
        <v>18</v>
      </c>
      <c r="G359" s="0" t="s">
        <v>1259</v>
      </c>
      <c r="H359" s="0" t="s">
        <v>1260</v>
      </c>
      <c r="I359" s="0" t="s">
        <v>248</v>
      </c>
      <c r="J359" s="0" t="s">
        <v>249</v>
      </c>
      <c r="K359" s="0" t="s">
        <v>352</v>
      </c>
      <c r="L359" s="0" t="str">
        <f aca="false">IFERROR(VLOOKUP(K359,'Supplier list'!B:C,2,0),"")</f>
        <v>บริษัท พีเอ็นพี อินเตอร์แพค</v>
      </c>
      <c r="M359" s="1" t="s">
        <v>24</v>
      </c>
      <c r="O359" s="2" t="n">
        <v>19.75</v>
      </c>
    </row>
    <row r="360" customFormat="false" ht="16.4" hidden="false" customHeight="false" outlineLevel="0" collapsed="false">
      <c r="A360" s="0" t="s">
        <v>15</v>
      </c>
      <c r="B360" s="0" t="s">
        <v>1261</v>
      </c>
      <c r="C360" s="0" t="n">
        <v>114004</v>
      </c>
      <c r="D360" s="0" t="n">
        <v>114004</v>
      </c>
      <c r="E360" s="0" t="s">
        <v>1262</v>
      </c>
      <c r="F360" s="0" t="s">
        <v>18</v>
      </c>
      <c r="G360" s="0" t="s">
        <v>1263</v>
      </c>
      <c r="H360" s="0" t="s">
        <v>1264</v>
      </c>
      <c r="I360" s="0" t="s">
        <v>248</v>
      </c>
      <c r="J360" s="0" t="s">
        <v>249</v>
      </c>
      <c r="L360" s="0" t="str">
        <f aca="false">IFERROR(VLOOKUP(K360,'Supplier list'!B:C,2,0),"")</f>
        <v/>
      </c>
      <c r="M360" s="1" t="s">
        <v>24</v>
      </c>
      <c r="O360" s="2" t="n">
        <v>528</v>
      </c>
    </row>
    <row r="361" customFormat="false" ht="16.4" hidden="false" customHeight="false" outlineLevel="0" collapsed="false">
      <c r="A361" s="0" t="s">
        <v>15</v>
      </c>
      <c r="B361" s="0" t="s">
        <v>1265</v>
      </c>
      <c r="C361" s="0" t="n">
        <v>114004</v>
      </c>
      <c r="D361" s="0" t="n">
        <v>114004</v>
      </c>
      <c r="E361" s="0" t="s">
        <v>499</v>
      </c>
      <c r="F361" s="0" t="s">
        <v>18</v>
      </c>
      <c r="G361" s="0" t="s">
        <v>1266</v>
      </c>
      <c r="H361" s="0" t="s">
        <v>1267</v>
      </c>
      <c r="I361" s="0" t="s">
        <v>1268</v>
      </c>
      <c r="J361" s="0" t="s">
        <v>1269</v>
      </c>
      <c r="L361" s="0" t="str">
        <f aca="false">IFERROR(VLOOKUP(K361,'Supplier list'!B:C,2,0),"")</f>
        <v/>
      </c>
      <c r="M361" s="1" t="s">
        <v>24</v>
      </c>
      <c r="O361" s="2" t="n">
        <v>20</v>
      </c>
    </row>
    <row r="362" customFormat="false" ht="16.4" hidden="false" customHeight="false" outlineLevel="0" collapsed="false">
      <c r="A362" s="0" t="s">
        <v>15</v>
      </c>
      <c r="B362" s="0" t="s">
        <v>1270</v>
      </c>
      <c r="C362" s="0" t="n">
        <v>114004</v>
      </c>
      <c r="D362" s="0" t="n">
        <v>114004</v>
      </c>
      <c r="E362" s="0" t="s">
        <v>499</v>
      </c>
      <c r="F362" s="0" t="s">
        <v>18</v>
      </c>
      <c r="G362" s="0" t="s">
        <v>1271</v>
      </c>
      <c r="H362" s="0" t="s">
        <v>1272</v>
      </c>
      <c r="I362" s="0" t="s">
        <v>1268</v>
      </c>
      <c r="J362" s="0" t="s">
        <v>1269</v>
      </c>
      <c r="K362" s="0" t="s">
        <v>465</v>
      </c>
      <c r="L362" s="0" t="str">
        <f aca="false">IFERROR(VLOOKUP(K362,'Supplier list'!B:C,2,0),"")</f>
        <v/>
      </c>
      <c r="M362" s="1" t="s">
        <v>24</v>
      </c>
      <c r="O362" s="2" t="n">
        <v>60</v>
      </c>
    </row>
    <row r="363" customFormat="false" ht="16.4" hidden="false" customHeight="false" outlineLevel="0" collapsed="false">
      <c r="A363" s="0" t="s">
        <v>15</v>
      </c>
      <c r="B363" s="0" t="s">
        <v>1273</v>
      </c>
      <c r="C363" s="0" t="n">
        <v>114004</v>
      </c>
      <c r="D363" s="0" t="n">
        <v>114004</v>
      </c>
      <c r="E363" s="0" t="s">
        <v>499</v>
      </c>
      <c r="F363" s="0" t="s">
        <v>18</v>
      </c>
      <c r="G363" s="0" t="s">
        <v>1274</v>
      </c>
      <c r="H363" s="0" t="s">
        <v>1275</v>
      </c>
      <c r="I363" s="0" t="s">
        <v>1268</v>
      </c>
      <c r="J363" s="0" t="s">
        <v>1269</v>
      </c>
      <c r="K363" s="0" t="s">
        <v>151</v>
      </c>
      <c r="L363" s="0" t="str">
        <f aca="false">IFERROR(VLOOKUP(K363,'Supplier list'!B:C,2,0),"")</f>
        <v>บริษัท สยามแม็คโคร จำกัด (มหาชน)</v>
      </c>
      <c r="M363" s="1" t="s">
        <v>24</v>
      </c>
      <c r="O363" s="2" t="n">
        <v>42.06</v>
      </c>
    </row>
    <row r="364" customFormat="false" ht="16.4" hidden="false" customHeight="false" outlineLevel="0" collapsed="false">
      <c r="A364" s="0" t="s">
        <v>15</v>
      </c>
      <c r="B364" s="0" t="s">
        <v>1276</v>
      </c>
      <c r="C364" s="0" t="n">
        <v>114004</v>
      </c>
      <c r="D364" s="0" t="n">
        <v>114004</v>
      </c>
      <c r="E364" s="0" t="s">
        <v>499</v>
      </c>
      <c r="F364" s="0" t="s">
        <v>18</v>
      </c>
      <c r="G364" s="0" t="s">
        <v>1277</v>
      </c>
      <c r="H364" s="0" t="s">
        <v>1278</v>
      </c>
      <c r="I364" s="0" t="s">
        <v>1268</v>
      </c>
      <c r="J364" s="0" t="s">
        <v>1269</v>
      </c>
      <c r="K364" s="0" t="s">
        <v>1279</v>
      </c>
      <c r="L364" s="0" t="str">
        <f aca="false">IFERROR(VLOOKUP(K364,'Supplier list'!B:C,2,0),"")</f>
        <v>ร้าน ศิริลักษณ์</v>
      </c>
      <c r="M364" s="1" t="s">
        <v>24</v>
      </c>
      <c r="O364" s="2" t="n">
        <v>10</v>
      </c>
    </row>
    <row r="365" customFormat="false" ht="16.4" hidden="false" customHeight="false" outlineLevel="0" collapsed="false">
      <c r="A365" s="0" t="s">
        <v>15</v>
      </c>
      <c r="B365" s="0" t="s">
        <v>1280</v>
      </c>
      <c r="C365" s="0" t="n">
        <v>114004</v>
      </c>
      <c r="D365" s="0" t="n">
        <v>114004</v>
      </c>
      <c r="E365" s="0" t="s">
        <v>93</v>
      </c>
      <c r="F365" s="0" t="s">
        <v>18</v>
      </c>
      <c r="G365" s="0" t="s">
        <v>1281</v>
      </c>
      <c r="H365" s="0" t="s">
        <v>1282</v>
      </c>
      <c r="I365" s="0" t="s">
        <v>21</v>
      </c>
      <c r="J365" s="0" t="s">
        <v>22</v>
      </c>
      <c r="K365" s="0" t="s">
        <v>75</v>
      </c>
      <c r="L365" s="0" t="str">
        <f aca="false">IFERROR(VLOOKUP(K365,'Supplier list'!B:C,2,0),"")</f>
        <v/>
      </c>
      <c r="M365" s="1" t="s">
        <v>24</v>
      </c>
      <c r="O365" s="2" t="n">
        <v>55</v>
      </c>
    </row>
    <row r="366" customFormat="false" ht="16.4" hidden="false" customHeight="false" outlineLevel="0" collapsed="false">
      <c r="A366" s="0" t="s">
        <v>15</v>
      </c>
      <c r="B366" s="0" t="s">
        <v>1283</v>
      </c>
      <c r="C366" s="0" t="n">
        <v>114004</v>
      </c>
      <c r="D366" s="0" t="n">
        <v>114004</v>
      </c>
      <c r="E366" s="0" t="s">
        <v>93</v>
      </c>
      <c r="F366" s="0" t="s">
        <v>18</v>
      </c>
      <c r="G366" s="0" t="s">
        <v>1284</v>
      </c>
      <c r="H366" s="0" t="s">
        <v>1285</v>
      </c>
      <c r="I366" s="0" t="s">
        <v>21</v>
      </c>
      <c r="J366" s="0" t="s">
        <v>22</v>
      </c>
      <c r="K366" s="0" t="s">
        <v>75</v>
      </c>
      <c r="L366" s="0" t="str">
        <f aca="false">IFERROR(VLOOKUP(K366,'Supplier list'!B:C,2,0),"")</f>
        <v/>
      </c>
      <c r="M366" s="1" t="s">
        <v>24</v>
      </c>
      <c r="O366" s="2" t="n">
        <v>55</v>
      </c>
    </row>
    <row r="367" customFormat="false" ht="16.4" hidden="false" customHeight="false" outlineLevel="0" collapsed="false">
      <c r="A367" s="0" t="s">
        <v>15</v>
      </c>
      <c r="B367" s="0" t="s">
        <v>1286</v>
      </c>
      <c r="C367" s="0" t="n">
        <v>114004</v>
      </c>
      <c r="D367" s="0" t="n">
        <v>114004</v>
      </c>
      <c r="E367" s="0" t="s">
        <v>93</v>
      </c>
      <c r="F367" s="0" t="s">
        <v>18</v>
      </c>
      <c r="G367" s="0" t="s">
        <v>1287</v>
      </c>
      <c r="H367" s="0" t="s">
        <v>1288</v>
      </c>
      <c r="I367" s="0" t="s">
        <v>21</v>
      </c>
      <c r="J367" s="0" t="s">
        <v>22</v>
      </c>
      <c r="K367" s="0" t="s">
        <v>75</v>
      </c>
      <c r="L367" s="0" t="str">
        <f aca="false">IFERROR(VLOOKUP(K367,'Supplier list'!B:C,2,0),"")</f>
        <v/>
      </c>
      <c r="M367" s="1" t="s">
        <v>24</v>
      </c>
      <c r="O367" s="2" t="n">
        <v>55</v>
      </c>
    </row>
    <row r="368" customFormat="false" ht="13.8" hidden="false" customHeight="false" outlineLevel="0" collapsed="false">
      <c r="A368" s="0" t="s">
        <v>15</v>
      </c>
      <c r="B368" s="0" t="s">
        <v>1289</v>
      </c>
      <c r="C368" s="0" t="n">
        <v>114004</v>
      </c>
      <c r="D368" s="0" t="n">
        <v>114004</v>
      </c>
      <c r="E368" s="0" t="s">
        <v>1290</v>
      </c>
      <c r="F368" s="0" t="s">
        <v>18</v>
      </c>
      <c r="G368" s="0" t="s">
        <v>1291</v>
      </c>
      <c r="H368" s="0" t="s">
        <v>1290</v>
      </c>
      <c r="I368" s="0" t="s">
        <v>21</v>
      </c>
      <c r="J368" s="0" t="s">
        <v>22</v>
      </c>
      <c r="K368" s="0" t="s">
        <v>75</v>
      </c>
      <c r="L368" s="0" t="str">
        <f aca="false">IFERROR(VLOOKUP(K368,'Supplier list'!B:C,2,0),"")</f>
        <v/>
      </c>
      <c r="M368" s="1" t="s">
        <v>24</v>
      </c>
      <c r="O368" s="2" t="n">
        <v>300</v>
      </c>
    </row>
    <row r="369" customFormat="false" ht="13.8" hidden="false" customHeight="false" outlineLevel="0" collapsed="false">
      <c r="A369" s="0" t="s">
        <v>15</v>
      </c>
      <c r="B369" s="0" t="s">
        <v>1292</v>
      </c>
      <c r="C369" s="0" t="n">
        <v>114004</v>
      </c>
      <c r="D369" s="0" t="n">
        <v>114004</v>
      </c>
      <c r="E369" s="0" t="s">
        <v>844</v>
      </c>
      <c r="F369" s="0" t="s">
        <v>18</v>
      </c>
      <c r="G369" s="0" t="s">
        <v>1293</v>
      </c>
      <c r="H369" s="0" t="s">
        <v>1294</v>
      </c>
      <c r="I369" s="0" t="s">
        <v>701</v>
      </c>
      <c r="J369" s="0" t="s">
        <v>22</v>
      </c>
      <c r="L369" s="0" t="str">
        <f aca="false">IFERROR(VLOOKUP(K369,'Supplier list'!B:C,2,0),"")</f>
        <v/>
      </c>
      <c r="M369" s="1" t="s">
        <v>24</v>
      </c>
      <c r="O369" s="2" t="n">
        <v>145</v>
      </c>
    </row>
    <row r="370" customFormat="false" ht="13.8" hidden="false" customHeight="false" outlineLevel="0" collapsed="false">
      <c r="A370" s="0" t="s">
        <v>15</v>
      </c>
      <c r="B370" s="0" t="s">
        <v>1295</v>
      </c>
      <c r="C370" s="0" t="n">
        <v>114004</v>
      </c>
      <c r="D370" s="0" t="n">
        <v>114004</v>
      </c>
      <c r="E370" s="0" t="s">
        <v>844</v>
      </c>
      <c r="F370" s="0" t="s">
        <v>18</v>
      </c>
      <c r="G370" s="0" t="s">
        <v>1296</v>
      </c>
      <c r="H370" s="0" t="s">
        <v>1297</v>
      </c>
      <c r="I370" s="0" t="s">
        <v>701</v>
      </c>
      <c r="J370" s="0" t="s">
        <v>22</v>
      </c>
      <c r="L370" s="0" t="str">
        <f aca="false">IFERROR(VLOOKUP(K370,'Supplier list'!B:C,2,0),"")</f>
        <v/>
      </c>
      <c r="M370" s="1" t="s">
        <v>24</v>
      </c>
      <c r="O370" s="2" t="n">
        <v>95</v>
      </c>
    </row>
    <row r="371" customFormat="false" ht="13.8" hidden="false" customHeight="false" outlineLevel="0" collapsed="false">
      <c r="A371" s="0" t="s">
        <v>15</v>
      </c>
      <c r="B371" s="0" t="s">
        <v>1298</v>
      </c>
      <c r="C371" s="0" t="n">
        <v>114004</v>
      </c>
      <c r="D371" s="0" t="n">
        <v>114004</v>
      </c>
      <c r="E371" s="0" t="s">
        <v>1299</v>
      </c>
      <c r="F371" s="0" t="s">
        <v>18</v>
      </c>
      <c r="G371" s="0" t="s">
        <v>1300</v>
      </c>
      <c r="H371" s="0" t="s">
        <v>1301</v>
      </c>
      <c r="I371" s="0" t="s">
        <v>21</v>
      </c>
      <c r="J371" s="0" t="s">
        <v>22</v>
      </c>
      <c r="L371" s="0" t="str">
        <f aca="false">IFERROR(VLOOKUP(K371,'Supplier list'!B:C,2,0),"")</f>
        <v/>
      </c>
      <c r="M371" s="1" t="s">
        <v>24</v>
      </c>
      <c r="O371" s="2" t="n">
        <v>20</v>
      </c>
    </row>
    <row r="372" customFormat="false" ht="13.8" hidden="false" customHeight="false" outlineLevel="0" collapsed="false">
      <c r="A372" s="0" t="s">
        <v>15</v>
      </c>
      <c r="B372" s="0" t="s">
        <v>1302</v>
      </c>
      <c r="C372" s="0" t="n">
        <v>114004</v>
      </c>
      <c r="D372" s="0" t="n">
        <v>114004</v>
      </c>
      <c r="E372" s="0" t="s">
        <v>1299</v>
      </c>
      <c r="F372" s="0" t="s">
        <v>18</v>
      </c>
      <c r="G372" s="0" t="s">
        <v>1303</v>
      </c>
      <c r="H372" s="0" t="s">
        <v>1304</v>
      </c>
      <c r="I372" s="0" t="s">
        <v>21</v>
      </c>
      <c r="J372" s="0" t="s">
        <v>22</v>
      </c>
      <c r="L372" s="0" t="str">
        <f aca="false">IFERROR(VLOOKUP(K372,'Supplier list'!B:C,2,0),"")</f>
        <v/>
      </c>
      <c r="M372" s="1" t="s">
        <v>24</v>
      </c>
      <c r="O372" s="2" t="n">
        <v>180</v>
      </c>
    </row>
    <row r="373" customFormat="false" ht="13.8" hidden="false" customHeight="false" outlineLevel="0" collapsed="false">
      <c r="A373" s="0" t="s">
        <v>15</v>
      </c>
      <c r="B373" s="0" t="s">
        <v>1305</v>
      </c>
      <c r="C373" s="0" t="n">
        <v>114004</v>
      </c>
      <c r="D373" s="0" t="n">
        <v>114004</v>
      </c>
      <c r="E373" s="0" t="s">
        <v>225</v>
      </c>
      <c r="F373" s="0" t="s">
        <v>18</v>
      </c>
      <c r="G373" s="0" t="s">
        <v>1306</v>
      </c>
      <c r="H373" s="0" t="s">
        <v>1307</v>
      </c>
      <c r="I373" s="0" t="s">
        <v>21</v>
      </c>
      <c r="J373" s="0" t="s">
        <v>22</v>
      </c>
      <c r="L373" s="0" t="str">
        <f aca="false">IFERROR(VLOOKUP(K373,'Supplier list'!B:C,2,0),"")</f>
        <v/>
      </c>
      <c r="M373" s="1" t="s">
        <v>24</v>
      </c>
      <c r="O373" s="2" t="n">
        <v>3.9</v>
      </c>
    </row>
    <row r="374" customFormat="false" ht="28.35" hidden="false" customHeight="false" outlineLevel="0" collapsed="false">
      <c r="A374" s="0" t="s">
        <v>15</v>
      </c>
      <c r="B374" s="0" t="s">
        <v>1308</v>
      </c>
      <c r="C374" s="0" t="n">
        <v>114004</v>
      </c>
      <c r="D374" s="0" t="n">
        <v>114004</v>
      </c>
      <c r="E374" s="0" t="s">
        <v>275</v>
      </c>
      <c r="F374" s="0" t="s">
        <v>18</v>
      </c>
      <c r="G374" s="0" t="s">
        <v>1309</v>
      </c>
      <c r="H374" s="0" t="s">
        <v>1310</v>
      </c>
      <c r="I374" s="0" t="s">
        <v>1020</v>
      </c>
      <c r="J374" s="0" t="s">
        <v>1021</v>
      </c>
      <c r="K374" s="6" t="s">
        <v>192</v>
      </c>
      <c r="L374" s="0" t="str">
        <f aca="false">IFERROR(VLOOKUP(K374,'Supplier list'!B:C,2,0),"")</f>
        <v/>
      </c>
      <c r="M374" s="1" t="s">
        <v>24</v>
      </c>
      <c r="O374" s="2" t="n">
        <v>920</v>
      </c>
    </row>
    <row r="375" customFormat="false" ht="16.4" hidden="false" customHeight="false" outlineLevel="0" collapsed="false">
      <c r="A375" s="0" t="s">
        <v>15</v>
      </c>
      <c r="B375" s="0" t="s">
        <v>1311</v>
      </c>
      <c r="C375" s="0" t="n">
        <v>114004</v>
      </c>
      <c r="D375" s="0" t="n">
        <v>114004</v>
      </c>
      <c r="E375" s="0" t="s">
        <v>520</v>
      </c>
      <c r="F375" s="0" t="s">
        <v>18</v>
      </c>
      <c r="G375" s="0" t="s">
        <v>1312</v>
      </c>
      <c r="H375" s="0" t="s">
        <v>1313</v>
      </c>
      <c r="I375" s="0" t="s">
        <v>21</v>
      </c>
      <c r="J375" s="0" t="s">
        <v>22</v>
      </c>
      <c r="L375" s="0" t="str">
        <f aca="false">IFERROR(VLOOKUP(K375,'Supplier list'!B:C,2,0),"")</f>
        <v/>
      </c>
      <c r="M375" s="1" t="s">
        <v>24</v>
      </c>
      <c r="O375" s="2" t="n">
        <v>765</v>
      </c>
    </row>
    <row r="376" customFormat="false" ht="13.8" hidden="false" customHeight="false" outlineLevel="0" collapsed="false">
      <c r="A376" s="0" t="s">
        <v>15</v>
      </c>
      <c r="B376" s="0" t="s">
        <v>1314</v>
      </c>
      <c r="C376" s="0" t="n">
        <v>114004</v>
      </c>
      <c r="D376" s="0" t="n">
        <v>114004</v>
      </c>
      <c r="E376" s="0" t="s">
        <v>520</v>
      </c>
      <c r="F376" s="0" t="s">
        <v>18</v>
      </c>
      <c r="G376" s="0" t="s">
        <v>1315</v>
      </c>
      <c r="H376" s="0" t="s">
        <v>1316</v>
      </c>
      <c r="I376" s="0" t="s">
        <v>21</v>
      </c>
      <c r="J376" s="0" t="s">
        <v>22</v>
      </c>
      <c r="L376" s="0" t="str">
        <f aca="false">IFERROR(VLOOKUP(K376,'Supplier list'!B:C,2,0),"")</f>
        <v/>
      </c>
      <c r="M376" s="1" t="s">
        <v>24</v>
      </c>
      <c r="O376" s="2" t="n">
        <v>150</v>
      </c>
    </row>
    <row r="377" customFormat="false" ht="13.8" hidden="false" customHeight="false" outlineLevel="0" collapsed="false">
      <c r="A377" s="0" t="s">
        <v>15</v>
      </c>
      <c r="B377" s="0" t="s">
        <v>1317</v>
      </c>
      <c r="C377" s="0" t="n">
        <v>114004</v>
      </c>
      <c r="D377" s="0" t="n">
        <v>114004</v>
      </c>
      <c r="E377" s="0" t="s">
        <v>17</v>
      </c>
      <c r="F377" s="0" t="s">
        <v>18</v>
      </c>
      <c r="G377" s="0" t="s">
        <v>1318</v>
      </c>
      <c r="H377" s="0" t="s">
        <v>17</v>
      </c>
      <c r="I377" s="0" t="s">
        <v>248</v>
      </c>
      <c r="J377" s="0" t="s">
        <v>249</v>
      </c>
      <c r="L377" s="0" t="str">
        <f aca="false">IFERROR(VLOOKUP(K377,'Supplier list'!B:C,2,0),"")</f>
        <v/>
      </c>
      <c r="M377" s="1" t="s">
        <v>24</v>
      </c>
      <c r="O377" s="2" t="n">
        <v>185</v>
      </c>
    </row>
    <row r="378" customFormat="false" ht="16.4" hidden="false" customHeight="false" outlineLevel="0" collapsed="false">
      <c r="A378" s="0" t="s">
        <v>15</v>
      </c>
      <c r="B378" s="0" t="s">
        <v>1319</v>
      </c>
      <c r="C378" s="0" t="n">
        <v>114004</v>
      </c>
      <c r="D378" s="0" t="n">
        <v>114004</v>
      </c>
      <c r="E378" s="0" t="s">
        <v>1320</v>
      </c>
      <c r="F378" s="0" t="s">
        <v>18</v>
      </c>
      <c r="G378" s="0" t="s">
        <v>1321</v>
      </c>
      <c r="H378" s="0" t="s">
        <v>1322</v>
      </c>
      <c r="I378" s="0" t="s">
        <v>1268</v>
      </c>
      <c r="J378" s="0" t="s">
        <v>1269</v>
      </c>
      <c r="K378" s="0" t="s">
        <v>352</v>
      </c>
      <c r="L378" s="0" t="str">
        <f aca="false">IFERROR(VLOOKUP(K378,'Supplier list'!B:C,2,0),"")</f>
        <v>บริษัท พีเอ็นพี อินเตอร์แพค</v>
      </c>
      <c r="M378" s="1" t="s">
        <v>24</v>
      </c>
      <c r="O378" s="2" t="n">
        <v>55</v>
      </c>
    </row>
    <row r="379" customFormat="false" ht="16.4" hidden="false" customHeight="false" outlineLevel="0" collapsed="false">
      <c r="A379" s="0" t="s">
        <v>15</v>
      </c>
      <c r="B379" s="0" t="s">
        <v>1323</v>
      </c>
      <c r="C379" s="0" t="n">
        <v>114004</v>
      </c>
      <c r="D379" s="0" t="n">
        <v>114004</v>
      </c>
      <c r="E379" s="0" t="s">
        <v>1320</v>
      </c>
      <c r="F379" s="0" t="s">
        <v>18</v>
      </c>
      <c r="G379" s="0" t="s">
        <v>1324</v>
      </c>
      <c r="H379" s="0" t="s">
        <v>1325</v>
      </c>
      <c r="I379" s="0" t="s">
        <v>1268</v>
      </c>
      <c r="J379" s="0" t="s">
        <v>1269</v>
      </c>
      <c r="K379" s="0" t="s">
        <v>1326</v>
      </c>
      <c r="L379" s="0" t="str">
        <f aca="false">IFERROR(VLOOKUP(K379,'Supplier list'!B:C,2,0),"")</f>
        <v>บริษัท ส.ธนภัทร (888) จำกัด</v>
      </c>
      <c r="M379" s="1" t="s">
        <v>24</v>
      </c>
      <c r="O379" s="2" t="n">
        <v>149</v>
      </c>
    </row>
    <row r="380" customFormat="false" ht="13.8" hidden="false" customHeight="false" outlineLevel="0" collapsed="false">
      <c r="A380" s="0" t="s">
        <v>15</v>
      </c>
      <c r="B380" s="0" t="s">
        <v>1327</v>
      </c>
      <c r="C380" s="0" t="n">
        <v>114004</v>
      </c>
      <c r="D380" s="0" t="n">
        <v>114004</v>
      </c>
      <c r="E380" s="0" t="s">
        <v>1328</v>
      </c>
      <c r="F380" s="0" t="s">
        <v>18</v>
      </c>
      <c r="G380" s="0" t="s">
        <v>1329</v>
      </c>
      <c r="H380" s="0" t="s">
        <v>1328</v>
      </c>
      <c r="I380" s="0" t="s">
        <v>701</v>
      </c>
      <c r="J380" s="0" t="s">
        <v>22</v>
      </c>
      <c r="L380" s="0" t="str">
        <f aca="false">IFERROR(VLOOKUP(K380,'Supplier list'!B:C,2,0),"")</f>
        <v/>
      </c>
      <c r="M380" s="1" t="s">
        <v>24</v>
      </c>
      <c r="O380" s="2" t="n">
        <v>28</v>
      </c>
    </row>
    <row r="381" customFormat="false" ht="16.4" hidden="false" customHeight="false" outlineLevel="0" collapsed="false">
      <c r="A381" s="0" t="s">
        <v>15</v>
      </c>
      <c r="B381" s="0" t="s">
        <v>1330</v>
      </c>
      <c r="C381" s="0" t="n">
        <v>114004</v>
      </c>
      <c r="D381" s="0" t="n">
        <v>114004</v>
      </c>
      <c r="E381" s="0" t="s">
        <v>1331</v>
      </c>
      <c r="F381" s="0" t="s">
        <v>18</v>
      </c>
      <c r="G381" s="0" t="s">
        <v>1332</v>
      </c>
      <c r="H381" s="0" t="s">
        <v>1331</v>
      </c>
      <c r="I381" s="0" t="s">
        <v>701</v>
      </c>
      <c r="J381" s="0" t="s">
        <v>22</v>
      </c>
      <c r="K381" s="0" t="s">
        <v>151</v>
      </c>
      <c r="L381" s="0" t="str">
        <f aca="false">IFERROR(VLOOKUP(K381,'Supplier list'!B:C,2,0),"")</f>
        <v>บริษัท สยามแม็คโคร จำกัด (มหาชน)</v>
      </c>
      <c r="M381" s="1" t="s">
        <v>24</v>
      </c>
      <c r="O381" s="2" t="n">
        <v>16.98</v>
      </c>
    </row>
    <row r="382" customFormat="false" ht="16.4" hidden="false" customHeight="false" outlineLevel="0" collapsed="false">
      <c r="A382" s="0" t="s">
        <v>15</v>
      </c>
      <c r="B382" s="0" t="s">
        <v>1333</v>
      </c>
      <c r="C382" s="0" t="n">
        <v>114004</v>
      </c>
      <c r="D382" s="0" t="n">
        <v>114004</v>
      </c>
      <c r="E382" s="0" t="s">
        <v>593</v>
      </c>
      <c r="F382" s="0" t="s">
        <v>18</v>
      </c>
      <c r="G382" s="0" t="s">
        <v>1334</v>
      </c>
      <c r="H382" s="0" t="s">
        <v>1335</v>
      </c>
      <c r="I382" s="0" t="s">
        <v>701</v>
      </c>
      <c r="J382" s="0" t="s">
        <v>22</v>
      </c>
      <c r="L382" s="0" t="str">
        <f aca="false">IFERROR(VLOOKUP(K382,'Supplier list'!B:C,2,0),"")</f>
        <v/>
      </c>
      <c r="M382" s="1" t="s">
        <v>24</v>
      </c>
      <c r="O382" s="2" t="n">
        <v>90</v>
      </c>
    </row>
    <row r="383" customFormat="false" ht="16.4" hidden="false" customHeight="false" outlineLevel="0" collapsed="false">
      <c r="A383" s="0" t="s">
        <v>15</v>
      </c>
      <c r="B383" s="0" t="s">
        <v>1336</v>
      </c>
      <c r="C383" s="0" t="n">
        <v>114004</v>
      </c>
      <c r="D383" s="0" t="n">
        <v>114004</v>
      </c>
      <c r="E383" s="0" t="s">
        <v>593</v>
      </c>
      <c r="F383" s="0" t="s">
        <v>18</v>
      </c>
      <c r="G383" s="0" t="s">
        <v>1337</v>
      </c>
      <c r="H383" s="0" t="s">
        <v>1338</v>
      </c>
      <c r="I383" s="0" t="s">
        <v>701</v>
      </c>
      <c r="J383" s="0" t="s">
        <v>22</v>
      </c>
      <c r="L383" s="0" t="str">
        <f aca="false">IFERROR(VLOOKUP(K383,'Supplier list'!B:C,2,0),"")</f>
        <v/>
      </c>
      <c r="M383" s="1" t="s">
        <v>24</v>
      </c>
      <c r="O383" s="2" t="n">
        <v>50</v>
      </c>
    </row>
    <row r="384" customFormat="false" ht="13.8" hidden="false" customHeight="false" outlineLevel="0" collapsed="false">
      <c r="A384" s="0" t="s">
        <v>15</v>
      </c>
      <c r="B384" s="0" t="s">
        <v>1339</v>
      </c>
      <c r="C384" s="0" t="n">
        <v>114004</v>
      </c>
      <c r="D384" s="0" t="n">
        <v>114004</v>
      </c>
      <c r="E384" s="0" t="s">
        <v>1340</v>
      </c>
      <c r="F384" s="0" t="s">
        <v>18</v>
      </c>
      <c r="G384" s="0" t="s">
        <v>1341</v>
      </c>
      <c r="H384" s="0" t="s">
        <v>1340</v>
      </c>
      <c r="I384" s="0" t="s">
        <v>396</v>
      </c>
      <c r="J384" s="0" t="s">
        <v>397</v>
      </c>
      <c r="L384" s="0" t="str">
        <f aca="false">IFERROR(VLOOKUP(K384,'Supplier list'!B:C,2,0),"")</f>
        <v/>
      </c>
      <c r="M384" s="1" t="s">
        <v>24</v>
      </c>
      <c r="O384" s="2" t="n">
        <v>76</v>
      </c>
    </row>
    <row r="385" customFormat="false" ht="16.4" hidden="false" customHeight="false" outlineLevel="0" collapsed="false">
      <c r="A385" s="0" t="s">
        <v>15</v>
      </c>
      <c r="B385" s="0" t="s">
        <v>1342</v>
      </c>
      <c r="C385" s="0" t="n">
        <v>114004</v>
      </c>
      <c r="D385" s="0" t="n">
        <v>114004</v>
      </c>
      <c r="E385" s="0" t="s">
        <v>844</v>
      </c>
      <c r="F385" s="0" t="s">
        <v>18</v>
      </c>
      <c r="G385" s="0" t="s">
        <v>1343</v>
      </c>
      <c r="H385" s="0" t="s">
        <v>1344</v>
      </c>
      <c r="I385" s="0" t="s">
        <v>508</v>
      </c>
      <c r="J385" s="0" t="s">
        <v>509</v>
      </c>
      <c r="K385" s="0" t="s">
        <v>151</v>
      </c>
      <c r="L385" s="0" t="str">
        <f aca="false">IFERROR(VLOOKUP(K385,'Supplier list'!B:C,2,0),"")</f>
        <v>บริษัท สยามแม็คโคร จำกัด (มหาชน)</v>
      </c>
      <c r="M385" s="1" t="s">
        <v>24</v>
      </c>
      <c r="O385" s="2" t="n">
        <v>620</v>
      </c>
    </row>
    <row r="386" customFormat="false" ht="16.4" hidden="false" customHeight="false" outlineLevel="0" collapsed="false">
      <c r="A386" s="0" t="s">
        <v>15</v>
      </c>
      <c r="B386" s="0" t="s">
        <v>1345</v>
      </c>
      <c r="C386" s="0" t="n">
        <v>114004</v>
      </c>
      <c r="D386" s="0" t="n">
        <v>114004</v>
      </c>
      <c r="E386" s="0" t="s">
        <v>844</v>
      </c>
      <c r="F386" s="0" t="s">
        <v>18</v>
      </c>
      <c r="G386" s="0" t="s">
        <v>1346</v>
      </c>
      <c r="H386" s="0" t="s">
        <v>1347</v>
      </c>
      <c r="I386" s="0" t="s">
        <v>508</v>
      </c>
      <c r="J386" s="0" t="s">
        <v>509</v>
      </c>
      <c r="K386" s="0" t="s">
        <v>151</v>
      </c>
      <c r="L386" s="0" t="str">
        <f aca="false">IFERROR(VLOOKUP(K386,'Supplier list'!B:C,2,0),"")</f>
        <v>บริษัท สยามแม็คโคร จำกัด (มหาชน)</v>
      </c>
      <c r="M386" s="1" t="s">
        <v>24</v>
      </c>
      <c r="O386" s="2" t="n">
        <v>530</v>
      </c>
    </row>
    <row r="387" customFormat="false" ht="16.4" hidden="false" customHeight="false" outlineLevel="0" collapsed="false">
      <c r="A387" s="0" t="s">
        <v>15</v>
      </c>
      <c r="B387" s="0" t="s">
        <v>1348</v>
      </c>
      <c r="C387" s="0" t="n">
        <v>114004</v>
      </c>
      <c r="D387" s="0" t="n">
        <v>114004</v>
      </c>
      <c r="E387" s="0" t="s">
        <v>505</v>
      </c>
      <c r="F387" s="0" t="s">
        <v>18</v>
      </c>
      <c r="G387" s="0" t="s">
        <v>1349</v>
      </c>
      <c r="H387" s="0" t="s">
        <v>1350</v>
      </c>
      <c r="I387" s="0" t="s">
        <v>508</v>
      </c>
      <c r="J387" s="0" t="s">
        <v>509</v>
      </c>
      <c r="L387" s="0" t="str">
        <f aca="false">IFERROR(VLOOKUP(K387,'Supplier list'!B:C,2,0),"")</f>
        <v/>
      </c>
      <c r="M387" s="1" t="s">
        <v>24</v>
      </c>
      <c r="O387" s="2" t="n">
        <v>28</v>
      </c>
    </row>
    <row r="388" customFormat="false" ht="13.8" hidden="false" customHeight="false" outlineLevel="0" collapsed="false">
      <c r="A388" s="0" t="s">
        <v>15</v>
      </c>
      <c r="B388" s="0" t="s">
        <v>1351</v>
      </c>
      <c r="C388" s="0" t="n">
        <v>114004</v>
      </c>
      <c r="D388" s="0" t="n">
        <v>114004</v>
      </c>
      <c r="E388" s="0" t="s">
        <v>1352</v>
      </c>
      <c r="F388" s="0" t="s">
        <v>18</v>
      </c>
      <c r="G388" s="0" t="s">
        <v>1353</v>
      </c>
      <c r="H388" s="0" t="s">
        <v>1354</v>
      </c>
      <c r="I388" s="0" t="s">
        <v>451</v>
      </c>
      <c r="J388" s="0" t="s">
        <v>452</v>
      </c>
      <c r="K388" s="0" t="s">
        <v>75</v>
      </c>
      <c r="L388" s="0" t="str">
        <f aca="false">IFERROR(VLOOKUP(K388,'Supplier list'!B:C,2,0),"")</f>
        <v/>
      </c>
      <c r="M388" s="1" t="s">
        <v>24</v>
      </c>
      <c r="O388" s="2" t="n">
        <v>15</v>
      </c>
    </row>
    <row r="389" customFormat="false" ht="16.4" hidden="false" customHeight="false" outlineLevel="0" collapsed="false">
      <c r="A389" s="0" t="s">
        <v>15</v>
      </c>
      <c r="B389" s="0" t="s">
        <v>1355</v>
      </c>
      <c r="C389" s="0" t="n">
        <v>114004</v>
      </c>
      <c r="D389" s="0" t="n">
        <v>114004</v>
      </c>
      <c r="E389" s="0" t="s">
        <v>1356</v>
      </c>
      <c r="F389" s="0" t="s">
        <v>18</v>
      </c>
      <c r="G389" s="0" t="s">
        <v>1357</v>
      </c>
      <c r="H389" s="0" t="s">
        <v>1358</v>
      </c>
      <c r="I389" s="0" t="s">
        <v>21</v>
      </c>
      <c r="J389" s="0" t="s">
        <v>22</v>
      </c>
      <c r="K389" s="0" t="s">
        <v>151</v>
      </c>
      <c r="L389" s="0" t="str">
        <f aca="false">IFERROR(VLOOKUP(K389,'Supplier list'!B:C,2,0),"")</f>
        <v>บริษัท สยามแม็คโคร จำกัด (มหาชน)</v>
      </c>
      <c r="M389" s="1" t="s">
        <v>24</v>
      </c>
      <c r="O389" s="2" t="n">
        <v>25</v>
      </c>
    </row>
    <row r="390" customFormat="false" ht="16.4" hidden="false" customHeight="false" outlineLevel="0" collapsed="false">
      <c r="A390" s="0" t="s">
        <v>15</v>
      </c>
      <c r="B390" s="0" t="s">
        <v>1359</v>
      </c>
      <c r="C390" s="0" t="n">
        <v>114004</v>
      </c>
      <c r="D390" s="0" t="n">
        <v>114004</v>
      </c>
      <c r="E390" s="0" t="s">
        <v>514</v>
      </c>
      <c r="F390" s="0" t="s">
        <v>18</v>
      </c>
      <c r="G390" s="0" t="s">
        <v>1360</v>
      </c>
      <c r="H390" s="0" t="s">
        <v>1361</v>
      </c>
      <c r="I390" s="0" t="s">
        <v>142</v>
      </c>
      <c r="J390" s="0" t="s">
        <v>143</v>
      </c>
      <c r="K390" s="0" t="s">
        <v>352</v>
      </c>
      <c r="L390" s="0" t="str">
        <f aca="false">IFERROR(VLOOKUP(K390,'Supplier list'!B:C,2,0),"")</f>
        <v>บริษัท พีเอ็นพี อินเตอร์แพค</v>
      </c>
      <c r="M390" s="1" t="s">
        <v>24</v>
      </c>
      <c r="O390" s="2" t="n">
        <v>320</v>
      </c>
    </row>
    <row r="391" customFormat="false" ht="16.4" hidden="false" customHeight="false" outlineLevel="0" collapsed="false">
      <c r="A391" s="0" t="s">
        <v>15</v>
      </c>
      <c r="B391" s="0" t="s">
        <v>1362</v>
      </c>
      <c r="C391" s="0" t="n">
        <v>114004</v>
      </c>
      <c r="D391" s="0" t="n">
        <v>114004</v>
      </c>
      <c r="E391" s="0" t="s">
        <v>514</v>
      </c>
      <c r="F391" s="0" t="s">
        <v>18</v>
      </c>
      <c r="G391" s="0" t="s">
        <v>1363</v>
      </c>
      <c r="H391" s="0" t="s">
        <v>1364</v>
      </c>
      <c r="I391" s="0" t="s">
        <v>517</v>
      </c>
      <c r="J391" s="0" t="s">
        <v>518</v>
      </c>
      <c r="K391" s="0" t="s">
        <v>82</v>
      </c>
      <c r="L391" s="0" t="str">
        <f aca="false">IFERROR(VLOOKUP(K391,'Supplier list'!B:C,2,0),"")</f>
        <v>บริษัท เกรียงศิริพัฒนา (1995) จำกัด</v>
      </c>
      <c r="M391" s="1" t="s">
        <v>24</v>
      </c>
      <c r="O391" s="2" t="n">
        <v>25</v>
      </c>
    </row>
    <row r="392" customFormat="false" ht="13.8" hidden="false" customHeight="false" outlineLevel="0" collapsed="false">
      <c r="A392" s="0" t="s">
        <v>15</v>
      </c>
      <c r="B392" s="0" t="s">
        <v>1365</v>
      </c>
      <c r="C392" s="0" t="n">
        <v>114004</v>
      </c>
      <c r="D392" s="0" t="n">
        <v>114004</v>
      </c>
      <c r="E392" s="0" t="s">
        <v>1366</v>
      </c>
      <c r="F392" s="0" t="s">
        <v>18</v>
      </c>
      <c r="G392" s="0" t="s">
        <v>1367</v>
      </c>
      <c r="H392" s="0" t="s">
        <v>1366</v>
      </c>
      <c r="I392" s="0" t="s">
        <v>248</v>
      </c>
      <c r="J392" s="0" t="s">
        <v>249</v>
      </c>
      <c r="L392" s="0" t="str">
        <f aca="false">IFERROR(VLOOKUP(K392,'Supplier list'!B:C,2,0),"")</f>
        <v/>
      </c>
      <c r="M392" s="1" t="s">
        <v>24</v>
      </c>
      <c r="O392" s="2" t="n">
        <v>325</v>
      </c>
    </row>
    <row r="393" customFormat="false" ht="13.8" hidden="false" customHeight="false" outlineLevel="0" collapsed="false">
      <c r="A393" s="0" t="s">
        <v>15</v>
      </c>
      <c r="B393" s="0" t="s">
        <v>1368</v>
      </c>
      <c r="C393" s="0" t="n">
        <v>114004</v>
      </c>
      <c r="D393" s="0" t="n">
        <v>114004</v>
      </c>
      <c r="E393" s="0" t="s">
        <v>17</v>
      </c>
      <c r="F393" s="0" t="s">
        <v>18</v>
      </c>
      <c r="G393" s="0" t="s">
        <v>1369</v>
      </c>
      <c r="H393" s="0" t="s">
        <v>1370</v>
      </c>
      <c r="I393" s="0" t="s">
        <v>248</v>
      </c>
      <c r="J393" s="0" t="s">
        <v>249</v>
      </c>
      <c r="K393" s="0" t="s">
        <v>1371</v>
      </c>
      <c r="L393" s="0" t="str">
        <f aca="false">IFERROR(VLOOKUP(K393,'Supplier list'!B:C,2,0),"")</f>
        <v/>
      </c>
      <c r="M393" s="1" t="s">
        <v>24</v>
      </c>
      <c r="O393" s="2" t="n">
        <v>408</v>
      </c>
    </row>
    <row r="394" customFormat="false" ht="16.4" hidden="false" customHeight="false" outlineLevel="0" collapsed="false">
      <c r="A394" s="0" t="s">
        <v>15</v>
      </c>
      <c r="B394" s="0" t="s">
        <v>1372</v>
      </c>
      <c r="C394" s="0" t="n">
        <v>114004</v>
      </c>
      <c r="D394" s="0" t="n">
        <v>114004</v>
      </c>
      <c r="E394" s="0" t="s">
        <v>1373</v>
      </c>
      <c r="F394" s="0" t="s">
        <v>18</v>
      </c>
      <c r="G394" s="0" t="s">
        <v>1374</v>
      </c>
      <c r="H394" s="0" t="s">
        <v>1373</v>
      </c>
      <c r="I394" s="0" t="s">
        <v>248</v>
      </c>
      <c r="J394" s="0" t="s">
        <v>249</v>
      </c>
      <c r="K394" s="0" t="s">
        <v>110</v>
      </c>
      <c r="L394" s="0" t="str">
        <f aca="false">IFERROR(VLOOKUP(K394,'Supplier list'!B:C,2,0),"")</f>
        <v>บริษัท ที.พี.เค ไทยเมท แมชชีนทูลล์ จำกัด</v>
      </c>
      <c r="M394" s="1" t="s">
        <v>24</v>
      </c>
      <c r="O394" s="2" t="n">
        <v>30</v>
      </c>
    </row>
    <row r="395" customFormat="false" ht="16.4" hidden="false" customHeight="false" outlineLevel="0" collapsed="false">
      <c r="A395" s="0" t="s">
        <v>15</v>
      </c>
      <c r="B395" s="0" t="s">
        <v>1375</v>
      </c>
      <c r="C395" s="0" t="n">
        <v>114004</v>
      </c>
      <c r="D395" s="0" t="n">
        <v>114004</v>
      </c>
      <c r="E395" s="0" t="s">
        <v>1331</v>
      </c>
      <c r="F395" s="0" t="s">
        <v>18</v>
      </c>
      <c r="G395" s="0" t="s">
        <v>1376</v>
      </c>
      <c r="H395" s="0" t="s">
        <v>1377</v>
      </c>
      <c r="I395" s="0" t="s">
        <v>701</v>
      </c>
      <c r="J395" s="0" t="s">
        <v>22</v>
      </c>
      <c r="K395" s="0" t="s">
        <v>1378</v>
      </c>
      <c r="L395" s="0" t="str">
        <f aca="false">IFERROR(VLOOKUP(K395,'Supplier list'!B:C,2,0),"")</f>
        <v>บริษัท บางพลี แพค (บีพีพี) จำกัด</v>
      </c>
      <c r="M395" s="1" t="s">
        <v>24</v>
      </c>
      <c r="O395" s="2" t="n">
        <v>1.9</v>
      </c>
    </row>
    <row r="396" customFormat="false" ht="16.4" hidden="false" customHeight="false" outlineLevel="0" collapsed="false">
      <c r="A396" s="0" t="s">
        <v>15</v>
      </c>
      <c r="B396" s="0" t="s">
        <v>1379</v>
      </c>
      <c r="C396" s="0" t="n">
        <v>114004</v>
      </c>
      <c r="D396" s="0" t="n">
        <v>114004</v>
      </c>
      <c r="E396" s="0" t="s">
        <v>1331</v>
      </c>
      <c r="F396" s="0" t="s">
        <v>18</v>
      </c>
      <c r="G396" s="0" t="s">
        <v>1380</v>
      </c>
      <c r="H396" s="0" t="s">
        <v>1381</v>
      </c>
      <c r="I396" s="0" t="s">
        <v>701</v>
      </c>
      <c r="J396" s="0" t="s">
        <v>22</v>
      </c>
      <c r="K396" s="0" t="s">
        <v>1378</v>
      </c>
      <c r="L396" s="0" t="str">
        <f aca="false">IFERROR(VLOOKUP(K396,'Supplier list'!B:C,2,0),"")</f>
        <v>บริษัท บางพลี แพค (บีพีพี) จำกัด</v>
      </c>
      <c r="M396" s="1" t="s">
        <v>24</v>
      </c>
      <c r="O396" s="2" t="n">
        <v>4.2</v>
      </c>
    </row>
    <row r="397" customFormat="false" ht="13.8" hidden="false" customHeight="false" outlineLevel="0" collapsed="false">
      <c r="A397" s="0" t="s">
        <v>15</v>
      </c>
      <c r="B397" s="0" t="s">
        <v>1382</v>
      </c>
      <c r="C397" s="0" t="n">
        <v>114004</v>
      </c>
      <c r="D397" s="0" t="n">
        <v>114004</v>
      </c>
      <c r="E397" s="0" t="s">
        <v>1383</v>
      </c>
      <c r="F397" s="0" t="s">
        <v>18</v>
      </c>
      <c r="G397" s="0" t="s">
        <v>1384</v>
      </c>
      <c r="H397" s="0" t="s">
        <v>1383</v>
      </c>
      <c r="I397" s="0" t="s">
        <v>21</v>
      </c>
      <c r="J397" s="0" t="s">
        <v>22</v>
      </c>
      <c r="L397" s="0" t="str">
        <f aca="false">IFERROR(VLOOKUP(K397,'Supplier list'!B:C,2,0),"")</f>
        <v/>
      </c>
      <c r="M397" s="1" t="s">
        <v>24</v>
      </c>
      <c r="O397" s="2" t="n">
        <v>10</v>
      </c>
    </row>
    <row r="398" customFormat="false" ht="16.4" hidden="false" customHeight="false" outlineLevel="0" collapsed="false">
      <c r="A398" s="0" t="s">
        <v>15</v>
      </c>
      <c r="B398" s="0" t="s">
        <v>1385</v>
      </c>
      <c r="C398" s="0" t="n">
        <v>114004</v>
      </c>
      <c r="D398" s="0" t="n">
        <v>114004</v>
      </c>
      <c r="E398" s="0" t="s">
        <v>339</v>
      </c>
      <c r="F398" s="0" t="s">
        <v>18</v>
      </c>
      <c r="G398" s="0" t="s">
        <v>1386</v>
      </c>
      <c r="H398" s="0" t="s">
        <v>1387</v>
      </c>
      <c r="I398" s="0" t="s">
        <v>108</v>
      </c>
      <c r="J398" s="0" t="s">
        <v>109</v>
      </c>
      <c r="K398" s="0" t="s">
        <v>68</v>
      </c>
      <c r="L398" s="0" t="str">
        <f aca="false">IFERROR(VLOOKUP(K398,'Supplier list'!B:C,2,0),"")</f>
        <v>หจก. กรีน ดิสทริบิวชั่น</v>
      </c>
      <c r="M398" s="1" t="s">
        <v>24</v>
      </c>
      <c r="O398" s="2" t="n">
        <v>80</v>
      </c>
    </row>
    <row r="399" customFormat="false" ht="16.4" hidden="false" customHeight="false" outlineLevel="0" collapsed="false">
      <c r="A399" s="0" t="s">
        <v>15</v>
      </c>
      <c r="B399" s="0" t="s">
        <v>1388</v>
      </c>
      <c r="C399" s="0" t="n">
        <v>114004</v>
      </c>
      <c r="D399" s="0" t="n">
        <v>114004</v>
      </c>
      <c r="E399" s="0" t="s">
        <v>339</v>
      </c>
      <c r="F399" s="0" t="s">
        <v>18</v>
      </c>
      <c r="G399" s="0" t="s">
        <v>1389</v>
      </c>
      <c r="H399" s="0" t="s">
        <v>1390</v>
      </c>
      <c r="I399" s="0" t="s">
        <v>108</v>
      </c>
      <c r="J399" s="0" t="s">
        <v>109</v>
      </c>
      <c r="K399" s="0" t="s">
        <v>68</v>
      </c>
      <c r="L399" s="0" t="str">
        <f aca="false">IFERROR(VLOOKUP(K399,'Supplier list'!B:C,2,0),"")</f>
        <v>หจก. กรีน ดิสทริบิวชั่น</v>
      </c>
      <c r="M399" s="1" t="s">
        <v>24</v>
      </c>
      <c r="O399" s="2" t="n">
        <v>80</v>
      </c>
    </row>
    <row r="400" customFormat="false" ht="16.4" hidden="false" customHeight="false" outlineLevel="0" collapsed="false">
      <c r="A400" s="0" t="s">
        <v>15</v>
      </c>
      <c r="B400" s="0" t="s">
        <v>1391</v>
      </c>
      <c r="C400" s="0" t="n">
        <v>114004</v>
      </c>
      <c r="D400" s="0" t="n">
        <v>114004</v>
      </c>
      <c r="E400" s="0" t="s">
        <v>17</v>
      </c>
      <c r="F400" s="0" t="s">
        <v>18</v>
      </c>
      <c r="G400" s="0" t="s">
        <v>1392</v>
      </c>
      <c r="H400" s="0" t="s">
        <v>1393</v>
      </c>
      <c r="I400" s="0" t="s">
        <v>248</v>
      </c>
      <c r="J400" s="0" t="s">
        <v>249</v>
      </c>
      <c r="L400" s="0" t="str">
        <f aca="false">IFERROR(VLOOKUP(K400,'Supplier list'!B:C,2,0),"")</f>
        <v/>
      </c>
      <c r="M400" s="1" t="s">
        <v>24</v>
      </c>
      <c r="O400" s="2" t="n">
        <v>63.3</v>
      </c>
    </row>
    <row r="401" customFormat="false" ht="16.4" hidden="false" customHeight="false" outlineLevel="0" collapsed="false">
      <c r="A401" s="0" t="s">
        <v>15</v>
      </c>
      <c r="B401" s="0" t="s">
        <v>1394</v>
      </c>
      <c r="C401" s="0" t="n">
        <v>114004</v>
      </c>
      <c r="D401" s="0" t="n">
        <v>114004</v>
      </c>
      <c r="E401" s="0" t="s">
        <v>17</v>
      </c>
      <c r="F401" s="0" t="s">
        <v>18</v>
      </c>
      <c r="G401" s="0" t="s">
        <v>1395</v>
      </c>
      <c r="H401" s="0" t="s">
        <v>1396</v>
      </c>
      <c r="I401" s="0" t="s">
        <v>21</v>
      </c>
      <c r="J401" s="0" t="s">
        <v>22</v>
      </c>
      <c r="L401" s="0" t="str">
        <f aca="false">IFERROR(VLOOKUP(K401,'Supplier list'!B:C,2,0),"")</f>
        <v/>
      </c>
      <c r="M401" s="1" t="s">
        <v>24</v>
      </c>
      <c r="O401" s="2" t="n">
        <v>22.5</v>
      </c>
    </row>
    <row r="402" customFormat="false" ht="16.4" hidden="false" customHeight="false" outlineLevel="0" collapsed="false">
      <c r="A402" s="0" t="s">
        <v>15</v>
      </c>
      <c r="B402" s="0" t="s">
        <v>1397</v>
      </c>
      <c r="C402" s="0" t="n">
        <v>114004</v>
      </c>
      <c r="D402" s="0" t="n">
        <v>114004</v>
      </c>
      <c r="E402" s="0" t="s">
        <v>17</v>
      </c>
      <c r="F402" s="0" t="s">
        <v>18</v>
      </c>
      <c r="G402" s="0" t="s">
        <v>1398</v>
      </c>
      <c r="H402" s="0" t="s">
        <v>438</v>
      </c>
      <c r="I402" s="0" t="s">
        <v>21</v>
      </c>
      <c r="J402" s="0" t="s">
        <v>22</v>
      </c>
      <c r="L402" s="0" t="str">
        <f aca="false">IFERROR(VLOOKUP(K402,'Supplier list'!B:C,2,0),"")</f>
        <v/>
      </c>
      <c r="M402" s="1" t="s">
        <v>24</v>
      </c>
      <c r="O402" s="2" t="n">
        <v>22.5</v>
      </c>
    </row>
    <row r="403" customFormat="false" ht="16.4" hidden="false" customHeight="false" outlineLevel="0" collapsed="false">
      <c r="A403" s="0" t="s">
        <v>15</v>
      </c>
      <c r="B403" s="0" t="s">
        <v>1399</v>
      </c>
      <c r="C403" s="0" t="n">
        <v>114004</v>
      </c>
      <c r="D403" s="0" t="n">
        <v>114004</v>
      </c>
      <c r="E403" s="0" t="s">
        <v>443</v>
      </c>
      <c r="F403" s="0" t="s">
        <v>18</v>
      </c>
      <c r="G403" s="0" t="s">
        <v>1400</v>
      </c>
      <c r="H403" s="0" t="s">
        <v>1401</v>
      </c>
      <c r="I403" s="0" t="s">
        <v>21</v>
      </c>
      <c r="J403" s="0" t="s">
        <v>22</v>
      </c>
      <c r="K403" s="0" t="s">
        <v>151</v>
      </c>
      <c r="L403" s="0" t="str">
        <f aca="false">IFERROR(VLOOKUP(K403,'Supplier list'!B:C,2,0),"")</f>
        <v>บริษัท สยามแม็คโคร จำกัด (มหาชน)</v>
      </c>
      <c r="M403" s="1" t="s">
        <v>24</v>
      </c>
      <c r="O403" s="2" t="n">
        <v>111.21</v>
      </c>
    </row>
    <row r="404" customFormat="false" ht="16.4" hidden="false" customHeight="false" outlineLevel="0" collapsed="false">
      <c r="A404" s="0" t="s">
        <v>15</v>
      </c>
      <c r="B404" s="0" t="s">
        <v>1402</v>
      </c>
      <c r="C404" s="0" t="n">
        <v>114004</v>
      </c>
      <c r="D404" s="0" t="n">
        <v>114004</v>
      </c>
      <c r="E404" s="0" t="s">
        <v>470</v>
      </c>
      <c r="F404" s="0" t="s">
        <v>18</v>
      </c>
      <c r="G404" s="0" t="s">
        <v>1403</v>
      </c>
      <c r="H404" s="0" t="s">
        <v>1404</v>
      </c>
      <c r="I404" s="0" t="s">
        <v>21</v>
      </c>
      <c r="J404" s="0" t="s">
        <v>22</v>
      </c>
      <c r="L404" s="0" t="str">
        <f aca="false">IFERROR(VLOOKUP(K404,'Supplier list'!B:C,2,0),"")</f>
        <v/>
      </c>
      <c r="M404" s="1" t="s">
        <v>24</v>
      </c>
      <c r="O404" s="2" t="n">
        <v>119</v>
      </c>
    </row>
    <row r="405" customFormat="false" ht="16.4" hidden="false" customHeight="false" outlineLevel="0" collapsed="false">
      <c r="A405" s="0" t="s">
        <v>15</v>
      </c>
      <c r="B405" s="0" t="s">
        <v>1405</v>
      </c>
      <c r="C405" s="0" t="n">
        <v>114004</v>
      </c>
      <c r="D405" s="0" t="n">
        <v>114004</v>
      </c>
      <c r="E405" s="0" t="s">
        <v>245</v>
      </c>
      <c r="F405" s="0" t="s">
        <v>18</v>
      </c>
      <c r="G405" s="0" t="s">
        <v>1406</v>
      </c>
      <c r="H405" s="0" t="s">
        <v>497</v>
      </c>
      <c r="I405" s="0" t="s">
        <v>21</v>
      </c>
      <c r="J405" s="0" t="s">
        <v>22</v>
      </c>
      <c r="K405" s="0" t="s">
        <v>155</v>
      </c>
      <c r="L405" s="0" t="str">
        <f aca="false">IFERROR(VLOOKUP(K405,'Supplier list'!B:C,2,0),"")</f>
        <v>บริษัท ก.เจริญฮาร์ดแวร์ จำกัด</v>
      </c>
      <c r="M405" s="1" t="s">
        <v>24</v>
      </c>
      <c r="O405" s="2" t="n">
        <v>1725</v>
      </c>
    </row>
    <row r="406" customFormat="false" ht="16.4" hidden="false" customHeight="false" outlineLevel="0" collapsed="false">
      <c r="A406" s="0" t="s">
        <v>15</v>
      </c>
      <c r="B406" s="0" t="s">
        <v>1407</v>
      </c>
      <c r="C406" s="0" t="n">
        <v>114004</v>
      </c>
      <c r="D406" s="0" t="n">
        <v>114004</v>
      </c>
      <c r="E406" s="0" t="s">
        <v>505</v>
      </c>
      <c r="F406" s="0" t="s">
        <v>18</v>
      </c>
      <c r="G406" s="0" t="s">
        <v>1408</v>
      </c>
      <c r="H406" s="0" t="s">
        <v>512</v>
      </c>
      <c r="I406" s="0" t="s">
        <v>21</v>
      </c>
      <c r="J406" s="0" t="s">
        <v>22</v>
      </c>
      <c r="L406" s="0" t="str">
        <f aca="false">IFERROR(VLOOKUP(K406,'Supplier list'!B:C,2,0),"")</f>
        <v/>
      </c>
      <c r="M406" s="1" t="s">
        <v>24</v>
      </c>
      <c r="O406" s="2" t="n">
        <v>100</v>
      </c>
    </row>
    <row r="407" customFormat="false" ht="16.4" hidden="false" customHeight="false" outlineLevel="0" collapsed="false">
      <c r="A407" s="0" t="s">
        <v>15</v>
      </c>
      <c r="B407" s="0" t="s">
        <v>1409</v>
      </c>
      <c r="C407" s="0" t="n">
        <v>114004</v>
      </c>
      <c r="D407" s="0" t="n">
        <v>114004</v>
      </c>
      <c r="E407" s="0" t="s">
        <v>505</v>
      </c>
      <c r="F407" s="0" t="s">
        <v>18</v>
      </c>
      <c r="G407" s="0" t="s">
        <v>1410</v>
      </c>
      <c r="H407" s="0" t="s">
        <v>529</v>
      </c>
      <c r="I407" s="0" t="s">
        <v>21</v>
      </c>
      <c r="J407" s="0" t="s">
        <v>22</v>
      </c>
      <c r="L407" s="0" t="str">
        <f aca="false">IFERROR(VLOOKUP(K407,'Supplier list'!B:C,2,0),"")</f>
        <v/>
      </c>
      <c r="M407" s="1" t="s">
        <v>24</v>
      </c>
      <c r="O407" s="2" t="n">
        <v>145</v>
      </c>
    </row>
    <row r="408" customFormat="false" ht="16.4" hidden="false" customHeight="false" outlineLevel="0" collapsed="false">
      <c r="A408" s="0" t="s">
        <v>15</v>
      </c>
      <c r="B408" s="0" t="s">
        <v>1411</v>
      </c>
      <c r="C408" s="0" t="n">
        <v>114004</v>
      </c>
      <c r="D408" s="0" t="n">
        <v>114004</v>
      </c>
      <c r="E408" s="0" t="s">
        <v>505</v>
      </c>
      <c r="F408" s="0" t="s">
        <v>18</v>
      </c>
      <c r="G408" s="0" t="s">
        <v>1412</v>
      </c>
      <c r="H408" s="0" t="s">
        <v>532</v>
      </c>
      <c r="I408" s="0" t="s">
        <v>21</v>
      </c>
      <c r="J408" s="0" t="s">
        <v>22</v>
      </c>
      <c r="L408" s="0" t="str">
        <f aca="false">IFERROR(VLOOKUP(K408,'Supplier list'!B:C,2,0),"")</f>
        <v/>
      </c>
      <c r="M408" s="1" t="s">
        <v>24</v>
      </c>
      <c r="O408" s="2" t="n">
        <v>83</v>
      </c>
    </row>
    <row r="409" customFormat="false" ht="16.4" hidden="false" customHeight="false" outlineLevel="0" collapsed="false">
      <c r="A409" s="0" t="s">
        <v>15</v>
      </c>
      <c r="B409" s="0" t="s">
        <v>1413</v>
      </c>
      <c r="C409" s="0" t="n">
        <v>114004</v>
      </c>
      <c r="D409" s="0" t="n">
        <v>114004</v>
      </c>
      <c r="E409" s="0" t="s">
        <v>139</v>
      </c>
      <c r="F409" s="0" t="s">
        <v>18</v>
      </c>
      <c r="G409" s="0" t="s">
        <v>1414</v>
      </c>
      <c r="H409" s="0" t="s">
        <v>1415</v>
      </c>
      <c r="I409" s="0" t="s">
        <v>21</v>
      </c>
      <c r="J409" s="0" t="s">
        <v>22</v>
      </c>
      <c r="L409" s="0" t="str">
        <f aca="false">IFERROR(VLOOKUP(K409,'Supplier list'!B:C,2,0),"")</f>
        <v/>
      </c>
      <c r="M409" s="1" t="s">
        <v>24</v>
      </c>
      <c r="O409" s="2" t="n">
        <v>289</v>
      </c>
    </row>
    <row r="410" customFormat="false" ht="13.8" hidden="false" customHeight="false" outlineLevel="0" collapsed="false">
      <c r="A410" s="0" t="s">
        <v>15</v>
      </c>
      <c r="B410" s="0" t="s">
        <v>1416</v>
      </c>
      <c r="C410" s="0" t="n">
        <v>114004</v>
      </c>
      <c r="D410" s="0" t="n">
        <v>114004</v>
      </c>
      <c r="E410" s="0" t="s">
        <v>1417</v>
      </c>
      <c r="F410" s="0" t="s">
        <v>18</v>
      </c>
      <c r="G410" s="0" t="s">
        <v>1418</v>
      </c>
      <c r="H410" s="0" t="s">
        <v>1419</v>
      </c>
      <c r="I410" s="0" t="s">
        <v>947</v>
      </c>
      <c r="J410" s="0" t="s">
        <v>948</v>
      </c>
      <c r="K410" s="0" t="s">
        <v>1420</v>
      </c>
      <c r="L410" s="0" t="str">
        <f aca="false">IFERROR(VLOOKUP(K410,'Supplier list'!B:C,2,0),"")</f>
        <v/>
      </c>
      <c r="M410" s="1" t="s">
        <v>24</v>
      </c>
      <c r="O410" s="2" t="n">
        <v>6100</v>
      </c>
    </row>
    <row r="411" customFormat="false" ht="16.4" hidden="false" customHeight="false" outlineLevel="0" collapsed="false">
      <c r="A411" s="0" t="s">
        <v>15</v>
      </c>
      <c r="B411" s="0" t="s">
        <v>1421</v>
      </c>
      <c r="C411" s="0" t="n">
        <v>114004</v>
      </c>
      <c r="D411" s="0" t="n">
        <v>114004</v>
      </c>
      <c r="E411" s="0" t="s">
        <v>139</v>
      </c>
      <c r="F411" s="0" t="s">
        <v>18</v>
      </c>
      <c r="G411" s="0" t="s">
        <v>1422</v>
      </c>
      <c r="H411" s="0" t="s">
        <v>1423</v>
      </c>
      <c r="I411" s="0" t="s">
        <v>947</v>
      </c>
      <c r="J411" s="0" t="s">
        <v>948</v>
      </c>
      <c r="L411" s="0" t="str">
        <f aca="false">IFERROR(VLOOKUP(K411,'Supplier list'!B:C,2,0),"")</f>
        <v/>
      </c>
      <c r="M411" s="1" t="s">
        <v>24</v>
      </c>
      <c r="O411" s="2" t="n">
        <v>289</v>
      </c>
    </row>
    <row r="412" customFormat="false" ht="16.4" hidden="false" customHeight="false" outlineLevel="0" collapsed="false">
      <c r="A412" s="0" t="s">
        <v>15</v>
      </c>
      <c r="B412" s="0" t="s">
        <v>1424</v>
      </c>
      <c r="C412" s="0" t="n">
        <v>114004</v>
      </c>
      <c r="D412" s="0" t="n">
        <v>114004</v>
      </c>
      <c r="E412" s="0" t="s">
        <v>139</v>
      </c>
      <c r="F412" s="0" t="s">
        <v>18</v>
      </c>
      <c r="G412" s="0" t="s">
        <v>1425</v>
      </c>
      <c r="H412" s="0" t="s">
        <v>1426</v>
      </c>
      <c r="I412" s="0" t="s">
        <v>947</v>
      </c>
      <c r="J412" s="0" t="s">
        <v>948</v>
      </c>
      <c r="L412" s="0" t="str">
        <f aca="false">IFERROR(VLOOKUP(K412,'Supplier list'!B:C,2,0),"")</f>
        <v/>
      </c>
      <c r="M412" s="1" t="s">
        <v>24</v>
      </c>
      <c r="O412" s="2" t="n">
        <v>349</v>
      </c>
    </row>
    <row r="413" customFormat="false" ht="16.4" hidden="false" customHeight="false" outlineLevel="0" collapsed="false">
      <c r="A413" s="0" t="s">
        <v>15</v>
      </c>
      <c r="B413" s="0" t="s">
        <v>1427</v>
      </c>
      <c r="C413" s="0" t="n">
        <v>114004</v>
      </c>
      <c r="D413" s="0" t="n">
        <v>114004</v>
      </c>
      <c r="E413" s="0" t="s">
        <v>139</v>
      </c>
      <c r="F413" s="0" t="s">
        <v>18</v>
      </c>
      <c r="G413" s="0" t="s">
        <v>1428</v>
      </c>
      <c r="H413" s="0" t="s">
        <v>1429</v>
      </c>
      <c r="I413" s="0" t="s">
        <v>947</v>
      </c>
      <c r="J413" s="0" t="s">
        <v>948</v>
      </c>
      <c r="L413" s="0" t="str">
        <f aca="false">IFERROR(VLOOKUP(K413,'Supplier list'!B:C,2,0),"")</f>
        <v/>
      </c>
      <c r="M413" s="1" t="s">
        <v>24</v>
      </c>
      <c r="O413" s="2" t="n">
        <v>349</v>
      </c>
    </row>
    <row r="414" customFormat="false" ht="13.8" hidden="false" customHeight="false" outlineLevel="0" collapsed="false">
      <c r="A414" s="0" t="s">
        <v>15</v>
      </c>
      <c r="B414" s="0" t="s">
        <v>1430</v>
      </c>
      <c r="C414" s="0" t="n">
        <v>114004</v>
      </c>
      <c r="D414" s="0" t="n">
        <v>114004</v>
      </c>
      <c r="E414" s="0" t="s">
        <v>1431</v>
      </c>
      <c r="F414" s="0" t="s">
        <v>18</v>
      </c>
      <c r="G414" s="0" t="s">
        <v>1432</v>
      </c>
      <c r="H414" s="0" t="s">
        <v>1433</v>
      </c>
      <c r="I414" s="0" t="s">
        <v>21</v>
      </c>
      <c r="J414" s="0" t="s">
        <v>22</v>
      </c>
      <c r="L414" s="0" t="str">
        <f aca="false">IFERROR(VLOOKUP(K414,'Supplier list'!B:C,2,0),"")</f>
        <v/>
      </c>
      <c r="M414" s="1" t="s">
        <v>24</v>
      </c>
      <c r="O414" s="2" t="n">
        <v>69</v>
      </c>
    </row>
    <row r="415" customFormat="false" ht="16.4" hidden="false" customHeight="false" outlineLevel="0" collapsed="false">
      <c r="A415" s="0" t="s">
        <v>15</v>
      </c>
      <c r="B415" s="0" t="s">
        <v>1434</v>
      </c>
      <c r="C415" s="0" t="n">
        <v>114004</v>
      </c>
      <c r="D415" s="0" t="n">
        <v>114004</v>
      </c>
      <c r="E415" s="0" t="s">
        <v>1435</v>
      </c>
      <c r="F415" s="0" t="s">
        <v>18</v>
      </c>
      <c r="G415" s="0" t="s">
        <v>1436</v>
      </c>
      <c r="H415" s="0" t="s">
        <v>1437</v>
      </c>
      <c r="I415" s="0" t="s">
        <v>1438</v>
      </c>
      <c r="J415" s="0" t="s">
        <v>1439</v>
      </c>
      <c r="K415" s="0" t="s">
        <v>1440</v>
      </c>
      <c r="L415" s="0" t="str">
        <f aca="false">IFERROR(VLOOKUP(K415,'Supplier list'!B:C,2,0),"")</f>
        <v>บริษัท โกรว์ แอนด์ โกลว์ จำกัด</v>
      </c>
      <c r="M415" s="1" t="s">
        <v>24</v>
      </c>
      <c r="O415" s="2" t="n">
        <v>45</v>
      </c>
    </row>
    <row r="416" customFormat="false" ht="16.4" hidden="false" customHeight="false" outlineLevel="0" collapsed="false">
      <c r="A416" s="0" t="s">
        <v>15</v>
      </c>
      <c r="B416" s="0" t="s">
        <v>1441</v>
      </c>
      <c r="C416" s="0" t="n">
        <v>114004</v>
      </c>
      <c r="D416" s="0" t="n">
        <v>114004</v>
      </c>
      <c r="E416" s="0" t="s">
        <v>1000</v>
      </c>
      <c r="F416" s="0" t="s">
        <v>18</v>
      </c>
      <c r="G416" s="0" t="s">
        <v>1442</v>
      </c>
      <c r="H416" s="0" t="s">
        <v>1443</v>
      </c>
      <c r="I416" s="0" t="s">
        <v>21</v>
      </c>
      <c r="J416" s="0" t="s">
        <v>22</v>
      </c>
      <c r="K416" s="0" t="s">
        <v>1444</v>
      </c>
      <c r="L416" s="0" t="str">
        <f aca="false">IFERROR(VLOOKUP(K416,'Supplier list'!B:C,2,0),"")</f>
        <v>บริษัท เจ เอส เมคคานิค จำกัด</v>
      </c>
      <c r="M416" s="1" t="s">
        <v>24</v>
      </c>
      <c r="O416" s="2" t="n">
        <v>915</v>
      </c>
    </row>
    <row r="417" customFormat="false" ht="16.4" hidden="false" customHeight="false" outlineLevel="0" collapsed="false">
      <c r="A417" s="0" t="s">
        <v>15</v>
      </c>
      <c r="B417" s="0" t="s">
        <v>1445</v>
      </c>
      <c r="C417" s="0" t="n">
        <v>114004</v>
      </c>
      <c r="D417" s="0" t="n">
        <v>114004</v>
      </c>
      <c r="E417" s="0" t="s">
        <v>1446</v>
      </c>
      <c r="F417" s="0" t="s">
        <v>18</v>
      </c>
      <c r="G417" s="0" t="s">
        <v>1447</v>
      </c>
      <c r="H417" s="0" t="s">
        <v>1448</v>
      </c>
      <c r="I417" s="0" t="s">
        <v>331</v>
      </c>
      <c r="J417" s="0" t="s">
        <v>332</v>
      </c>
      <c r="K417" s="0" t="s">
        <v>68</v>
      </c>
      <c r="L417" s="0" t="str">
        <f aca="false">IFERROR(VLOOKUP(K417,'Supplier list'!B:C,2,0),"")</f>
        <v>หจก. กรีน ดิสทริบิวชั่น</v>
      </c>
      <c r="M417" s="1" t="s">
        <v>24</v>
      </c>
      <c r="O417" s="2" t="n">
        <v>289</v>
      </c>
    </row>
    <row r="418" customFormat="false" ht="16.4" hidden="false" customHeight="false" outlineLevel="0" collapsed="false">
      <c r="A418" s="0" t="s">
        <v>15</v>
      </c>
      <c r="B418" s="0" t="s">
        <v>1449</v>
      </c>
      <c r="C418" s="0" t="n">
        <v>114004</v>
      </c>
      <c r="D418" s="0" t="n">
        <v>114004</v>
      </c>
      <c r="E418" s="0" t="s">
        <v>1450</v>
      </c>
      <c r="F418" s="0" t="s">
        <v>18</v>
      </c>
      <c r="G418" s="0" t="s">
        <v>1451</v>
      </c>
      <c r="H418" s="0" t="s">
        <v>1452</v>
      </c>
      <c r="I418" s="0" t="s">
        <v>21</v>
      </c>
      <c r="J418" s="0" t="s">
        <v>22</v>
      </c>
      <c r="K418" s="0" t="s">
        <v>68</v>
      </c>
      <c r="L418" s="0" t="str">
        <f aca="false">IFERROR(VLOOKUP(K418,'Supplier list'!B:C,2,0),"")</f>
        <v>หจก. กรีน ดิสทริบิวชั่น</v>
      </c>
      <c r="M418" s="1" t="s">
        <v>24</v>
      </c>
      <c r="O418" s="2" t="n">
        <v>120</v>
      </c>
    </row>
    <row r="419" customFormat="false" ht="16.4" hidden="false" customHeight="false" outlineLevel="0" collapsed="false">
      <c r="A419" s="0" t="s">
        <v>15</v>
      </c>
      <c r="B419" s="0" t="s">
        <v>1453</v>
      </c>
      <c r="C419" s="0" t="n">
        <v>114004</v>
      </c>
      <c r="D419" s="0" t="n">
        <v>114004</v>
      </c>
      <c r="E419" s="0" t="s">
        <v>1454</v>
      </c>
      <c r="F419" s="0" t="s">
        <v>18</v>
      </c>
      <c r="G419" s="0" t="s">
        <v>1455</v>
      </c>
      <c r="H419" s="0" t="s">
        <v>1456</v>
      </c>
      <c r="I419" s="0" t="s">
        <v>21</v>
      </c>
      <c r="J419" s="0" t="s">
        <v>22</v>
      </c>
      <c r="K419" s="0" t="s">
        <v>68</v>
      </c>
      <c r="L419" s="0" t="str">
        <f aca="false">IFERROR(VLOOKUP(K419,'Supplier list'!B:C,2,0),"")</f>
        <v>หจก. กรีน ดิสทริบิวชั่น</v>
      </c>
      <c r="M419" s="1" t="s">
        <v>24</v>
      </c>
      <c r="O419" s="2" t="n">
        <v>50</v>
      </c>
    </row>
    <row r="420" customFormat="false" ht="16.4" hidden="false" customHeight="false" outlineLevel="0" collapsed="false">
      <c r="A420" s="0" t="s">
        <v>15</v>
      </c>
      <c r="B420" s="0" t="s">
        <v>1457</v>
      </c>
      <c r="C420" s="0" t="n">
        <v>114004</v>
      </c>
      <c r="D420" s="0" t="n">
        <v>114004</v>
      </c>
      <c r="E420" s="0" t="s">
        <v>1458</v>
      </c>
      <c r="F420" s="0" t="s">
        <v>18</v>
      </c>
      <c r="G420" s="0" t="s">
        <v>1459</v>
      </c>
      <c r="H420" s="0" t="s">
        <v>1460</v>
      </c>
      <c r="I420" s="0" t="s">
        <v>149</v>
      </c>
      <c r="J420" s="0" t="s">
        <v>150</v>
      </c>
      <c r="L420" s="0" t="str">
        <f aca="false">IFERROR(VLOOKUP(K420,'Supplier list'!B:C,2,0),"")</f>
        <v/>
      </c>
      <c r="M420" s="1" t="s">
        <v>24</v>
      </c>
      <c r="O420" s="2" t="n">
        <v>0</v>
      </c>
    </row>
    <row r="421" customFormat="false" ht="16.4" hidden="false" customHeight="false" outlineLevel="0" collapsed="false">
      <c r="A421" s="0" t="s">
        <v>15</v>
      </c>
      <c r="B421" s="0" t="s">
        <v>1461</v>
      </c>
      <c r="C421" s="0" t="n">
        <v>114004</v>
      </c>
      <c r="D421" s="0" t="n">
        <v>114004</v>
      </c>
      <c r="E421" s="0" t="s">
        <v>1462</v>
      </c>
      <c r="F421" s="0" t="s">
        <v>18</v>
      </c>
      <c r="G421" s="0" t="s">
        <v>1463</v>
      </c>
      <c r="H421" s="0" t="s">
        <v>1464</v>
      </c>
      <c r="I421" s="0" t="s">
        <v>21</v>
      </c>
      <c r="J421" s="0" t="s">
        <v>22</v>
      </c>
      <c r="K421" s="0" t="s">
        <v>89</v>
      </c>
      <c r="L421" s="0" t="str">
        <f aca="false">IFERROR(VLOOKUP(K421,'Supplier list'!B:C,2,0),"")</f>
        <v>บริษัท เฮเฟเล่ (ประเทศไทย) จำกัด</v>
      </c>
      <c r="M421" s="1" t="s">
        <v>24</v>
      </c>
      <c r="O421" s="2" t="n">
        <v>3365</v>
      </c>
    </row>
    <row r="422" customFormat="false" ht="16.4" hidden="false" customHeight="false" outlineLevel="0" collapsed="false">
      <c r="A422" s="0" t="s">
        <v>15</v>
      </c>
      <c r="B422" s="0" t="s">
        <v>1465</v>
      </c>
      <c r="C422" s="0" t="n">
        <v>114004</v>
      </c>
      <c r="D422" s="0" t="n">
        <v>114004</v>
      </c>
      <c r="E422" s="0" t="s">
        <v>1466</v>
      </c>
      <c r="F422" s="0" t="s">
        <v>18</v>
      </c>
      <c r="G422" s="0" t="s">
        <v>1467</v>
      </c>
      <c r="H422" s="0" t="s">
        <v>1468</v>
      </c>
      <c r="I422" s="0" t="s">
        <v>21</v>
      </c>
      <c r="J422" s="0" t="s">
        <v>22</v>
      </c>
      <c r="K422" s="0" t="s">
        <v>89</v>
      </c>
      <c r="L422" s="0" t="str">
        <f aca="false">IFERROR(VLOOKUP(K422,'Supplier list'!B:C,2,0),"")</f>
        <v>บริษัท เฮเฟเล่ (ประเทศไทย) จำกัด</v>
      </c>
      <c r="M422" s="1" t="s">
        <v>24</v>
      </c>
      <c r="O422" s="2" t="n">
        <v>1500</v>
      </c>
    </row>
    <row r="423" customFormat="false" ht="16.4" hidden="false" customHeight="false" outlineLevel="0" collapsed="false">
      <c r="A423" s="0" t="s">
        <v>15</v>
      </c>
      <c r="B423" s="0" t="s">
        <v>1469</v>
      </c>
      <c r="C423" s="0" t="n">
        <v>114004</v>
      </c>
      <c r="D423" s="0" t="n">
        <v>114004</v>
      </c>
      <c r="E423" s="0" t="s">
        <v>756</v>
      </c>
      <c r="F423" s="0" t="s">
        <v>18</v>
      </c>
      <c r="G423" s="0" t="s">
        <v>1470</v>
      </c>
      <c r="H423" s="0" t="s">
        <v>1471</v>
      </c>
      <c r="I423" s="0" t="s">
        <v>21</v>
      </c>
      <c r="J423" s="0" t="s">
        <v>22</v>
      </c>
      <c r="L423" s="0" t="str">
        <f aca="false">IFERROR(VLOOKUP(K423,'Supplier list'!B:C,2,0),"")</f>
        <v/>
      </c>
      <c r="M423" s="1" t="s">
        <v>24</v>
      </c>
      <c r="O423" s="2" t="n">
        <v>7</v>
      </c>
    </row>
    <row r="424" customFormat="false" ht="16.4" hidden="false" customHeight="false" outlineLevel="0" collapsed="false">
      <c r="A424" s="0" t="s">
        <v>15</v>
      </c>
      <c r="B424" s="0" t="s">
        <v>1472</v>
      </c>
      <c r="C424" s="0" t="n">
        <v>114004</v>
      </c>
      <c r="D424" s="0" t="n">
        <v>114004</v>
      </c>
      <c r="E424" s="0" t="s">
        <v>621</v>
      </c>
      <c r="F424" s="0" t="s">
        <v>18</v>
      </c>
      <c r="G424" s="0" t="s">
        <v>1473</v>
      </c>
      <c r="H424" s="0" t="s">
        <v>1474</v>
      </c>
      <c r="I424" s="0" t="s">
        <v>21</v>
      </c>
      <c r="J424" s="0" t="s">
        <v>22</v>
      </c>
      <c r="L424" s="0" t="str">
        <f aca="false">IFERROR(VLOOKUP(K424,'Supplier list'!B:C,2,0),"")</f>
        <v/>
      </c>
      <c r="M424" s="1" t="s">
        <v>24</v>
      </c>
      <c r="O424" s="2" t="n">
        <v>0.3</v>
      </c>
    </row>
    <row r="425" customFormat="false" ht="16.4" hidden="false" customHeight="false" outlineLevel="0" collapsed="false">
      <c r="A425" s="0" t="s">
        <v>15</v>
      </c>
      <c r="B425" s="0" t="s">
        <v>1475</v>
      </c>
      <c r="C425" s="0" t="n">
        <v>114004</v>
      </c>
      <c r="D425" s="0" t="n">
        <v>114004</v>
      </c>
      <c r="E425" s="0" t="s">
        <v>87</v>
      </c>
      <c r="F425" s="0" t="s">
        <v>18</v>
      </c>
      <c r="G425" s="0" t="s">
        <v>1476</v>
      </c>
      <c r="H425" s="0" t="s">
        <v>1477</v>
      </c>
      <c r="I425" s="0" t="s">
        <v>102</v>
      </c>
      <c r="J425" s="0" t="s">
        <v>103</v>
      </c>
      <c r="K425" s="0" t="s">
        <v>352</v>
      </c>
      <c r="L425" s="0" t="str">
        <f aca="false">IFERROR(VLOOKUP(K425,'Supplier list'!B:C,2,0),"")</f>
        <v>บริษัท พีเอ็นพี อินเตอร์แพค</v>
      </c>
      <c r="M425" s="1" t="s">
        <v>24</v>
      </c>
      <c r="O425" s="2" t="n">
        <v>512</v>
      </c>
    </row>
    <row r="426" customFormat="false" ht="16.4" hidden="false" customHeight="false" outlineLevel="0" collapsed="false">
      <c r="A426" s="0" t="s">
        <v>15</v>
      </c>
      <c r="B426" s="0" t="s">
        <v>1478</v>
      </c>
      <c r="C426" s="0" t="n">
        <v>114004</v>
      </c>
      <c r="D426" s="0" t="n">
        <v>114004</v>
      </c>
      <c r="E426" s="0" t="s">
        <v>1479</v>
      </c>
      <c r="F426" s="0" t="s">
        <v>18</v>
      </c>
      <c r="G426" s="0" t="s">
        <v>1480</v>
      </c>
      <c r="H426" s="0" t="s">
        <v>1481</v>
      </c>
      <c r="I426" s="0" t="s">
        <v>21</v>
      </c>
      <c r="J426" s="0" t="s">
        <v>22</v>
      </c>
      <c r="L426" s="0" t="str">
        <f aca="false">IFERROR(VLOOKUP(K426,'Supplier list'!B:C,2,0),"")</f>
        <v/>
      </c>
      <c r="M426" s="1" t="s">
        <v>24</v>
      </c>
      <c r="O426" s="2" t="n">
        <v>168</v>
      </c>
    </row>
    <row r="427" customFormat="false" ht="16.4" hidden="false" customHeight="false" outlineLevel="0" collapsed="false">
      <c r="A427" s="0" t="s">
        <v>15</v>
      </c>
      <c r="B427" s="0" t="s">
        <v>1482</v>
      </c>
      <c r="C427" s="0" t="n">
        <v>114004</v>
      </c>
      <c r="D427" s="0" t="n">
        <v>114004</v>
      </c>
      <c r="E427" s="0" t="s">
        <v>1479</v>
      </c>
      <c r="F427" s="0" t="s">
        <v>18</v>
      </c>
      <c r="G427" s="0" t="s">
        <v>1483</v>
      </c>
      <c r="H427" s="0" t="s">
        <v>1484</v>
      </c>
      <c r="I427" s="0" t="s">
        <v>21</v>
      </c>
      <c r="J427" s="0" t="s">
        <v>22</v>
      </c>
      <c r="L427" s="0" t="str">
        <f aca="false">IFERROR(VLOOKUP(K427,'Supplier list'!B:C,2,0),"")</f>
        <v/>
      </c>
      <c r="M427" s="1" t="s">
        <v>24</v>
      </c>
      <c r="O427" s="2" t="n">
        <v>278</v>
      </c>
    </row>
    <row r="428" customFormat="false" ht="16.4" hidden="false" customHeight="false" outlineLevel="0" collapsed="false">
      <c r="A428" s="0" t="s">
        <v>15</v>
      </c>
      <c r="B428" s="0" t="s">
        <v>1485</v>
      </c>
      <c r="C428" s="0" t="n">
        <v>114004</v>
      </c>
      <c r="D428" s="0" t="n">
        <v>114004</v>
      </c>
      <c r="E428" s="0" t="s">
        <v>1331</v>
      </c>
      <c r="F428" s="0" t="s">
        <v>18</v>
      </c>
      <c r="G428" s="0" t="s">
        <v>1486</v>
      </c>
      <c r="H428" s="0" t="s">
        <v>1487</v>
      </c>
      <c r="I428" s="0" t="s">
        <v>149</v>
      </c>
      <c r="J428" s="0" t="s">
        <v>150</v>
      </c>
      <c r="L428" s="0" t="str">
        <f aca="false">IFERROR(VLOOKUP(K428,'Supplier list'!B:C,2,0),"")</f>
        <v/>
      </c>
      <c r="M428" s="1" t="s">
        <v>24</v>
      </c>
      <c r="O428" s="2" t="n">
        <v>417.3</v>
      </c>
    </row>
    <row r="429" customFormat="false" ht="16.4" hidden="false" customHeight="false" outlineLevel="0" collapsed="false">
      <c r="A429" s="0" t="s">
        <v>15</v>
      </c>
      <c r="B429" s="0" t="s">
        <v>1488</v>
      </c>
      <c r="C429" s="0" t="n">
        <v>114004</v>
      </c>
      <c r="D429" s="0" t="n">
        <v>114004</v>
      </c>
      <c r="E429" s="0" t="s">
        <v>17</v>
      </c>
      <c r="F429" s="0" t="s">
        <v>18</v>
      </c>
      <c r="G429" s="0" t="s">
        <v>1489</v>
      </c>
      <c r="H429" s="0" t="s">
        <v>1490</v>
      </c>
      <c r="I429" s="0" t="s">
        <v>248</v>
      </c>
      <c r="J429" s="0" t="s">
        <v>249</v>
      </c>
      <c r="L429" s="0" t="str">
        <f aca="false">IFERROR(VLOOKUP(K429,'Supplier list'!B:C,2,0),"")</f>
        <v/>
      </c>
      <c r="M429" s="1" t="s">
        <v>24</v>
      </c>
      <c r="O429" s="2" t="n">
        <v>63</v>
      </c>
    </row>
    <row r="430" customFormat="false" ht="16.4" hidden="false" customHeight="false" outlineLevel="0" collapsed="false">
      <c r="A430" s="0" t="s">
        <v>15</v>
      </c>
      <c r="B430" s="0" t="s">
        <v>1491</v>
      </c>
      <c r="C430" s="0" t="n">
        <v>114004</v>
      </c>
      <c r="D430" s="0" t="n">
        <v>114004</v>
      </c>
      <c r="E430" s="0" t="s">
        <v>294</v>
      </c>
      <c r="F430" s="0" t="s">
        <v>18</v>
      </c>
      <c r="G430" s="0" t="s">
        <v>1492</v>
      </c>
      <c r="H430" s="0" t="s">
        <v>1493</v>
      </c>
      <c r="I430" s="0" t="s">
        <v>21</v>
      </c>
      <c r="J430" s="0" t="s">
        <v>22</v>
      </c>
      <c r="K430" s="0" t="s">
        <v>352</v>
      </c>
      <c r="L430" s="0" t="str">
        <f aca="false">IFERROR(VLOOKUP(K430,'Supplier list'!B:C,2,0),"")</f>
        <v>บริษัท พีเอ็นพี อินเตอร์แพค</v>
      </c>
      <c r="M430" s="1" t="s">
        <v>24</v>
      </c>
      <c r="O430" s="2" t="n">
        <v>23</v>
      </c>
    </row>
    <row r="431" customFormat="false" ht="16.4" hidden="false" customHeight="false" outlineLevel="0" collapsed="false">
      <c r="A431" s="0" t="s">
        <v>15</v>
      </c>
      <c r="B431" s="0" t="s">
        <v>1494</v>
      </c>
      <c r="C431" s="0" t="n">
        <v>114004</v>
      </c>
      <c r="D431" s="0" t="n">
        <v>114004</v>
      </c>
      <c r="E431" s="0" t="s">
        <v>87</v>
      </c>
      <c r="F431" s="0" t="s">
        <v>18</v>
      </c>
      <c r="G431" s="0" t="s">
        <v>1495</v>
      </c>
      <c r="H431" s="0" t="s">
        <v>1496</v>
      </c>
      <c r="I431" s="0" t="s">
        <v>102</v>
      </c>
      <c r="J431" s="0" t="s">
        <v>103</v>
      </c>
      <c r="K431" s="0" t="s">
        <v>89</v>
      </c>
      <c r="L431" s="0" t="str">
        <f aca="false">IFERROR(VLOOKUP(K431,'Supplier list'!B:C,2,0),"")</f>
        <v>บริษัท เฮเฟเล่ (ประเทศไทย) จำกัด</v>
      </c>
      <c r="M431" s="1" t="s">
        <v>24</v>
      </c>
      <c r="O431" s="2" t="n">
        <v>1450</v>
      </c>
    </row>
    <row r="432" customFormat="false" ht="16.4" hidden="false" customHeight="false" outlineLevel="0" collapsed="false">
      <c r="A432" s="0" t="s">
        <v>15</v>
      </c>
      <c r="B432" s="0" t="s">
        <v>1497</v>
      </c>
      <c r="C432" s="0" t="n">
        <v>114004</v>
      </c>
      <c r="D432" s="0" t="n">
        <v>114004</v>
      </c>
      <c r="E432" s="0" t="s">
        <v>1026</v>
      </c>
      <c r="F432" s="0" t="s">
        <v>18</v>
      </c>
      <c r="G432" s="0" t="s">
        <v>1498</v>
      </c>
      <c r="H432" s="0" t="s">
        <v>1499</v>
      </c>
      <c r="I432" s="0" t="s">
        <v>1032</v>
      </c>
      <c r="J432" s="0" t="s">
        <v>1033</v>
      </c>
      <c r="K432" s="0" t="s">
        <v>1064</v>
      </c>
      <c r="L432" s="0" t="str">
        <f aca="false">IFERROR(VLOOKUP(K432,'Supplier list'!B:C,2,0),"")</f>
        <v>บริษัท เมกไกวส์ (ไทยแลนด์) จำกัด</v>
      </c>
      <c r="M432" s="1" t="s">
        <v>24</v>
      </c>
      <c r="O432" s="2" t="n">
        <v>2800</v>
      </c>
    </row>
    <row r="433" customFormat="false" ht="16.4" hidden="false" customHeight="false" outlineLevel="0" collapsed="false">
      <c r="A433" s="0" t="s">
        <v>15</v>
      </c>
      <c r="B433" s="0" t="s">
        <v>1500</v>
      </c>
      <c r="C433" s="0" t="n">
        <v>114004</v>
      </c>
      <c r="D433" s="0" t="n">
        <v>114004</v>
      </c>
      <c r="E433" s="0" t="s">
        <v>1501</v>
      </c>
      <c r="F433" s="0" t="s">
        <v>18</v>
      </c>
      <c r="G433" s="0" t="s">
        <v>1502</v>
      </c>
      <c r="H433" s="0" t="s">
        <v>1503</v>
      </c>
      <c r="I433" s="0" t="s">
        <v>21</v>
      </c>
      <c r="J433" s="0" t="s">
        <v>22</v>
      </c>
      <c r="K433" s="0" t="s">
        <v>89</v>
      </c>
      <c r="L433" s="0" t="str">
        <f aca="false">IFERROR(VLOOKUP(K433,'Supplier list'!B:C,2,0),"")</f>
        <v>บริษัท เฮเฟเล่ (ประเทศไทย) จำกัด</v>
      </c>
      <c r="M433" s="1" t="s">
        <v>24</v>
      </c>
      <c r="O433" s="2" t="n">
        <v>1588</v>
      </c>
    </row>
    <row r="434" customFormat="false" ht="16.4" hidden="false" customHeight="false" outlineLevel="0" collapsed="false">
      <c r="A434" s="0" t="s">
        <v>15</v>
      </c>
      <c r="B434" s="0" t="s">
        <v>1504</v>
      </c>
      <c r="C434" s="0" t="n">
        <v>114004</v>
      </c>
      <c r="D434" s="0" t="n">
        <v>114004</v>
      </c>
      <c r="E434" s="0" t="s">
        <v>1505</v>
      </c>
      <c r="F434" s="0" t="s">
        <v>18</v>
      </c>
      <c r="G434" s="0" t="s">
        <v>1506</v>
      </c>
      <c r="H434" s="0" t="s">
        <v>1507</v>
      </c>
      <c r="I434" s="0" t="s">
        <v>701</v>
      </c>
      <c r="J434" s="0" t="s">
        <v>22</v>
      </c>
      <c r="K434" s="0" t="s">
        <v>352</v>
      </c>
      <c r="L434" s="0" t="str">
        <f aca="false">IFERROR(VLOOKUP(K434,'Supplier list'!B:C,2,0),"")</f>
        <v>บริษัท พีเอ็นพี อินเตอร์แพค</v>
      </c>
      <c r="M434" s="1" t="s">
        <v>24</v>
      </c>
      <c r="O434" s="2" t="n">
        <v>15</v>
      </c>
    </row>
    <row r="435" customFormat="false" ht="16.4" hidden="false" customHeight="false" outlineLevel="0" collapsed="false">
      <c r="A435" s="0" t="s">
        <v>15</v>
      </c>
      <c r="B435" s="0" t="s">
        <v>1508</v>
      </c>
      <c r="C435" s="0" t="n">
        <v>114004</v>
      </c>
      <c r="D435" s="0" t="n">
        <v>114004</v>
      </c>
      <c r="E435" s="0" t="s">
        <v>659</v>
      </c>
      <c r="F435" s="0" t="s">
        <v>18</v>
      </c>
      <c r="G435" s="0" t="s">
        <v>1509</v>
      </c>
      <c r="H435" s="0" t="s">
        <v>1510</v>
      </c>
      <c r="I435" s="0" t="s">
        <v>701</v>
      </c>
      <c r="J435" s="0" t="s">
        <v>22</v>
      </c>
      <c r="K435" s="0" t="s">
        <v>1511</v>
      </c>
      <c r="L435" s="0" t="str">
        <f aca="false">IFERROR(VLOOKUP(K435,'Supplier list'!B:C,2,0),"")</f>
        <v/>
      </c>
      <c r="M435" s="1" t="s">
        <v>24</v>
      </c>
      <c r="O435" s="2" t="n">
        <v>180</v>
      </c>
    </row>
    <row r="436" customFormat="false" ht="16.4" hidden="false" customHeight="false" outlineLevel="0" collapsed="false">
      <c r="A436" s="0" t="s">
        <v>15</v>
      </c>
      <c r="B436" s="0" t="s">
        <v>1512</v>
      </c>
      <c r="C436" s="0" t="n">
        <v>114004</v>
      </c>
      <c r="D436" s="0" t="n">
        <v>114004</v>
      </c>
      <c r="E436" s="0" t="s">
        <v>1505</v>
      </c>
      <c r="F436" s="0" t="s">
        <v>18</v>
      </c>
      <c r="G436" s="0" t="s">
        <v>1513</v>
      </c>
      <c r="H436" s="0" t="s">
        <v>1514</v>
      </c>
      <c r="I436" s="0" t="s">
        <v>701</v>
      </c>
      <c r="J436" s="0" t="s">
        <v>22</v>
      </c>
      <c r="K436" s="0" t="s">
        <v>352</v>
      </c>
      <c r="L436" s="0" t="str">
        <f aca="false">IFERROR(VLOOKUP(K436,'Supplier list'!B:C,2,0),"")</f>
        <v>บริษัท พีเอ็นพี อินเตอร์แพค</v>
      </c>
      <c r="M436" s="1" t="s">
        <v>24</v>
      </c>
      <c r="O436" s="2" t="n">
        <v>18</v>
      </c>
    </row>
    <row r="437" customFormat="false" ht="16.4" hidden="false" customHeight="false" outlineLevel="0" collapsed="false">
      <c r="A437" s="0" t="s">
        <v>15</v>
      </c>
      <c r="B437" s="0" t="s">
        <v>1515</v>
      </c>
      <c r="C437" s="0" t="n">
        <v>114004</v>
      </c>
      <c r="D437" s="0" t="n">
        <v>114004</v>
      </c>
      <c r="E437" s="0" t="s">
        <v>659</v>
      </c>
      <c r="F437" s="0" t="s">
        <v>18</v>
      </c>
      <c r="G437" s="0" t="s">
        <v>1516</v>
      </c>
      <c r="H437" s="0" t="s">
        <v>1517</v>
      </c>
      <c r="I437" s="0" t="s">
        <v>701</v>
      </c>
      <c r="J437" s="0" t="s">
        <v>22</v>
      </c>
      <c r="K437" s="0" t="s">
        <v>352</v>
      </c>
      <c r="L437" s="0" t="str">
        <f aca="false">IFERROR(VLOOKUP(K437,'Supplier list'!B:C,2,0),"")</f>
        <v>บริษัท พีเอ็นพี อินเตอร์แพค</v>
      </c>
      <c r="M437" s="1" t="s">
        <v>24</v>
      </c>
      <c r="O437" s="2" t="n">
        <v>10.5</v>
      </c>
    </row>
    <row r="438" customFormat="false" ht="16.4" hidden="false" customHeight="false" outlineLevel="0" collapsed="false">
      <c r="A438" s="0" t="s">
        <v>15</v>
      </c>
      <c r="B438" s="0" t="s">
        <v>1518</v>
      </c>
      <c r="C438" s="0" t="n">
        <v>114004</v>
      </c>
      <c r="D438" s="0" t="n">
        <v>114004</v>
      </c>
      <c r="E438" s="0" t="s">
        <v>659</v>
      </c>
      <c r="F438" s="0" t="s">
        <v>18</v>
      </c>
      <c r="G438" s="0" t="s">
        <v>1519</v>
      </c>
      <c r="H438" s="0" t="s">
        <v>1520</v>
      </c>
      <c r="I438" s="0" t="s">
        <v>701</v>
      </c>
      <c r="J438" s="0" t="s">
        <v>22</v>
      </c>
      <c r="K438" s="0" t="s">
        <v>155</v>
      </c>
      <c r="L438" s="0" t="str">
        <f aca="false">IFERROR(VLOOKUP(K438,'Supplier list'!B:C,2,0),"")</f>
        <v>บริษัท ก.เจริญฮาร์ดแวร์ จำกัด</v>
      </c>
      <c r="M438" s="1" t="s">
        <v>24</v>
      </c>
      <c r="O438" s="2" t="n">
        <v>70</v>
      </c>
    </row>
    <row r="439" customFormat="false" ht="16.4" hidden="false" customHeight="false" outlineLevel="0" collapsed="false">
      <c r="A439" s="0" t="s">
        <v>15</v>
      </c>
      <c r="B439" s="0" t="s">
        <v>1521</v>
      </c>
      <c r="C439" s="0" t="n">
        <v>114004</v>
      </c>
      <c r="D439" s="0" t="n">
        <v>114004</v>
      </c>
      <c r="E439" s="0" t="s">
        <v>659</v>
      </c>
      <c r="F439" s="0" t="s">
        <v>18</v>
      </c>
      <c r="G439" s="0" t="s">
        <v>1522</v>
      </c>
      <c r="H439" s="0" t="s">
        <v>1523</v>
      </c>
      <c r="I439" s="0" t="s">
        <v>21</v>
      </c>
      <c r="J439" s="0" t="s">
        <v>22</v>
      </c>
      <c r="L439" s="0" t="str">
        <f aca="false">IFERROR(VLOOKUP(K439,'Supplier list'!B:C,2,0),"")</f>
        <v/>
      </c>
      <c r="M439" s="1" t="s">
        <v>24</v>
      </c>
      <c r="O439" s="2" t="n">
        <v>168</v>
      </c>
    </row>
    <row r="440" customFormat="false" ht="16.4" hidden="false" customHeight="false" outlineLevel="0" collapsed="false">
      <c r="A440" s="0" t="s">
        <v>15</v>
      </c>
      <c r="B440" s="0" t="s">
        <v>1524</v>
      </c>
      <c r="C440" s="0" t="n">
        <v>114004</v>
      </c>
      <c r="D440" s="0" t="n">
        <v>114004</v>
      </c>
      <c r="E440" s="0" t="s">
        <v>197</v>
      </c>
      <c r="F440" s="0" t="s">
        <v>18</v>
      </c>
      <c r="G440" s="0" t="s">
        <v>1525</v>
      </c>
      <c r="H440" s="0" t="s">
        <v>1526</v>
      </c>
      <c r="I440" s="0" t="s">
        <v>21</v>
      </c>
      <c r="J440" s="0" t="s">
        <v>22</v>
      </c>
      <c r="K440" s="0" t="s">
        <v>68</v>
      </c>
      <c r="L440" s="0" t="str">
        <f aca="false">IFERROR(VLOOKUP(K440,'Supplier list'!B:C,2,0),"")</f>
        <v>หจก. กรีน ดิสทริบิวชั่น</v>
      </c>
      <c r="M440" s="1" t="s">
        <v>24</v>
      </c>
      <c r="O440" s="2" t="n">
        <v>4.75</v>
      </c>
    </row>
    <row r="441" customFormat="false" ht="16.4" hidden="false" customHeight="false" outlineLevel="0" collapsed="false">
      <c r="A441" s="0" t="s">
        <v>15</v>
      </c>
      <c r="B441" s="0" t="s">
        <v>1527</v>
      </c>
      <c r="C441" s="0" t="n">
        <v>114004</v>
      </c>
      <c r="D441" s="0" t="n">
        <v>114004</v>
      </c>
      <c r="E441" s="0" t="s">
        <v>659</v>
      </c>
      <c r="F441" s="0" t="s">
        <v>18</v>
      </c>
      <c r="G441" s="0" t="s">
        <v>1528</v>
      </c>
      <c r="H441" s="0" t="s">
        <v>1529</v>
      </c>
      <c r="I441" s="0" t="s">
        <v>21</v>
      </c>
      <c r="J441" s="0" t="s">
        <v>22</v>
      </c>
      <c r="L441" s="0" t="str">
        <f aca="false">IFERROR(VLOOKUP(K441,'Supplier list'!B:C,2,0),"")</f>
        <v/>
      </c>
      <c r="M441" s="1" t="s">
        <v>24</v>
      </c>
      <c r="O441" s="2" t="n">
        <v>110</v>
      </c>
    </row>
    <row r="442" customFormat="false" ht="16.4" hidden="false" customHeight="false" outlineLevel="0" collapsed="false">
      <c r="A442" s="0" t="s">
        <v>15</v>
      </c>
      <c r="B442" s="0" t="s">
        <v>1530</v>
      </c>
      <c r="C442" s="0" t="n">
        <v>114004</v>
      </c>
      <c r="D442" s="0" t="n">
        <v>114004</v>
      </c>
      <c r="E442" s="0" t="s">
        <v>659</v>
      </c>
      <c r="F442" s="0" t="s">
        <v>18</v>
      </c>
      <c r="G442" s="0" t="s">
        <v>1531</v>
      </c>
      <c r="H442" s="0" t="s">
        <v>1532</v>
      </c>
      <c r="I442" s="0" t="s">
        <v>701</v>
      </c>
      <c r="J442" s="0" t="s">
        <v>22</v>
      </c>
      <c r="L442" s="0" t="str">
        <f aca="false">IFERROR(VLOOKUP(K442,'Supplier list'!B:C,2,0),"")</f>
        <v/>
      </c>
      <c r="M442" s="1" t="s">
        <v>24</v>
      </c>
      <c r="O442" s="2" t="n">
        <v>478</v>
      </c>
    </row>
    <row r="443" customFormat="false" ht="16.4" hidden="false" customHeight="false" outlineLevel="0" collapsed="false">
      <c r="A443" s="0" t="s">
        <v>15</v>
      </c>
      <c r="B443" s="0" t="s">
        <v>1533</v>
      </c>
      <c r="C443" s="0" t="n">
        <v>114004</v>
      </c>
      <c r="D443" s="0" t="n">
        <v>114004</v>
      </c>
      <c r="E443" s="0" t="s">
        <v>1505</v>
      </c>
      <c r="F443" s="0" t="s">
        <v>18</v>
      </c>
      <c r="G443" s="0" t="s">
        <v>1534</v>
      </c>
      <c r="H443" s="0" t="s">
        <v>1535</v>
      </c>
      <c r="I443" s="0" t="s">
        <v>701</v>
      </c>
      <c r="J443" s="0" t="s">
        <v>22</v>
      </c>
      <c r="L443" s="0" t="str">
        <f aca="false">IFERROR(VLOOKUP(K443,'Supplier list'!B:C,2,0),"")</f>
        <v/>
      </c>
      <c r="M443" s="1" t="s">
        <v>24</v>
      </c>
      <c r="O443" s="2" t="n">
        <v>72</v>
      </c>
    </row>
    <row r="444" customFormat="false" ht="16.4" hidden="false" customHeight="false" outlineLevel="0" collapsed="false">
      <c r="A444" s="0" t="s">
        <v>15</v>
      </c>
      <c r="B444" s="0" t="s">
        <v>1536</v>
      </c>
      <c r="C444" s="0" t="n">
        <v>114004</v>
      </c>
      <c r="D444" s="0" t="n">
        <v>114004</v>
      </c>
      <c r="E444" s="0" t="s">
        <v>756</v>
      </c>
      <c r="F444" s="0" t="s">
        <v>18</v>
      </c>
      <c r="G444" s="0" t="s">
        <v>1537</v>
      </c>
      <c r="H444" s="0" t="s">
        <v>1538</v>
      </c>
      <c r="I444" s="0" t="s">
        <v>21</v>
      </c>
      <c r="J444" s="0" t="s">
        <v>22</v>
      </c>
      <c r="L444" s="0" t="str">
        <f aca="false">IFERROR(VLOOKUP(K444,'Supplier list'!B:C,2,0),"")</f>
        <v/>
      </c>
      <c r="M444" s="1" t="s">
        <v>24</v>
      </c>
      <c r="O444" s="2" t="n">
        <v>7</v>
      </c>
    </row>
    <row r="445" customFormat="false" ht="16.4" hidden="false" customHeight="false" outlineLevel="0" collapsed="false">
      <c r="A445" s="0" t="s">
        <v>15</v>
      </c>
      <c r="B445" s="0" t="s">
        <v>1539</v>
      </c>
      <c r="C445" s="0" t="n">
        <v>114004</v>
      </c>
      <c r="D445" s="0" t="n">
        <v>114004</v>
      </c>
      <c r="E445" s="0" t="s">
        <v>659</v>
      </c>
      <c r="F445" s="0" t="s">
        <v>18</v>
      </c>
      <c r="G445" s="0" t="s">
        <v>1540</v>
      </c>
      <c r="H445" s="0" t="s">
        <v>1541</v>
      </c>
      <c r="I445" s="0" t="s">
        <v>701</v>
      </c>
      <c r="J445" s="0" t="s">
        <v>22</v>
      </c>
      <c r="K445" s="0" t="s">
        <v>110</v>
      </c>
      <c r="L445" s="0" t="str">
        <f aca="false">IFERROR(VLOOKUP(K445,'Supplier list'!B:C,2,0),"")</f>
        <v>บริษัท ที.พี.เค ไทยเมท แมชชีนทูลล์ จำกัด</v>
      </c>
      <c r="M445" s="1" t="s">
        <v>24</v>
      </c>
      <c r="O445" s="2" t="n">
        <v>168</v>
      </c>
    </row>
    <row r="446" customFormat="false" ht="16.4" hidden="false" customHeight="false" outlineLevel="0" collapsed="false">
      <c r="A446" s="0" t="s">
        <v>15</v>
      </c>
      <c r="B446" s="0" t="s">
        <v>1542</v>
      </c>
      <c r="C446" s="0" t="n">
        <v>114004</v>
      </c>
      <c r="D446" s="0" t="n">
        <v>114004</v>
      </c>
      <c r="E446" s="0" t="s">
        <v>1543</v>
      </c>
      <c r="F446" s="0" t="s">
        <v>18</v>
      </c>
      <c r="G446" s="0" t="s">
        <v>1544</v>
      </c>
      <c r="H446" s="0" t="s">
        <v>1543</v>
      </c>
      <c r="I446" s="0" t="s">
        <v>21</v>
      </c>
      <c r="J446" s="0" t="s">
        <v>22</v>
      </c>
      <c r="K446" s="0" t="s">
        <v>110</v>
      </c>
      <c r="L446" s="0" t="str">
        <f aca="false">IFERROR(VLOOKUP(K446,'Supplier list'!B:C,2,0),"")</f>
        <v>บริษัท ที.พี.เค ไทยเมท แมชชีนทูลล์ จำกัด</v>
      </c>
      <c r="M446" s="1" t="s">
        <v>24</v>
      </c>
      <c r="O446" s="2" t="n">
        <v>38</v>
      </c>
    </row>
    <row r="447" customFormat="false" ht="16.4" hidden="false" customHeight="false" outlineLevel="0" collapsed="false">
      <c r="A447" s="0" t="s">
        <v>15</v>
      </c>
      <c r="B447" s="0" t="s">
        <v>1545</v>
      </c>
      <c r="C447" s="0" t="n">
        <v>114004</v>
      </c>
      <c r="D447" s="0" t="n">
        <v>114004</v>
      </c>
      <c r="E447" s="0" t="s">
        <v>97</v>
      </c>
      <c r="F447" s="0" t="s">
        <v>18</v>
      </c>
      <c r="G447" s="0" t="s">
        <v>1546</v>
      </c>
      <c r="H447" s="0" t="s">
        <v>1547</v>
      </c>
      <c r="I447" s="0" t="s">
        <v>765</v>
      </c>
      <c r="J447" s="0" t="s">
        <v>22</v>
      </c>
      <c r="L447" s="0" t="str">
        <f aca="false">IFERROR(VLOOKUP(K447,'Supplier list'!B:C,2,0),"")</f>
        <v/>
      </c>
      <c r="M447" s="1" t="s">
        <v>24</v>
      </c>
      <c r="O447" s="2" t="n">
        <v>150</v>
      </c>
    </row>
    <row r="448" customFormat="false" ht="16.4" hidden="false" customHeight="false" outlineLevel="0" collapsed="false">
      <c r="A448" s="0" t="s">
        <v>15</v>
      </c>
      <c r="B448" s="0" t="s">
        <v>1548</v>
      </c>
      <c r="C448" s="0" t="n">
        <v>114004</v>
      </c>
      <c r="D448" s="0" t="n">
        <v>114004</v>
      </c>
      <c r="E448" s="0" t="s">
        <v>1014</v>
      </c>
      <c r="F448" s="0" t="s">
        <v>18</v>
      </c>
      <c r="G448" s="0" t="s">
        <v>1549</v>
      </c>
      <c r="H448" s="0" t="s">
        <v>1550</v>
      </c>
      <c r="I448" s="0" t="s">
        <v>21</v>
      </c>
      <c r="J448" s="0" t="s">
        <v>22</v>
      </c>
      <c r="K448" s="0" t="s">
        <v>110</v>
      </c>
      <c r="L448" s="0" t="str">
        <f aca="false">IFERROR(VLOOKUP(K448,'Supplier list'!B:C,2,0),"")</f>
        <v>บริษัท ที.พี.เค ไทยเมท แมชชีนทูลล์ จำกัด</v>
      </c>
      <c r="M448" s="1" t="s">
        <v>24</v>
      </c>
      <c r="O448" s="2" t="n">
        <v>20</v>
      </c>
    </row>
    <row r="449" customFormat="false" ht="16.4" hidden="false" customHeight="false" outlineLevel="0" collapsed="false">
      <c r="A449" s="0" t="s">
        <v>15</v>
      </c>
      <c r="B449" s="0" t="s">
        <v>1551</v>
      </c>
      <c r="C449" s="0" t="n">
        <v>114004</v>
      </c>
      <c r="D449" s="0" t="n">
        <v>114004</v>
      </c>
      <c r="E449" s="0" t="s">
        <v>1014</v>
      </c>
      <c r="F449" s="0" t="s">
        <v>18</v>
      </c>
      <c r="G449" s="0" t="s">
        <v>1552</v>
      </c>
      <c r="H449" s="0" t="s">
        <v>1553</v>
      </c>
      <c r="I449" s="0" t="s">
        <v>21</v>
      </c>
      <c r="J449" s="0" t="s">
        <v>22</v>
      </c>
      <c r="L449" s="0" t="str">
        <f aca="false">IFERROR(VLOOKUP(K449,'Supplier list'!B:C,2,0),"")</f>
        <v/>
      </c>
      <c r="M449" s="1" t="s">
        <v>24</v>
      </c>
      <c r="O449" s="2" t="n">
        <v>35</v>
      </c>
    </row>
    <row r="450" customFormat="false" ht="16.4" hidden="false" customHeight="false" outlineLevel="0" collapsed="false">
      <c r="A450" s="0" t="s">
        <v>15</v>
      </c>
      <c r="B450" s="0" t="s">
        <v>1554</v>
      </c>
      <c r="C450" s="0" t="n">
        <v>114004</v>
      </c>
      <c r="D450" s="0" t="n">
        <v>114004</v>
      </c>
      <c r="E450" s="0" t="s">
        <v>1014</v>
      </c>
      <c r="F450" s="0" t="s">
        <v>18</v>
      </c>
      <c r="G450" s="0" t="s">
        <v>1555</v>
      </c>
      <c r="H450" s="0" t="s">
        <v>1556</v>
      </c>
      <c r="I450" s="0" t="s">
        <v>21</v>
      </c>
      <c r="J450" s="0" t="s">
        <v>22</v>
      </c>
      <c r="K450" s="0" t="s">
        <v>68</v>
      </c>
      <c r="L450" s="0" t="str">
        <f aca="false">IFERROR(VLOOKUP(K450,'Supplier list'!B:C,2,0),"")</f>
        <v>หจก. กรีน ดิสทริบิวชั่น</v>
      </c>
      <c r="M450" s="1" t="s">
        <v>24</v>
      </c>
      <c r="O450" s="2" t="n">
        <v>48</v>
      </c>
    </row>
    <row r="451" customFormat="false" ht="16.4" hidden="false" customHeight="false" outlineLevel="0" collapsed="false">
      <c r="A451" s="0" t="s">
        <v>15</v>
      </c>
      <c r="B451" s="0" t="s">
        <v>1557</v>
      </c>
      <c r="C451" s="0" t="n">
        <v>114004</v>
      </c>
      <c r="D451" s="0" t="n">
        <v>114004</v>
      </c>
      <c r="E451" s="0" t="s">
        <v>1014</v>
      </c>
      <c r="F451" s="0" t="s">
        <v>18</v>
      </c>
      <c r="G451" s="0" t="s">
        <v>1558</v>
      </c>
      <c r="H451" s="0" t="s">
        <v>1559</v>
      </c>
      <c r="I451" s="0" t="s">
        <v>1032</v>
      </c>
      <c r="J451" s="0" t="s">
        <v>1033</v>
      </c>
      <c r="K451" s="0" t="s">
        <v>68</v>
      </c>
      <c r="L451" s="0" t="str">
        <f aca="false">IFERROR(VLOOKUP(K451,'Supplier list'!B:C,2,0),"")</f>
        <v>หจก. กรีน ดิสทริบิวชั่น</v>
      </c>
      <c r="M451" s="1" t="s">
        <v>24</v>
      </c>
      <c r="O451" s="2" t="n">
        <v>48</v>
      </c>
    </row>
    <row r="452" customFormat="false" ht="16.4" hidden="false" customHeight="false" outlineLevel="0" collapsed="false">
      <c r="A452" s="0" t="s">
        <v>15</v>
      </c>
      <c r="B452" s="0" t="s">
        <v>1560</v>
      </c>
      <c r="C452" s="0" t="n">
        <v>114004</v>
      </c>
      <c r="D452" s="0" t="n">
        <v>114004</v>
      </c>
      <c r="E452" s="0" t="s">
        <v>1014</v>
      </c>
      <c r="F452" s="0" t="s">
        <v>18</v>
      </c>
      <c r="G452" s="0" t="s">
        <v>1561</v>
      </c>
      <c r="H452" s="0" t="s">
        <v>1562</v>
      </c>
      <c r="I452" s="0" t="s">
        <v>21</v>
      </c>
      <c r="J452" s="0" t="s">
        <v>22</v>
      </c>
      <c r="K452" s="0" t="s">
        <v>68</v>
      </c>
      <c r="L452" s="0" t="str">
        <f aca="false">IFERROR(VLOOKUP(K452,'Supplier list'!B:C,2,0),"")</f>
        <v>หจก. กรีน ดิสทริบิวชั่น</v>
      </c>
      <c r="M452" s="1" t="s">
        <v>24</v>
      </c>
      <c r="O452" s="2" t="n">
        <v>48</v>
      </c>
    </row>
    <row r="453" customFormat="false" ht="16.4" hidden="false" customHeight="false" outlineLevel="0" collapsed="false">
      <c r="A453" s="0" t="s">
        <v>15</v>
      </c>
      <c r="B453" s="0" t="s">
        <v>1563</v>
      </c>
      <c r="C453" s="0" t="n">
        <v>114004</v>
      </c>
      <c r="D453" s="0" t="n">
        <v>114004</v>
      </c>
      <c r="E453" s="0" t="s">
        <v>1479</v>
      </c>
      <c r="F453" s="0" t="s">
        <v>18</v>
      </c>
      <c r="G453" s="0" t="s">
        <v>1564</v>
      </c>
      <c r="H453" s="0" t="s">
        <v>1565</v>
      </c>
      <c r="I453" s="0" t="s">
        <v>21</v>
      </c>
      <c r="J453" s="0" t="s">
        <v>22</v>
      </c>
      <c r="L453" s="0" t="str">
        <f aca="false">IFERROR(VLOOKUP(K453,'Supplier list'!B:C,2,0),"")</f>
        <v/>
      </c>
      <c r="M453" s="1" t="s">
        <v>24</v>
      </c>
      <c r="O453" s="2" t="n">
        <v>198</v>
      </c>
    </row>
    <row r="454" customFormat="false" ht="16.4" hidden="false" customHeight="false" outlineLevel="0" collapsed="false">
      <c r="A454" s="0" t="s">
        <v>15</v>
      </c>
      <c r="B454" s="0" t="s">
        <v>1566</v>
      </c>
      <c r="C454" s="0" t="n">
        <v>114004</v>
      </c>
      <c r="D454" s="0" t="n">
        <v>114004</v>
      </c>
      <c r="E454" s="0" t="s">
        <v>1479</v>
      </c>
      <c r="F454" s="0" t="s">
        <v>18</v>
      </c>
      <c r="G454" s="0" t="s">
        <v>1567</v>
      </c>
      <c r="H454" s="0" t="s">
        <v>1568</v>
      </c>
      <c r="I454" s="0" t="s">
        <v>21</v>
      </c>
      <c r="J454" s="0" t="s">
        <v>22</v>
      </c>
      <c r="L454" s="0" t="str">
        <f aca="false">IFERROR(VLOOKUP(K454,'Supplier list'!B:C,2,0),"")</f>
        <v/>
      </c>
      <c r="M454" s="1" t="s">
        <v>24</v>
      </c>
      <c r="O454" s="2" t="n">
        <v>228</v>
      </c>
    </row>
    <row r="455" customFormat="false" ht="16.4" hidden="false" customHeight="false" outlineLevel="0" collapsed="false">
      <c r="A455" s="0" t="s">
        <v>15</v>
      </c>
      <c r="B455" s="0" t="s">
        <v>1569</v>
      </c>
      <c r="C455" s="0" t="n">
        <v>114004</v>
      </c>
      <c r="D455" s="0" t="n">
        <v>114004</v>
      </c>
      <c r="E455" s="0" t="s">
        <v>1479</v>
      </c>
      <c r="F455" s="0" t="s">
        <v>18</v>
      </c>
      <c r="G455" s="0" t="s">
        <v>1570</v>
      </c>
      <c r="H455" s="0" t="s">
        <v>1571</v>
      </c>
      <c r="I455" s="0" t="s">
        <v>21</v>
      </c>
      <c r="J455" s="0" t="s">
        <v>22</v>
      </c>
      <c r="K455" s="0" t="s">
        <v>1572</v>
      </c>
      <c r="L455" s="0" t="str">
        <f aca="false">IFERROR(VLOOKUP(K455,'Supplier list'!B:C,2,0),"")</f>
        <v>บริษัท เอเชี่ยน ไซเอนติฟิค จำกัด</v>
      </c>
      <c r="M455" s="1" t="s">
        <v>24</v>
      </c>
      <c r="O455" s="2" t="n">
        <v>550</v>
      </c>
    </row>
    <row r="456" customFormat="false" ht="16.4" hidden="false" customHeight="false" outlineLevel="0" collapsed="false">
      <c r="A456" s="0" t="s">
        <v>15</v>
      </c>
      <c r="B456" s="0" t="s">
        <v>1573</v>
      </c>
      <c r="C456" s="0" t="n">
        <v>114004</v>
      </c>
      <c r="D456" s="0" t="n">
        <v>114004</v>
      </c>
      <c r="E456" s="0" t="s">
        <v>165</v>
      </c>
      <c r="F456" s="0" t="s">
        <v>18</v>
      </c>
      <c r="G456" s="0" t="s">
        <v>1574</v>
      </c>
      <c r="H456" s="0" t="s">
        <v>1575</v>
      </c>
      <c r="I456" s="0" t="s">
        <v>168</v>
      </c>
      <c r="J456" s="0" t="s">
        <v>169</v>
      </c>
      <c r="L456" s="0" t="str">
        <f aca="false">IFERROR(VLOOKUP(K456,'Supplier list'!B:C,2,0),"")</f>
        <v/>
      </c>
      <c r="M456" s="1" t="s">
        <v>24</v>
      </c>
      <c r="O456" s="2" t="n">
        <v>95</v>
      </c>
    </row>
    <row r="457" customFormat="false" ht="16.4" hidden="false" customHeight="false" outlineLevel="0" collapsed="false">
      <c r="A457" s="0" t="s">
        <v>15</v>
      </c>
      <c r="B457" s="0" t="s">
        <v>1576</v>
      </c>
      <c r="C457" s="0" t="n">
        <v>114004</v>
      </c>
      <c r="D457" s="0" t="n">
        <v>114004</v>
      </c>
      <c r="E457" s="0" t="s">
        <v>165</v>
      </c>
      <c r="F457" s="0" t="s">
        <v>18</v>
      </c>
      <c r="G457" s="0" t="s">
        <v>1577</v>
      </c>
      <c r="H457" s="0" t="s">
        <v>1578</v>
      </c>
      <c r="I457" s="0" t="s">
        <v>168</v>
      </c>
      <c r="J457" s="0" t="s">
        <v>169</v>
      </c>
      <c r="L457" s="0" t="str">
        <f aca="false">IFERROR(VLOOKUP(K457,'Supplier list'!B:C,2,0),"")</f>
        <v/>
      </c>
      <c r="M457" s="1" t="s">
        <v>24</v>
      </c>
      <c r="O457" s="2" t="n">
        <v>55</v>
      </c>
    </row>
    <row r="458" customFormat="false" ht="16.4" hidden="false" customHeight="false" outlineLevel="0" collapsed="false">
      <c r="A458" s="0" t="s">
        <v>15</v>
      </c>
      <c r="B458" s="0" t="s">
        <v>1579</v>
      </c>
      <c r="C458" s="0" t="n">
        <v>114004</v>
      </c>
      <c r="D458" s="0" t="n">
        <v>114004</v>
      </c>
      <c r="E458" s="0" t="s">
        <v>165</v>
      </c>
      <c r="F458" s="0" t="s">
        <v>18</v>
      </c>
      <c r="G458" s="0" t="s">
        <v>1580</v>
      </c>
      <c r="H458" s="0" t="s">
        <v>1581</v>
      </c>
      <c r="I458" s="0" t="s">
        <v>168</v>
      </c>
      <c r="J458" s="0" t="s">
        <v>169</v>
      </c>
      <c r="L458" s="0" t="str">
        <f aca="false">IFERROR(VLOOKUP(K458,'Supplier list'!B:C,2,0),"")</f>
        <v/>
      </c>
      <c r="M458" s="1" t="s">
        <v>24</v>
      </c>
      <c r="O458" s="2" t="n">
        <v>88</v>
      </c>
    </row>
    <row r="459" customFormat="false" ht="16.4" hidden="false" customHeight="false" outlineLevel="0" collapsed="false">
      <c r="A459" s="0" t="s">
        <v>15</v>
      </c>
      <c r="B459" s="0" t="s">
        <v>1582</v>
      </c>
      <c r="C459" s="0" t="n">
        <v>114004</v>
      </c>
      <c r="D459" s="0" t="n">
        <v>114004</v>
      </c>
      <c r="E459" s="0" t="s">
        <v>93</v>
      </c>
      <c r="F459" s="0" t="s">
        <v>18</v>
      </c>
      <c r="G459" s="0" t="s">
        <v>1583</v>
      </c>
      <c r="H459" s="0" t="s">
        <v>1584</v>
      </c>
      <c r="I459" s="0" t="s">
        <v>124</v>
      </c>
      <c r="J459" s="0" t="s">
        <v>125</v>
      </c>
      <c r="K459" s="0" t="s">
        <v>82</v>
      </c>
      <c r="L459" s="0" t="str">
        <f aca="false">IFERROR(VLOOKUP(K459,'Supplier list'!B:C,2,0),"")</f>
        <v>บริษัท เกรียงศิริพัฒนา (1995) จำกัด</v>
      </c>
      <c r="M459" s="1" t="s">
        <v>24</v>
      </c>
      <c r="O459" s="2" t="n">
        <v>80</v>
      </c>
    </row>
    <row r="460" customFormat="false" ht="16.4" hidden="false" customHeight="false" outlineLevel="0" collapsed="false">
      <c r="A460" s="0" t="s">
        <v>15</v>
      </c>
      <c r="B460" s="0" t="s">
        <v>1585</v>
      </c>
      <c r="C460" s="0" t="n">
        <v>114004</v>
      </c>
      <c r="D460" s="0" t="n">
        <v>114004</v>
      </c>
      <c r="E460" s="0" t="s">
        <v>97</v>
      </c>
      <c r="F460" s="0" t="s">
        <v>18</v>
      </c>
      <c r="G460" s="0" t="s">
        <v>1586</v>
      </c>
      <c r="H460" s="0" t="s">
        <v>1587</v>
      </c>
      <c r="I460" s="0" t="s">
        <v>21</v>
      </c>
      <c r="J460" s="0" t="s">
        <v>22</v>
      </c>
      <c r="L460" s="0" t="str">
        <f aca="false">IFERROR(VLOOKUP(K460,'Supplier list'!B:C,2,0),"")</f>
        <v/>
      </c>
      <c r="M460" s="1" t="s">
        <v>24</v>
      </c>
      <c r="O460" s="2" t="n">
        <v>173</v>
      </c>
    </row>
    <row r="461" customFormat="false" ht="16.4" hidden="false" customHeight="false" outlineLevel="0" collapsed="false">
      <c r="A461" s="0" t="s">
        <v>15</v>
      </c>
      <c r="B461" s="0" t="s">
        <v>1588</v>
      </c>
      <c r="C461" s="0" t="n">
        <v>114004</v>
      </c>
      <c r="D461" s="0" t="n">
        <v>114004</v>
      </c>
      <c r="E461" s="0" t="s">
        <v>197</v>
      </c>
      <c r="F461" s="0" t="s">
        <v>18</v>
      </c>
      <c r="G461" s="0" t="s">
        <v>1589</v>
      </c>
      <c r="H461" s="0" t="s">
        <v>1590</v>
      </c>
      <c r="I461" s="0" t="s">
        <v>21</v>
      </c>
      <c r="J461" s="0" t="s">
        <v>22</v>
      </c>
      <c r="L461" s="0" t="str">
        <f aca="false">IFERROR(VLOOKUP(K461,'Supplier list'!B:C,2,0),"")</f>
        <v/>
      </c>
      <c r="M461" s="1" t="s">
        <v>24</v>
      </c>
      <c r="O461" s="2" t="n">
        <v>549</v>
      </c>
    </row>
    <row r="462" customFormat="false" ht="16.4" hidden="false" customHeight="false" outlineLevel="0" collapsed="false">
      <c r="A462" s="0" t="s">
        <v>15</v>
      </c>
      <c r="B462" s="0" t="s">
        <v>1591</v>
      </c>
      <c r="C462" s="0" t="n">
        <v>114004</v>
      </c>
      <c r="D462" s="0" t="n">
        <v>114004</v>
      </c>
      <c r="E462" s="0" t="s">
        <v>659</v>
      </c>
      <c r="F462" s="0" t="s">
        <v>18</v>
      </c>
      <c r="G462" s="0" t="s">
        <v>1592</v>
      </c>
      <c r="H462" s="0" t="s">
        <v>830</v>
      </c>
      <c r="I462" s="0" t="s">
        <v>21</v>
      </c>
      <c r="J462" s="0" t="s">
        <v>22</v>
      </c>
      <c r="L462" s="0" t="str">
        <f aca="false">IFERROR(VLOOKUP(K462,'Supplier list'!B:C,2,0),"")</f>
        <v/>
      </c>
      <c r="M462" s="1" t="s">
        <v>24</v>
      </c>
      <c r="O462" s="2" t="n">
        <v>125</v>
      </c>
    </row>
    <row r="463" customFormat="false" ht="16.4" hidden="false" customHeight="false" outlineLevel="0" collapsed="false">
      <c r="A463" s="0" t="s">
        <v>15</v>
      </c>
      <c r="B463" s="0" t="s">
        <v>1593</v>
      </c>
      <c r="C463" s="0" t="n">
        <v>114004</v>
      </c>
      <c r="D463" s="0" t="n">
        <v>114004</v>
      </c>
      <c r="E463" s="0" t="s">
        <v>1479</v>
      </c>
      <c r="F463" s="0" t="s">
        <v>18</v>
      </c>
      <c r="G463" s="0" t="s">
        <v>1594</v>
      </c>
      <c r="H463" s="0" t="s">
        <v>1595</v>
      </c>
      <c r="I463" s="0" t="s">
        <v>21</v>
      </c>
      <c r="J463" s="0" t="s">
        <v>22</v>
      </c>
      <c r="L463" s="0" t="str">
        <f aca="false">IFERROR(VLOOKUP(K463,'Supplier list'!B:C,2,0),"")</f>
        <v/>
      </c>
      <c r="M463" s="1" t="s">
        <v>24</v>
      </c>
      <c r="O463" s="2" t="n">
        <v>196</v>
      </c>
    </row>
    <row r="464" customFormat="false" ht="16.4" hidden="false" customHeight="false" outlineLevel="0" collapsed="false">
      <c r="A464" s="0" t="s">
        <v>15</v>
      </c>
      <c r="B464" s="0" t="s">
        <v>1596</v>
      </c>
      <c r="C464" s="0" t="n">
        <v>114004</v>
      </c>
      <c r="D464" s="0" t="n">
        <v>114004</v>
      </c>
      <c r="E464" s="0" t="s">
        <v>1597</v>
      </c>
      <c r="F464" s="0" t="s">
        <v>18</v>
      </c>
      <c r="G464" s="0" t="s">
        <v>1598</v>
      </c>
      <c r="H464" s="0" t="s">
        <v>1599</v>
      </c>
      <c r="I464" s="0" t="s">
        <v>21</v>
      </c>
      <c r="J464" s="0" t="s">
        <v>22</v>
      </c>
      <c r="L464" s="0" t="str">
        <f aca="false">IFERROR(VLOOKUP(K464,'Supplier list'!B:C,2,0),"")</f>
        <v/>
      </c>
      <c r="M464" s="1" t="s">
        <v>24</v>
      </c>
      <c r="O464" s="2" t="n">
        <v>138</v>
      </c>
    </row>
    <row r="465" customFormat="false" ht="16.4" hidden="false" customHeight="false" outlineLevel="0" collapsed="false">
      <c r="A465" s="0" t="s">
        <v>15</v>
      </c>
      <c r="B465" s="0" t="s">
        <v>1600</v>
      </c>
      <c r="C465" s="0" t="n">
        <v>114001</v>
      </c>
      <c r="D465" s="0" t="n">
        <v>114001</v>
      </c>
      <c r="E465" s="0" t="s">
        <v>1601</v>
      </c>
      <c r="F465" s="0" t="s">
        <v>18</v>
      </c>
      <c r="G465" s="0" t="s">
        <v>1602</v>
      </c>
      <c r="H465" s="0" t="s">
        <v>1603</v>
      </c>
      <c r="I465" s="0" t="s">
        <v>21</v>
      </c>
      <c r="J465" s="0" t="s">
        <v>22</v>
      </c>
      <c r="L465" s="0" t="str">
        <f aca="false">IFERROR(VLOOKUP(K465,'Supplier list'!B:C,2,0),"")</f>
        <v/>
      </c>
      <c r="M465" s="1" t="s">
        <v>24</v>
      </c>
      <c r="O465" s="2" t="n">
        <v>0</v>
      </c>
    </row>
    <row r="466" customFormat="false" ht="16.4" hidden="false" customHeight="false" outlineLevel="0" collapsed="false">
      <c r="A466" s="0" t="s">
        <v>15</v>
      </c>
      <c r="B466" s="0" t="s">
        <v>1604</v>
      </c>
      <c r="C466" s="0" t="n">
        <v>114001</v>
      </c>
      <c r="D466" s="0" t="n">
        <v>114001</v>
      </c>
      <c r="E466" s="0" t="s">
        <v>1605</v>
      </c>
      <c r="F466" s="0" t="s">
        <v>18</v>
      </c>
      <c r="G466" s="0" t="s">
        <v>1606</v>
      </c>
      <c r="H466" s="0" t="s">
        <v>1607</v>
      </c>
      <c r="I466" s="0" t="s">
        <v>21</v>
      </c>
      <c r="J466" s="0" t="s">
        <v>22</v>
      </c>
      <c r="L466" s="0" t="str">
        <f aca="false">IFERROR(VLOOKUP(K466,'Supplier list'!B:C,2,0),"")</f>
        <v/>
      </c>
      <c r="M466" s="1" t="s">
        <v>24</v>
      </c>
      <c r="O466" s="2" t="n">
        <v>18</v>
      </c>
    </row>
    <row r="467" customFormat="false" ht="16.4" hidden="false" customHeight="false" outlineLevel="0" collapsed="false">
      <c r="A467" s="0" t="s">
        <v>15</v>
      </c>
      <c r="B467" s="0" t="s">
        <v>1608</v>
      </c>
      <c r="C467" s="0" t="n">
        <v>114001</v>
      </c>
      <c r="D467" s="0" t="n">
        <v>114001</v>
      </c>
      <c r="E467" s="0" t="s">
        <v>1454</v>
      </c>
      <c r="F467" s="0" t="s">
        <v>18</v>
      </c>
      <c r="G467" s="0" t="s">
        <v>1609</v>
      </c>
      <c r="H467" s="0" t="s">
        <v>1610</v>
      </c>
      <c r="I467" s="0" t="s">
        <v>21</v>
      </c>
      <c r="J467" s="0" t="s">
        <v>22</v>
      </c>
      <c r="K467" s="0" t="s">
        <v>787</v>
      </c>
      <c r="L467" s="0" t="str">
        <f aca="false">IFERROR(VLOOKUP(K467,'Supplier list'!B:C,2,0),"")</f>
        <v>บริษัท ฟิวเจอร์เทค อินเตอร์มาร์เก็ตติ้ง จำกัด</v>
      </c>
      <c r="M467" s="1" t="s">
        <v>24</v>
      </c>
      <c r="O467" s="2" t="n">
        <v>2.3</v>
      </c>
    </row>
    <row r="468" customFormat="false" ht="16.4" hidden="false" customHeight="false" outlineLevel="0" collapsed="false">
      <c r="A468" s="0" t="s">
        <v>15</v>
      </c>
      <c r="B468" s="0" t="s">
        <v>1611</v>
      </c>
      <c r="C468" s="0" t="n">
        <v>114001</v>
      </c>
      <c r="D468" s="0" t="n">
        <v>114001</v>
      </c>
      <c r="E468" s="0" t="s">
        <v>1612</v>
      </c>
      <c r="F468" s="0" t="s">
        <v>18</v>
      </c>
      <c r="G468" s="0" t="s">
        <v>1613</v>
      </c>
      <c r="H468" s="0" t="s">
        <v>1614</v>
      </c>
      <c r="I468" s="0" t="s">
        <v>21</v>
      </c>
      <c r="J468" s="0" t="s">
        <v>22</v>
      </c>
      <c r="L468" s="0" t="str">
        <f aca="false">IFERROR(VLOOKUP(K468,'Supplier list'!B:C,2,0),"")</f>
        <v/>
      </c>
      <c r="M468" s="1" t="s">
        <v>24</v>
      </c>
      <c r="O468" s="2" t="n">
        <v>57</v>
      </c>
    </row>
    <row r="469" customFormat="false" ht="16.4" hidden="false" customHeight="false" outlineLevel="0" collapsed="false">
      <c r="A469" s="0" t="s">
        <v>15</v>
      </c>
      <c r="B469" s="0" t="s">
        <v>1615</v>
      </c>
      <c r="C469" s="0" t="n">
        <v>114001</v>
      </c>
      <c r="D469" s="0" t="n">
        <v>114001</v>
      </c>
      <c r="E469" s="0" t="s">
        <v>1454</v>
      </c>
      <c r="F469" s="0" t="s">
        <v>18</v>
      </c>
      <c r="G469" s="0" t="s">
        <v>1616</v>
      </c>
      <c r="H469" s="0" t="s">
        <v>1617</v>
      </c>
      <c r="I469" s="0" t="s">
        <v>21</v>
      </c>
      <c r="J469" s="0" t="s">
        <v>22</v>
      </c>
      <c r="L469" s="0" t="str">
        <f aca="false">IFERROR(VLOOKUP(K469,'Supplier list'!B:C,2,0),"")</f>
        <v/>
      </c>
      <c r="M469" s="1" t="s">
        <v>24</v>
      </c>
      <c r="O469" s="2" t="n">
        <v>57</v>
      </c>
    </row>
    <row r="470" customFormat="false" ht="16.4" hidden="false" customHeight="false" outlineLevel="0" collapsed="false">
      <c r="A470" s="0" t="s">
        <v>15</v>
      </c>
      <c r="B470" s="0" t="s">
        <v>1618</v>
      </c>
      <c r="C470" s="0" t="n">
        <v>114001</v>
      </c>
      <c r="D470" s="0" t="n">
        <v>114001</v>
      </c>
      <c r="E470" s="0" t="s">
        <v>1605</v>
      </c>
      <c r="F470" s="0" t="s">
        <v>18</v>
      </c>
      <c r="G470" s="0" t="s">
        <v>1619</v>
      </c>
      <c r="H470" s="0" t="s">
        <v>1620</v>
      </c>
      <c r="I470" s="0" t="s">
        <v>124</v>
      </c>
      <c r="J470" s="0" t="s">
        <v>125</v>
      </c>
      <c r="K470" s="0" t="s">
        <v>89</v>
      </c>
      <c r="L470" s="0" t="str">
        <f aca="false">IFERROR(VLOOKUP(K470,'Supplier list'!B:C,2,0),"")</f>
        <v>บริษัท เฮเฟเล่ (ประเทศไทย) จำกัด</v>
      </c>
      <c r="M470" s="1" t="s">
        <v>24</v>
      </c>
      <c r="O470" s="2" t="n">
        <v>1795</v>
      </c>
    </row>
    <row r="471" customFormat="false" ht="16.4" hidden="false" customHeight="false" outlineLevel="0" collapsed="false">
      <c r="A471" s="0" t="s">
        <v>15</v>
      </c>
      <c r="B471" s="0" t="s">
        <v>1621</v>
      </c>
      <c r="C471" s="0" t="n">
        <v>114001</v>
      </c>
      <c r="D471" s="0" t="n">
        <v>114001</v>
      </c>
      <c r="E471" s="0" t="s">
        <v>1605</v>
      </c>
      <c r="F471" s="0" t="s">
        <v>18</v>
      </c>
      <c r="G471" s="0" t="s">
        <v>1622</v>
      </c>
      <c r="H471" s="0" t="s">
        <v>1623</v>
      </c>
      <c r="I471" s="0" t="s">
        <v>21</v>
      </c>
      <c r="J471" s="0" t="s">
        <v>22</v>
      </c>
      <c r="L471" s="0" t="str">
        <f aca="false">IFERROR(VLOOKUP(K471,'Supplier list'!B:C,2,0),"")</f>
        <v/>
      </c>
      <c r="M471" s="1" t="s">
        <v>24</v>
      </c>
      <c r="O471" s="2" t="n">
        <v>185</v>
      </c>
    </row>
    <row r="472" customFormat="false" ht="16.4" hidden="false" customHeight="false" outlineLevel="0" collapsed="false">
      <c r="A472" s="0" t="s">
        <v>15</v>
      </c>
      <c r="B472" s="0" t="s">
        <v>1624</v>
      </c>
      <c r="C472" s="0" t="n">
        <v>114001</v>
      </c>
      <c r="D472" s="0" t="n">
        <v>114001</v>
      </c>
      <c r="E472" s="0" t="s">
        <v>844</v>
      </c>
      <c r="F472" s="0" t="s">
        <v>18</v>
      </c>
      <c r="G472" s="0" t="s">
        <v>1625</v>
      </c>
      <c r="H472" s="0" t="s">
        <v>1626</v>
      </c>
      <c r="I472" s="0" t="s">
        <v>21</v>
      </c>
      <c r="J472" s="0" t="s">
        <v>22</v>
      </c>
      <c r="K472" s="0" t="s">
        <v>787</v>
      </c>
      <c r="L472" s="0" t="str">
        <f aca="false">IFERROR(VLOOKUP(K472,'Supplier list'!B:C,2,0),"")</f>
        <v>บริษัท ฟิวเจอร์เทค อินเตอร์มาร์เก็ตติ้ง จำกัด</v>
      </c>
      <c r="M472" s="1" t="s">
        <v>24</v>
      </c>
      <c r="O472" s="2" t="n">
        <v>0.9</v>
      </c>
    </row>
    <row r="473" customFormat="false" ht="16.4" hidden="false" customHeight="false" outlineLevel="0" collapsed="false">
      <c r="A473" s="0" t="s">
        <v>15</v>
      </c>
      <c r="B473" s="0" t="s">
        <v>1627</v>
      </c>
      <c r="C473" s="0" t="n">
        <v>114001</v>
      </c>
      <c r="D473" s="0" t="n">
        <v>114001</v>
      </c>
      <c r="E473" s="0" t="s">
        <v>1605</v>
      </c>
      <c r="F473" s="0" t="s">
        <v>18</v>
      </c>
      <c r="G473" s="0" t="s">
        <v>1628</v>
      </c>
      <c r="H473" s="0" t="s">
        <v>1629</v>
      </c>
      <c r="I473" s="0" t="s">
        <v>21</v>
      </c>
      <c r="J473" s="0" t="s">
        <v>22</v>
      </c>
      <c r="L473" s="0" t="str">
        <f aca="false">IFERROR(VLOOKUP(K473,'Supplier list'!B:C,2,0),"")</f>
        <v/>
      </c>
      <c r="M473" s="1" t="s">
        <v>24</v>
      </c>
      <c r="O473" s="2" t="n">
        <v>43</v>
      </c>
    </row>
    <row r="474" customFormat="false" ht="16.4" hidden="false" customHeight="false" outlineLevel="0" collapsed="false">
      <c r="A474" s="0" t="s">
        <v>15</v>
      </c>
      <c r="B474" s="0" t="s">
        <v>1630</v>
      </c>
      <c r="C474" s="0" t="n">
        <v>114001</v>
      </c>
      <c r="D474" s="0" t="n">
        <v>114001</v>
      </c>
      <c r="E474" s="0" t="s">
        <v>1605</v>
      </c>
      <c r="F474" s="0" t="s">
        <v>18</v>
      </c>
      <c r="G474" s="0" t="s">
        <v>1631</v>
      </c>
      <c r="H474" s="0" t="s">
        <v>1632</v>
      </c>
      <c r="I474" s="0" t="s">
        <v>21</v>
      </c>
      <c r="J474" s="0" t="s">
        <v>22</v>
      </c>
      <c r="L474" s="0" t="str">
        <f aca="false">IFERROR(VLOOKUP(K474,'Supplier list'!B:C,2,0),"")</f>
        <v/>
      </c>
      <c r="M474" s="1" t="s">
        <v>24</v>
      </c>
      <c r="O474" s="2" t="n">
        <v>25</v>
      </c>
    </row>
    <row r="475" customFormat="false" ht="16.4" hidden="false" customHeight="false" outlineLevel="0" collapsed="false">
      <c r="A475" s="0" t="s">
        <v>15</v>
      </c>
      <c r="B475" s="0" t="s">
        <v>1633</v>
      </c>
      <c r="C475" s="0" t="n">
        <v>114001</v>
      </c>
      <c r="D475" s="0" t="n">
        <v>114001</v>
      </c>
      <c r="E475" s="0" t="s">
        <v>1634</v>
      </c>
      <c r="F475" s="0" t="s">
        <v>18</v>
      </c>
      <c r="G475" s="0" t="s">
        <v>1635</v>
      </c>
      <c r="H475" s="0" t="s">
        <v>1636</v>
      </c>
      <c r="I475" s="0" t="s">
        <v>21</v>
      </c>
      <c r="J475" s="0" t="s">
        <v>22</v>
      </c>
      <c r="K475" s="0" t="s">
        <v>89</v>
      </c>
      <c r="L475" s="0" t="str">
        <f aca="false">IFERROR(VLOOKUP(K475,'Supplier list'!B:C,2,0),"")</f>
        <v>บริษัท เฮเฟเล่ (ประเทศไทย) จำกัด</v>
      </c>
      <c r="M475" s="1" t="s">
        <v>24</v>
      </c>
      <c r="O475" s="2" t="n">
        <v>1178</v>
      </c>
    </row>
    <row r="476" customFormat="false" ht="16.4" hidden="false" customHeight="false" outlineLevel="0" collapsed="false">
      <c r="A476" s="0" t="s">
        <v>15</v>
      </c>
      <c r="B476" s="0" t="s">
        <v>1637</v>
      </c>
      <c r="C476" s="0" t="n">
        <v>114001</v>
      </c>
      <c r="D476" s="0" t="n">
        <v>114001</v>
      </c>
      <c r="E476" s="0" t="s">
        <v>1605</v>
      </c>
      <c r="F476" s="0" t="s">
        <v>18</v>
      </c>
      <c r="G476" s="0" t="s">
        <v>1638</v>
      </c>
      <c r="H476" s="0" t="s">
        <v>1639</v>
      </c>
      <c r="I476" s="0" t="s">
        <v>21</v>
      </c>
      <c r="J476" s="0" t="s">
        <v>22</v>
      </c>
      <c r="K476" s="0" t="s">
        <v>787</v>
      </c>
      <c r="L476" s="0" t="str">
        <f aca="false">IFERROR(VLOOKUP(K476,'Supplier list'!B:C,2,0),"")</f>
        <v>บริษัท ฟิวเจอร์เทค อินเตอร์มาร์เก็ตติ้ง จำกัด</v>
      </c>
      <c r="M476" s="1" t="s">
        <v>24</v>
      </c>
      <c r="O476" s="2" t="n">
        <v>2.25</v>
      </c>
    </row>
    <row r="477" customFormat="false" ht="16.4" hidden="false" customHeight="false" outlineLevel="0" collapsed="false">
      <c r="A477" s="0" t="s">
        <v>15</v>
      </c>
      <c r="B477" s="0" t="s">
        <v>1640</v>
      </c>
      <c r="C477" s="0" t="n">
        <v>114001</v>
      </c>
      <c r="D477" s="0" t="n">
        <v>114001</v>
      </c>
      <c r="E477" s="0" t="s">
        <v>940</v>
      </c>
      <c r="F477" s="0" t="s">
        <v>18</v>
      </c>
      <c r="G477" s="0" t="s">
        <v>1641</v>
      </c>
      <c r="H477" s="0" t="s">
        <v>1642</v>
      </c>
      <c r="I477" s="0" t="s">
        <v>21</v>
      </c>
      <c r="J477" s="0" t="s">
        <v>22</v>
      </c>
      <c r="K477" s="0" t="s">
        <v>787</v>
      </c>
      <c r="L477" s="0" t="str">
        <f aca="false">IFERROR(VLOOKUP(K477,'Supplier list'!B:C,2,0),"")</f>
        <v>บริษัท ฟิวเจอร์เทค อินเตอร์มาร์เก็ตติ้ง จำกัด</v>
      </c>
      <c r="M477" s="1" t="s">
        <v>24</v>
      </c>
      <c r="O477" s="2" t="n">
        <v>0.21</v>
      </c>
    </row>
    <row r="478" customFormat="false" ht="16.4" hidden="false" customHeight="false" outlineLevel="0" collapsed="false">
      <c r="A478" s="0" t="s">
        <v>15</v>
      </c>
      <c r="B478" s="0" t="s">
        <v>1643</v>
      </c>
      <c r="C478" s="0" t="n">
        <v>114001</v>
      </c>
      <c r="D478" s="0" t="n">
        <v>114001</v>
      </c>
      <c r="E478" s="0" t="s">
        <v>940</v>
      </c>
      <c r="F478" s="0" t="s">
        <v>18</v>
      </c>
      <c r="G478" s="0" t="s">
        <v>1644</v>
      </c>
      <c r="H478" s="0" t="s">
        <v>1645</v>
      </c>
      <c r="I478" s="0" t="s">
        <v>21</v>
      </c>
      <c r="J478" s="0" t="s">
        <v>22</v>
      </c>
      <c r="K478" s="0" t="s">
        <v>787</v>
      </c>
      <c r="L478" s="0" t="str">
        <f aca="false">IFERROR(VLOOKUP(K478,'Supplier list'!B:C,2,0),"")</f>
        <v>บริษัท ฟิวเจอร์เทค อินเตอร์มาร์เก็ตติ้ง จำกัด</v>
      </c>
      <c r="M478" s="1" t="s">
        <v>24</v>
      </c>
      <c r="O478" s="2" t="n">
        <v>25</v>
      </c>
    </row>
    <row r="479" customFormat="false" ht="16.4" hidden="false" customHeight="false" outlineLevel="0" collapsed="false">
      <c r="A479" s="0" t="s">
        <v>15</v>
      </c>
      <c r="B479" s="0" t="s">
        <v>1646</v>
      </c>
      <c r="C479" s="0" t="n">
        <v>114001</v>
      </c>
      <c r="D479" s="0" t="n">
        <v>114001</v>
      </c>
      <c r="E479" s="0" t="s">
        <v>940</v>
      </c>
      <c r="F479" s="0" t="s">
        <v>18</v>
      </c>
      <c r="G479" s="0" t="s">
        <v>1647</v>
      </c>
      <c r="H479" s="0" t="s">
        <v>1648</v>
      </c>
      <c r="I479" s="0" t="s">
        <v>21</v>
      </c>
      <c r="J479" s="0" t="s">
        <v>22</v>
      </c>
      <c r="K479" s="0" t="s">
        <v>787</v>
      </c>
      <c r="L479" s="0" t="str">
        <f aca="false">IFERROR(VLOOKUP(K479,'Supplier list'!B:C,2,0),"")</f>
        <v>บริษัท ฟิวเจอร์เทค อินเตอร์มาร์เก็ตติ้ง จำกัด</v>
      </c>
      <c r="M479" s="1" t="s">
        <v>24</v>
      </c>
      <c r="O479" s="2" t="n">
        <v>0.21</v>
      </c>
    </row>
    <row r="480" customFormat="false" ht="16.4" hidden="false" customHeight="false" outlineLevel="0" collapsed="false">
      <c r="A480" s="0" t="s">
        <v>15</v>
      </c>
      <c r="B480" s="0" t="s">
        <v>1649</v>
      </c>
      <c r="C480" s="0" t="n">
        <v>114001</v>
      </c>
      <c r="D480" s="0" t="n">
        <v>114001</v>
      </c>
      <c r="E480" s="0" t="s">
        <v>940</v>
      </c>
      <c r="F480" s="0" t="s">
        <v>18</v>
      </c>
      <c r="G480" s="0" t="s">
        <v>1650</v>
      </c>
      <c r="H480" s="0" t="s">
        <v>1651</v>
      </c>
      <c r="I480" s="0" t="s">
        <v>21</v>
      </c>
      <c r="J480" s="0" t="s">
        <v>22</v>
      </c>
      <c r="K480" s="0" t="s">
        <v>787</v>
      </c>
      <c r="L480" s="0" t="str">
        <f aca="false">IFERROR(VLOOKUP(K480,'Supplier list'!B:C,2,0),"")</f>
        <v>บริษัท ฟิวเจอร์เทค อินเตอร์มาร์เก็ตติ้ง จำกัด</v>
      </c>
      <c r="M480" s="1" t="s">
        <v>24</v>
      </c>
      <c r="O480" s="2" t="n">
        <v>0.21</v>
      </c>
    </row>
    <row r="481" customFormat="false" ht="16.4" hidden="false" customHeight="false" outlineLevel="0" collapsed="false">
      <c r="A481" s="0" t="s">
        <v>15</v>
      </c>
      <c r="B481" s="0" t="s">
        <v>1652</v>
      </c>
      <c r="C481" s="0" t="n">
        <v>114001</v>
      </c>
      <c r="D481" s="0" t="n">
        <v>114001</v>
      </c>
      <c r="E481" s="0" t="s">
        <v>1653</v>
      </c>
      <c r="F481" s="0" t="s">
        <v>18</v>
      </c>
      <c r="G481" s="0" t="s">
        <v>1654</v>
      </c>
      <c r="H481" s="0" t="s">
        <v>1655</v>
      </c>
      <c r="I481" s="0" t="s">
        <v>21</v>
      </c>
      <c r="J481" s="0" t="s">
        <v>22</v>
      </c>
      <c r="L481" s="0" t="str">
        <f aca="false">IFERROR(VLOOKUP(K481,'Supplier list'!B:C,2,0),"")</f>
        <v/>
      </c>
      <c r="M481" s="1" t="s">
        <v>24</v>
      </c>
      <c r="O481" s="2" t="n">
        <v>0</v>
      </c>
    </row>
    <row r="482" customFormat="false" ht="16.4" hidden="false" customHeight="false" outlineLevel="0" collapsed="false">
      <c r="A482" s="0" t="s">
        <v>15</v>
      </c>
      <c r="B482" s="0" t="s">
        <v>1656</v>
      </c>
      <c r="C482" s="0" t="n">
        <v>114001</v>
      </c>
      <c r="D482" s="0" t="n">
        <v>114001</v>
      </c>
      <c r="E482" s="0" t="s">
        <v>1653</v>
      </c>
      <c r="F482" s="0" t="s">
        <v>18</v>
      </c>
      <c r="G482" s="0" t="s">
        <v>1657</v>
      </c>
      <c r="H482" s="0" t="s">
        <v>1658</v>
      </c>
      <c r="I482" s="0" t="s">
        <v>21</v>
      </c>
      <c r="J482" s="0" t="s">
        <v>22</v>
      </c>
      <c r="L482" s="0" t="str">
        <f aca="false">IFERROR(VLOOKUP(K482,'Supplier list'!B:C,2,0),"")</f>
        <v/>
      </c>
      <c r="M482" s="1" t="s">
        <v>24</v>
      </c>
      <c r="O482" s="2" t="n">
        <v>0</v>
      </c>
    </row>
    <row r="483" customFormat="false" ht="16.4" hidden="false" customHeight="false" outlineLevel="0" collapsed="false">
      <c r="A483" s="0" t="s">
        <v>15</v>
      </c>
      <c r="B483" s="0" t="s">
        <v>1659</v>
      </c>
      <c r="C483" s="0" t="n">
        <v>114001</v>
      </c>
      <c r="D483" s="0" t="n">
        <v>114001</v>
      </c>
      <c r="E483" s="0" t="s">
        <v>1605</v>
      </c>
      <c r="F483" s="0" t="s">
        <v>18</v>
      </c>
      <c r="G483" s="0" t="s">
        <v>1660</v>
      </c>
      <c r="H483" s="0" t="s">
        <v>1661</v>
      </c>
      <c r="I483" s="0" t="s">
        <v>21</v>
      </c>
      <c r="J483" s="0" t="s">
        <v>22</v>
      </c>
      <c r="K483" s="0" t="s">
        <v>787</v>
      </c>
      <c r="L483" s="0" t="str">
        <f aca="false">IFERROR(VLOOKUP(K483,'Supplier list'!B:C,2,0),"")</f>
        <v>บริษัท ฟิวเจอร์เทค อินเตอร์มาร์เก็ตติ้ง จำกัด</v>
      </c>
      <c r="M483" s="1" t="s">
        <v>24</v>
      </c>
      <c r="O483" s="2" t="n">
        <v>100</v>
      </c>
    </row>
    <row r="484" customFormat="false" ht="16.4" hidden="false" customHeight="false" outlineLevel="0" collapsed="false">
      <c r="A484" s="0" t="s">
        <v>15</v>
      </c>
      <c r="B484" s="0" t="s">
        <v>1662</v>
      </c>
      <c r="C484" s="0" t="n">
        <v>114001</v>
      </c>
      <c r="D484" s="0" t="n">
        <v>114001</v>
      </c>
      <c r="E484" s="0" t="s">
        <v>1605</v>
      </c>
      <c r="F484" s="0" t="s">
        <v>18</v>
      </c>
      <c r="G484" s="0" t="s">
        <v>1663</v>
      </c>
      <c r="H484" s="0" t="s">
        <v>1664</v>
      </c>
      <c r="I484" s="0" t="s">
        <v>21</v>
      </c>
      <c r="J484" s="0" t="s">
        <v>22</v>
      </c>
      <c r="K484" s="0" t="s">
        <v>787</v>
      </c>
      <c r="L484" s="0" t="str">
        <f aca="false">IFERROR(VLOOKUP(K484,'Supplier list'!B:C,2,0),"")</f>
        <v>บริษัท ฟิวเจอร์เทค อินเตอร์มาร์เก็ตติ้ง จำกัด</v>
      </c>
      <c r="M484" s="1" t="s">
        <v>24</v>
      </c>
      <c r="O484" s="2" t="n">
        <v>100</v>
      </c>
    </row>
    <row r="485" customFormat="false" ht="16.4" hidden="false" customHeight="false" outlineLevel="0" collapsed="false">
      <c r="A485" s="0" t="s">
        <v>15</v>
      </c>
      <c r="B485" s="0" t="s">
        <v>1665</v>
      </c>
      <c r="C485" s="0" t="n">
        <v>114001</v>
      </c>
      <c r="D485" s="0" t="n">
        <v>114001</v>
      </c>
      <c r="E485" s="0" t="s">
        <v>1605</v>
      </c>
      <c r="F485" s="0" t="s">
        <v>18</v>
      </c>
      <c r="G485" s="0" t="s">
        <v>1666</v>
      </c>
      <c r="H485" s="0" t="s">
        <v>1667</v>
      </c>
      <c r="I485" s="0" t="s">
        <v>21</v>
      </c>
      <c r="J485" s="0" t="s">
        <v>22</v>
      </c>
      <c r="K485" s="0" t="s">
        <v>89</v>
      </c>
      <c r="L485" s="0" t="str">
        <f aca="false">IFERROR(VLOOKUP(K485,'Supplier list'!B:C,2,0),"")</f>
        <v>บริษัท เฮเฟเล่ (ประเทศไทย) จำกัด</v>
      </c>
      <c r="M485" s="1" t="s">
        <v>24</v>
      </c>
      <c r="O485" s="2" t="n">
        <v>1</v>
      </c>
    </row>
    <row r="486" customFormat="false" ht="16.4" hidden="false" customHeight="false" outlineLevel="0" collapsed="false">
      <c r="A486" s="0" t="s">
        <v>15</v>
      </c>
      <c r="B486" s="0" t="s">
        <v>1668</v>
      </c>
      <c r="C486" s="0" t="n">
        <v>114001</v>
      </c>
      <c r="D486" s="0" t="n">
        <v>114001</v>
      </c>
      <c r="E486" s="0" t="s">
        <v>1605</v>
      </c>
      <c r="F486" s="0" t="s">
        <v>18</v>
      </c>
      <c r="G486" s="0" t="s">
        <v>1669</v>
      </c>
      <c r="H486" s="0" t="s">
        <v>1670</v>
      </c>
      <c r="I486" s="0" t="s">
        <v>21</v>
      </c>
      <c r="J486" s="0" t="s">
        <v>22</v>
      </c>
      <c r="K486" s="0" t="s">
        <v>89</v>
      </c>
      <c r="L486" s="0" t="str">
        <f aca="false">IFERROR(VLOOKUP(K486,'Supplier list'!B:C,2,0),"")</f>
        <v>บริษัท เฮเฟเล่ (ประเทศไทย) จำกัด</v>
      </c>
      <c r="M486" s="1" t="s">
        <v>24</v>
      </c>
      <c r="O486" s="2" t="n">
        <v>1</v>
      </c>
    </row>
    <row r="487" customFormat="false" ht="16.4" hidden="false" customHeight="false" outlineLevel="0" collapsed="false">
      <c r="A487" s="0" t="s">
        <v>15</v>
      </c>
      <c r="B487" s="0" t="s">
        <v>1671</v>
      </c>
      <c r="C487" s="0" t="n">
        <v>114001</v>
      </c>
      <c r="D487" s="0" t="n">
        <v>114001</v>
      </c>
      <c r="E487" s="0" t="s">
        <v>965</v>
      </c>
      <c r="F487" s="0" t="s">
        <v>18</v>
      </c>
      <c r="G487" s="0" t="s">
        <v>1672</v>
      </c>
      <c r="H487" s="0" t="s">
        <v>1673</v>
      </c>
      <c r="I487" s="0" t="s">
        <v>124</v>
      </c>
      <c r="J487" s="0" t="s">
        <v>125</v>
      </c>
      <c r="L487" s="0" t="str">
        <f aca="false">IFERROR(VLOOKUP(K487,'Supplier list'!B:C,2,0),"")</f>
        <v/>
      </c>
      <c r="M487" s="1" t="s">
        <v>24</v>
      </c>
      <c r="O487" s="2" t="n">
        <v>450</v>
      </c>
    </row>
    <row r="488" customFormat="false" ht="16.4" hidden="false" customHeight="false" outlineLevel="0" collapsed="false">
      <c r="A488" s="0" t="s">
        <v>15</v>
      </c>
      <c r="B488" s="0" t="s">
        <v>1674</v>
      </c>
      <c r="C488" s="0" t="n">
        <v>114001</v>
      </c>
      <c r="D488" s="0" t="n">
        <v>114001</v>
      </c>
      <c r="E488" s="0" t="s">
        <v>965</v>
      </c>
      <c r="F488" s="0" t="s">
        <v>18</v>
      </c>
      <c r="G488" s="0" t="s">
        <v>1675</v>
      </c>
      <c r="H488" s="0" t="s">
        <v>1676</v>
      </c>
      <c r="I488" s="0" t="s">
        <v>124</v>
      </c>
      <c r="J488" s="0" t="s">
        <v>125</v>
      </c>
      <c r="L488" s="0" t="str">
        <f aca="false">IFERROR(VLOOKUP(K488,'Supplier list'!B:C,2,0),"")</f>
        <v/>
      </c>
      <c r="M488" s="1" t="s">
        <v>24</v>
      </c>
      <c r="O488" s="2" t="n">
        <v>45</v>
      </c>
    </row>
    <row r="489" customFormat="false" ht="16.4" hidden="false" customHeight="false" outlineLevel="0" collapsed="false">
      <c r="A489" s="0" t="s">
        <v>15</v>
      </c>
      <c r="B489" s="0" t="s">
        <v>1677</v>
      </c>
      <c r="C489" s="0" t="n">
        <v>114001</v>
      </c>
      <c r="D489" s="0" t="n">
        <v>114001</v>
      </c>
      <c r="E489" s="0" t="s">
        <v>139</v>
      </c>
      <c r="F489" s="0" t="s">
        <v>18</v>
      </c>
      <c r="G489" s="0" t="s">
        <v>1678</v>
      </c>
      <c r="H489" s="0" t="s">
        <v>1679</v>
      </c>
      <c r="I489" s="0" t="s">
        <v>21</v>
      </c>
      <c r="J489" s="0" t="s">
        <v>22</v>
      </c>
      <c r="L489" s="0" t="str">
        <f aca="false">IFERROR(VLOOKUP(K489,'Supplier list'!B:C,2,0),"")</f>
        <v/>
      </c>
      <c r="M489" s="1" t="s">
        <v>24</v>
      </c>
      <c r="O489" s="2" t="n">
        <v>208</v>
      </c>
    </row>
    <row r="490" customFormat="false" ht="16.4" hidden="false" customHeight="false" outlineLevel="0" collapsed="false">
      <c r="A490" s="0" t="s">
        <v>15</v>
      </c>
      <c r="B490" s="0" t="s">
        <v>1680</v>
      </c>
      <c r="C490" s="0" t="n">
        <v>114001</v>
      </c>
      <c r="D490" s="0" t="n">
        <v>114001</v>
      </c>
      <c r="E490" s="0" t="s">
        <v>1605</v>
      </c>
      <c r="F490" s="0" t="s">
        <v>18</v>
      </c>
      <c r="G490" s="0" t="s">
        <v>1681</v>
      </c>
      <c r="H490" s="0" t="s">
        <v>1682</v>
      </c>
      <c r="I490" s="0" t="s">
        <v>21</v>
      </c>
      <c r="J490" s="0" t="s">
        <v>22</v>
      </c>
      <c r="K490" s="0" t="s">
        <v>89</v>
      </c>
      <c r="L490" s="0" t="str">
        <f aca="false">IFERROR(VLOOKUP(K490,'Supplier list'!B:C,2,0),"")</f>
        <v>บริษัท เฮเฟเล่ (ประเทศไทย) จำกัด</v>
      </c>
      <c r="M490" s="1" t="s">
        <v>24</v>
      </c>
      <c r="O490" s="2" t="n">
        <v>103</v>
      </c>
    </row>
    <row r="491" customFormat="false" ht="16.4" hidden="false" customHeight="false" outlineLevel="0" collapsed="false">
      <c r="A491" s="0" t="s">
        <v>15</v>
      </c>
      <c r="B491" s="0" t="s">
        <v>1683</v>
      </c>
      <c r="C491" s="0" t="n">
        <v>114001</v>
      </c>
      <c r="D491" s="0" t="n">
        <v>114001</v>
      </c>
      <c r="E491" s="0" t="s">
        <v>1684</v>
      </c>
      <c r="F491" s="0" t="s">
        <v>18</v>
      </c>
      <c r="G491" s="0" t="s">
        <v>1685</v>
      </c>
      <c r="H491" s="0" t="s">
        <v>1686</v>
      </c>
      <c r="I491" s="0" t="s">
        <v>248</v>
      </c>
      <c r="J491" s="0" t="s">
        <v>249</v>
      </c>
      <c r="K491" s="0" t="s">
        <v>89</v>
      </c>
      <c r="L491" s="0" t="str">
        <f aca="false">IFERROR(VLOOKUP(K491,'Supplier list'!B:C,2,0),"")</f>
        <v>บริษัท เฮเฟเล่ (ประเทศไทย) จำกัด</v>
      </c>
      <c r="M491" s="1" t="s">
        <v>24</v>
      </c>
      <c r="O491" s="2" t="n">
        <v>3477</v>
      </c>
    </row>
    <row r="492" customFormat="false" ht="16.4" hidden="false" customHeight="false" outlineLevel="0" collapsed="false">
      <c r="A492" s="0" t="s">
        <v>15</v>
      </c>
      <c r="B492" s="0" t="s">
        <v>1687</v>
      </c>
      <c r="C492" s="0" t="n">
        <v>114001</v>
      </c>
      <c r="D492" s="0" t="n">
        <v>114001</v>
      </c>
      <c r="E492" s="0" t="s">
        <v>1605</v>
      </c>
      <c r="F492" s="0" t="s">
        <v>18</v>
      </c>
      <c r="G492" s="0" t="s">
        <v>1688</v>
      </c>
      <c r="H492" s="0" t="s">
        <v>1689</v>
      </c>
      <c r="I492" s="0" t="s">
        <v>21</v>
      </c>
      <c r="J492" s="0" t="s">
        <v>22</v>
      </c>
      <c r="L492" s="0" t="str">
        <f aca="false">IFERROR(VLOOKUP(K492,'Supplier list'!B:C,2,0),"")</f>
        <v/>
      </c>
      <c r="M492" s="1" t="s">
        <v>24</v>
      </c>
      <c r="O492" s="2" t="n">
        <v>7990</v>
      </c>
    </row>
    <row r="493" customFormat="false" ht="16.4" hidden="false" customHeight="false" outlineLevel="0" collapsed="false">
      <c r="A493" s="0" t="s">
        <v>15</v>
      </c>
      <c r="B493" s="0" t="s">
        <v>1690</v>
      </c>
      <c r="C493" s="0" t="n">
        <v>114001</v>
      </c>
      <c r="D493" s="0" t="n">
        <v>114001</v>
      </c>
      <c r="E493" s="0" t="s">
        <v>1605</v>
      </c>
      <c r="F493" s="0" t="s">
        <v>18</v>
      </c>
      <c r="G493" s="0" t="s">
        <v>1691</v>
      </c>
      <c r="H493" s="0" t="s">
        <v>1692</v>
      </c>
      <c r="I493" s="0" t="s">
        <v>21</v>
      </c>
      <c r="J493" s="0" t="s">
        <v>22</v>
      </c>
      <c r="L493" s="0" t="str">
        <f aca="false">IFERROR(VLOOKUP(K493,'Supplier list'!B:C,2,0),"")</f>
        <v/>
      </c>
      <c r="M493" s="1" t="s">
        <v>24</v>
      </c>
      <c r="O493" s="2" t="n">
        <v>138</v>
      </c>
    </row>
    <row r="494" customFormat="false" ht="16.4" hidden="false" customHeight="false" outlineLevel="0" collapsed="false">
      <c r="A494" s="0" t="s">
        <v>15</v>
      </c>
      <c r="B494" s="0" t="s">
        <v>1693</v>
      </c>
      <c r="C494" s="0" t="n">
        <v>114001</v>
      </c>
      <c r="D494" s="0" t="n">
        <v>114001</v>
      </c>
      <c r="E494" s="0" t="s">
        <v>1605</v>
      </c>
      <c r="F494" s="0" t="s">
        <v>18</v>
      </c>
      <c r="G494" s="0" t="s">
        <v>1694</v>
      </c>
      <c r="H494" s="0" t="s">
        <v>1695</v>
      </c>
      <c r="I494" s="0" t="s">
        <v>1696</v>
      </c>
      <c r="J494" s="0" t="s">
        <v>1697</v>
      </c>
      <c r="K494" s="0" t="s">
        <v>56</v>
      </c>
      <c r="L494" s="0" t="str">
        <f aca="false">IFERROR(VLOOKUP(K494,'Supplier list'!B:C,2,0),"")</f>
        <v>CO.,LTD QINGDAO NEW LIBERTY INT'L TRADING CO.LTD.</v>
      </c>
      <c r="M494" s="1" t="s">
        <v>24</v>
      </c>
      <c r="O494" s="2" t="n">
        <v>63</v>
      </c>
    </row>
    <row r="495" customFormat="false" ht="16.4" hidden="false" customHeight="false" outlineLevel="0" collapsed="false">
      <c r="A495" s="0" t="s">
        <v>15</v>
      </c>
      <c r="B495" s="0" t="s">
        <v>1698</v>
      </c>
      <c r="C495" s="0" t="n">
        <v>114001</v>
      </c>
      <c r="D495" s="0" t="n">
        <v>114001</v>
      </c>
      <c r="E495" s="0" t="s">
        <v>1684</v>
      </c>
      <c r="F495" s="0" t="s">
        <v>18</v>
      </c>
      <c r="G495" s="0" t="s">
        <v>1699</v>
      </c>
      <c r="H495" s="0" t="s">
        <v>1700</v>
      </c>
      <c r="I495" s="0" t="s">
        <v>396</v>
      </c>
      <c r="J495" s="0" t="s">
        <v>397</v>
      </c>
      <c r="L495" s="0" t="str">
        <f aca="false">IFERROR(VLOOKUP(K495,'Supplier list'!B:C,2,0),"")</f>
        <v/>
      </c>
      <c r="M495" s="1" t="s">
        <v>24</v>
      </c>
      <c r="O495" s="2" t="n">
        <v>637</v>
      </c>
    </row>
    <row r="496" customFormat="false" ht="16.4" hidden="false" customHeight="false" outlineLevel="0" collapsed="false">
      <c r="A496" s="0" t="s">
        <v>15</v>
      </c>
      <c r="B496" s="0" t="s">
        <v>1701</v>
      </c>
      <c r="C496" s="0" t="n">
        <v>114001</v>
      </c>
      <c r="D496" s="0" t="n">
        <v>114001</v>
      </c>
      <c r="E496" s="0" t="s">
        <v>1684</v>
      </c>
      <c r="F496" s="0" t="s">
        <v>18</v>
      </c>
      <c r="G496" s="0" t="s">
        <v>1702</v>
      </c>
      <c r="H496" s="0" t="s">
        <v>1703</v>
      </c>
      <c r="I496" s="0" t="s">
        <v>396</v>
      </c>
      <c r="J496" s="0" t="s">
        <v>397</v>
      </c>
      <c r="K496" s="0" t="s">
        <v>89</v>
      </c>
      <c r="L496" s="0" t="str">
        <f aca="false">IFERROR(VLOOKUP(K496,'Supplier list'!B:C,2,0),"")</f>
        <v>บริษัท เฮเฟเล่ (ประเทศไทย) จำกัด</v>
      </c>
      <c r="M496" s="1" t="s">
        <v>24</v>
      </c>
      <c r="O496" s="2" t="n">
        <v>6309</v>
      </c>
    </row>
    <row r="497" customFormat="false" ht="16.4" hidden="false" customHeight="false" outlineLevel="0" collapsed="false">
      <c r="A497" s="0" t="s">
        <v>15</v>
      </c>
      <c r="B497" s="0" t="s">
        <v>1704</v>
      </c>
      <c r="C497" s="0" t="n">
        <v>114001</v>
      </c>
      <c r="D497" s="0" t="n">
        <v>114001</v>
      </c>
      <c r="E497" s="0" t="s">
        <v>1684</v>
      </c>
      <c r="F497" s="0" t="s">
        <v>18</v>
      </c>
      <c r="G497" s="0" t="s">
        <v>1705</v>
      </c>
      <c r="H497" s="0" t="s">
        <v>1706</v>
      </c>
      <c r="I497" s="0" t="s">
        <v>396</v>
      </c>
      <c r="J497" s="0" t="s">
        <v>397</v>
      </c>
      <c r="K497" s="0" t="s">
        <v>89</v>
      </c>
      <c r="L497" s="0" t="str">
        <f aca="false">IFERROR(VLOOKUP(K497,'Supplier list'!B:C,2,0),"")</f>
        <v>บริษัท เฮเฟเล่ (ประเทศไทย) จำกัด</v>
      </c>
      <c r="M497" s="1" t="s">
        <v>24</v>
      </c>
      <c r="O497" s="2" t="n">
        <v>6309</v>
      </c>
    </row>
    <row r="498" customFormat="false" ht="16.4" hidden="false" customHeight="false" outlineLevel="0" collapsed="false">
      <c r="A498" s="0" t="s">
        <v>15</v>
      </c>
      <c r="B498" s="0" t="s">
        <v>1707</v>
      </c>
      <c r="C498" s="0" t="n">
        <v>114001</v>
      </c>
      <c r="D498" s="0" t="n">
        <v>114001</v>
      </c>
      <c r="E498" s="0" t="s">
        <v>1653</v>
      </c>
      <c r="F498" s="0" t="s">
        <v>18</v>
      </c>
      <c r="G498" s="0" t="s">
        <v>1708</v>
      </c>
      <c r="H498" s="0" t="s">
        <v>1709</v>
      </c>
      <c r="I498" s="0" t="s">
        <v>142</v>
      </c>
      <c r="J498" s="0" t="s">
        <v>143</v>
      </c>
      <c r="L498" s="0" t="str">
        <f aca="false">IFERROR(VLOOKUP(K498,'Supplier list'!B:C,2,0),"")</f>
        <v/>
      </c>
      <c r="M498" s="1" t="s">
        <v>24</v>
      </c>
      <c r="O498" s="2" t="n">
        <v>189</v>
      </c>
    </row>
    <row r="499" customFormat="false" ht="16.4" hidden="false" customHeight="false" outlineLevel="0" collapsed="false">
      <c r="A499" s="0" t="s">
        <v>15</v>
      </c>
      <c r="B499" s="0" t="s">
        <v>1710</v>
      </c>
      <c r="C499" s="0" t="n">
        <v>114001</v>
      </c>
      <c r="D499" s="0" t="n">
        <v>114001</v>
      </c>
      <c r="E499" s="0" t="s">
        <v>1653</v>
      </c>
      <c r="F499" s="0" t="s">
        <v>18</v>
      </c>
      <c r="G499" s="0" t="s">
        <v>1711</v>
      </c>
      <c r="H499" s="0" t="s">
        <v>1712</v>
      </c>
      <c r="I499" s="0" t="s">
        <v>142</v>
      </c>
      <c r="J499" s="0" t="s">
        <v>143</v>
      </c>
      <c r="L499" s="0" t="str">
        <f aca="false">IFERROR(VLOOKUP(K499,'Supplier list'!B:C,2,0),"")</f>
        <v/>
      </c>
      <c r="M499" s="1" t="s">
        <v>24</v>
      </c>
      <c r="O499" s="2" t="n">
        <v>299</v>
      </c>
    </row>
    <row r="500" customFormat="false" ht="16.4" hidden="false" customHeight="false" outlineLevel="0" collapsed="false">
      <c r="A500" s="0" t="s">
        <v>15</v>
      </c>
      <c r="B500" s="0" t="s">
        <v>1713</v>
      </c>
      <c r="C500" s="0" t="n">
        <v>114001</v>
      </c>
      <c r="D500" s="0" t="n">
        <v>114001</v>
      </c>
      <c r="E500" s="0" t="s">
        <v>1653</v>
      </c>
      <c r="F500" s="0" t="s">
        <v>18</v>
      </c>
      <c r="G500" s="0" t="s">
        <v>1714</v>
      </c>
      <c r="H500" s="0" t="s">
        <v>1715</v>
      </c>
      <c r="I500" s="0" t="s">
        <v>142</v>
      </c>
      <c r="J500" s="0" t="s">
        <v>143</v>
      </c>
      <c r="L500" s="0" t="str">
        <f aca="false">IFERROR(VLOOKUP(K500,'Supplier list'!B:C,2,0),"")</f>
        <v/>
      </c>
      <c r="M500" s="1" t="s">
        <v>24</v>
      </c>
      <c r="O500" s="2" t="n">
        <v>400</v>
      </c>
    </row>
    <row r="501" customFormat="false" ht="16.4" hidden="false" customHeight="false" outlineLevel="0" collapsed="false">
      <c r="A501" s="0" t="s">
        <v>15</v>
      </c>
      <c r="B501" s="0" t="s">
        <v>1716</v>
      </c>
      <c r="C501" s="0" t="n">
        <v>114001</v>
      </c>
      <c r="D501" s="0" t="n">
        <v>114001</v>
      </c>
      <c r="E501" s="0" t="s">
        <v>1605</v>
      </c>
      <c r="F501" s="0" t="s">
        <v>18</v>
      </c>
      <c r="G501" s="0" t="s">
        <v>1717</v>
      </c>
      <c r="H501" s="0" t="s">
        <v>1718</v>
      </c>
      <c r="I501" s="0" t="s">
        <v>124</v>
      </c>
      <c r="J501" s="0" t="s">
        <v>125</v>
      </c>
      <c r="K501" s="0" t="s">
        <v>89</v>
      </c>
      <c r="L501" s="0" t="str">
        <f aca="false">IFERROR(VLOOKUP(K501,'Supplier list'!B:C,2,0),"")</f>
        <v>บริษัท เฮเฟเล่ (ประเทศไทย) จำกัด</v>
      </c>
      <c r="M501" s="1" t="s">
        <v>24</v>
      </c>
      <c r="O501" s="2" t="n">
        <v>4215</v>
      </c>
    </row>
    <row r="502" customFormat="false" ht="16.4" hidden="false" customHeight="false" outlineLevel="0" collapsed="false">
      <c r="A502" s="0" t="s">
        <v>15</v>
      </c>
      <c r="B502" s="0" t="s">
        <v>1719</v>
      </c>
      <c r="C502" s="0" t="n">
        <v>114001</v>
      </c>
      <c r="D502" s="0" t="n">
        <v>114001</v>
      </c>
      <c r="E502" s="0" t="s">
        <v>1605</v>
      </c>
      <c r="F502" s="0" t="s">
        <v>18</v>
      </c>
      <c r="G502" s="0" t="s">
        <v>1720</v>
      </c>
      <c r="H502" s="0" t="s">
        <v>1721</v>
      </c>
      <c r="I502" s="0" t="s">
        <v>124</v>
      </c>
      <c r="J502" s="0" t="s">
        <v>125</v>
      </c>
      <c r="L502" s="0" t="str">
        <f aca="false">IFERROR(VLOOKUP(K502,'Supplier list'!B:C,2,0),"")</f>
        <v/>
      </c>
      <c r="M502" s="1" t="s">
        <v>24</v>
      </c>
      <c r="O502" s="2" t="n">
        <v>2870</v>
      </c>
    </row>
    <row r="503" customFormat="false" ht="16.4" hidden="false" customHeight="false" outlineLevel="0" collapsed="false">
      <c r="A503" s="0" t="s">
        <v>15</v>
      </c>
      <c r="B503" s="0" t="s">
        <v>1722</v>
      </c>
      <c r="C503" s="0" t="n">
        <v>114001</v>
      </c>
      <c r="D503" s="0" t="n">
        <v>114001</v>
      </c>
      <c r="E503" s="0" t="s">
        <v>961</v>
      </c>
      <c r="F503" s="0" t="s">
        <v>18</v>
      </c>
      <c r="G503" s="0" t="s">
        <v>1723</v>
      </c>
      <c r="H503" s="0" t="s">
        <v>1724</v>
      </c>
      <c r="I503" s="0" t="s">
        <v>21</v>
      </c>
      <c r="J503" s="0" t="s">
        <v>22</v>
      </c>
      <c r="K503" s="0" t="s">
        <v>1725</v>
      </c>
      <c r="L503" s="0" t="str">
        <f aca="false">IFERROR(VLOOKUP(K503,'Supplier list'!B:C,2,0),"")</f>
        <v>บริษัท พรีซิชั่นไลน์ จำกัด</v>
      </c>
      <c r="M503" s="1" t="s">
        <v>24</v>
      </c>
      <c r="O503" s="2" t="n">
        <v>16</v>
      </c>
    </row>
    <row r="504" customFormat="false" ht="16.4" hidden="false" customHeight="false" outlineLevel="0" collapsed="false">
      <c r="A504" s="0" t="s">
        <v>15</v>
      </c>
      <c r="B504" s="0" t="s">
        <v>1726</v>
      </c>
      <c r="C504" s="0" t="n">
        <v>114001</v>
      </c>
      <c r="D504" s="0" t="n">
        <v>114001</v>
      </c>
      <c r="E504" s="0" t="s">
        <v>1727</v>
      </c>
      <c r="F504" s="0" t="s">
        <v>18</v>
      </c>
      <c r="G504" s="0" t="s">
        <v>1728</v>
      </c>
      <c r="H504" s="0" t="s">
        <v>1729</v>
      </c>
      <c r="I504" s="0" t="s">
        <v>701</v>
      </c>
      <c r="J504" s="0" t="s">
        <v>22</v>
      </c>
      <c r="K504" s="0" t="s">
        <v>787</v>
      </c>
      <c r="L504" s="0" t="str">
        <f aca="false">IFERROR(VLOOKUP(K504,'Supplier list'!B:C,2,0),"")</f>
        <v>บริษัท ฟิวเจอร์เทค อินเตอร์มาร์เก็ตติ้ง จำกัด</v>
      </c>
      <c r="M504" s="1" t="s">
        <v>24</v>
      </c>
      <c r="O504" s="2" t="n">
        <v>245</v>
      </c>
    </row>
    <row r="505" customFormat="false" ht="16.4" hidden="false" customHeight="false" outlineLevel="0" collapsed="false">
      <c r="A505" s="0" t="s">
        <v>15</v>
      </c>
      <c r="B505" s="0" t="s">
        <v>1730</v>
      </c>
      <c r="C505" s="0" t="n">
        <v>114001</v>
      </c>
      <c r="D505" s="0" t="n">
        <v>114001</v>
      </c>
      <c r="E505" s="0" t="s">
        <v>1727</v>
      </c>
      <c r="F505" s="0" t="s">
        <v>18</v>
      </c>
      <c r="G505" s="0" t="s">
        <v>1731</v>
      </c>
      <c r="H505" s="0" t="s">
        <v>1732</v>
      </c>
      <c r="I505" s="0" t="s">
        <v>701</v>
      </c>
      <c r="J505" s="0" t="s">
        <v>22</v>
      </c>
      <c r="K505" s="0" t="s">
        <v>787</v>
      </c>
      <c r="L505" s="0" t="str">
        <f aca="false">IFERROR(VLOOKUP(K505,'Supplier list'!B:C,2,0),"")</f>
        <v>บริษัท ฟิวเจอร์เทค อินเตอร์มาร์เก็ตติ้ง จำกัด</v>
      </c>
      <c r="M505" s="1" t="s">
        <v>24</v>
      </c>
      <c r="O505" s="2" t="n">
        <v>265</v>
      </c>
    </row>
    <row r="506" customFormat="false" ht="16.4" hidden="false" customHeight="false" outlineLevel="0" collapsed="false">
      <c r="A506" s="0" t="s">
        <v>15</v>
      </c>
      <c r="B506" s="0" t="s">
        <v>1733</v>
      </c>
      <c r="C506" s="0" t="n">
        <v>114001</v>
      </c>
      <c r="D506" s="0" t="n">
        <v>114001</v>
      </c>
      <c r="E506" s="0" t="s">
        <v>1734</v>
      </c>
      <c r="F506" s="0" t="s">
        <v>18</v>
      </c>
      <c r="G506" s="0" t="s">
        <v>1735</v>
      </c>
      <c r="H506" s="0" t="s">
        <v>1736</v>
      </c>
      <c r="I506" s="0" t="s">
        <v>21</v>
      </c>
      <c r="J506" s="0" t="s">
        <v>22</v>
      </c>
      <c r="K506" s="0" t="s">
        <v>89</v>
      </c>
      <c r="L506" s="0" t="str">
        <f aca="false">IFERROR(VLOOKUP(K506,'Supplier list'!B:C,2,0),"")</f>
        <v>บริษัท เฮเฟเล่ (ประเทศไทย) จำกัด</v>
      </c>
      <c r="M506" s="1" t="s">
        <v>24</v>
      </c>
      <c r="O506" s="2" t="n">
        <v>115</v>
      </c>
    </row>
    <row r="507" customFormat="false" ht="16.4" hidden="false" customHeight="false" outlineLevel="0" collapsed="false">
      <c r="A507" s="0" t="s">
        <v>15</v>
      </c>
      <c r="B507" s="0" t="s">
        <v>1737</v>
      </c>
      <c r="C507" s="0" t="n">
        <v>114001</v>
      </c>
      <c r="D507" s="0" t="n">
        <v>114001</v>
      </c>
      <c r="E507" s="0" t="s">
        <v>1727</v>
      </c>
      <c r="F507" s="0" t="s">
        <v>18</v>
      </c>
      <c r="G507" s="0" t="s">
        <v>1738</v>
      </c>
      <c r="H507" s="0" t="s">
        <v>1739</v>
      </c>
      <c r="I507" s="0" t="s">
        <v>701</v>
      </c>
      <c r="J507" s="0" t="s">
        <v>22</v>
      </c>
      <c r="K507" s="0" t="s">
        <v>787</v>
      </c>
      <c r="L507" s="0" t="str">
        <f aca="false">IFERROR(VLOOKUP(K507,'Supplier list'!B:C,2,0),"")</f>
        <v>บริษัท ฟิวเจอร์เทค อินเตอร์มาร์เก็ตติ้ง จำกัด</v>
      </c>
      <c r="M507" s="1" t="s">
        <v>1740</v>
      </c>
      <c r="N507" s="2" t="n">
        <v>890</v>
      </c>
      <c r="O507" s="2" t="n">
        <v>358</v>
      </c>
    </row>
    <row r="508" customFormat="false" ht="16.4" hidden="false" customHeight="false" outlineLevel="0" collapsed="false">
      <c r="A508" s="0" t="s">
        <v>15</v>
      </c>
      <c r="B508" s="0" t="s">
        <v>1741</v>
      </c>
      <c r="C508" s="0" t="n">
        <v>114001</v>
      </c>
      <c r="D508" s="0" t="n">
        <v>114001</v>
      </c>
      <c r="E508" s="0" t="s">
        <v>1727</v>
      </c>
      <c r="F508" s="0" t="s">
        <v>18</v>
      </c>
      <c r="G508" s="0" t="s">
        <v>1742</v>
      </c>
      <c r="H508" s="0" t="s">
        <v>1743</v>
      </c>
      <c r="I508" s="0" t="s">
        <v>701</v>
      </c>
      <c r="J508" s="0" t="s">
        <v>22</v>
      </c>
      <c r="K508" s="0" t="s">
        <v>787</v>
      </c>
      <c r="L508" s="0" t="str">
        <f aca="false">IFERROR(VLOOKUP(K508,'Supplier list'!B:C,2,0),"")</f>
        <v>บริษัท ฟิวเจอร์เทค อินเตอร์มาร์เก็ตติ้ง จำกัด</v>
      </c>
      <c r="M508" s="1" t="s">
        <v>1740</v>
      </c>
      <c r="N508" s="2" t="n">
        <v>690</v>
      </c>
      <c r="O508" s="2" t="n">
        <v>260</v>
      </c>
    </row>
    <row r="509" customFormat="false" ht="16.4" hidden="false" customHeight="false" outlineLevel="0" collapsed="false">
      <c r="A509" s="0" t="s">
        <v>15</v>
      </c>
      <c r="B509" s="0" t="s">
        <v>1744</v>
      </c>
      <c r="C509" s="0" t="n">
        <v>114001</v>
      </c>
      <c r="D509" s="0" t="n">
        <v>114001</v>
      </c>
      <c r="E509" s="0" t="s">
        <v>1727</v>
      </c>
      <c r="F509" s="0" t="s">
        <v>18</v>
      </c>
      <c r="G509" s="0" t="s">
        <v>1745</v>
      </c>
      <c r="H509" s="0" t="s">
        <v>1746</v>
      </c>
      <c r="I509" s="0" t="s">
        <v>701</v>
      </c>
      <c r="J509" s="0" t="s">
        <v>22</v>
      </c>
      <c r="K509" s="0" t="s">
        <v>787</v>
      </c>
      <c r="L509" s="0" t="str">
        <f aca="false">IFERROR(VLOOKUP(K509,'Supplier list'!B:C,2,0),"")</f>
        <v>บริษัท ฟิวเจอร์เทค อินเตอร์มาร์เก็ตติ้ง จำกัด</v>
      </c>
      <c r="M509" s="1" t="s">
        <v>1740</v>
      </c>
      <c r="N509" s="2" t="n">
        <v>990</v>
      </c>
      <c r="O509" s="2" t="n">
        <v>423</v>
      </c>
    </row>
    <row r="510" customFormat="false" ht="16.4" hidden="false" customHeight="false" outlineLevel="0" collapsed="false">
      <c r="A510" s="0" t="s">
        <v>15</v>
      </c>
      <c r="B510" s="0" t="s">
        <v>1747</v>
      </c>
      <c r="C510" s="0" t="n">
        <v>114001</v>
      </c>
      <c r="D510" s="0" t="n">
        <v>114001</v>
      </c>
      <c r="E510" s="0" t="s">
        <v>1653</v>
      </c>
      <c r="F510" s="0" t="s">
        <v>18</v>
      </c>
      <c r="G510" s="0" t="s">
        <v>1748</v>
      </c>
      <c r="H510" s="0" t="s">
        <v>1749</v>
      </c>
      <c r="I510" s="0" t="s">
        <v>21</v>
      </c>
      <c r="J510" s="0" t="s">
        <v>22</v>
      </c>
      <c r="L510" s="0" t="str">
        <f aca="false">IFERROR(VLOOKUP(K510,'Supplier list'!B:C,2,0),"")</f>
        <v/>
      </c>
      <c r="M510" s="1" t="s">
        <v>24</v>
      </c>
      <c r="O510" s="2" t="n">
        <v>460</v>
      </c>
    </row>
    <row r="511" customFormat="false" ht="16.4" hidden="false" customHeight="false" outlineLevel="0" collapsed="false">
      <c r="A511" s="0" t="s">
        <v>15</v>
      </c>
      <c r="B511" s="0" t="s">
        <v>1750</v>
      </c>
      <c r="C511" s="0" t="n">
        <v>114001</v>
      </c>
      <c r="D511" s="0" t="n">
        <v>114001</v>
      </c>
      <c r="E511" s="0" t="s">
        <v>1653</v>
      </c>
      <c r="F511" s="0" t="s">
        <v>18</v>
      </c>
      <c r="G511" s="0" t="s">
        <v>1751</v>
      </c>
      <c r="H511" s="0" t="s">
        <v>1752</v>
      </c>
      <c r="I511" s="0" t="s">
        <v>21</v>
      </c>
      <c r="J511" s="0" t="s">
        <v>22</v>
      </c>
      <c r="K511" s="0" t="s">
        <v>1753</v>
      </c>
      <c r="L511" s="0" t="str">
        <f aca="false">IFERROR(VLOOKUP(K511,'Supplier list'!B:C,2,0),"")</f>
        <v>บริษัท ไอ.โอ.ดีไซน์ แอนด์ โฮม จำกัด</v>
      </c>
      <c r="M511" s="1" t="s">
        <v>24</v>
      </c>
      <c r="O511" s="2" t="n">
        <v>560</v>
      </c>
    </row>
    <row r="512" customFormat="false" ht="16.4" hidden="false" customHeight="false" outlineLevel="0" collapsed="false">
      <c r="A512" s="0" t="s">
        <v>15</v>
      </c>
      <c r="B512" s="0" t="s">
        <v>1754</v>
      </c>
      <c r="C512" s="0" t="n">
        <v>114001</v>
      </c>
      <c r="D512" s="0" t="n">
        <v>114001</v>
      </c>
      <c r="E512" s="0" t="s">
        <v>1653</v>
      </c>
      <c r="F512" s="0" t="s">
        <v>18</v>
      </c>
      <c r="G512" s="0" t="s">
        <v>1755</v>
      </c>
      <c r="H512" s="0" t="s">
        <v>1756</v>
      </c>
      <c r="I512" s="0" t="s">
        <v>21</v>
      </c>
      <c r="J512" s="0" t="s">
        <v>22</v>
      </c>
      <c r="K512" s="0" t="s">
        <v>1753</v>
      </c>
      <c r="L512" s="0" t="str">
        <f aca="false">IFERROR(VLOOKUP(K512,'Supplier list'!B:C,2,0),"")</f>
        <v>บริษัท ไอ.โอ.ดีไซน์ แอนด์ โฮม จำกัด</v>
      </c>
      <c r="M512" s="1" t="s">
        <v>24</v>
      </c>
      <c r="O512" s="2" t="n">
        <v>620</v>
      </c>
    </row>
    <row r="513" customFormat="false" ht="16.4" hidden="false" customHeight="false" outlineLevel="0" collapsed="false">
      <c r="A513" s="0" t="s">
        <v>15</v>
      </c>
      <c r="B513" s="0" t="s">
        <v>1757</v>
      </c>
      <c r="C513" s="0" t="n">
        <v>114001</v>
      </c>
      <c r="D513" s="0" t="n">
        <v>114001</v>
      </c>
      <c r="E513" s="0" t="s">
        <v>1605</v>
      </c>
      <c r="F513" s="0" t="s">
        <v>18</v>
      </c>
      <c r="G513" s="0" t="s">
        <v>1758</v>
      </c>
      <c r="H513" s="0" t="s">
        <v>1759</v>
      </c>
      <c r="I513" s="0" t="s">
        <v>21</v>
      </c>
      <c r="J513" s="0" t="s">
        <v>22</v>
      </c>
      <c r="K513" s="0" t="s">
        <v>89</v>
      </c>
      <c r="L513" s="0" t="str">
        <f aca="false">IFERROR(VLOOKUP(K513,'Supplier list'!B:C,2,0),"")</f>
        <v>บริษัท เฮเฟเล่ (ประเทศไทย) จำกัด</v>
      </c>
      <c r="M513" s="1" t="s">
        <v>24</v>
      </c>
      <c r="O513" s="2" t="n">
        <v>991</v>
      </c>
    </row>
    <row r="514" customFormat="false" ht="16.4" hidden="false" customHeight="false" outlineLevel="0" collapsed="false">
      <c r="A514" s="0" t="s">
        <v>15</v>
      </c>
      <c r="B514" s="0" t="s">
        <v>1760</v>
      </c>
      <c r="C514" s="0" t="n">
        <v>114001</v>
      </c>
      <c r="D514" s="0" t="n">
        <v>114001</v>
      </c>
      <c r="E514" s="0" t="s">
        <v>1605</v>
      </c>
      <c r="F514" s="0" t="s">
        <v>18</v>
      </c>
      <c r="G514" s="0" t="s">
        <v>1761</v>
      </c>
      <c r="H514" s="0" t="s">
        <v>1762</v>
      </c>
      <c r="I514" s="0" t="s">
        <v>21</v>
      </c>
      <c r="J514" s="0" t="s">
        <v>22</v>
      </c>
      <c r="K514" s="0" t="s">
        <v>89</v>
      </c>
      <c r="L514" s="0" t="str">
        <f aca="false">IFERROR(VLOOKUP(K514,'Supplier list'!B:C,2,0),"")</f>
        <v>บริษัท เฮเฟเล่ (ประเทศไทย) จำกัด</v>
      </c>
      <c r="M514" s="1" t="s">
        <v>24</v>
      </c>
      <c r="O514" s="2" t="n">
        <v>3</v>
      </c>
    </row>
    <row r="515" customFormat="false" ht="16.4" hidden="false" customHeight="false" outlineLevel="0" collapsed="false">
      <c r="A515" s="0" t="s">
        <v>15</v>
      </c>
      <c r="B515" s="0" t="s">
        <v>1763</v>
      </c>
      <c r="C515" s="0" t="n">
        <v>114001</v>
      </c>
      <c r="D515" s="0" t="n">
        <v>114001</v>
      </c>
      <c r="E515" s="0" t="s">
        <v>1764</v>
      </c>
      <c r="F515" s="0" t="s">
        <v>18</v>
      </c>
      <c r="G515" s="0" t="s">
        <v>1765</v>
      </c>
      <c r="H515" s="0" t="s">
        <v>1766</v>
      </c>
      <c r="I515" s="0" t="s">
        <v>21</v>
      </c>
      <c r="J515" s="0" t="s">
        <v>22</v>
      </c>
      <c r="K515" s="0" t="s">
        <v>89</v>
      </c>
      <c r="L515" s="0" t="str">
        <f aca="false">IFERROR(VLOOKUP(K515,'Supplier list'!B:C,2,0),"")</f>
        <v>บริษัท เฮเฟเล่ (ประเทศไทย) จำกัด</v>
      </c>
      <c r="M515" s="1" t="s">
        <v>24</v>
      </c>
      <c r="O515" s="2" t="n">
        <v>599</v>
      </c>
    </row>
    <row r="516" customFormat="false" ht="16.4" hidden="false" customHeight="false" outlineLevel="0" collapsed="false">
      <c r="A516" s="0" t="s">
        <v>15</v>
      </c>
      <c r="B516" s="0" t="s">
        <v>1767</v>
      </c>
      <c r="C516" s="0" t="n">
        <v>114001</v>
      </c>
      <c r="D516" s="0" t="n">
        <v>114001</v>
      </c>
      <c r="E516" s="0" t="s">
        <v>1605</v>
      </c>
      <c r="F516" s="0" t="s">
        <v>18</v>
      </c>
      <c r="G516" s="0" t="s">
        <v>1768</v>
      </c>
      <c r="H516" s="0" t="s">
        <v>1769</v>
      </c>
      <c r="I516" s="0" t="s">
        <v>21</v>
      </c>
      <c r="J516" s="0" t="s">
        <v>22</v>
      </c>
      <c r="K516" s="0" t="s">
        <v>89</v>
      </c>
      <c r="L516" s="0" t="str">
        <f aca="false">IFERROR(VLOOKUP(K516,'Supplier list'!B:C,2,0),"")</f>
        <v>บริษัท เฮเฟเล่ (ประเทศไทย) จำกัด</v>
      </c>
      <c r="M516" s="1" t="s">
        <v>24</v>
      </c>
      <c r="O516" s="2" t="n">
        <v>1150</v>
      </c>
    </row>
    <row r="517" customFormat="false" ht="16.4" hidden="false" customHeight="false" outlineLevel="0" collapsed="false">
      <c r="A517" s="0" t="s">
        <v>15</v>
      </c>
      <c r="B517" s="0" t="s">
        <v>1770</v>
      </c>
      <c r="C517" s="0" t="n">
        <v>114001</v>
      </c>
      <c r="D517" s="0" t="n">
        <v>114001</v>
      </c>
      <c r="E517" s="0" t="s">
        <v>197</v>
      </c>
      <c r="F517" s="0" t="s">
        <v>18</v>
      </c>
      <c r="G517" s="0" t="s">
        <v>1771</v>
      </c>
      <c r="H517" s="0" t="s">
        <v>1772</v>
      </c>
      <c r="I517" s="0" t="s">
        <v>21</v>
      </c>
      <c r="J517" s="0" t="s">
        <v>22</v>
      </c>
      <c r="K517" s="0" t="s">
        <v>68</v>
      </c>
      <c r="L517" s="0" t="str">
        <f aca="false">IFERROR(VLOOKUP(K517,'Supplier list'!B:C,2,0),"")</f>
        <v>หจก. กรีน ดิสทริบิวชั่น</v>
      </c>
      <c r="M517" s="1" t="s">
        <v>1740</v>
      </c>
      <c r="N517" s="2" t="n">
        <v>8500</v>
      </c>
      <c r="O517" s="2" t="n">
        <v>70</v>
      </c>
    </row>
    <row r="518" customFormat="false" ht="16.4" hidden="false" customHeight="false" outlineLevel="0" collapsed="false">
      <c r="A518" s="0" t="s">
        <v>15</v>
      </c>
      <c r="B518" s="0" t="s">
        <v>1773</v>
      </c>
      <c r="C518" s="0" t="n">
        <v>114001</v>
      </c>
      <c r="D518" s="0" t="n">
        <v>114001</v>
      </c>
      <c r="E518" s="0" t="s">
        <v>121</v>
      </c>
      <c r="F518" s="0" t="s">
        <v>18</v>
      </c>
      <c r="G518" s="0" t="s">
        <v>1774</v>
      </c>
      <c r="H518" s="0" t="s">
        <v>1775</v>
      </c>
      <c r="I518" s="0" t="s">
        <v>142</v>
      </c>
      <c r="J518" s="0" t="s">
        <v>143</v>
      </c>
      <c r="K518" s="0" t="s">
        <v>75</v>
      </c>
      <c r="L518" s="0" t="str">
        <f aca="false">IFERROR(VLOOKUP(K518,'Supplier list'!B:C,2,0),"")</f>
        <v/>
      </c>
      <c r="M518" s="1" t="s">
        <v>24</v>
      </c>
      <c r="O518" s="2" t="n">
        <v>280</v>
      </c>
    </row>
    <row r="519" customFormat="false" ht="16.4" hidden="false" customHeight="false" outlineLevel="0" collapsed="false">
      <c r="A519" s="0" t="s">
        <v>15</v>
      </c>
      <c r="B519" s="0" t="s">
        <v>1776</v>
      </c>
      <c r="C519" s="0" t="n">
        <v>114001</v>
      </c>
      <c r="D519" s="0" t="n">
        <v>114001</v>
      </c>
      <c r="E519" s="0" t="s">
        <v>581</v>
      </c>
      <c r="F519" s="0" t="s">
        <v>18</v>
      </c>
      <c r="G519" s="0" t="s">
        <v>1777</v>
      </c>
      <c r="H519" s="0" t="s">
        <v>1778</v>
      </c>
      <c r="I519" s="0" t="s">
        <v>21</v>
      </c>
      <c r="J519" s="0" t="s">
        <v>22</v>
      </c>
      <c r="K519" s="0" t="s">
        <v>68</v>
      </c>
      <c r="L519" s="0" t="str">
        <f aca="false">IFERROR(VLOOKUP(K519,'Supplier list'!B:C,2,0),"")</f>
        <v>หจก. กรีน ดิสทริบิวชั่น</v>
      </c>
      <c r="M519" s="1" t="s">
        <v>24</v>
      </c>
      <c r="O519" s="2" t="n">
        <v>15</v>
      </c>
    </row>
    <row r="520" customFormat="false" ht="16.4" hidden="false" customHeight="false" outlineLevel="0" collapsed="false">
      <c r="A520" s="0" t="s">
        <v>15</v>
      </c>
      <c r="B520" s="0" t="s">
        <v>1779</v>
      </c>
      <c r="C520" s="0" t="n">
        <v>114001</v>
      </c>
      <c r="D520" s="0" t="n">
        <v>114001</v>
      </c>
      <c r="E520" s="0" t="s">
        <v>874</v>
      </c>
      <c r="F520" s="0" t="s">
        <v>18</v>
      </c>
      <c r="G520" s="0" t="s">
        <v>1780</v>
      </c>
      <c r="H520" s="0" t="s">
        <v>1781</v>
      </c>
      <c r="I520" s="0" t="s">
        <v>21</v>
      </c>
      <c r="J520" s="0" t="s">
        <v>22</v>
      </c>
      <c r="K520" s="0" t="s">
        <v>68</v>
      </c>
      <c r="L520" s="0" t="str">
        <f aca="false">IFERROR(VLOOKUP(K520,'Supplier list'!B:C,2,0),"")</f>
        <v>หจก. กรีน ดิสทริบิวชั่น</v>
      </c>
      <c r="M520" s="1" t="s">
        <v>24</v>
      </c>
      <c r="O520" s="2" t="n">
        <v>70</v>
      </c>
    </row>
    <row r="521" customFormat="false" ht="16.4" hidden="false" customHeight="false" outlineLevel="0" collapsed="false">
      <c r="A521" s="0" t="s">
        <v>15</v>
      </c>
      <c r="B521" s="0" t="s">
        <v>1782</v>
      </c>
      <c r="C521" s="0" t="n">
        <v>114001</v>
      </c>
      <c r="D521" s="0" t="n">
        <v>114001</v>
      </c>
      <c r="E521" s="0" t="s">
        <v>1605</v>
      </c>
      <c r="F521" s="0" t="s">
        <v>18</v>
      </c>
      <c r="G521" s="0" t="s">
        <v>1783</v>
      </c>
      <c r="H521" s="0" t="s">
        <v>1784</v>
      </c>
      <c r="I521" s="0" t="s">
        <v>21</v>
      </c>
      <c r="J521" s="0" t="s">
        <v>22</v>
      </c>
      <c r="K521" s="0" t="s">
        <v>89</v>
      </c>
      <c r="L521" s="0" t="str">
        <f aca="false">IFERROR(VLOOKUP(K521,'Supplier list'!B:C,2,0),"")</f>
        <v>บริษัท เฮเฟเล่ (ประเทศไทย) จำกัด</v>
      </c>
      <c r="M521" s="1" t="s">
        <v>24</v>
      </c>
      <c r="O521" s="2" t="n">
        <v>38</v>
      </c>
    </row>
    <row r="522" customFormat="false" ht="16.4" hidden="false" customHeight="false" outlineLevel="0" collapsed="false">
      <c r="A522" s="0" t="s">
        <v>15</v>
      </c>
      <c r="B522" s="0" t="s">
        <v>1785</v>
      </c>
      <c r="C522" s="0" t="n">
        <v>114001</v>
      </c>
      <c r="D522" s="0" t="n">
        <v>114001</v>
      </c>
      <c r="E522" s="0" t="s">
        <v>1605</v>
      </c>
      <c r="F522" s="0" t="s">
        <v>18</v>
      </c>
      <c r="G522" s="0" t="s">
        <v>1786</v>
      </c>
      <c r="H522" s="0" t="s">
        <v>1787</v>
      </c>
      <c r="I522" s="0" t="s">
        <v>21</v>
      </c>
      <c r="J522" s="0" t="s">
        <v>22</v>
      </c>
      <c r="L522" s="0" t="str">
        <f aca="false">IFERROR(VLOOKUP(K522,'Supplier list'!B:C,2,0),"")</f>
        <v/>
      </c>
      <c r="M522" s="1" t="s">
        <v>24</v>
      </c>
      <c r="O522" s="2" t="n">
        <v>25</v>
      </c>
    </row>
    <row r="523" customFormat="false" ht="16.4" hidden="false" customHeight="false" outlineLevel="0" collapsed="false">
      <c r="A523" s="0" t="s">
        <v>15</v>
      </c>
      <c r="B523" s="0" t="s">
        <v>1788</v>
      </c>
      <c r="C523" s="0" t="n">
        <v>114001</v>
      </c>
      <c r="D523" s="0" t="n">
        <v>114001</v>
      </c>
      <c r="E523" s="0" t="s">
        <v>1605</v>
      </c>
      <c r="F523" s="0" t="s">
        <v>18</v>
      </c>
      <c r="G523" s="0" t="s">
        <v>1789</v>
      </c>
      <c r="H523" s="0" t="s">
        <v>1790</v>
      </c>
      <c r="I523" s="0" t="s">
        <v>21</v>
      </c>
      <c r="J523" s="0" t="s">
        <v>22</v>
      </c>
      <c r="K523" s="0" t="s">
        <v>1753</v>
      </c>
      <c r="L523" s="0" t="str">
        <f aca="false">IFERROR(VLOOKUP(K523,'Supplier list'!B:C,2,0),"")</f>
        <v>บริษัท ไอ.โอ.ดีไซน์ แอนด์ โฮม จำกัด</v>
      </c>
      <c r="M523" s="1" t="s">
        <v>24</v>
      </c>
      <c r="O523" s="2" t="n">
        <v>288</v>
      </c>
    </row>
    <row r="524" customFormat="false" ht="16.4" hidden="false" customHeight="false" outlineLevel="0" collapsed="false">
      <c r="A524" s="0" t="s">
        <v>15</v>
      </c>
      <c r="B524" s="0" t="s">
        <v>1791</v>
      </c>
      <c r="C524" s="0" t="n">
        <v>114001</v>
      </c>
      <c r="D524" s="0" t="n">
        <v>114001</v>
      </c>
      <c r="E524" s="0" t="s">
        <v>1605</v>
      </c>
      <c r="F524" s="0" t="s">
        <v>18</v>
      </c>
      <c r="G524" s="0" t="s">
        <v>1792</v>
      </c>
      <c r="H524" s="0" t="s">
        <v>1793</v>
      </c>
      <c r="I524" s="0" t="s">
        <v>21</v>
      </c>
      <c r="J524" s="0" t="s">
        <v>22</v>
      </c>
      <c r="K524" s="0" t="s">
        <v>1753</v>
      </c>
      <c r="L524" s="0" t="str">
        <f aca="false">IFERROR(VLOOKUP(K524,'Supplier list'!B:C,2,0),"")</f>
        <v>บริษัท ไอ.โอ.ดีไซน์ แอนด์ โฮม จำกัด</v>
      </c>
      <c r="M524" s="1" t="s">
        <v>24</v>
      </c>
      <c r="O524" s="2" t="n">
        <v>25</v>
      </c>
    </row>
    <row r="525" customFormat="false" ht="16.4" hidden="false" customHeight="false" outlineLevel="0" collapsed="false">
      <c r="A525" s="0" t="s">
        <v>15</v>
      </c>
      <c r="B525" s="0" t="s">
        <v>1794</v>
      </c>
      <c r="C525" s="0" t="n">
        <v>114001</v>
      </c>
      <c r="D525" s="0" t="n">
        <v>114001</v>
      </c>
      <c r="E525" s="0" t="s">
        <v>1605</v>
      </c>
      <c r="F525" s="0" t="s">
        <v>18</v>
      </c>
      <c r="G525" s="0" t="s">
        <v>1795</v>
      </c>
      <c r="H525" s="0" t="s">
        <v>1796</v>
      </c>
      <c r="I525" s="0" t="s">
        <v>21</v>
      </c>
      <c r="J525" s="0" t="s">
        <v>22</v>
      </c>
      <c r="K525" s="0" t="s">
        <v>787</v>
      </c>
      <c r="L525" s="0" t="str">
        <f aca="false">IFERROR(VLOOKUP(K525,'Supplier list'!B:C,2,0),"")</f>
        <v>บริษัท ฟิวเจอร์เทค อินเตอร์มาร์เก็ตติ้ง จำกัด</v>
      </c>
      <c r="M525" s="1" t="s">
        <v>24</v>
      </c>
      <c r="O525" s="2" t="n">
        <v>22</v>
      </c>
    </row>
    <row r="526" customFormat="false" ht="16.4" hidden="false" customHeight="false" outlineLevel="0" collapsed="false">
      <c r="A526" s="0" t="s">
        <v>15</v>
      </c>
      <c r="B526" s="0" t="s">
        <v>1797</v>
      </c>
      <c r="C526" s="0" t="n">
        <v>114001</v>
      </c>
      <c r="D526" s="0" t="n">
        <v>114001</v>
      </c>
      <c r="E526" s="0" t="s">
        <v>1605</v>
      </c>
      <c r="F526" s="0" t="s">
        <v>18</v>
      </c>
      <c r="G526" s="0" t="s">
        <v>1798</v>
      </c>
      <c r="H526" s="0" t="s">
        <v>1799</v>
      </c>
      <c r="I526" s="0" t="s">
        <v>21</v>
      </c>
      <c r="J526" s="0" t="s">
        <v>22</v>
      </c>
      <c r="K526" s="0" t="s">
        <v>1753</v>
      </c>
      <c r="L526" s="0" t="str">
        <f aca="false">IFERROR(VLOOKUP(K526,'Supplier list'!B:C,2,0),"")</f>
        <v>บริษัท ไอ.โอ.ดีไซน์ แอนด์ โฮม จำกัด</v>
      </c>
      <c r="M526" s="1" t="s">
        <v>24</v>
      </c>
      <c r="O526" s="2" t="n">
        <v>6</v>
      </c>
    </row>
    <row r="527" customFormat="false" ht="16.4" hidden="false" customHeight="false" outlineLevel="0" collapsed="false">
      <c r="A527" s="0" t="s">
        <v>15</v>
      </c>
      <c r="B527" s="0" t="s">
        <v>1800</v>
      </c>
      <c r="C527" s="0" t="n">
        <v>114001</v>
      </c>
      <c r="D527" s="0" t="n">
        <v>114001</v>
      </c>
      <c r="E527" s="0" t="s">
        <v>1605</v>
      </c>
      <c r="F527" s="0" t="s">
        <v>18</v>
      </c>
      <c r="G527" s="0" t="s">
        <v>1801</v>
      </c>
      <c r="H527" s="0" t="s">
        <v>1802</v>
      </c>
      <c r="I527" s="0" t="s">
        <v>21</v>
      </c>
      <c r="J527" s="0" t="s">
        <v>22</v>
      </c>
      <c r="K527" s="0" t="s">
        <v>1753</v>
      </c>
      <c r="L527" s="0" t="str">
        <f aca="false">IFERROR(VLOOKUP(K527,'Supplier list'!B:C,2,0),"")</f>
        <v>บริษัท ไอ.โอ.ดีไซน์ แอนด์ โฮม จำกัด</v>
      </c>
      <c r="M527" s="1" t="s">
        <v>24</v>
      </c>
      <c r="O527" s="2" t="n">
        <v>0</v>
      </c>
    </row>
    <row r="528" customFormat="false" ht="16.4" hidden="false" customHeight="false" outlineLevel="0" collapsed="false">
      <c r="A528" s="0" t="s">
        <v>15</v>
      </c>
      <c r="B528" s="0" t="s">
        <v>1803</v>
      </c>
      <c r="C528" s="0" t="n">
        <v>114001</v>
      </c>
      <c r="D528" s="0" t="n">
        <v>114001</v>
      </c>
      <c r="E528" s="0" t="s">
        <v>1804</v>
      </c>
      <c r="F528" s="0" t="s">
        <v>18</v>
      </c>
      <c r="G528" s="0" t="s">
        <v>1805</v>
      </c>
      <c r="H528" s="0" t="s">
        <v>1806</v>
      </c>
      <c r="I528" s="0" t="s">
        <v>701</v>
      </c>
      <c r="J528" s="0" t="s">
        <v>22</v>
      </c>
      <c r="K528" s="0" t="s">
        <v>787</v>
      </c>
      <c r="L528" s="0" t="str">
        <f aca="false">IFERROR(VLOOKUP(K528,'Supplier list'!B:C,2,0),"")</f>
        <v>บริษัท ฟิวเจอร์เทค อินเตอร์มาร์เก็ตติ้ง จำกัด</v>
      </c>
      <c r="M528" s="1" t="s">
        <v>24</v>
      </c>
      <c r="O528" s="2" t="n">
        <v>700</v>
      </c>
    </row>
    <row r="529" customFormat="false" ht="16.4" hidden="false" customHeight="false" outlineLevel="0" collapsed="false">
      <c r="A529" s="0" t="s">
        <v>15</v>
      </c>
      <c r="B529" s="0" t="s">
        <v>1807</v>
      </c>
      <c r="C529" s="0" t="n">
        <v>114001</v>
      </c>
      <c r="D529" s="0" t="n">
        <v>114001</v>
      </c>
      <c r="E529" s="0" t="s">
        <v>1605</v>
      </c>
      <c r="F529" s="0" t="s">
        <v>18</v>
      </c>
      <c r="G529" s="0" t="s">
        <v>1808</v>
      </c>
      <c r="H529" s="0" t="s">
        <v>1809</v>
      </c>
      <c r="I529" s="0" t="s">
        <v>21</v>
      </c>
      <c r="J529" s="0" t="s">
        <v>22</v>
      </c>
      <c r="L529" s="0" t="str">
        <f aca="false">IFERROR(VLOOKUP(K529,'Supplier list'!B:C,2,0),"")</f>
        <v/>
      </c>
      <c r="M529" s="1" t="s">
        <v>24</v>
      </c>
      <c r="O529" s="2" t="n">
        <v>41</v>
      </c>
    </row>
    <row r="530" customFormat="false" ht="16.4" hidden="false" customHeight="false" outlineLevel="0" collapsed="false">
      <c r="A530" s="0" t="s">
        <v>15</v>
      </c>
      <c r="B530" s="0" t="s">
        <v>1810</v>
      </c>
      <c r="C530" s="0" t="n">
        <v>114001</v>
      </c>
      <c r="D530" s="0" t="n">
        <v>114001</v>
      </c>
      <c r="E530" s="0" t="s">
        <v>1811</v>
      </c>
      <c r="F530" s="0" t="s">
        <v>18</v>
      </c>
      <c r="G530" s="0" t="s">
        <v>1812</v>
      </c>
      <c r="H530" s="0" t="s">
        <v>1813</v>
      </c>
      <c r="I530" s="0" t="s">
        <v>21</v>
      </c>
      <c r="J530" s="0" t="s">
        <v>22</v>
      </c>
      <c r="K530" s="0" t="s">
        <v>68</v>
      </c>
      <c r="L530" s="0" t="str">
        <f aca="false">IFERROR(VLOOKUP(K530,'Supplier list'!B:C,2,0),"")</f>
        <v>หจก. กรีน ดิสทริบิวชั่น</v>
      </c>
      <c r="M530" s="1" t="s">
        <v>24</v>
      </c>
      <c r="O530" s="2" t="n">
        <v>50</v>
      </c>
    </row>
    <row r="531" customFormat="false" ht="16.4" hidden="false" customHeight="false" outlineLevel="0" collapsed="false">
      <c r="A531" s="0" t="s">
        <v>15</v>
      </c>
      <c r="B531" s="0" t="s">
        <v>1814</v>
      </c>
      <c r="C531" s="0" t="n">
        <v>114001</v>
      </c>
      <c r="D531" s="0" t="n">
        <v>114001</v>
      </c>
      <c r="E531" s="0" t="s">
        <v>1815</v>
      </c>
      <c r="F531" s="0" t="s">
        <v>18</v>
      </c>
      <c r="G531" s="0" t="s">
        <v>1816</v>
      </c>
      <c r="H531" s="0" t="s">
        <v>1817</v>
      </c>
      <c r="I531" s="0" t="s">
        <v>124</v>
      </c>
      <c r="J531" s="0" t="s">
        <v>125</v>
      </c>
      <c r="L531" s="0" t="str">
        <f aca="false">IFERROR(VLOOKUP(K531,'Supplier list'!B:C,2,0),"")</f>
        <v/>
      </c>
      <c r="M531" s="1" t="s">
        <v>24</v>
      </c>
      <c r="O531" s="2" t="n">
        <v>208</v>
      </c>
    </row>
    <row r="532" customFormat="false" ht="16.4" hidden="false" customHeight="false" outlineLevel="0" collapsed="false">
      <c r="A532" s="0" t="s">
        <v>15</v>
      </c>
      <c r="B532" s="0" t="s">
        <v>1818</v>
      </c>
      <c r="C532" s="0" t="n">
        <v>114001</v>
      </c>
      <c r="D532" s="0" t="n">
        <v>114001</v>
      </c>
      <c r="E532" s="0" t="s">
        <v>127</v>
      </c>
      <c r="F532" s="0" t="s">
        <v>18</v>
      </c>
      <c r="G532" s="0" t="s">
        <v>1819</v>
      </c>
      <c r="H532" s="0" t="s">
        <v>1820</v>
      </c>
      <c r="I532" s="0" t="s">
        <v>21</v>
      </c>
      <c r="J532" s="0" t="s">
        <v>22</v>
      </c>
      <c r="L532" s="0" t="str">
        <f aca="false">IFERROR(VLOOKUP(K532,'Supplier list'!B:C,2,0),"")</f>
        <v/>
      </c>
      <c r="M532" s="1" t="s">
        <v>24</v>
      </c>
      <c r="O532" s="2" t="n">
        <v>9</v>
      </c>
    </row>
    <row r="533" customFormat="false" ht="16.4" hidden="false" customHeight="false" outlineLevel="0" collapsed="false">
      <c r="A533" s="0" t="s">
        <v>15</v>
      </c>
      <c r="B533" s="0" t="s">
        <v>1821</v>
      </c>
      <c r="C533" s="0" t="n">
        <v>114001</v>
      </c>
      <c r="D533" s="0" t="n">
        <v>114001</v>
      </c>
      <c r="E533" s="0" t="s">
        <v>127</v>
      </c>
      <c r="F533" s="0" t="s">
        <v>18</v>
      </c>
      <c r="G533" s="0" t="s">
        <v>1822</v>
      </c>
      <c r="H533" s="0" t="s">
        <v>1823</v>
      </c>
      <c r="I533" s="0" t="s">
        <v>21</v>
      </c>
      <c r="J533" s="0" t="s">
        <v>22</v>
      </c>
      <c r="K533" s="0" t="s">
        <v>68</v>
      </c>
      <c r="L533" s="0" t="str">
        <f aca="false">IFERROR(VLOOKUP(K533,'Supplier list'!B:C,2,0),"")</f>
        <v>หจก. กรีน ดิสทริบิวชั่น</v>
      </c>
      <c r="M533" s="1" t="s">
        <v>24</v>
      </c>
      <c r="O533" s="2" t="n">
        <v>24</v>
      </c>
    </row>
    <row r="534" customFormat="false" ht="16.4" hidden="false" customHeight="false" outlineLevel="0" collapsed="false">
      <c r="A534" s="0" t="s">
        <v>15</v>
      </c>
      <c r="B534" s="0" t="s">
        <v>1824</v>
      </c>
      <c r="C534" s="0" t="n">
        <v>114001</v>
      </c>
      <c r="D534" s="0" t="n">
        <v>114001</v>
      </c>
      <c r="E534" s="0" t="s">
        <v>127</v>
      </c>
      <c r="F534" s="0" t="s">
        <v>18</v>
      </c>
      <c r="G534" s="0" t="s">
        <v>1825</v>
      </c>
      <c r="H534" s="0" t="s">
        <v>1826</v>
      </c>
      <c r="I534" s="0" t="s">
        <v>21</v>
      </c>
      <c r="J534" s="0" t="s">
        <v>22</v>
      </c>
      <c r="L534" s="0" t="str">
        <f aca="false">IFERROR(VLOOKUP(K534,'Supplier list'!B:C,2,0),"")</f>
        <v/>
      </c>
      <c r="M534" s="1" t="s">
        <v>24</v>
      </c>
      <c r="O534" s="2" t="n">
        <v>13</v>
      </c>
    </row>
    <row r="535" customFormat="false" ht="16.4" hidden="false" customHeight="false" outlineLevel="0" collapsed="false">
      <c r="A535" s="0" t="s">
        <v>15</v>
      </c>
      <c r="B535" s="0" t="s">
        <v>1827</v>
      </c>
      <c r="C535" s="0" t="n">
        <v>114001</v>
      </c>
      <c r="D535" s="0" t="n">
        <v>114001</v>
      </c>
      <c r="E535" s="0" t="s">
        <v>127</v>
      </c>
      <c r="F535" s="0" t="s">
        <v>18</v>
      </c>
      <c r="G535" s="0" t="s">
        <v>1828</v>
      </c>
      <c r="H535" s="0" t="s">
        <v>1829</v>
      </c>
      <c r="I535" s="0" t="s">
        <v>21</v>
      </c>
      <c r="J535" s="0" t="s">
        <v>22</v>
      </c>
      <c r="L535" s="0" t="str">
        <f aca="false">IFERROR(VLOOKUP(K535,'Supplier list'!B:C,2,0),"")</f>
        <v/>
      </c>
      <c r="M535" s="1" t="s">
        <v>24</v>
      </c>
      <c r="O535" s="2" t="n">
        <v>13.5</v>
      </c>
    </row>
    <row r="536" customFormat="false" ht="16.4" hidden="false" customHeight="false" outlineLevel="0" collapsed="false">
      <c r="A536" s="0" t="s">
        <v>15</v>
      </c>
      <c r="B536" s="0" t="s">
        <v>1830</v>
      </c>
      <c r="C536" s="0" t="n">
        <v>114001</v>
      </c>
      <c r="D536" s="0" t="n">
        <v>114001</v>
      </c>
      <c r="E536" s="0" t="s">
        <v>127</v>
      </c>
      <c r="F536" s="0" t="s">
        <v>18</v>
      </c>
      <c r="G536" s="0" t="s">
        <v>1831</v>
      </c>
      <c r="H536" s="0" t="s">
        <v>1832</v>
      </c>
      <c r="I536" s="0" t="s">
        <v>21</v>
      </c>
      <c r="J536" s="0" t="s">
        <v>22</v>
      </c>
      <c r="K536" s="0" t="s">
        <v>82</v>
      </c>
      <c r="L536" s="0" t="str">
        <f aca="false">IFERROR(VLOOKUP(K536,'Supplier list'!B:C,2,0),"")</f>
        <v>บริษัท เกรียงศิริพัฒนา (1995) จำกัด</v>
      </c>
      <c r="M536" s="1" t="s">
        <v>24</v>
      </c>
      <c r="O536" s="2" t="n">
        <v>6</v>
      </c>
    </row>
    <row r="537" customFormat="false" ht="28.35" hidden="false" customHeight="false" outlineLevel="0" collapsed="false">
      <c r="A537" s="0" t="s">
        <v>15</v>
      </c>
      <c r="B537" s="0" t="s">
        <v>1833</v>
      </c>
      <c r="C537" s="0" t="n">
        <v>114001</v>
      </c>
      <c r="D537" s="0" t="n">
        <v>114001</v>
      </c>
      <c r="E537" s="0" t="s">
        <v>127</v>
      </c>
      <c r="F537" s="0" t="s">
        <v>18</v>
      </c>
      <c r="G537" s="0" t="s">
        <v>1834</v>
      </c>
      <c r="H537" s="0" t="s">
        <v>1835</v>
      </c>
      <c r="I537" s="0" t="s">
        <v>21</v>
      </c>
      <c r="J537" s="0" t="s">
        <v>22</v>
      </c>
      <c r="K537" s="6" t="s">
        <v>192</v>
      </c>
      <c r="L537" s="0" t="str">
        <f aca="false">IFERROR(VLOOKUP(K537,'Supplier list'!B:C,2,0),"")</f>
        <v/>
      </c>
      <c r="M537" s="1" t="s">
        <v>24</v>
      </c>
      <c r="O537" s="2" t="n">
        <v>18</v>
      </c>
    </row>
    <row r="538" customFormat="false" ht="16.4" hidden="false" customHeight="false" outlineLevel="0" collapsed="false">
      <c r="A538" s="0" t="s">
        <v>15</v>
      </c>
      <c r="B538" s="0" t="s">
        <v>1836</v>
      </c>
      <c r="C538" s="0" t="n">
        <v>114001</v>
      </c>
      <c r="D538" s="0" t="n">
        <v>114001</v>
      </c>
      <c r="E538" s="0" t="s">
        <v>1815</v>
      </c>
      <c r="F538" s="0" t="s">
        <v>18</v>
      </c>
      <c r="G538" s="0" t="s">
        <v>1837</v>
      </c>
      <c r="H538" s="0" t="s">
        <v>1838</v>
      </c>
      <c r="I538" s="0" t="s">
        <v>124</v>
      </c>
      <c r="J538" s="0" t="s">
        <v>125</v>
      </c>
      <c r="L538" s="0" t="str">
        <f aca="false">IFERROR(VLOOKUP(K538,'Supplier list'!B:C,2,0),"")</f>
        <v/>
      </c>
      <c r="M538" s="1" t="s">
        <v>24</v>
      </c>
      <c r="O538" s="2" t="n">
        <v>0</v>
      </c>
    </row>
    <row r="539" customFormat="false" ht="16.4" hidden="false" customHeight="false" outlineLevel="0" collapsed="false">
      <c r="A539" s="0" t="s">
        <v>15</v>
      </c>
      <c r="B539" s="0" t="s">
        <v>1839</v>
      </c>
      <c r="C539" s="0" t="n">
        <v>114001</v>
      </c>
      <c r="D539" s="0" t="n">
        <v>114001</v>
      </c>
      <c r="E539" s="0" t="s">
        <v>1815</v>
      </c>
      <c r="F539" s="0" t="s">
        <v>18</v>
      </c>
      <c r="G539" s="0" t="s">
        <v>1840</v>
      </c>
      <c r="H539" s="0" t="s">
        <v>1841</v>
      </c>
      <c r="I539" s="0" t="s">
        <v>124</v>
      </c>
      <c r="J539" s="0" t="s">
        <v>125</v>
      </c>
      <c r="L539" s="0" t="str">
        <f aca="false">IFERROR(VLOOKUP(K539,'Supplier list'!B:C,2,0),"")</f>
        <v/>
      </c>
      <c r="M539" s="1" t="s">
        <v>24</v>
      </c>
      <c r="O539" s="2" t="n">
        <v>0</v>
      </c>
    </row>
    <row r="540" customFormat="false" ht="16.4" hidden="false" customHeight="false" outlineLevel="0" collapsed="false">
      <c r="A540" s="0" t="s">
        <v>15</v>
      </c>
      <c r="B540" s="0" t="s">
        <v>1842</v>
      </c>
      <c r="C540" s="0" t="n">
        <v>114001</v>
      </c>
      <c r="D540" s="0" t="n">
        <v>114001</v>
      </c>
      <c r="E540" s="0" t="s">
        <v>1815</v>
      </c>
      <c r="F540" s="0" t="s">
        <v>18</v>
      </c>
      <c r="G540" s="0" t="s">
        <v>1843</v>
      </c>
      <c r="H540" s="0" t="s">
        <v>1844</v>
      </c>
      <c r="I540" s="0" t="s">
        <v>124</v>
      </c>
      <c r="J540" s="0" t="s">
        <v>125</v>
      </c>
      <c r="K540" s="0" t="s">
        <v>89</v>
      </c>
      <c r="L540" s="0" t="str">
        <f aca="false">IFERROR(VLOOKUP(K540,'Supplier list'!B:C,2,0),"")</f>
        <v>บริษัท เฮเฟเล่ (ประเทศไทย) จำกัด</v>
      </c>
      <c r="M540" s="1" t="s">
        <v>24</v>
      </c>
      <c r="O540" s="2" t="n">
        <v>1655</v>
      </c>
    </row>
    <row r="541" customFormat="false" ht="16.4" hidden="false" customHeight="false" outlineLevel="0" collapsed="false">
      <c r="A541" s="0" t="s">
        <v>15</v>
      </c>
      <c r="B541" s="0" t="s">
        <v>1845</v>
      </c>
      <c r="C541" s="0" t="n">
        <v>114001</v>
      </c>
      <c r="D541" s="0" t="n">
        <v>114001</v>
      </c>
      <c r="E541" s="0" t="s">
        <v>1605</v>
      </c>
      <c r="F541" s="0" t="s">
        <v>18</v>
      </c>
      <c r="G541" s="0" t="s">
        <v>1846</v>
      </c>
      <c r="H541" s="0" t="s">
        <v>1847</v>
      </c>
      <c r="I541" s="0" t="s">
        <v>168</v>
      </c>
      <c r="J541" s="0" t="s">
        <v>169</v>
      </c>
      <c r="K541" s="0" t="s">
        <v>787</v>
      </c>
      <c r="L541" s="0" t="str">
        <f aca="false">IFERROR(VLOOKUP(K541,'Supplier list'!B:C,2,0),"")</f>
        <v>บริษัท ฟิวเจอร์เทค อินเตอร์มาร์เก็ตติ้ง จำกัด</v>
      </c>
      <c r="M541" s="1" t="s">
        <v>24</v>
      </c>
      <c r="O541" s="2" t="n">
        <v>2480</v>
      </c>
    </row>
    <row r="542" customFormat="false" ht="16.4" hidden="false" customHeight="false" outlineLevel="0" collapsed="false">
      <c r="A542" s="0" t="s">
        <v>15</v>
      </c>
      <c r="B542" s="0" t="s">
        <v>1848</v>
      </c>
      <c r="C542" s="0" t="n">
        <v>114001</v>
      </c>
      <c r="D542" s="0" t="n">
        <v>114001</v>
      </c>
      <c r="E542" s="0" t="s">
        <v>1605</v>
      </c>
      <c r="F542" s="0" t="s">
        <v>18</v>
      </c>
      <c r="G542" s="0" t="s">
        <v>1849</v>
      </c>
      <c r="H542" s="0" t="s">
        <v>1850</v>
      </c>
      <c r="I542" s="0" t="s">
        <v>168</v>
      </c>
      <c r="J542" s="0" t="s">
        <v>169</v>
      </c>
      <c r="L542" s="0" t="str">
        <f aca="false">IFERROR(VLOOKUP(K542,'Supplier list'!B:C,2,0),"")</f>
        <v/>
      </c>
      <c r="M542" s="1" t="s">
        <v>24</v>
      </c>
      <c r="O542" s="2" t="n">
        <v>359</v>
      </c>
    </row>
    <row r="543" customFormat="false" ht="16.4" hidden="false" customHeight="false" outlineLevel="0" collapsed="false">
      <c r="A543" s="0" t="s">
        <v>15</v>
      </c>
      <c r="B543" s="0" t="s">
        <v>1851</v>
      </c>
      <c r="C543" s="0" t="n">
        <v>114001</v>
      </c>
      <c r="D543" s="0" t="n">
        <v>114001</v>
      </c>
      <c r="E543" s="0" t="s">
        <v>1815</v>
      </c>
      <c r="F543" s="0" t="s">
        <v>18</v>
      </c>
      <c r="G543" s="0" t="s">
        <v>1852</v>
      </c>
      <c r="H543" s="0" t="s">
        <v>1853</v>
      </c>
      <c r="I543" s="0" t="s">
        <v>124</v>
      </c>
      <c r="J543" s="0" t="s">
        <v>125</v>
      </c>
      <c r="K543" s="0" t="s">
        <v>89</v>
      </c>
      <c r="L543" s="0" t="str">
        <f aca="false">IFERROR(VLOOKUP(K543,'Supplier list'!B:C,2,0),"")</f>
        <v>บริษัท เฮเฟเล่ (ประเทศไทย) จำกัด</v>
      </c>
      <c r="M543" s="1" t="s">
        <v>24</v>
      </c>
      <c r="O543" s="2" t="n">
        <v>1075</v>
      </c>
    </row>
    <row r="544" customFormat="false" ht="16.4" hidden="false" customHeight="false" outlineLevel="0" collapsed="false">
      <c r="A544" s="0" t="s">
        <v>15</v>
      </c>
      <c r="B544" s="0" t="s">
        <v>1854</v>
      </c>
      <c r="C544" s="0" t="n">
        <v>114001</v>
      </c>
      <c r="D544" s="0" t="n">
        <v>114001</v>
      </c>
      <c r="E544" s="0" t="s">
        <v>961</v>
      </c>
      <c r="F544" s="0" t="s">
        <v>18</v>
      </c>
      <c r="G544" s="0" t="s">
        <v>1855</v>
      </c>
      <c r="H544" s="0" t="s">
        <v>1856</v>
      </c>
      <c r="I544" s="0" t="s">
        <v>21</v>
      </c>
      <c r="J544" s="0" t="s">
        <v>22</v>
      </c>
      <c r="L544" s="0" t="str">
        <f aca="false">IFERROR(VLOOKUP(K544,'Supplier list'!B:C,2,0),"")</f>
        <v/>
      </c>
      <c r="M544" s="1" t="s">
        <v>24</v>
      </c>
      <c r="O544" s="2" t="n">
        <v>198</v>
      </c>
    </row>
    <row r="545" customFormat="false" ht="16.4" hidden="false" customHeight="false" outlineLevel="0" collapsed="false">
      <c r="A545" s="0" t="s">
        <v>15</v>
      </c>
      <c r="B545" s="0" t="s">
        <v>1857</v>
      </c>
      <c r="C545" s="0" t="n">
        <v>114001</v>
      </c>
      <c r="D545" s="0" t="n">
        <v>114001</v>
      </c>
      <c r="E545" s="0" t="s">
        <v>961</v>
      </c>
      <c r="F545" s="0" t="s">
        <v>18</v>
      </c>
      <c r="G545" s="0" t="s">
        <v>1858</v>
      </c>
      <c r="H545" s="0" t="s">
        <v>1859</v>
      </c>
      <c r="I545" s="0" t="s">
        <v>124</v>
      </c>
      <c r="J545" s="0" t="s">
        <v>125</v>
      </c>
      <c r="L545" s="0" t="str">
        <f aca="false">IFERROR(VLOOKUP(K545,'Supplier list'!B:C,2,0),"")</f>
        <v/>
      </c>
      <c r="M545" s="1" t="s">
        <v>24</v>
      </c>
      <c r="O545" s="2" t="n">
        <v>0</v>
      </c>
    </row>
    <row r="546" customFormat="false" ht="16.4" hidden="false" customHeight="false" outlineLevel="0" collapsed="false">
      <c r="A546" s="0" t="s">
        <v>15</v>
      </c>
      <c r="B546" s="0" t="s">
        <v>1860</v>
      </c>
      <c r="C546" s="0" t="n">
        <v>114001</v>
      </c>
      <c r="D546" s="0" t="n">
        <v>114001</v>
      </c>
      <c r="E546" s="0" t="s">
        <v>961</v>
      </c>
      <c r="F546" s="0" t="s">
        <v>18</v>
      </c>
      <c r="G546" s="0" t="s">
        <v>1861</v>
      </c>
      <c r="H546" s="0" t="s">
        <v>1862</v>
      </c>
      <c r="I546" s="0" t="s">
        <v>124</v>
      </c>
      <c r="J546" s="0" t="s">
        <v>125</v>
      </c>
      <c r="L546" s="0" t="str">
        <f aca="false">IFERROR(VLOOKUP(K546,'Supplier list'!B:C,2,0),"")</f>
        <v/>
      </c>
      <c r="M546" s="1" t="s">
        <v>24</v>
      </c>
      <c r="O546" s="2" t="n">
        <v>0</v>
      </c>
    </row>
    <row r="547" customFormat="false" ht="16.4" hidden="false" customHeight="false" outlineLevel="0" collapsed="false">
      <c r="A547" s="0" t="s">
        <v>15</v>
      </c>
      <c r="B547" s="0" t="s">
        <v>1863</v>
      </c>
      <c r="C547" s="0" t="n">
        <v>114001</v>
      </c>
      <c r="D547" s="0" t="n">
        <v>114001</v>
      </c>
      <c r="E547" s="0" t="s">
        <v>961</v>
      </c>
      <c r="F547" s="0" t="s">
        <v>18</v>
      </c>
      <c r="G547" s="0" t="s">
        <v>1864</v>
      </c>
      <c r="H547" s="0" t="s">
        <v>1865</v>
      </c>
      <c r="I547" s="0" t="s">
        <v>21</v>
      </c>
      <c r="J547" s="0" t="s">
        <v>22</v>
      </c>
      <c r="K547" s="0" t="s">
        <v>1725</v>
      </c>
      <c r="L547" s="0" t="str">
        <f aca="false">IFERROR(VLOOKUP(K547,'Supplier list'!B:C,2,0),"")</f>
        <v>บริษัท พรีซิชั่นไลน์ จำกัด</v>
      </c>
      <c r="M547" s="1" t="s">
        <v>24</v>
      </c>
      <c r="O547" s="2" t="n">
        <v>259</v>
      </c>
    </row>
    <row r="548" customFormat="false" ht="16.4" hidden="false" customHeight="false" outlineLevel="0" collapsed="false">
      <c r="A548" s="0" t="s">
        <v>15</v>
      </c>
      <c r="B548" s="0" t="s">
        <v>1866</v>
      </c>
      <c r="C548" s="0" t="n">
        <v>114001</v>
      </c>
      <c r="D548" s="0" t="n">
        <v>114001</v>
      </c>
      <c r="E548" s="0" t="s">
        <v>961</v>
      </c>
      <c r="F548" s="0" t="s">
        <v>18</v>
      </c>
      <c r="G548" s="0" t="s">
        <v>1867</v>
      </c>
      <c r="H548" s="0" t="s">
        <v>1868</v>
      </c>
      <c r="I548" s="0" t="s">
        <v>124</v>
      </c>
      <c r="J548" s="0" t="s">
        <v>125</v>
      </c>
      <c r="K548" s="0" t="s">
        <v>1725</v>
      </c>
      <c r="L548" s="0" t="str">
        <f aca="false">IFERROR(VLOOKUP(K548,'Supplier list'!B:C,2,0),"")</f>
        <v>บริษัท พรีซิชั่นไลน์ จำกัด</v>
      </c>
      <c r="M548" s="1" t="s">
        <v>24</v>
      </c>
      <c r="O548" s="2" t="n">
        <v>263</v>
      </c>
    </row>
    <row r="549" customFormat="false" ht="16.4" hidden="false" customHeight="false" outlineLevel="0" collapsed="false">
      <c r="A549" s="0" t="s">
        <v>15</v>
      </c>
      <c r="B549" s="0" t="s">
        <v>1869</v>
      </c>
      <c r="C549" s="0" t="n">
        <v>114001</v>
      </c>
      <c r="D549" s="0" t="n">
        <v>114001</v>
      </c>
      <c r="E549" s="0" t="s">
        <v>1815</v>
      </c>
      <c r="F549" s="0" t="s">
        <v>18</v>
      </c>
      <c r="G549" s="0" t="s">
        <v>1870</v>
      </c>
      <c r="H549" s="0" t="s">
        <v>1871</v>
      </c>
      <c r="I549" s="0" t="s">
        <v>124</v>
      </c>
      <c r="J549" s="0" t="s">
        <v>125</v>
      </c>
      <c r="K549" s="0" t="s">
        <v>89</v>
      </c>
      <c r="L549" s="0" t="str">
        <f aca="false">IFERROR(VLOOKUP(K549,'Supplier list'!B:C,2,0),"")</f>
        <v>บริษัท เฮเฟเล่ (ประเทศไทย) จำกัด</v>
      </c>
      <c r="M549" s="1" t="s">
        <v>24</v>
      </c>
      <c r="O549" s="2" t="n">
        <v>1019</v>
      </c>
    </row>
    <row r="550" customFormat="false" ht="16.4" hidden="false" customHeight="false" outlineLevel="0" collapsed="false">
      <c r="A550" s="0" t="s">
        <v>15</v>
      </c>
      <c r="B550" s="0" t="s">
        <v>1872</v>
      </c>
      <c r="C550" s="0" t="n">
        <v>114001</v>
      </c>
      <c r="D550" s="0" t="n">
        <v>114001</v>
      </c>
      <c r="E550" s="0" t="s">
        <v>1815</v>
      </c>
      <c r="F550" s="0" t="s">
        <v>18</v>
      </c>
      <c r="G550" s="0" t="s">
        <v>1873</v>
      </c>
      <c r="H550" s="0" t="s">
        <v>1874</v>
      </c>
      <c r="I550" s="0" t="s">
        <v>124</v>
      </c>
      <c r="J550" s="0" t="s">
        <v>125</v>
      </c>
      <c r="K550" s="0" t="s">
        <v>1725</v>
      </c>
      <c r="L550" s="0" t="str">
        <f aca="false">IFERROR(VLOOKUP(K550,'Supplier list'!B:C,2,0),"")</f>
        <v>บริษัท พรีซิชั่นไลน์ จำกัด</v>
      </c>
      <c r="M550" s="1" t="s">
        <v>24</v>
      </c>
      <c r="O550" s="2" t="n">
        <v>1780</v>
      </c>
    </row>
    <row r="551" customFormat="false" ht="16.4" hidden="false" customHeight="false" outlineLevel="0" collapsed="false">
      <c r="A551" s="0" t="s">
        <v>15</v>
      </c>
      <c r="B551" s="0" t="s">
        <v>1875</v>
      </c>
      <c r="C551" s="0" t="n">
        <v>114001</v>
      </c>
      <c r="D551" s="0" t="n">
        <v>114001</v>
      </c>
      <c r="E551" s="0" t="s">
        <v>1605</v>
      </c>
      <c r="F551" s="0" t="s">
        <v>18</v>
      </c>
      <c r="G551" s="0" t="s">
        <v>1876</v>
      </c>
      <c r="H551" s="0" t="s">
        <v>1877</v>
      </c>
      <c r="I551" s="0" t="s">
        <v>124</v>
      </c>
      <c r="J551" s="0" t="s">
        <v>125</v>
      </c>
      <c r="K551" s="0" t="s">
        <v>89</v>
      </c>
      <c r="L551" s="0" t="str">
        <f aca="false">IFERROR(VLOOKUP(K551,'Supplier list'!B:C,2,0),"")</f>
        <v>บริษัท เฮเฟเล่ (ประเทศไทย) จำกัด</v>
      </c>
      <c r="M551" s="1" t="s">
        <v>24</v>
      </c>
      <c r="O551" s="2" t="n">
        <v>5514</v>
      </c>
    </row>
    <row r="552" customFormat="false" ht="16.4" hidden="false" customHeight="false" outlineLevel="0" collapsed="false">
      <c r="A552" s="0" t="s">
        <v>15</v>
      </c>
      <c r="B552" s="0" t="s">
        <v>1878</v>
      </c>
      <c r="C552" s="0" t="n">
        <v>114001</v>
      </c>
      <c r="D552" s="0" t="n">
        <v>114001</v>
      </c>
      <c r="E552" s="0" t="s">
        <v>127</v>
      </c>
      <c r="F552" s="0" t="s">
        <v>18</v>
      </c>
      <c r="G552" s="0" t="s">
        <v>1879</v>
      </c>
      <c r="H552" s="0" t="s">
        <v>1880</v>
      </c>
      <c r="I552" s="0" t="s">
        <v>124</v>
      </c>
      <c r="J552" s="0" t="s">
        <v>125</v>
      </c>
      <c r="K552" s="0" t="s">
        <v>1725</v>
      </c>
      <c r="L552" s="0" t="str">
        <f aca="false">IFERROR(VLOOKUP(K552,'Supplier list'!B:C,2,0),"")</f>
        <v>บริษัท พรีซิชั่นไลน์ จำกัด</v>
      </c>
      <c r="M552" s="1" t="s">
        <v>24</v>
      </c>
      <c r="O552" s="2" t="n">
        <v>2725</v>
      </c>
    </row>
    <row r="553" customFormat="false" ht="16.4" hidden="false" customHeight="false" outlineLevel="0" collapsed="false">
      <c r="A553" s="0" t="s">
        <v>15</v>
      </c>
      <c r="B553" s="0" t="s">
        <v>1881</v>
      </c>
      <c r="C553" s="0" t="n">
        <v>114001</v>
      </c>
      <c r="D553" s="0" t="n">
        <v>114001</v>
      </c>
      <c r="E553" s="0" t="s">
        <v>1605</v>
      </c>
      <c r="F553" s="0" t="s">
        <v>18</v>
      </c>
      <c r="G553" s="0" t="s">
        <v>1882</v>
      </c>
      <c r="H553" s="0" t="s">
        <v>1883</v>
      </c>
      <c r="I553" s="0" t="s">
        <v>168</v>
      </c>
      <c r="J553" s="0" t="s">
        <v>169</v>
      </c>
      <c r="K553" s="0" t="s">
        <v>1725</v>
      </c>
      <c r="L553" s="0" t="str">
        <f aca="false">IFERROR(VLOOKUP(K553,'Supplier list'!B:C,2,0),"")</f>
        <v>บริษัท พรีซิชั่นไลน์ จำกัด</v>
      </c>
      <c r="M553" s="1" t="s">
        <v>24</v>
      </c>
      <c r="O553" s="2" t="n">
        <v>550</v>
      </c>
    </row>
    <row r="554" customFormat="false" ht="16.4" hidden="false" customHeight="false" outlineLevel="0" collapsed="false">
      <c r="A554" s="0" t="s">
        <v>15</v>
      </c>
      <c r="B554" s="0" t="s">
        <v>1884</v>
      </c>
      <c r="C554" s="0" t="n">
        <v>114001</v>
      </c>
      <c r="D554" s="0" t="n">
        <v>114001</v>
      </c>
      <c r="E554" s="0" t="s">
        <v>1815</v>
      </c>
      <c r="F554" s="0" t="s">
        <v>18</v>
      </c>
      <c r="G554" s="0" t="s">
        <v>1885</v>
      </c>
      <c r="H554" s="0" t="s">
        <v>1886</v>
      </c>
      <c r="I554" s="0" t="s">
        <v>21</v>
      </c>
      <c r="J554" s="0" t="s">
        <v>22</v>
      </c>
      <c r="L554" s="0" t="str">
        <f aca="false">IFERROR(VLOOKUP(K554,'Supplier list'!B:C,2,0),"")</f>
        <v/>
      </c>
      <c r="M554" s="1" t="s">
        <v>24</v>
      </c>
      <c r="O554" s="2" t="n">
        <v>25</v>
      </c>
    </row>
    <row r="555" customFormat="false" ht="16.4" hidden="false" customHeight="false" outlineLevel="0" collapsed="false">
      <c r="A555" s="0" t="s">
        <v>15</v>
      </c>
      <c r="B555" s="0" t="s">
        <v>1887</v>
      </c>
      <c r="C555" s="0" t="n">
        <v>114001</v>
      </c>
      <c r="D555" s="0" t="n">
        <v>114001</v>
      </c>
      <c r="E555" s="0" t="s">
        <v>1815</v>
      </c>
      <c r="F555" s="0" t="s">
        <v>18</v>
      </c>
      <c r="G555" s="0" t="s">
        <v>1888</v>
      </c>
      <c r="H555" s="0" t="s">
        <v>1889</v>
      </c>
      <c r="I555" s="0" t="s">
        <v>21</v>
      </c>
      <c r="J555" s="0" t="s">
        <v>22</v>
      </c>
      <c r="L555" s="0" t="str">
        <f aca="false">IFERROR(VLOOKUP(K555,'Supplier list'!B:C,2,0),"")</f>
        <v/>
      </c>
      <c r="M555" s="1" t="s">
        <v>24</v>
      </c>
      <c r="O555" s="2" t="n">
        <v>25</v>
      </c>
    </row>
    <row r="556" customFormat="false" ht="16.4" hidden="false" customHeight="false" outlineLevel="0" collapsed="false">
      <c r="A556" s="0" t="s">
        <v>15</v>
      </c>
      <c r="B556" s="0" t="s">
        <v>1890</v>
      </c>
      <c r="C556" s="0" t="n">
        <v>114001</v>
      </c>
      <c r="D556" s="0" t="n">
        <v>114001</v>
      </c>
      <c r="E556" s="0" t="s">
        <v>1891</v>
      </c>
      <c r="F556" s="0" t="s">
        <v>18</v>
      </c>
      <c r="G556" s="0" t="s">
        <v>1892</v>
      </c>
      <c r="H556" s="0" t="s">
        <v>1893</v>
      </c>
      <c r="I556" s="0" t="s">
        <v>21</v>
      </c>
      <c r="J556" s="0" t="s">
        <v>22</v>
      </c>
      <c r="L556" s="0" t="str">
        <f aca="false">IFERROR(VLOOKUP(K556,'Supplier list'!B:C,2,0),"")</f>
        <v/>
      </c>
      <c r="M556" s="1" t="s">
        <v>24</v>
      </c>
      <c r="O556" s="2" t="n">
        <v>0</v>
      </c>
    </row>
    <row r="557" customFormat="false" ht="16.4" hidden="false" customHeight="false" outlineLevel="0" collapsed="false">
      <c r="A557" s="0" t="s">
        <v>15</v>
      </c>
      <c r="B557" s="0" t="s">
        <v>1894</v>
      </c>
      <c r="C557" s="0" t="n">
        <v>114001</v>
      </c>
      <c r="D557" s="0" t="n">
        <v>114001</v>
      </c>
      <c r="E557" s="0" t="s">
        <v>1891</v>
      </c>
      <c r="F557" s="0" t="s">
        <v>18</v>
      </c>
      <c r="G557" s="0" t="s">
        <v>1895</v>
      </c>
      <c r="H557" s="0" t="s">
        <v>1896</v>
      </c>
      <c r="I557" s="0" t="s">
        <v>21</v>
      </c>
      <c r="J557" s="0" t="s">
        <v>22</v>
      </c>
      <c r="L557" s="0" t="str">
        <f aca="false">IFERROR(VLOOKUP(K557,'Supplier list'!B:C,2,0),"")</f>
        <v/>
      </c>
      <c r="M557" s="1" t="s">
        <v>24</v>
      </c>
      <c r="O557" s="2" t="n">
        <v>0</v>
      </c>
    </row>
    <row r="558" customFormat="false" ht="16.4" hidden="false" customHeight="false" outlineLevel="0" collapsed="false">
      <c r="A558" s="0" t="s">
        <v>15</v>
      </c>
      <c r="B558" s="0" t="s">
        <v>1897</v>
      </c>
      <c r="C558" s="0" t="n">
        <v>114001</v>
      </c>
      <c r="D558" s="0" t="n">
        <v>114001</v>
      </c>
      <c r="E558" s="0" t="s">
        <v>1815</v>
      </c>
      <c r="F558" s="0" t="s">
        <v>18</v>
      </c>
      <c r="G558" s="0" t="s">
        <v>1898</v>
      </c>
      <c r="H558" s="0" t="s">
        <v>1899</v>
      </c>
      <c r="I558" s="0" t="s">
        <v>124</v>
      </c>
      <c r="J558" s="0" t="s">
        <v>125</v>
      </c>
      <c r="K558" s="0" t="s">
        <v>1725</v>
      </c>
      <c r="L558" s="0" t="str">
        <f aca="false">IFERROR(VLOOKUP(K558,'Supplier list'!B:C,2,0),"")</f>
        <v>บริษัท พรีซิชั่นไลน์ จำกัด</v>
      </c>
      <c r="M558" s="1" t="s">
        <v>24</v>
      </c>
      <c r="O558" s="2" t="n">
        <v>2410</v>
      </c>
    </row>
    <row r="559" customFormat="false" ht="16.4" hidden="false" customHeight="false" outlineLevel="0" collapsed="false">
      <c r="A559" s="0" t="s">
        <v>15</v>
      </c>
      <c r="B559" s="0" t="s">
        <v>1900</v>
      </c>
      <c r="C559" s="0" t="n">
        <v>114001</v>
      </c>
      <c r="D559" s="0" t="n">
        <v>114001</v>
      </c>
      <c r="E559" s="0" t="s">
        <v>1815</v>
      </c>
      <c r="F559" s="0" t="s">
        <v>18</v>
      </c>
      <c r="G559" s="0" t="s">
        <v>1901</v>
      </c>
      <c r="H559" s="0" t="s">
        <v>1902</v>
      </c>
      <c r="I559" s="0" t="s">
        <v>124</v>
      </c>
      <c r="J559" s="0" t="s">
        <v>125</v>
      </c>
      <c r="K559" s="0" t="s">
        <v>1725</v>
      </c>
      <c r="L559" s="0" t="str">
        <f aca="false">IFERROR(VLOOKUP(K559,'Supplier list'!B:C,2,0),"")</f>
        <v>บริษัท พรีซิชั่นไลน์ จำกัด</v>
      </c>
      <c r="M559" s="1" t="s">
        <v>24</v>
      </c>
      <c r="O559" s="2" t="n">
        <v>1780</v>
      </c>
    </row>
    <row r="560" customFormat="false" ht="16.4" hidden="false" customHeight="false" outlineLevel="0" collapsed="false">
      <c r="A560" s="0" t="s">
        <v>15</v>
      </c>
      <c r="B560" s="0" t="s">
        <v>1903</v>
      </c>
      <c r="C560" s="0" t="n">
        <v>114001</v>
      </c>
      <c r="D560" s="0" t="n">
        <v>114001</v>
      </c>
      <c r="E560" s="0" t="s">
        <v>1815</v>
      </c>
      <c r="F560" s="0" t="s">
        <v>18</v>
      </c>
      <c r="G560" s="0" t="s">
        <v>1904</v>
      </c>
      <c r="H560" s="0" t="s">
        <v>1905</v>
      </c>
      <c r="I560" s="0" t="s">
        <v>124</v>
      </c>
      <c r="J560" s="0" t="s">
        <v>125</v>
      </c>
      <c r="K560" s="0" t="s">
        <v>1725</v>
      </c>
      <c r="L560" s="0" t="str">
        <f aca="false">IFERROR(VLOOKUP(K560,'Supplier list'!B:C,2,0),"")</f>
        <v>บริษัท พรีซิชั่นไลน์ จำกัด</v>
      </c>
      <c r="M560" s="1" t="s">
        <v>24</v>
      </c>
      <c r="O560" s="2" t="n">
        <v>2410</v>
      </c>
    </row>
    <row r="561" customFormat="false" ht="16.4" hidden="false" customHeight="false" outlineLevel="0" collapsed="false">
      <c r="A561" s="0" t="s">
        <v>15</v>
      </c>
      <c r="B561" s="0" t="s">
        <v>1906</v>
      </c>
      <c r="C561" s="0" t="n">
        <v>114001</v>
      </c>
      <c r="D561" s="0" t="n">
        <v>114001</v>
      </c>
      <c r="E561" s="0" t="s">
        <v>1764</v>
      </c>
      <c r="F561" s="0" t="s">
        <v>18</v>
      </c>
      <c r="G561" s="0" t="s">
        <v>1907</v>
      </c>
      <c r="H561" s="0" t="s">
        <v>1908</v>
      </c>
      <c r="I561" s="0" t="s">
        <v>168</v>
      </c>
      <c r="J561" s="0" t="s">
        <v>169</v>
      </c>
      <c r="L561" s="0" t="str">
        <f aca="false">IFERROR(VLOOKUP(K561,'Supplier list'!B:C,2,0),"")</f>
        <v/>
      </c>
      <c r="M561" s="1" t="s">
        <v>24</v>
      </c>
      <c r="O561" s="2" t="n">
        <v>0</v>
      </c>
    </row>
    <row r="562" customFormat="false" ht="16.4" hidden="false" customHeight="false" outlineLevel="0" collapsed="false">
      <c r="A562" s="0" t="s">
        <v>15</v>
      </c>
      <c r="B562" s="0" t="s">
        <v>1909</v>
      </c>
      <c r="C562" s="0" t="n">
        <v>114001</v>
      </c>
      <c r="D562" s="0" t="n">
        <v>114001</v>
      </c>
      <c r="E562" s="0" t="s">
        <v>1764</v>
      </c>
      <c r="F562" s="0" t="s">
        <v>18</v>
      </c>
      <c r="G562" s="0" t="s">
        <v>1910</v>
      </c>
      <c r="H562" s="0" t="s">
        <v>1911</v>
      </c>
      <c r="I562" s="0" t="s">
        <v>168</v>
      </c>
      <c r="J562" s="0" t="s">
        <v>169</v>
      </c>
      <c r="L562" s="0" t="str">
        <f aca="false">IFERROR(VLOOKUP(K562,'Supplier list'!B:C,2,0),"")</f>
        <v/>
      </c>
      <c r="M562" s="1" t="s">
        <v>24</v>
      </c>
      <c r="O562" s="2" t="n">
        <v>0</v>
      </c>
    </row>
    <row r="563" customFormat="false" ht="16.4" hidden="false" customHeight="false" outlineLevel="0" collapsed="false">
      <c r="A563" s="0" t="s">
        <v>15</v>
      </c>
      <c r="B563" s="0" t="s">
        <v>1912</v>
      </c>
      <c r="C563" s="0" t="n">
        <v>114001</v>
      </c>
      <c r="D563" s="0" t="n">
        <v>114001</v>
      </c>
      <c r="E563" s="0" t="s">
        <v>1764</v>
      </c>
      <c r="F563" s="0" t="s">
        <v>18</v>
      </c>
      <c r="G563" s="0" t="s">
        <v>1913</v>
      </c>
      <c r="H563" s="0" t="s">
        <v>1914</v>
      </c>
      <c r="I563" s="0" t="s">
        <v>168</v>
      </c>
      <c r="J563" s="0" t="s">
        <v>169</v>
      </c>
      <c r="L563" s="0" t="str">
        <f aca="false">IFERROR(VLOOKUP(K563,'Supplier list'!B:C,2,0),"")</f>
        <v/>
      </c>
      <c r="M563" s="1" t="s">
        <v>24</v>
      </c>
      <c r="O563" s="2" t="n">
        <v>0</v>
      </c>
    </row>
    <row r="564" customFormat="false" ht="16.4" hidden="false" customHeight="false" outlineLevel="0" collapsed="false">
      <c r="A564" s="0" t="s">
        <v>15</v>
      </c>
      <c r="B564" s="0" t="s">
        <v>1915</v>
      </c>
      <c r="C564" s="0" t="n">
        <v>114001</v>
      </c>
      <c r="D564" s="0" t="n">
        <v>114001</v>
      </c>
      <c r="E564" s="0" t="s">
        <v>1764</v>
      </c>
      <c r="F564" s="0" t="s">
        <v>18</v>
      </c>
      <c r="G564" s="0" t="s">
        <v>1916</v>
      </c>
      <c r="H564" s="0" t="s">
        <v>1917</v>
      </c>
      <c r="I564" s="0" t="s">
        <v>168</v>
      </c>
      <c r="J564" s="0" t="s">
        <v>169</v>
      </c>
      <c r="L564" s="0" t="str">
        <f aca="false">IFERROR(VLOOKUP(K564,'Supplier list'!B:C,2,0),"")</f>
        <v/>
      </c>
      <c r="M564" s="1" t="s">
        <v>24</v>
      </c>
      <c r="O564" s="2" t="n">
        <v>0</v>
      </c>
    </row>
    <row r="565" customFormat="false" ht="16.4" hidden="false" customHeight="false" outlineLevel="0" collapsed="false">
      <c r="A565" s="0" t="s">
        <v>15</v>
      </c>
      <c r="B565" s="0" t="s">
        <v>1918</v>
      </c>
      <c r="C565" s="0" t="n">
        <v>114001</v>
      </c>
      <c r="D565" s="0" t="n">
        <v>114001</v>
      </c>
      <c r="E565" s="0" t="s">
        <v>1764</v>
      </c>
      <c r="F565" s="0" t="s">
        <v>18</v>
      </c>
      <c r="G565" s="0" t="s">
        <v>1919</v>
      </c>
      <c r="H565" s="0" t="s">
        <v>1920</v>
      </c>
      <c r="I565" s="0" t="s">
        <v>168</v>
      </c>
      <c r="J565" s="0" t="s">
        <v>169</v>
      </c>
      <c r="L565" s="0" t="str">
        <f aca="false">IFERROR(VLOOKUP(K565,'Supplier list'!B:C,2,0),"")</f>
        <v/>
      </c>
      <c r="M565" s="1" t="s">
        <v>24</v>
      </c>
      <c r="O565" s="2" t="n">
        <v>0</v>
      </c>
    </row>
    <row r="566" customFormat="false" ht="16.4" hidden="false" customHeight="false" outlineLevel="0" collapsed="false">
      <c r="A566" s="0" t="s">
        <v>15</v>
      </c>
      <c r="B566" s="0" t="s">
        <v>1921</v>
      </c>
      <c r="C566" s="0" t="n">
        <v>114001</v>
      </c>
      <c r="D566" s="0" t="n">
        <v>114001</v>
      </c>
      <c r="E566" s="0" t="s">
        <v>1764</v>
      </c>
      <c r="F566" s="0" t="s">
        <v>18</v>
      </c>
      <c r="G566" s="0" t="s">
        <v>1922</v>
      </c>
      <c r="H566" s="0" t="s">
        <v>1923</v>
      </c>
      <c r="I566" s="0" t="s">
        <v>168</v>
      </c>
      <c r="J566" s="0" t="s">
        <v>169</v>
      </c>
      <c r="L566" s="0" t="str">
        <f aca="false">IFERROR(VLOOKUP(K566,'Supplier list'!B:C,2,0),"")</f>
        <v/>
      </c>
      <c r="M566" s="1" t="s">
        <v>24</v>
      </c>
      <c r="O566" s="2" t="n">
        <v>0</v>
      </c>
    </row>
    <row r="567" customFormat="false" ht="16.4" hidden="false" customHeight="false" outlineLevel="0" collapsed="false">
      <c r="A567" s="0" t="s">
        <v>15</v>
      </c>
      <c r="B567" s="0" t="s">
        <v>1924</v>
      </c>
      <c r="C567" s="0" t="n">
        <v>114001</v>
      </c>
      <c r="D567" s="0" t="n">
        <v>114001</v>
      </c>
      <c r="E567" s="0" t="s">
        <v>1764</v>
      </c>
      <c r="F567" s="0" t="s">
        <v>18</v>
      </c>
      <c r="G567" s="0" t="s">
        <v>1925</v>
      </c>
      <c r="H567" s="0" t="s">
        <v>1926</v>
      </c>
      <c r="I567" s="0" t="s">
        <v>168</v>
      </c>
      <c r="J567" s="0" t="s">
        <v>169</v>
      </c>
      <c r="L567" s="0" t="str">
        <f aca="false">IFERROR(VLOOKUP(K567,'Supplier list'!B:C,2,0),"")</f>
        <v/>
      </c>
      <c r="M567" s="1" t="s">
        <v>24</v>
      </c>
      <c r="O567" s="2" t="n">
        <v>0</v>
      </c>
    </row>
    <row r="568" customFormat="false" ht="16.4" hidden="false" customHeight="false" outlineLevel="0" collapsed="false">
      <c r="A568" s="0" t="s">
        <v>15</v>
      </c>
      <c r="B568" s="0" t="s">
        <v>1927</v>
      </c>
      <c r="C568" s="0" t="n">
        <v>114001</v>
      </c>
      <c r="D568" s="0" t="n">
        <v>114001</v>
      </c>
      <c r="E568" s="0" t="s">
        <v>1764</v>
      </c>
      <c r="F568" s="0" t="s">
        <v>18</v>
      </c>
      <c r="G568" s="0" t="s">
        <v>1928</v>
      </c>
      <c r="H568" s="0" t="s">
        <v>1929</v>
      </c>
      <c r="I568" s="0" t="s">
        <v>168</v>
      </c>
      <c r="J568" s="0" t="s">
        <v>169</v>
      </c>
      <c r="L568" s="0" t="str">
        <f aca="false">IFERROR(VLOOKUP(K568,'Supplier list'!B:C,2,0),"")</f>
        <v/>
      </c>
      <c r="M568" s="1" t="s">
        <v>24</v>
      </c>
      <c r="O568" s="2" t="n">
        <v>0</v>
      </c>
    </row>
    <row r="569" customFormat="false" ht="16.4" hidden="false" customHeight="false" outlineLevel="0" collapsed="false">
      <c r="A569" s="0" t="s">
        <v>15</v>
      </c>
      <c r="B569" s="0" t="s">
        <v>1930</v>
      </c>
      <c r="C569" s="0" t="n">
        <v>114001</v>
      </c>
      <c r="D569" s="0" t="n">
        <v>114001</v>
      </c>
      <c r="E569" s="0" t="s">
        <v>1764</v>
      </c>
      <c r="F569" s="0" t="s">
        <v>18</v>
      </c>
      <c r="G569" s="0" t="s">
        <v>1931</v>
      </c>
      <c r="H569" s="0" t="s">
        <v>1932</v>
      </c>
      <c r="I569" s="0" t="s">
        <v>168</v>
      </c>
      <c r="J569" s="0" t="s">
        <v>169</v>
      </c>
      <c r="L569" s="0" t="str">
        <f aca="false">IFERROR(VLOOKUP(K569,'Supplier list'!B:C,2,0),"")</f>
        <v/>
      </c>
      <c r="M569" s="1" t="s">
        <v>24</v>
      </c>
      <c r="O569" s="2" t="n">
        <v>0</v>
      </c>
    </row>
    <row r="570" customFormat="false" ht="16.4" hidden="false" customHeight="false" outlineLevel="0" collapsed="false">
      <c r="A570" s="0" t="s">
        <v>15</v>
      </c>
      <c r="B570" s="0" t="s">
        <v>1933</v>
      </c>
      <c r="C570" s="0" t="n">
        <v>114001</v>
      </c>
      <c r="D570" s="0" t="n">
        <v>114001</v>
      </c>
      <c r="E570" s="0" t="s">
        <v>1764</v>
      </c>
      <c r="F570" s="0" t="s">
        <v>18</v>
      </c>
      <c r="G570" s="0" t="s">
        <v>1934</v>
      </c>
      <c r="H570" s="0" t="s">
        <v>1935</v>
      </c>
      <c r="I570" s="0" t="s">
        <v>168</v>
      </c>
      <c r="J570" s="0" t="s">
        <v>169</v>
      </c>
      <c r="L570" s="0" t="str">
        <f aca="false">IFERROR(VLOOKUP(K570,'Supplier list'!B:C,2,0),"")</f>
        <v/>
      </c>
      <c r="M570" s="1" t="s">
        <v>24</v>
      </c>
      <c r="O570" s="2" t="n">
        <v>0</v>
      </c>
    </row>
    <row r="571" customFormat="false" ht="16.4" hidden="false" customHeight="false" outlineLevel="0" collapsed="false">
      <c r="A571" s="0" t="s">
        <v>15</v>
      </c>
      <c r="B571" s="0" t="s">
        <v>1936</v>
      </c>
      <c r="C571" s="0" t="n">
        <v>114001</v>
      </c>
      <c r="D571" s="0" t="n">
        <v>114001</v>
      </c>
      <c r="E571" s="0" t="s">
        <v>1764</v>
      </c>
      <c r="F571" s="0" t="s">
        <v>18</v>
      </c>
      <c r="G571" s="0" t="s">
        <v>1937</v>
      </c>
      <c r="H571" s="0" t="s">
        <v>1938</v>
      </c>
      <c r="I571" s="0" t="s">
        <v>168</v>
      </c>
      <c r="J571" s="0" t="s">
        <v>169</v>
      </c>
      <c r="L571" s="0" t="str">
        <f aca="false">IFERROR(VLOOKUP(K571,'Supplier list'!B:C,2,0),"")</f>
        <v/>
      </c>
      <c r="M571" s="1" t="s">
        <v>24</v>
      </c>
      <c r="O571" s="2" t="n">
        <v>0</v>
      </c>
    </row>
    <row r="572" customFormat="false" ht="16.4" hidden="false" customHeight="false" outlineLevel="0" collapsed="false">
      <c r="A572" s="0" t="s">
        <v>15</v>
      </c>
      <c r="B572" s="0" t="s">
        <v>1939</v>
      </c>
      <c r="C572" s="0" t="n">
        <v>114001</v>
      </c>
      <c r="D572" s="0" t="n">
        <v>114001</v>
      </c>
      <c r="E572" s="0" t="s">
        <v>1764</v>
      </c>
      <c r="F572" s="0" t="s">
        <v>18</v>
      </c>
      <c r="G572" s="0" t="s">
        <v>1940</v>
      </c>
      <c r="H572" s="0" t="s">
        <v>1941</v>
      </c>
      <c r="I572" s="0" t="s">
        <v>168</v>
      </c>
      <c r="J572" s="0" t="s">
        <v>169</v>
      </c>
      <c r="L572" s="0" t="str">
        <f aca="false">IFERROR(VLOOKUP(K572,'Supplier list'!B:C,2,0),"")</f>
        <v/>
      </c>
      <c r="M572" s="1" t="s">
        <v>24</v>
      </c>
      <c r="O572" s="2" t="n">
        <v>0</v>
      </c>
    </row>
    <row r="573" customFormat="false" ht="16.4" hidden="false" customHeight="false" outlineLevel="0" collapsed="false">
      <c r="A573" s="0" t="s">
        <v>15</v>
      </c>
      <c r="B573" s="0" t="s">
        <v>1942</v>
      </c>
      <c r="C573" s="0" t="n">
        <v>114001</v>
      </c>
      <c r="D573" s="0" t="n">
        <v>114001</v>
      </c>
      <c r="E573" s="0" t="s">
        <v>1764</v>
      </c>
      <c r="F573" s="0" t="s">
        <v>18</v>
      </c>
      <c r="G573" s="0" t="s">
        <v>1943</v>
      </c>
      <c r="H573" s="0" t="s">
        <v>1944</v>
      </c>
      <c r="I573" s="0" t="s">
        <v>168</v>
      </c>
      <c r="J573" s="0" t="s">
        <v>169</v>
      </c>
      <c r="L573" s="0" t="str">
        <f aca="false">IFERROR(VLOOKUP(K573,'Supplier list'!B:C,2,0),"")</f>
        <v/>
      </c>
      <c r="M573" s="1" t="s">
        <v>24</v>
      </c>
      <c r="O573" s="2" t="n">
        <v>0</v>
      </c>
    </row>
    <row r="574" customFormat="false" ht="16.4" hidden="false" customHeight="false" outlineLevel="0" collapsed="false">
      <c r="A574" s="0" t="s">
        <v>15</v>
      </c>
      <c r="B574" s="0" t="s">
        <v>1945</v>
      </c>
      <c r="C574" s="0" t="n">
        <v>114001</v>
      </c>
      <c r="D574" s="0" t="n">
        <v>114001</v>
      </c>
      <c r="E574" s="0" t="s">
        <v>1764</v>
      </c>
      <c r="F574" s="0" t="s">
        <v>18</v>
      </c>
      <c r="G574" s="0" t="s">
        <v>1946</v>
      </c>
      <c r="H574" s="0" t="s">
        <v>1947</v>
      </c>
      <c r="I574" s="0" t="s">
        <v>168</v>
      </c>
      <c r="J574" s="0" t="s">
        <v>169</v>
      </c>
      <c r="L574" s="0" t="str">
        <f aca="false">IFERROR(VLOOKUP(K574,'Supplier list'!B:C,2,0),"")</f>
        <v/>
      </c>
      <c r="M574" s="1" t="s">
        <v>24</v>
      </c>
      <c r="O574" s="2" t="n">
        <v>0</v>
      </c>
    </row>
    <row r="575" customFormat="false" ht="16.4" hidden="false" customHeight="false" outlineLevel="0" collapsed="false">
      <c r="A575" s="0" t="s">
        <v>15</v>
      </c>
      <c r="B575" s="0" t="s">
        <v>1948</v>
      </c>
      <c r="C575" s="0" t="n">
        <v>114001</v>
      </c>
      <c r="D575" s="0" t="n">
        <v>114001</v>
      </c>
      <c r="E575" s="0" t="s">
        <v>1764</v>
      </c>
      <c r="F575" s="0" t="s">
        <v>18</v>
      </c>
      <c r="G575" s="0" t="s">
        <v>1949</v>
      </c>
      <c r="H575" s="0" t="s">
        <v>1950</v>
      </c>
      <c r="I575" s="0" t="s">
        <v>168</v>
      </c>
      <c r="J575" s="0" t="s">
        <v>169</v>
      </c>
      <c r="L575" s="0" t="str">
        <f aca="false">IFERROR(VLOOKUP(K575,'Supplier list'!B:C,2,0),"")</f>
        <v/>
      </c>
      <c r="M575" s="1" t="s">
        <v>24</v>
      </c>
      <c r="O575" s="2" t="n">
        <v>0</v>
      </c>
    </row>
    <row r="576" customFormat="false" ht="16.4" hidden="false" customHeight="false" outlineLevel="0" collapsed="false">
      <c r="A576" s="0" t="s">
        <v>15</v>
      </c>
      <c r="B576" s="0" t="s">
        <v>1951</v>
      </c>
      <c r="C576" s="0" t="n">
        <v>114001</v>
      </c>
      <c r="D576" s="0" t="n">
        <v>114001</v>
      </c>
      <c r="E576" s="0" t="s">
        <v>1764</v>
      </c>
      <c r="F576" s="0" t="s">
        <v>18</v>
      </c>
      <c r="G576" s="0" t="s">
        <v>1952</v>
      </c>
      <c r="H576" s="0" t="s">
        <v>1953</v>
      </c>
      <c r="I576" s="0" t="s">
        <v>168</v>
      </c>
      <c r="J576" s="0" t="s">
        <v>169</v>
      </c>
      <c r="L576" s="0" t="str">
        <f aca="false">IFERROR(VLOOKUP(K576,'Supplier list'!B:C,2,0),"")</f>
        <v/>
      </c>
      <c r="M576" s="1" t="s">
        <v>24</v>
      </c>
      <c r="O576" s="2" t="n">
        <v>0</v>
      </c>
    </row>
    <row r="577" customFormat="false" ht="16.4" hidden="false" customHeight="false" outlineLevel="0" collapsed="false">
      <c r="A577" s="0" t="s">
        <v>15</v>
      </c>
      <c r="B577" s="0" t="s">
        <v>1954</v>
      </c>
      <c r="C577" s="0" t="n">
        <v>114001</v>
      </c>
      <c r="D577" s="0" t="n">
        <v>114001</v>
      </c>
      <c r="E577" s="0" t="s">
        <v>1764</v>
      </c>
      <c r="F577" s="0" t="s">
        <v>18</v>
      </c>
      <c r="G577" s="0" t="s">
        <v>1955</v>
      </c>
      <c r="H577" s="0" t="s">
        <v>1956</v>
      </c>
      <c r="I577" s="0" t="s">
        <v>168</v>
      </c>
      <c r="J577" s="0" t="s">
        <v>169</v>
      </c>
      <c r="L577" s="0" t="str">
        <f aca="false">IFERROR(VLOOKUP(K577,'Supplier list'!B:C,2,0),"")</f>
        <v/>
      </c>
      <c r="M577" s="1" t="s">
        <v>24</v>
      </c>
      <c r="O577" s="2" t="n">
        <v>0</v>
      </c>
    </row>
    <row r="578" customFormat="false" ht="16.4" hidden="false" customHeight="false" outlineLevel="0" collapsed="false">
      <c r="A578" s="0" t="s">
        <v>15</v>
      </c>
      <c r="B578" s="0" t="s">
        <v>1957</v>
      </c>
      <c r="C578" s="0" t="n">
        <v>114001</v>
      </c>
      <c r="D578" s="0" t="n">
        <v>114001</v>
      </c>
      <c r="E578" s="0" t="s">
        <v>1764</v>
      </c>
      <c r="F578" s="0" t="s">
        <v>18</v>
      </c>
      <c r="G578" s="0" t="s">
        <v>1958</v>
      </c>
      <c r="H578" s="0" t="s">
        <v>1959</v>
      </c>
      <c r="I578" s="0" t="s">
        <v>168</v>
      </c>
      <c r="J578" s="0" t="s">
        <v>169</v>
      </c>
      <c r="L578" s="0" t="str">
        <f aca="false">IFERROR(VLOOKUP(K578,'Supplier list'!B:C,2,0),"")</f>
        <v/>
      </c>
      <c r="M578" s="1" t="s">
        <v>24</v>
      </c>
      <c r="O578" s="2" t="n">
        <v>0</v>
      </c>
    </row>
    <row r="579" customFormat="false" ht="16.4" hidden="false" customHeight="false" outlineLevel="0" collapsed="false">
      <c r="A579" s="0" t="s">
        <v>15</v>
      </c>
      <c r="B579" s="0" t="s">
        <v>1960</v>
      </c>
      <c r="C579" s="0" t="n">
        <v>114001</v>
      </c>
      <c r="D579" s="0" t="n">
        <v>114001</v>
      </c>
      <c r="E579" s="0" t="s">
        <v>1815</v>
      </c>
      <c r="F579" s="0" t="s">
        <v>18</v>
      </c>
      <c r="G579" s="0" t="s">
        <v>1961</v>
      </c>
      <c r="H579" s="0" t="s">
        <v>1962</v>
      </c>
      <c r="I579" s="0" t="s">
        <v>124</v>
      </c>
      <c r="J579" s="0" t="s">
        <v>125</v>
      </c>
      <c r="L579" s="0" t="str">
        <f aca="false">IFERROR(VLOOKUP(K579,'Supplier list'!B:C,2,0),"")</f>
        <v/>
      </c>
      <c r="M579" s="1" t="s">
        <v>24</v>
      </c>
      <c r="O579" s="2" t="n">
        <v>440</v>
      </c>
    </row>
    <row r="580" customFormat="false" ht="16.4" hidden="false" customHeight="false" outlineLevel="0" collapsed="false">
      <c r="A580" s="0" t="s">
        <v>15</v>
      </c>
      <c r="B580" s="0" t="s">
        <v>1963</v>
      </c>
      <c r="C580" s="0" t="n">
        <v>114001</v>
      </c>
      <c r="D580" s="0" t="n">
        <v>114001</v>
      </c>
      <c r="E580" s="0" t="s">
        <v>1454</v>
      </c>
      <c r="F580" s="0" t="s">
        <v>18</v>
      </c>
      <c r="G580" s="0" t="s">
        <v>1964</v>
      </c>
      <c r="H580" s="0" t="s">
        <v>1965</v>
      </c>
      <c r="I580" s="0" t="s">
        <v>21</v>
      </c>
      <c r="J580" s="0" t="s">
        <v>22</v>
      </c>
      <c r="L580" s="0" t="str">
        <f aca="false">IFERROR(VLOOKUP(K580,'Supplier list'!B:C,2,0),"")</f>
        <v/>
      </c>
      <c r="M580" s="1" t="s">
        <v>24</v>
      </c>
      <c r="O580" s="2" t="n">
        <v>108</v>
      </c>
    </row>
    <row r="581" customFormat="false" ht="16.4" hidden="false" customHeight="false" outlineLevel="0" collapsed="false">
      <c r="A581" s="0" t="s">
        <v>15</v>
      </c>
      <c r="B581" s="0" t="s">
        <v>1966</v>
      </c>
      <c r="C581" s="0" t="n">
        <v>114001</v>
      </c>
      <c r="D581" s="0" t="n">
        <v>114001</v>
      </c>
      <c r="E581" s="0" t="s">
        <v>1454</v>
      </c>
      <c r="F581" s="0" t="s">
        <v>18</v>
      </c>
      <c r="G581" s="0" t="s">
        <v>1967</v>
      </c>
      <c r="H581" s="0" t="s">
        <v>1968</v>
      </c>
      <c r="I581" s="0" t="s">
        <v>21</v>
      </c>
      <c r="J581" s="0" t="s">
        <v>22</v>
      </c>
      <c r="L581" s="0" t="str">
        <f aca="false">IFERROR(VLOOKUP(K581,'Supplier list'!B:C,2,0),"")</f>
        <v/>
      </c>
      <c r="M581" s="1" t="s">
        <v>24</v>
      </c>
      <c r="O581" s="2" t="n">
        <v>0</v>
      </c>
    </row>
    <row r="582" customFormat="false" ht="16.4" hidden="false" customHeight="false" outlineLevel="0" collapsed="false">
      <c r="A582" s="0" t="s">
        <v>15</v>
      </c>
      <c r="B582" s="0" t="s">
        <v>1969</v>
      </c>
      <c r="C582" s="0" t="n">
        <v>114001</v>
      </c>
      <c r="D582" s="0" t="n">
        <v>114001</v>
      </c>
      <c r="E582" s="0" t="s">
        <v>1970</v>
      </c>
      <c r="F582" s="0" t="s">
        <v>18</v>
      </c>
      <c r="G582" s="0" t="s">
        <v>1971</v>
      </c>
      <c r="H582" s="0" t="s">
        <v>1972</v>
      </c>
      <c r="I582" s="0" t="s">
        <v>21</v>
      </c>
      <c r="J582" s="0" t="s">
        <v>22</v>
      </c>
      <c r="L582" s="0" t="str">
        <f aca="false">IFERROR(VLOOKUP(K582,'Supplier list'!B:C,2,0),"")</f>
        <v/>
      </c>
      <c r="M582" s="1" t="s">
        <v>24</v>
      </c>
      <c r="O582" s="2" t="n">
        <v>0</v>
      </c>
    </row>
    <row r="583" customFormat="false" ht="16.4" hidden="false" customHeight="false" outlineLevel="0" collapsed="false">
      <c r="A583" s="0" t="s">
        <v>15</v>
      </c>
      <c r="B583" s="0" t="s">
        <v>1973</v>
      </c>
      <c r="C583" s="0" t="n">
        <v>114001</v>
      </c>
      <c r="D583" s="0" t="n">
        <v>114001</v>
      </c>
      <c r="E583" s="0" t="s">
        <v>1970</v>
      </c>
      <c r="F583" s="0" t="s">
        <v>18</v>
      </c>
      <c r="G583" s="0" t="s">
        <v>1974</v>
      </c>
      <c r="H583" s="0" t="s">
        <v>1975</v>
      </c>
      <c r="I583" s="0" t="s">
        <v>21</v>
      </c>
      <c r="J583" s="0" t="s">
        <v>22</v>
      </c>
      <c r="L583" s="0" t="str">
        <f aca="false">IFERROR(VLOOKUP(K583,'Supplier list'!B:C,2,0),"")</f>
        <v/>
      </c>
      <c r="M583" s="1" t="s">
        <v>24</v>
      </c>
      <c r="O583" s="2" t="n">
        <v>0</v>
      </c>
    </row>
    <row r="584" customFormat="false" ht="16.4" hidden="false" customHeight="false" outlineLevel="0" collapsed="false">
      <c r="A584" s="0" t="s">
        <v>15</v>
      </c>
      <c r="B584" s="0" t="s">
        <v>1976</v>
      </c>
      <c r="C584" s="0" t="n">
        <v>114001</v>
      </c>
      <c r="D584" s="0" t="n">
        <v>114001</v>
      </c>
      <c r="E584" s="0" t="s">
        <v>1970</v>
      </c>
      <c r="F584" s="0" t="s">
        <v>18</v>
      </c>
      <c r="G584" s="0" t="s">
        <v>1977</v>
      </c>
      <c r="H584" s="0" t="s">
        <v>1978</v>
      </c>
      <c r="I584" s="0" t="s">
        <v>21</v>
      </c>
      <c r="J584" s="0" t="s">
        <v>22</v>
      </c>
      <c r="L584" s="0" t="str">
        <f aca="false">IFERROR(VLOOKUP(K584,'Supplier list'!B:C,2,0),"")</f>
        <v/>
      </c>
      <c r="M584" s="1" t="s">
        <v>24</v>
      </c>
      <c r="O584" s="2" t="n">
        <v>0</v>
      </c>
    </row>
    <row r="585" customFormat="false" ht="16.4" hidden="false" customHeight="false" outlineLevel="0" collapsed="false">
      <c r="A585" s="0" t="s">
        <v>15</v>
      </c>
      <c r="B585" s="0" t="s">
        <v>1979</v>
      </c>
      <c r="C585" s="0" t="n">
        <v>114001</v>
      </c>
      <c r="D585" s="0" t="n">
        <v>114001</v>
      </c>
      <c r="E585" s="0" t="s">
        <v>1970</v>
      </c>
      <c r="F585" s="0" t="s">
        <v>18</v>
      </c>
      <c r="G585" s="0" t="s">
        <v>1980</v>
      </c>
      <c r="H585" s="0" t="s">
        <v>1981</v>
      </c>
      <c r="I585" s="0" t="s">
        <v>21</v>
      </c>
      <c r="J585" s="0" t="s">
        <v>22</v>
      </c>
      <c r="L585" s="0" t="str">
        <f aca="false">IFERROR(VLOOKUP(K585,'Supplier list'!B:C,2,0),"")</f>
        <v/>
      </c>
      <c r="M585" s="1" t="s">
        <v>24</v>
      </c>
      <c r="O585" s="2" t="n">
        <v>0</v>
      </c>
    </row>
    <row r="586" customFormat="false" ht="16.4" hidden="false" customHeight="false" outlineLevel="0" collapsed="false">
      <c r="A586" s="0" t="s">
        <v>15</v>
      </c>
      <c r="B586" s="0" t="s">
        <v>1982</v>
      </c>
      <c r="C586" s="0" t="n">
        <v>114001</v>
      </c>
      <c r="D586" s="0" t="n">
        <v>114001</v>
      </c>
      <c r="E586" s="0" t="s">
        <v>1970</v>
      </c>
      <c r="F586" s="0" t="s">
        <v>18</v>
      </c>
      <c r="G586" s="0" t="s">
        <v>1983</v>
      </c>
      <c r="H586" s="0" t="s">
        <v>1984</v>
      </c>
      <c r="I586" s="0" t="s">
        <v>21</v>
      </c>
      <c r="J586" s="0" t="s">
        <v>22</v>
      </c>
      <c r="L586" s="0" t="str">
        <f aca="false">IFERROR(VLOOKUP(K586,'Supplier list'!B:C,2,0),"")</f>
        <v/>
      </c>
      <c r="M586" s="1" t="s">
        <v>24</v>
      </c>
      <c r="O586" s="2" t="n">
        <v>0</v>
      </c>
    </row>
    <row r="587" customFormat="false" ht="16.4" hidden="false" customHeight="false" outlineLevel="0" collapsed="false">
      <c r="A587" s="0" t="s">
        <v>15</v>
      </c>
      <c r="B587" s="0" t="s">
        <v>1985</v>
      </c>
      <c r="C587" s="0" t="n">
        <v>114001</v>
      </c>
      <c r="D587" s="0" t="n">
        <v>114001</v>
      </c>
      <c r="E587" s="0" t="s">
        <v>1970</v>
      </c>
      <c r="F587" s="0" t="s">
        <v>18</v>
      </c>
      <c r="G587" s="0" t="s">
        <v>1986</v>
      </c>
      <c r="H587" s="0" t="s">
        <v>1987</v>
      </c>
      <c r="I587" s="0" t="s">
        <v>21</v>
      </c>
      <c r="J587" s="0" t="s">
        <v>22</v>
      </c>
      <c r="L587" s="0" t="str">
        <f aca="false">IFERROR(VLOOKUP(K587,'Supplier list'!B:C,2,0),"")</f>
        <v/>
      </c>
      <c r="M587" s="1" t="s">
        <v>24</v>
      </c>
      <c r="O587" s="2" t="n">
        <v>0</v>
      </c>
    </row>
    <row r="588" customFormat="false" ht="16.4" hidden="false" customHeight="false" outlineLevel="0" collapsed="false">
      <c r="A588" s="0" t="s">
        <v>15</v>
      </c>
      <c r="B588" s="0" t="s">
        <v>1988</v>
      </c>
      <c r="C588" s="0" t="n">
        <v>114001</v>
      </c>
      <c r="D588" s="0" t="n">
        <v>114001</v>
      </c>
      <c r="E588" s="0" t="s">
        <v>1970</v>
      </c>
      <c r="F588" s="0" t="s">
        <v>18</v>
      </c>
      <c r="G588" s="0" t="s">
        <v>1989</v>
      </c>
      <c r="H588" s="0" t="s">
        <v>1990</v>
      </c>
      <c r="I588" s="0" t="s">
        <v>21</v>
      </c>
      <c r="J588" s="0" t="s">
        <v>22</v>
      </c>
      <c r="L588" s="0" t="str">
        <f aca="false">IFERROR(VLOOKUP(K588,'Supplier list'!B:C,2,0),"")</f>
        <v/>
      </c>
      <c r="M588" s="1" t="s">
        <v>24</v>
      </c>
      <c r="O588" s="2" t="n">
        <v>0</v>
      </c>
    </row>
    <row r="589" customFormat="false" ht="16.4" hidden="false" customHeight="false" outlineLevel="0" collapsed="false">
      <c r="A589" s="0" t="s">
        <v>15</v>
      </c>
      <c r="B589" s="0" t="s">
        <v>1991</v>
      </c>
      <c r="C589" s="0" t="n">
        <v>114001</v>
      </c>
      <c r="D589" s="0" t="n">
        <v>114001</v>
      </c>
      <c r="E589" s="0" t="s">
        <v>1970</v>
      </c>
      <c r="F589" s="0" t="s">
        <v>18</v>
      </c>
      <c r="G589" s="0" t="s">
        <v>1992</v>
      </c>
      <c r="H589" s="0" t="s">
        <v>1993</v>
      </c>
      <c r="I589" s="0" t="s">
        <v>21</v>
      </c>
      <c r="J589" s="0" t="s">
        <v>22</v>
      </c>
      <c r="L589" s="0" t="str">
        <f aca="false">IFERROR(VLOOKUP(K589,'Supplier list'!B:C,2,0),"")</f>
        <v/>
      </c>
      <c r="M589" s="1" t="s">
        <v>24</v>
      </c>
      <c r="O589" s="2" t="n">
        <v>0</v>
      </c>
    </row>
    <row r="590" customFormat="false" ht="16.4" hidden="false" customHeight="false" outlineLevel="0" collapsed="false">
      <c r="A590" s="0" t="s">
        <v>15</v>
      </c>
      <c r="B590" s="0" t="s">
        <v>1994</v>
      </c>
      <c r="C590" s="0" t="n">
        <v>114001</v>
      </c>
      <c r="D590" s="0" t="n">
        <v>114001</v>
      </c>
      <c r="E590" s="0" t="s">
        <v>1815</v>
      </c>
      <c r="F590" s="0" t="s">
        <v>18</v>
      </c>
      <c r="G590" s="0" t="s">
        <v>1995</v>
      </c>
      <c r="H590" s="0" t="s">
        <v>1996</v>
      </c>
      <c r="I590" s="0" t="s">
        <v>124</v>
      </c>
      <c r="J590" s="0" t="s">
        <v>125</v>
      </c>
      <c r="K590" s="0" t="s">
        <v>89</v>
      </c>
      <c r="L590" s="0" t="str">
        <f aca="false">IFERROR(VLOOKUP(K590,'Supplier list'!B:C,2,0),"")</f>
        <v>บริษัท เฮเฟเล่ (ประเทศไทย) จำกัด</v>
      </c>
      <c r="M590" s="1" t="s">
        <v>24</v>
      </c>
      <c r="O590" s="2" t="n">
        <v>1748</v>
      </c>
    </row>
    <row r="591" customFormat="false" ht="16.4" hidden="false" customHeight="false" outlineLevel="0" collapsed="false">
      <c r="A591" s="0" t="s">
        <v>15</v>
      </c>
      <c r="B591" s="0" t="s">
        <v>1997</v>
      </c>
      <c r="C591" s="0" t="n">
        <v>114001</v>
      </c>
      <c r="D591" s="0" t="n">
        <v>114001</v>
      </c>
      <c r="E591" s="0" t="s">
        <v>1764</v>
      </c>
      <c r="F591" s="0" t="s">
        <v>18</v>
      </c>
      <c r="G591" s="0" t="s">
        <v>1998</v>
      </c>
      <c r="H591" s="0" t="s">
        <v>1999</v>
      </c>
      <c r="I591" s="0" t="s">
        <v>21</v>
      </c>
      <c r="J591" s="0" t="s">
        <v>22</v>
      </c>
      <c r="L591" s="0" t="str">
        <f aca="false">IFERROR(VLOOKUP(K591,'Supplier list'!B:C,2,0),"")</f>
        <v/>
      </c>
      <c r="M591" s="1" t="s">
        <v>24</v>
      </c>
      <c r="O591" s="2" t="n">
        <v>0</v>
      </c>
    </row>
    <row r="592" customFormat="false" ht="16.4" hidden="false" customHeight="false" outlineLevel="0" collapsed="false">
      <c r="A592" s="0" t="s">
        <v>15</v>
      </c>
      <c r="B592" s="0" t="s">
        <v>2000</v>
      </c>
      <c r="C592" s="0" t="n">
        <v>114001</v>
      </c>
      <c r="D592" s="0" t="n">
        <v>114001</v>
      </c>
      <c r="E592" s="0" t="s">
        <v>1764</v>
      </c>
      <c r="F592" s="0" t="s">
        <v>18</v>
      </c>
      <c r="G592" s="0" t="s">
        <v>2001</v>
      </c>
      <c r="H592" s="0" t="s">
        <v>2002</v>
      </c>
      <c r="I592" s="0" t="s">
        <v>21</v>
      </c>
      <c r="J592" s="0" t="s">
        <v>22</v>
      </c>
      <c r="L592" s="0" t="str">
        <f aca="false">IFERROR(VLOOKUP(K592,'Supplier list'!B:C,2,0),"")</f>
        <v/>
      </c>
      <c r="M592" s="1" t="s">
        <v>24</v>
      </c>
      <c r="O592" s="2" t="n">
        <v>0</v>
      </c>
    </row>
    <row r="593" customFormat="false" ht="16.4" hidden="false" customHeight="false" outlineLevel="0" collapsed="false">
      <c r="A593" s="0" t="s">
        <v>15</v>
      </c>
      <c r="B593" s="0" t="s">
        <v>2003</v>
      </c>
      <c r="C593" s="0" t="n">
        <v>114001</v>
      </c>
      <c r="D593" s="0" t="n">
        <v>114001</v>
      </c>
      <c r="E593" s="0" t="s">
        <v>1764</v>
      </c>
      <c r="F593" s="0" t="s">
        <v>18</v>
      </c>
      <c r="G593" s="0" t="s">
        <v>2004</v>
      </c>
      <c r="H593" s="0" t="s">
        <v>2005</v>
      </c>
      <c r="I593" s="0" t="s">
        <v>21</v>
      </c>
      <c r="J593" s="0" t="s">
        <v>22</v>
      </c>
      <c r="K593" s="0" t="s">
        <v>2006</v>
      </c>
      <c r="L593" s="0" t="str">
        <f aca="false">IFERROR(VLOOKUP(K593,'Supplier list'!B:C,2,0),"")</f>
        <v>บริษัท หวาเลี่ยง เซรามิค ฮาร์ดแวร์ แฟคทอรี่ จำกัด</v>
      </c>
      <c r="M593" s="1" t="s">
        <v>24</v>
      </c>
      <c r="O593" s="2" t="n">
        <v>0</v>
      </c>
    </row>
    <row r="594" customFormat="false" ht="16.4" hidden="false" customHeight="false" outlineLevel="0" collapsed="false">
      <c r="A594" s="0" t="s">
        <v>15</v>
      </c>
      <c r="B594" s="0" t="s">
        <v>2007</v>
      </c>
      <c r="C594" s="0" t="n">
        <v>114001</v>
      </c>
      <c r="D594" s="0" t="n">
        <v>114001</v>
      </c>
      <c r="E594" s="0" t="s">
        <v>1764</v>
      </c>
      <c r="F594" s="0" t="s">
        <v>18</v>
      </c>
      <c r="G594" s="0" t="s">
        <v>2008</v>
      </c>
      <c r="H594" s="0" t="s">
        <v>2009</v>
      </c>
      <c r="I594" s="0" t="s">
        <v>21</v>
      </c>
      <c r="J594" s="0" t="s">
        <v>22</v>
      </c>
      <c r="L594" s="0" t="str">
        <f aca="false">IFERROR(VLOOKUP(K594,'Supplier list'!B:C,2,0),"")</f>
        <v/>
      </c>
      <c r="M594" s="1" t="s">
        <v>24</v>
      </c>
      <c r="O594" s="2" t="n">
        <v>0</v>
      </c>
    </row>
    <row r="595" customFormat="false" ht="16.4" hidden="false" customHeight="false" outlineLevel="0" collapsed="false">
      <c r="A595" s="0" t="s">
        <v>15</v>
      </c>
      <c r="B595" s="0" t="s">
        <v>2010</v>
      </c>
      <c r="C595" s="0" t="n">
        <v>114001</v>
      </c>
      <c r="D595" s="0" t="n">
        <v>114001</v>
      </c>
      <c r="E595" s="0" t="s">
        <v>1764</v>
      </c>
      <c r="F595" s="0" t="s">
        <v>18</v>
      </c>
      <c r="G595" s="0" t="s">
        <v>2011</v>
      </c>
      <c r="H595" s="0" t="s">
        <v>2012</v>
      </c>
      <c r="I595" s="0" t="s">
        <v>21</v>
      </c>
      <c r="J595" s="0" t="s">
        <v>22</v>
      </c>
      <c r="L595" s="0" t="str">
        <f aca="false">IFERROR(VLOOKUP(K595,'Supplier list'!B:C,2,0),"")</f>
        <v/>
      </c>
      <c r="M595" s="1" t="s">
        <v>24</v>
      </c>
      <c r="O595" s="2" t="n">
        <v>0</v>
      </c>
    </row>
    <row r="596" customFormat="false" ht="16.4" hidden="false" customHeight="false" outlineLevel="0" collapsed="false">
      <c r="A596" s="0" t="s">
        <v>15</v>
      </c>
      <c r="B596" s="0" t="s">
        <v>2013</v>
      </c>
      <c r="C596" s="0" t="n">
        <v>114001</v>
      </c>
      <c r="D596" s="0" t="n">
        <v>114001</v>
      </c>
      <c r="E596" s="0" t="s">
        <v>1815</v>
      </c>
      <c r="F596" s="0" t="s">
        <v>18</v>
      </c>
      <c r="G596" s="0" t="s">
        <v>2014</v>
      </c>
      <c r="H596" s="0" t="s">
        <v>2015</v>
      </c>
      <c r="I596" s="0" t="s">
        <v>124</v>
      </c>
      <c r="J596" s="0" t="s">
        <v>125</v>
      </c>
      <c r="K596" s="0" t="s">
        <v>89</v>
      </c>
      <c r="L596" s="0" t="str">
        <f aca="false">IFERROR(VLOOKUP(K596,'Supplier list'!B:C,2,0),"")</f>
        <v>บริษัท เฮเฟเล่ (ประเทศไทย) จำกัด</v>
      </c>
      <c r="M596" s="1" t="s">
        <v>24</v>
      </c>
      <c r="O596" s="2" t="n">
        <v>1421</v>
      </c>
    </row>
    <row r="597" customFormat="false" ht="16.4" hidden="false" customHeight="false" outlineLevel="0" collapsed="false">
      <c r="A597" s="0" t="s">
        <v>15</v>
      </c>
      <c r="B597" s="0" t="s">
        <v>2016</v>
      </c>
      <c r="C597" s="0" t="n">
        <v>114001</v>
      </c>
      <c r="D597" s="0" t="n">
        <v>114001</v>
      </c>
      <c r="E597" s="0" t="s">
        <v>1815</v>
      </c>
      <c r="F597" s="0" t="s">
        <v>18</v>
      </c>
      <c r="G597" s="0" t="s">
        <v>2017</v>
      </c>
      <c r="H597" s="0" t="s">
        <v>2018</v>
      </c>
      <c r="I597" s="0" t="s">
        <v>124</v>
      </c>
      <c r="J597" s="0" t="s">
        <v>125</v>
      </c>
      <c r="K597" s="0" t="s">
        <v>89</v>
      </c>
      <c r="L597" s="0" t="str">
        <f aca="false">IFERROR(VLOOKUP(K597,'Supplier list'!B:C,2,0),"")</f>
        <v>บริษัท เฮเฟเล่ (ประเทศไทย) จำกัด</v>
      </c>
      <c r="M597" s="1" t="s">
        <v>24</v>
      </c>
      <c r="O597" s="2" t="n">
        <v>1701</v>
      </c>
    </row>
    <row r="598" customFormat="false" ht="16.4" hidden="false" customHeight="false" outlineLevel="0" collapsed="false">
      <c r="A598" s="0" t="s">
        <v>15</v>
      </c>
      <c r="B598" s="0" t="s">
        <v>2019</v>
      </c>
      <c r="C598" s="0" t="n">
        <v>114001</v>
      </c>
      <c r="D598" s="0" t="n">
        <v>114001</v>
      </c>
      <c r="E598" s="0" t="s">
        <v>1764</v>
      </c>
      <c r="F598" s="0" t="s">
        <v>18</v>
      </c>
      <c r="G598" s="0" t="s">
        <v>2020</v>
      </c>
      <c r="H598" s="0" t="s">
        <v>2021</v>
      </c>
      <c r="I598" s="0" t="s">
        <v>21</v>
      </c>
      <c r="J598" s="0" t="s">
        <v>22</v>
      </c>
      <c r="L598" s="0" t="str">
        <f aca="false">IFERROR(VLOOKUP(K598,'Supplier list'!B:C,2,0),"")</f>
        <v/>
      </c>
      <c r="M598" s="1" t="s">
        <v>24</v>
      </c>
      <c r="O598" s="2" t="n">
        <v>6.5</v>
      </c>
    </row>
    <row r="599" customFormat="false" ht="16.4" hidden="false" customHeight="false" outlineLevel="0" collapsed="false">
      <c r="A599" s="0" t="s">
        <v>15</v>
      </c>
      <c r="B599" s="0" t="s">
        <v>2022</v>
      </c>
      <c r="C599" s="0" t="n">
        <v>114001</v>
      </c>
      <c r="D599" s="0" t="n">
        <v>114001</v>
      </c>
      <c r="E599" s="0" t="s">
        <v>1764</v>
      </c>
      <c r="F599" s="0" t="s">
        <v>18</v>
      </c>
      <c r="G599" s="0" t="s">
        <v>2023</v>
      </c>
      <c r="H599" s="0" t="s">
        <v>2024</v>
      </c>
      <c r="I599" s="0" t="s">
        <v>21</v>
      </c>
      <c r="J599" s="0" t="s">
        <v>22</v>
      </c>
      <c r="L599" s="0" t="str">
        <f aca="false">IFERROR(VLOOKUP(K599,'Supplier list'!B:C,2,0),"")</f>
        <v/>
      </c>
      <c r="M599" s="1" t="s">
        <v>24</v>
      </c>
      <c r="O599" s="2" t="n">
        <v>6.5</v>
      </c>
    </row>
    <row r="600" customFormat="false" ht="16.4" hidden="false" customHeight="false" outlineLevel="0" collapsed="false">
      <c r="A600" s="0" t="s">
        <v>15</v>
      </c>
      <c r="B600" s="0" t="s">
        <v>2025</v>
      </c>
      <c r="C600" s="0" t="n">
        <v>114001</v>
      </c>
      <c r="D600" s="0" t="n">
        <v>114001</v>
      </c>
      <c r="E600" s="0" t="s">
        <v>1764</v>
      </c>
      <c r="F600" s="0" t="s">
        <v>18</v>
      </c>
      <c r="G600" s="0" t="s">
        <v>2026</v>
      </c>
      <c r="H600" s="0" t="s">
        <v>2027</v>
      </c>
      <c r="I600" s="0" t="s">
        <v>21</v>
      </c>
      <c r="J600" s="0" t="s">
        <v>22</v>
      </c>
      <c r="L600" s="0" t="str">
        <f aca="false">IFERROR(VLOOKUP(K600,'Supplier list'!B:C,2,0),"")</f>
        <v/>
      </c>
      <c r="M600" s="1" t="s">
        <v>24</v>
      </c>
      <c r="O600" s="2" t="n">
        <v>6.5</v>
      </c>
    </row>
    <row r="601" customFormat="false" ht="16.4" hidden="false" customHeight="false" outlineLevel="0" collapsed="false">
      <c r="A601" s="0" t="s">
        <v>15</v>
      </c>
      <c r="B601" s="0" t="s">
        <v>2028</v>
      </c>
      <c r="C601" s="0" t="n">
        <v>114001</v>
      </c>
      <c r="D601" s="0" t="n">
        <v>114001</v>
      </c>
      <c r="E601" s="0" t="s">
        <v>1815</v>
      </c>
      <c r="F601" s="0" t="s">
        <v>18</v>
      </c>
      <c r="G601" s="0" t="s">
        <v>2029</v>
      </c>
      <c r="H601" s="0" t="s">
        <v>2030</v>
      </c>
      <c r="I601" s="0" t="s">
        <v>124</v>
      </c>
      <c r="J601" s="0" t="s">
        <v>125</v>
      </c>
      <c r="K601" s="0" t="s">
        <v>89</v>
      </c>
      <c r="L601" s="0" t="str">
        <f aca="false">IFERROR(VLOOKUP(K601,'Supplier list'!B:C,2,0),"")</f>
        <v>บริษัท เฮเฟเล่ (ประเทศไทย) จำกัด</v>
      </c>
      <c r="M601" s="1" t="s">
        <v>24</v>
      </c>
      <c r="O601" s="2" t="n">
        <v>1701</v>
      </c>
    </row>
    <row r="602" customFormat="false" ht="16.4" hidden="false" customHeight="false" outlineLevel="0" collapsed="false">
      <c r="A602" s="0" t="s">
        <v>15</v>
      </c>
      <c r="B602" s="0" t="s">
        <v>2031</v>
      </c>
      <c r="C602" s="0" t="n">
        <v>114001</v>
      </c>
      <c r="D602" s="0" t="n">
        <v>114001</v>
      </c>
      <c r="E602" s="0" t="s">
        <v>1727</v>
      </c>
      <c r="F602" s="0" t="s">
        <v>18</v>
      </c>
      <c r="G602" s="0" t="s">
        <v>2032</v>
      </c>
      <c r="H602" s="0" t="s">
        <v>2033</v>
      </c>
      <c r="I602" s="0" t="s">
        <v>124</v>
      </c>
      <c r="J602" s="0" t="s">
        <v>125</v>
      </c>
      <c r="K602" s="0" t="s">
        <v>787</v>
      </c>
      <c r="L602" s="0" t="str">
        <f aca="false">IFERROR(VLOOKUP(K602,'Supplier list'!B:C,2,0),"")</f>
        <v>บริษัท ฟิวเจอร์เทค อินเตอร์มาร์เก็ตติ้ง จำกัด</v>
      </c>
      <c r="M602" s="1" t="s">
        <v>24</v>
      </c>
      <c r="O602" s="2" t="n">
        <v>315</v>
      </c>
    </row>
    <row r="603" customFormat="false" ht="16.4" hidden="false" customHeight="false" outlineLevel="0" collapsed="false">
      <c r="A603" s="0" t="s">
        <v>15</v>
      </c>
      <c r="B603" s="0" t="s">
        <v>2034</v>
      </c>
      <c r="C603" s="0" t="n">
        <v>114001</v>
      </c>
      <c r="D603" s="0" t="n">
        <v>114001</v>
      </c>
      <c r="E603" s="0" t="s">
        <v>2035</v>
      </c>
      <c r="F603" s="0" t="s">
        <v>18</v>
      </c>
      <c r="G603" s="0" t="s">
        <v>2036</v>
      </c>
      <c r="H603" s="0" t="s">
        <v>2037</v>
      </c>
      <c r="I603" s="0" t="s">
        <v>124</v>
      </c>
      <c r="J603" s="0" t="s">
        <v>125</v>
      </c>
      <c r="L603" s="0" t="str">
        <f aca="false">IFERROR(VLOOKUP(K603,'Supplier list'!B:C,2,0),"")</f>
        <v/>
      </c>
      <c r="M603" s="1" t="s">
        <v>24</v>
      </c>
      <c r="O603" s="2" t="n">
        <v>0</v>
      </c>
    </row>
    <row r="604" customFormat="false" ht="16.4" hidden="false" customHeight="false" outlineLevel="0" collapsed="false">
      <c r="A604" s="0" t="s">
        <v>15</v>
      </c>
      <c r="B604" s="0" t="s">
        <v>2038</v>
      </c>
      <c r="C604" s="0" t="n">
        <v>114001</v>
      </c>
      <c r="D604" s="0" t="n">
        <v>114001</v>
      </c>
      <c r="E604" s="0" t="s">
        <v>2035</v>
      </c>
      <c r="F604" s="0" t="s">
        <v>18</v>
      </c>
      <c r="G604" s="0" t="s">
        <v>2039</v>
      </c>
      <c r="H604" s="0" t="s">
        <v>2040</v>
      </c>
      <c r="I604" s="0" t="s">
        <v>21</v>
      </c>
      <c r="J604" s="0" t="s">
        <v>22</v>
      </c>
      <c r="L604" s="0" t="str">
        <f aca="false">IFERROR(VLOOKUP(K604,'Supplier list'!B:C,2,0),"")</f>
        <v/>
      </c>
      <c r="M604" s="1" t="s">
        <v>24</v>
      </c>
      <c r="O604" s="2" t="n">
        <v>0</v>
      </c>
    </row>
    <row r="605" customFormat="false" ht="16.4" hidden="false" customHeight="false" outlineLevel="0" collapsed="false">
      <c r="A605" s="0" t="s">
        <v>15</v>
      </c>
      <c r="B605" s="0" t="s">
        <v>2041</v>
      </c>
      <c r="C605" s="0" t="n">
        <v>114001</v>
      </c>
      <c r="D605" s="0" t="n">
        <v>114001</v>
      </c>
      <c r="E605" s="0" t="s">
        <v>2035</v>
      </c>
      <c r="F605" s="0" t="s">
        <v>18</v>
      </c>
      <c r="G605" s="0" t="s">
        <v>2042</v>
      </c>
      <c r="H605" s="0" t="s">
        <v>2043</v>
      </c>
      <c r="I605" s="0" t="s">
        <v>124</v>
      </c>
      <c r="J605" s="0" t="s">
        <v>125</v>
      </c>
      <c r="L605" s="0" t="str">
        <f aca="false">IFERROR(VLOOKUP(K605,'Supplier list'!B:C,2,0),"")</f>
        <v/>
      </c>
      <c r="M605" s="1" t="s">
        <v>24</v>
      </c>
      <c r="O605" s="2" t="n">
        <v>0</v>
      </c>
    </row>
    <row r="606" customFormat="false" ht="16.4" hidden="false" customHeight="false" outlineLevel="0" collapsed="false">
      <c r="A606" s="0" t="s">
        <v>15</v>
      </c>
      <c r="B606" s="0" t="s">
        <v>2044</v>
      </c>
      <c r="C606" s="0" t="n">
        <v>114001</v>
      </c>
      <c r="D606" s="0" t="n">
        <v>114001</v>
      </c>
      <c r="E606" s="0" t="s">
        <v>2035</v>
      </c>
      <c r="F606" s="0" t="s">
        <v>18</v>
      </c>
      <c r="G606" s="0" t="s">
        <v>2045</v>
      </c>
      <c r="H606" s="0" t="s">
        <v>2046</v>
      </c>
      <c r="I606" s="0" t="s">
        <v>124</v>
      </c>
      <c r="J606" s="0" t="s">
        <v>125</v>
      </c>
      <c r="L606" s="0" t="str">
        <f aca="false">IFERROR(VLOOKUP(K606,'Supplier list'!B:C,2,0),"")</f>
        <v/>
      </c>
      <c r="M606" s="1" t="s">
        <v>24</v>
      </c>
      <c r="O606" s="2" t="n">
        <v>0</v>
      </c>
    </row>
    <row r="607" customFormat="false" ht="16.4" hidden="false" customHeight="false" outlineLevel="0" collapsed="false">
      <c r="A607" s="0" t="s">
        <v>15</v>
      </c>
      <c r="B607" s="0" t="s">
        <v>2047</v>
      </c>
      <c r="C607" s="0" t="n">
        <v>114001</v>
      </c>
      <c r="D607" s="0" t="n">
        <v>114001</v>
      </c>
      <c r="E607" s="0" t="s">
        <v>2048</v>
      </c>
      <c r="F607" s="0" t="s">
        <v>18</v>
      </c>
      <c r="G607" s="0" t="s">
        <v>2049</v>
      </c>
      <c r="H607" s="0" t="s">
        <v>2050</v>
      </c>
      <c r="I607" s="0" t="s">
        <v>21</v>
      </c>
      <c r="J607" s="0" t="s">
        <v>22</v>
      </c>
      <c r="K607" s="0" t="s">
        <v>2051</v>
      </c>
      <c r="L607" s="0" t="str">
        <f aca="false">IFERROR(VLOOKUP(K607,'Supplier list'!B:C,2,0),"")</f>
        <v>บริษัท ฉิ้นฮง เอ็นเตอร์ไพรส์ จำกัด</v>
      </c>
      <c r="M607" s="1" t="s">
        <v>24</v>
      </c>
      <c r="O607" s="2" t="n">
        <v>0</v>
      </c>
    </row>
    <row r="608" customFormat="false" ht="16.4" hidden="false" customHeight="false" outlineLevel="0" collapsed="false">
      <c r="A608" s="0" t="s">
        <v>15</v>
      </c>
      <c r="B608" s="0" t="s">
        <v>2052</v>
      </c>
      <c r="C608" s="0" t="n">
        <v>114001</v>
      </c>
      <c r="D608" s="0" t="n">
        <v>114001</v>
      </c>
      <c r="E608" s="0" t="s">
        <v>1605</v>
      </c>
      <c r="F608" s="0" t="s">
        <v>18</v>
      </c>
      <c r="G608" s="0" t="s">
        <v>2053</v>
      </c>
      <c r="H608" s="0" t="s">
        <v>2054</v>
      </c>
      <c r="I608" s="0" t="s">
        <v>21</v>
      </c>
      <c r="J608" s="0" t="s">
        <v>22</v>
      </c>
      <c r="K608" s="0" t="s">
        <v>89</v>
      </c>
      <c r="L608" s="0" t="str">
        <f aca="false">IFERROR(VLOOKUP(K608,'Supplier list'!B:C,2,0),"")</f>
        <v>บริษัท เฮเฟเล่ (ประเทศไทย) จำกัด</v>
      </c>
      <c r="M608" s="1" t="s">
        <v>24</v>
      </c>
      <c r="O608" s="2" t="n">
        <v>85</v>
      </c>
    </row>
    <row r="609" customFormat="false" ht="16.4" hidden="false" customHeight="false" outlineLevel="0" collapsed="false">
      <c r="A609" s="0" t="s">
        <v>15</v>
      </c>
      <c r="B609" s="0" t="s">
        <v>2055</v>
      </c>
      <c r="C609" s="0" t="n">
        <v>114001</v>
      </c>
      <c r="D609" s="0" t="n">
        <v>114001</v>
      </c>
      <c r="E609" s="0" t="s">
        <v>2056</v>
      </c>
      <c r="F609" s="0" t="s">
        <v>18</v>
      </c>
      <c r="G609" s="0" t="s">
        <v>2057</v>
      </c>
      <c r="H609" s="0" t="s">
        <v>2058</v>
      </c>
      <c r="I609" s="0" t="s">
        <v>21</v>
      </c>
      <c r="J609" s="0" t="s">
        <v>22</v>
      </c>
      <c r="K609" s="0" t="s">
        <v>787</v>
      </c>
      <c r="L609" s="0" t="str">
        <f aca="false">IFERROR(VLOOKUP(K609,'Supplier list'!B:C,2,0),"")</f>
        <v>บริษัท ฟิวเจอร์เทค อินเตอร์มาร์เก็ตติ้ง จำกัด</v>
      </c>
      <c r="M609" s="1" t="s">
        <v>24</v>
      </c>
      <c r="O609" s="2" t="n">
        <v>56</v>
      </c>
    </row>
    <row r="610" customFormat="false" ht="16.4" hidden="false" customHeight="false" outlineLevel="0" collapsed="false">
      <c r="A610" s="0" t="s">
        <v>15</v>
      </c>
      <c r="B610" s="0" t="s">
        <v>2059</v>
      </c>
      <c r="C610" s="0" t="n">
        <v>114001</v>
      </c>
      <c r="D610" s="0" t="n">
        <v>114001</v>
      </c>
      <c r="E610" s="0" t="s">
        <v>2056</v>
      </c>
      <c r="F610" s="0" t="s">
        <v>18</v>
      </c>
      <c r="G610" s="0" t="s">
        <v>2060</v>
      </c>
      <c r="H610" s="0" t="s">
        <v>2061</v>
      </c>
      <c r="I610" s="0" t="s">
        <v>21</v>
      </c>
      <c r="J610" s="0" t="s">
        <v>22</v>
      </c>
      <c r="K610" s="0" t="s">
        <v>787</v>
      </c>
      <c r="L610" s="0" t="str">
        <f aca="false">IFERROR(VLOOKUP(K610,'Supplier list'!B:C,2,0),"")</f>
        <v>บริษัท ฟิวเจอร์เทค อินเตอร์มาร์เก็ตติ้ง จำกัด</v>
      </c>
      <c r="M610" s="1" t="s">
        <v>24</v>
      </c>
      <c r="O610" s="2" t="n">
        <v>42</v>
      </c>
    </row>
    <row r="611" customFormat="false" ht="16.4" hidden="false" customHeight="false" outlineLevel="0" collapsed="false">
      <c r="A611" s="0" t="s">
        <v>15</v>
      </c>
      <c r="B611" s="0" t="s">
        <v>2062</v>
      </c>
      <c r="C611" s="0" t="n">
        <v>114001</v>
      </c>
      <c r="D611" s="0" t="n">
        <v>114001</v>
      </c>
      <c r="E611" s="0" t="s">
        <v>1605</v>
      </c>
      <c r="F611" s="0" t="s">
        <v>18</v>
      </c>
      <c r="G611" s="0" t="s">
        <v>2063</v>
      </c>
      <c r="H611" s="0" t="s">
        <v>2064</v>
      </c>
      <c r="I611" s="0" t="s">
        <v>21</v>
      </c>
      <c r="J611" s="0" t="s">
        <v>22</v>
      </c>
      <c r="K611" s="0" t="s">
        <v>2065</v>
      </c>
      <c r="L611" s="0" t="str">
        <f aca="false">IFERROR(VLOOKUP(K611,'Supplier list'!B:C,2,0),"")</f>
        <v>บริษัท บลู อินเตอร์เนชั่นแนล จำกัด</v>
      </c>
      <c r="M611" s="1" t="s">
        <v>1740</v>
      </c>
      <c r="N611" s="2" t="n">
        <v>590</v>
      </c>
      <c r="O611" s="2" t="n">
        <v>201</v>
      </c>
    </row>
    <row r="612" customFormat="false" ht="16.4" hidden="false" customHeight="false" outlineLevel="0" collapsed="false">
      <c r="A612" s="0" t="s">
        <v>15</v>
      </c>
      <c r="B612" s="0" t="s">
        <v>2066</v>
      </c>
      <c r="C612" s="0" t="n">
        <v>114001</v>
      </c>
      <c r="D612" s="0" t="n">
        <v>114001</v>
      </c>
      <c r="E612" s="0" t="s">
        <v>1605</v>
      </c>
      <c r="F612" s="0" t="s">
        <v>18</v>
      </c>
      <c r="G612" s="0" t="s">
        <v>2067</v>
      </c>
      <c r="H612" s="0" t="s">
        <v>2068</v>
      </c>
      <c r="I612" s="0" t="s">
        <v>21</v>
      </c>
      <c r="J612" s="0" t="s">
        <v>22</v>
      </c>
      <c r="K612" s="0" t="s">
        <v>89</v>
      </c>
      <c r="L612" s="0" t="str">
        <f aca="false">IFERROR(VLOOKUP(K612,'Supplier list'!B:C,2,0),"")</f>
        <v>บริษัท เฮเฟเล่ (ประเทศไทย) จำกัด</v>
      </c>
      <c r="M612" s="1" t="s">
        <v>24</v>
      </c>
      <c r="O612" s="2" t="n">
        <v>281</v>
      </c>
    </row>
    <row r="613" customFormat="false" ht="16.4" hidden="false" customHeight="false" outlineLevel="0" collapsed="false">
      <c r="A613" s="0" t="s">
        <v>15</v>
      </c>
      <c r="B613" s="0" t="s">
        <v>2069</v>
      </c>
      <c r="C613" s="0" t="n">
        <v>114001</v>
      </c>
      <c r="D613" s="0" t="n">
        <v>114001</v>
      </c>
      <c r="E613" s="0" t="s">
        <v>2048</v>
      </c>
      <c r="F613" s="0" t="s">
        <v>18</v>
      </c>
      <c r="G613" s="0" t="s">
        <v>2070</v>
      </c>
      <c r="H613" s="0" t="s">
        <v>2071</v>
      </c>
      <c r="I613" s="0" t="s">
        <v>21</v>
      </c>
      <c r="J613" s="0" t="s">
        <v>22</v>
      </c>
      <c r="K613" s="0" t="s">
        <v>2051</v>
      </c>
      <c r="L613" s="0" t="str">
        <f aca="false">IFERROR(VLOOKUP(K613,'Supplier list'!B:C,2,0),"")</f>
        <v>บริษัท ฉิ้นฮง เอ็นเตอร์ไพรส์ จำกัด</v>
      </c>
      <c r="M613" s="1" t="s">
        <v>24</v>
      </c>
      <c r="O613" s="2" t="n">
        <v>0</v>
      </c>
    </row>
    <row r="614" customFormat="false" ht="16.4" hidden="false" customHeight="false" outlineLevel="0" collapsed="false">
      <c r="A614" s="0" t="s">
        <v>15</v>
      </c>
      <c r="B614" s="0" t="s">
        <v>2072</v>
      </c>
      <c r="C614" s="0" t="n">
        <v>114001</v>
      </c>
      <c r="D614" s="0" t="n">
        <v>114001</v>
      </c>
      <c r="E614" s="0" t="s">
        <v>1811</v>
      </c>
      <c r="F614" s="0" t="s">
        <v>18</v>
      </c>
      <c r="G614" s="0" t="s">
        <v>2073</v>
      </c>
      <c r="H614" s="0" t="s">
        <v>2074</v>
      </c>
      <c r="I614" s="0" t="s">
        <v>21</v>
      </c>
      <c r="J614" s="0" t="s">
        <v>22</v>
      </c>
      <c r="L614" s="0" t="str">
        <f aca="false">IFERROR(VLOOKUP(K614,'Supplier list'!B:C,2,0),"")</f>
        <v/>
      </c>
      <c r="M614" s="1" t="s">
        <v>24</v>
      </c>
      <c r="O614" s="2" t="n">
        <v>130</v>
      </c>
    </row>
    <row r="615" customFormat="false" ht="16.4" hidden="false" customHeight="false" outlineLevel="0" collapsed="false">
      <c r="A615" s="0" t="s">
        <v>15</v>
      </c>
      <c r="B615" s="0" t="s">
        <v>2075</v>
      </c>
      <c r="C615" s="0" t="n">
        <v>114001</v>
      </c>
      <c r="D615" s="0" t="n">
        <v>114001</v>
      </c>
      <c r="E615" s="0" t="s">
        <v>1815</v>
      </c>
      <c r="F615" s="0" t="s">
        <v>18</v>
      </c>
      <c r="G615" s="0" t="s">
        <v>2076</v>
      </c>
      <c r="H615" s="0" t="s">
        <v>2077</v>
      </c>
      <c r="I615" s="0" t="s">
        <v>21</v>
      </c>
      <c r="J615" s="0" t="s">
        <v>22</v>
      </c>
      <c r="K615" s="0" t="s">
        <v>89</v>
      </c>
      <c r="L615" s="0" t="str">
        <f aca="false">IFERROR(VLOOKUP(K615,'Supplier list'!B:C,2,0),"")</f>
        <v>บริษัท เฮเฟเล่ (ประเทศไทย) จำกัด</v>
      </c>
      <c r="M615" s="1" t="s">
        <v>1740</v>
      </c>
      <c r="N615" s="2" t="n">
        <v>2200</v>
      </c>
      <c r="O615" s="2" t="n">
        <v>520</v>
      </c>
    </row>
    <row r="616" customFormat="false" ht="16.4" hidden="false" customHeight="false" outlineLevel="0" collapsed="false">
      <c r="A616" s="0" t="s">
        <v>15</v>
      </c>
      <c r="B616" s="0" t="s">
        <v>2078</v>
      </c>
      <c r="C616" s="0" t="n">
        <v>114001</v>
      </c>
      <c r="D616" s="0" t="n">
        <v>114001</v>
      </c>
      <c r="E616" s="0" t="s">
        <v>1605</v>
      </c>
      <c r="F616" s="0" t="s">
        <v>18</v>
      </c>
      <c r="G616" s="0" t="s">
        <v>2079</v>
      </c>
      <c r="H616" s="0" t="s">
        <v>2080</v>
      </c>
      <c r="I616" s="0" t="s">
        <v>21</v>
      </c>
      <c r="J616" s="0" t="s">
        <v>22</v>
      </c>
      <c r="L616" s="0" t="str">
        <f aca="false">IFERROR(VLOOKUP(K616,'Supplier list'!B:C,2,0),"")</f>
        <v/>
      </c>
      <c r="M616" s="1" t="s">
        <v>24</v>
      </c>
      <c r="O616" s="2" t="n">
        <v>19</v>
      </c>
    </row>
    <row r="617" customFormat="false" ht="16.4" hidden="false" customHeight="false" outlineLevel="0" collapsed="false">
      <c r="A617" s="0" t="s">
        <v>15</v>
      </c>
      <c r="B617" s="0" t="s">
        <v>2081</v>
      </c>
      <c r="C617" s="0" t="n">
        <v>114001</v>
      </c>
      <c r="D617" s="0" t="n">
        <v>114001</v>
      </c>
      <c r="E617" s="0" t="s">
        <v>1605</v>
      </c>
      <c r="F617" s="0" t="s">
        <v>18</v>
      </c>
      <c r="G617" s="0" t="s">
        <v>2082</v>
      </c>
      <c r="H617" s="0" t="s">
        <v>2083</v>
      </c>
      <c r="I617" s="0" t="s">
        <v>21</v>
      </c>
      <c r="J617" s="0" t="s">
        <v>22</v>
      </c>
      <c r="K617" s="0" t="s">
        <v>787</v>
      </c>
      <c r="L617" s="0" t="str">
        <f aca="false">IFERROR(VLOOKUP(K617,'Supplier list'!B:C,2,0),"")</f>
        <v>บริษัท ฟิวเจอร์เทค อินเตอร์มาร์เก็ตติ้ง จำกัด</v>
      </c>
      <c r="M617" s="1" t="s">
        <v>24</v>
      </c>
      <c r="O617" s="2" t="n">
        <v>6</v>
      </c>
    </row>
    <row r="618" customFormat="false" ht="16.4" hidden="false" customHeight="false" outlineLevel="0" collapsed="false">
      <c r="A618" s="0" t="s">
        <v>15</v>
      </c>
      <c r="B618" s="0" t="s">
        <v>2084</v>
      </c>
      <c r="C618" s="0" t="n">
        <v>114001</v>
      </c>
      <c r="D618" s="0" t="n">
        <v>114001</v>
      </c>
      <c r="E618" s="0" t="s">
        <v>2085</v>
      </c>
      <c r="F618" s="0" t="s">
        <v>18</v>
      </c>
      <c r="G618" s="0" t="s">
        <v>2086</v>
      </c>
      <c r="H618" s="0" t="s">
        <v>2087</v>
      </c>
      <c r="I618" s="0" t="s">
        <v>21</v>
      </c>
      <c r="J618" s="0" t="s">
        <v>22</v>
      </c>
      <c r="K618" s="0" t="s">
        <v>89</v>
      </c>
      <c r="L618" s="0" t="str">
        <f aca="false">IFERROR(VLOOKUP(K618,'Supplier list'!B:C,2,0),"")</f>
        <v>บริษัท เฮเฟเล่ (ประเทศไทย) จำกัด</v>
      </c>
      <c r="M618" s="1" t="s">
        <v>24</v>
      </c>
      <c r="O618" s="2" t="n">
        <v>22</v>
      </c>
    </row>
    <row r="619" customFormat="false" ht="16.4" hidden="false" customHeight="false" outlineLevel="0" collapsed="false">
      <c r="A619" s="0" t="s">
        <v>15</v>
      </c>
      <c r="B619" s="0" t="s">
        <v>2088</v>
      </c>
      <c r="C619" s="0" t="n">
        <v>114001</v>
      </c>
      <c r="D619" s="0" t="n">
        <v>114001</v>
      </c>
      <c r="E619" s="0" t="s">
        <v>2085</v>
      </c>
      <c r="F619" s="0" t="s">
        <v>18</v>
      </c>
      <c r="G619" s="0" t="s">
        <v>2089</v>
      </c>
      <c r="H619" s="0" t="s">
        <v>2090</v>
      </c>
      <c r="I619" s="0" t="s">
        <v>21</v>
      </c>
      <c r="J619" s="0" t="s">
        <v>22</v>
      </c>
      <c r="K619" s="0" t="s">
        <v>89</v>
      </c>
      <c r="L619" s="0" t="str">
        <f aca="false">IFERROR(VLOOKUP(K619,'Supplier list'!B:C,2,0),"")</f>
        <v>บริษัท เฮเฟเล่ (ประเทศไทย) จำกัด</v>
      </c>
      <c r="M619" s="1" t="s">
        <v>24</v>
      </c>
      <c r="O619" s="2" t="n">
        <v>57</v>
      </c>
    </row>
    <row r="620" customFormat="false" ht="16.4" hidden="false" customHeight="false" outlineLevel="0" collapsed="false">
      <c r="A620" s="0" t="s">
        <v>15</v>
      </c>
      <c r="B620" s="0" t="s">
        <v>2091</v>
      </c>
      <c r="C620" s="0" t="n">
        <v>114001</v>
      </c>
      <c r="D620" s="0" t="n">
        <v>114001</v>
      </c>
      <c r="E620" s="0" t="s">
        <v>965</v>
      </c>
      <c r="F620" s="0" t="s">
        <v>18</v>
      </c>
      <c r="G620" s="0" t="s">
        <v>2092</v>
      </c>
      <c r="H620" s="0" t="s">
        <v>2093</v>
      </c>
      <c r="I620" s="0" t="s">
        <v>21</v>
      </c>
      <c r="J620" s="0" t="s">
        <v>22</v>
      </c>
      <c r="K620" s="0" t="s">
        <v>1725</v>
      </c>
      <c r="L620" s="0" t="str">
        <f aca="false">IFERROR(VLOOKUP(K620,'Supplier list'!B:C,2,0),"")</f>
        <v>บริษัท พรีซิชั่นไลน์ จำกัด</v>
      </c>
      <c r="M620" s="1" t="s">
        <v>24</v>
      </c>
      <c r="O620" s="2" t="n">
        <v>6</v>
      </c>
    </row>
    <row r="621" customFormat="false" ht="16.4" hidden="false" customHeight="false" outlineLevel="0" collapsed="false">
      <c r="A621" s="0" t="s">
        <v>15</v>
      </c>
      <c r="B621" s="0" t="s">
        <v>2094</v>
      </c>
      <c r="C621" s="0" t="n">
        <v>114001</v>
      </c>
      <c r="D621" s="0" t="n">
        <v>114001</v>
      </c>
      <c r="E621" s="0" t="s">
        <v>965</v>
      </c>
      <c r="F621" s="0" t="s">
        <v>18</v>
      </c>
      <c r="G621" s="0" t="s">
        <v>2095</v>
      </c>
      <c r="H621" s="0" t="s">
        <v>2096</v>
      </c>
      <c r="I621" s="0" t="s">
        <v>21</v>
      </c>
      <c r="J621" s="0" t="s">
        <v>22</v>
      </c>
      <c r="K621" s="0" t="s">
        <v>1725</v>
      </c>
      <c r="L621" s="0" t="str">
        <f aca="false">IFERROR(VLOOKUP(K621,'Supplier list'!B:C,2,0),"")</f>
        <v>บริษัท พรีซิชั่นไลน์ จำกัด</v>
      </c>
      <c r="M621" s="1" t="s">
        <v>24</v>
      </c>
      <c r="O621" s="2" t="n">
        <v>6</v>
      </c>
    </row>
    <row r="622" customFormat="false" ht="16.4" hidden="false" customHeight="false" outlineLevel="0" collapsed="false">
      <c r="A622" s="0" t="s">
        <v>15</v>
      </c>
      <c r="B622" s="0" t="s">
        <v>2097</v>
      </c>
      <c r="C622" s="0" t="n">
        <v>114001</v>
      </c>
      <c r="D622" s="0" t="n">
        <v>114001</v>
      </c>
      <c r="E622" s="0" t="s">
        <v>1764</v>
      </c>
      <c r="F622" s="0" t="s">
        <v>18</v>
      </c>
      <c r="G622" s="0" t="s">
        <v>2098</v>
      </c>
      <c r="H622" s="0" t="s">
        <v>2099</v>
      </c>
      <c r="I622" s="0" t="s">
        <v>21</v>
      </c>
      <c r="J622" s="0" t="s">
        <v>22</v>
      </c>
      <c r="K622" s="0" t="s">
        <v>89</v>
      </c>
      <c r="L622" s="0" t="str">
        <f aca="false">IFERROR(VLOOKUP(K622,'Supplier list'!B:C,2,0),"")</f>
        <v>บริษัท เฮเฟเล่ (ประเทศไทย) จำกัด</v>
      </c>
      <c r="M622" s="1" t="s">
        <v>24</v>
      </c>
      <c r="O622" s="2" t="n">
        <v>206</v>
      </c>
    </row>
    <row r="623" customFormat="false" ht="16.4" hidden="false" customHeight="false" outlineLevel="0" collapsed="false">
      <c r="A623" s="0" t="s">
        <v>15</v>
      </c>
      <c r="B623" s="0" t="s">
        <v>2100</v>
      </c>
      <c r="C623" s="0" t="n">
        <v>114001</v>
      </c>
      <c r="D623" s="0" t="n">
        <v>114001</v>
      </c>
      <c r="E623" s="0" t="s">
        <v>1764</v>
      </c>
      <c r="F623" s="0" t="s">
        <v>18</v>
      </c>
      <c r="G623" s="0" t="s">
        <v>2101</v>
      </c>
      <c r="H623" s="0" t="s">
        <v>2102</v>
      </c>
      <c r="I623" s="0" t="s">
        <v>21</v>
      </c>
      <c r="J623" s="0" t="s">
        <v>22</v>
      </c>
      <c r="K623" s="0" t="s">
        <v>89</v>
      </c>
      <c r="L623" s="0" t="str">
        <f aca="false">IFERROR(VLOOKUP(K623,'Supplier list'!B:C,2,0),"")</f>
        <v>บริษัท เฮเฟเล่ (ประเทศไทย) จำกัด</v>
      </c>
      <c r="M623" s="1" t="s">
        <v>24</v>
      </c>
      <c r="O623" s="2" t="n">
        <v>318</v>
      </c>
    </row>
    <row r="624" customFormat="false" ht="16.4" hidden="false" customHeight="false" outlineLevel="0" collapsed="false">
      <c r="A624" s="0" t="s">
        <v>15</v>
      </c>
      <c r="B624" s="0" t="s">
        <v>2103</v>
      </c>
      <c r="C624" s="0" t="n">
        <v>114001</v>
      </c>
      <c r="D624" s="0" t="n">
        <v>114001</v>
      </c>
      <c r="E624" s="0" t="s">
        <v>2085</v>
      </c>
      <c r="F624" s="0" t="s">
        <v>18</v>
      </c>
      <c r="G624" s="0" t="s">
        <v>2104</v>
      </c>
      <c r="H624" s="0" t="s">
        <v>2105</v>
      </c>
      <c r="I624" s="0" t="s">
        <v>124</v>
      </c>
      <c r="J624" s="0" t="s">
        <v>125</v>
      </c>
      <c r="K624" s="0" t="s">
        <v>89</v>
      </c>
      <c r="L624" s="0" t="str">
        <f aca="false">IFERROR(VLOOKUP(K624,'Supplier list'!B:C,2,0),"")</f>
        <v>บริษัท เฮเฟเล่ (ประเทศไทย) จำกัด</v>
      </c>
      <c r="M624" s="1" t="s">
        <v>24</v>
      </c>
      <c r="O624" s="2" t="n">
        <v>38</v>
      </c>
    </row>
    <row r="625" customFormat="false" ht="16.4" hidden="false" customHeight="false" outlineLevel="0" collapsed="false">
      <c r="A625" s="0" t="s">
        <v>15</v>
      </c>
      <c r="B625" s="0" t="s">
        <v>2106</v>
      </c>
      <c r="C625" s="0" t="n">
        <v>114001</v>
      </c>
      <c r="D625" s="0" t="n">
        <v>114001</v>
      </c>
      <c r="E625" s="0" t="s">
        <v>1764</v>
      </c>
      <c r="F625" s="0" t="s">
        <v>18</v>
      </c>
      <c r="G625" s="0" t="s">
        <v>2107</v>
      </c>
      <c r="H625" s="0" t="s">
        <v>2108</v>
      </c>
      <c r="I625" s="0" t="s">
        <v>21</v>
      </c>
      <c r="J625" s="0" t="s">
        <v>22</v>
      </c>
      <c r="K625" s="0" t="s">
        <v>89</v>
      </c>
      <c r="L625" s="0" t="str">
        <f aca="false">IFERROR(VLOOKUP(K625,'Supplier list'!B:C,2,0),"")</f>
        <v>บริษัท เฮเฟเล่ (ประเทศไทย) จำกัด</v>
      </c>
      <c r="M625" s="1" t="s">
        <v>24</v>
      </c>
      <c r="O625" s="2" t="n">
        <v>514</v>
      </c>
    </row>
    <row r="626" customFormat="false" ht="16.4" hidden="false" customHeight="false" outlineLevel="0" collapsed="false">
      <c r="A626" s="0" t="s">
        <v>15</v>
      </c>
      <c r="B626" s="0" t="s">
        <v>2109</v>
      </c>
      <c r="C626" s="0" t="n">
        <v>114001</v>
      </c>
      <c r="D626" s="0" t="n">
        <v>114001</v>
      </c>
      <c r="E626" s="0" t="s">
        <v>1653</v>
      </c>
      <c r="F626" s="0" t="s">
        <v>18</v>
      </c>
      <c r="G626" s="0" t="s">
        <v>2110</v>
      </c>
      <c r="H626" s="0" t="s">
        <v>2111</v>
      </c>
      <c r="I626" s="0" t="s">
        <v>21</v>
      </c>
      <c r="J626" s="0" t="s">
        <v>22</v>
      </c>
      <c r="K626" s="0" t="s">
        <v>89</v>
      </c>
      <c r="L626" s="0" t="str">
        <f aca="false">IFERROR(VLOOKUP(K626,'Supplier list'!B:C,2,0),"")</f>
        <v>บริษัท เฮเฟเล่ (ประเทศไทย) จำกัด</v>
      </c>
      <c r="M626" s="1" t="s">
        <v>24</v>
      </c>
      <c r="O626" s="2" t="n">
        <v>2804</v>
      </c>
    </row>
    <row r="627" customFormat="false" ht="16.4" hidden="false" customHeight="false" outlineLevel="0" collapsed="false">
      <c r="A627" s="0" t="s">
        <v>15</v>
      </c>
      <c r="B627" s="0" t="s">
        <v>2112</v>
      </c>
      <c r="C627" s="0" t="n">
        <v>114001</v>
      </c>
      <c r="D627" s="0" t="n">
        <v>114001</v>
      </c>
      <c r="E627" s="0" t="s">
        <v>1804</v>
      </c>
      <c r="F627" s="0" t="s">
        <v>18</v>
      </c>
      <c r="G627" s="0" t="s">
        <v>2113</v>
      </c>
      <c r="H627" s="0" t="s">
        <v>2114</v>
      </c>
      <c r="I627" s="0" t="s">
        <v>21</v>
      </c>
      <c r="J627" s="0" t="s">
        <v>22</v>
      </c>
      <c r="K627" s="0" t="s">
        <v>89</v>
      </c>
      <c r="L627" s="0" t="str">
        <f aca="false">IFERROR(VLOOKUP(K627,'Supplier list'!B:C,2,0),"")</f>
        <v>บริษัท เฮเฟเล่ (ประเทศไทย) จำกัด</v>
      </c>
      <c r="M627" s="1" t="s">
        <v>24</v>
      </c>
      <c r="O627" s="2" t="n">
        <v>2599</v>
      </c>
    </row>
    <row r="628" customFormat="false" ht="16.4" hidden="false" customHeight="false" outlineLevel="0" collapsed="false">
      <c r="A628" s="0" t="s">
        <v>15</v>
      </c>
      <c r="B628" s="0" t="s">
        <v>2115</v>
      </c>
      <c r="C628" s="0" t="n">
        <v>114001</v>
      </c>
      <c r="D628" s="0" t="n">
        <v>114001</v>
      </c>
      <c r="E628" s="0" t="s">
        <v>1653</v>
      </c>
      <c r="F628" s="0" t="s">
        <v>18</v>
      </c>
      <c r="G628" s="0" t="s">
        <v>2116</v>
      </c>
      <c r="H628" s="0" t="s">
        <v>2117</v>
      </c>
      <c r="I628" s="0" t="s">
        <v>21</v>
      </c>
      <c r="J628" s="0" t="s">
        <v>22</v>
      </c>
      <c r="K628" s="0" t="s">
        <v>89</v>
      </c>
      <c r="L628" s="0" t="str">
        <f aca="false">IFERROR(VLOOKUP(K628,'Supplier list'!B:C,2,0),"")</f>
        <v>บริษัท เฮเฟเล่ (ประเทศไทย) จำกัด</v>
      </c>
      <c r="M628" s="1" t="s">
        <v>24</v>
      </c>
      <c r="O628" s="2" t="n">
        <v>15701</v>
      </c>
    </row>
    <row r="629" customFormat="false" ht="16.4" hidden="false" customHeight="false" outlineLevel="0" collapsed="false">
      <c r="A629" s="0" t="s">
        <v>15</v>
      </c>
      <c r="B629" s="0" t="s">
        <v>2118</v>
      </c>
      <c r="C629" s="0" t="n">
        <v>114001</v>
      </c>
      <c r="D629" s="0" t="n">
        <v>114001</v>
      </c>
      <c r="E629" s="0" t="s">
        <v>1653</v>
      </c>
      <c r="F629" s="0" t="s">
        <v>18</v>
      </c>
      <c r="G629" s="0" t="s">
        <v>2119</v>
      </c>
      <c r="H629" s="0" t="s">
        <v>2120</v>
      </c>
      <c r="I629" s="0" t="s">
        <v>124</v>
      </c>
      <c r="J629" s="0" t="s">
        <v>125</v>
      </c>
      <c r="K629" s="0" t="s">
        <v>89</v>
      </c>
      <c r="L629" s="0" t="str">
        <f aca="false">IFERROR(VLOOKUP(K629,'Supplier list'!B:C,2,0),"")</f>
        <v>บริษัท เฮเฟเล่ (ประเทศไทย) จำกัด</v>
      </c>
      <c r="M629" s="1" t="s">
        <v>24</v>
      </c>
      <c r="O629" s="2" t="n">
        <v>93</v>
      </c>
    </row>
    <row r="630" customFormat="false" ht="16.4" hidden="false" customHeight="false" outlineLevel="0" collapsed="false">
      <c r="A630" s="0" t="s">
        <v>15</v>
      </c>
      <c r="B630" s="0" t="s">
        <v>2121</v>
      </c>
      <c r="C630" s="0" t="n">
        <v>114001</v>
      </c>
      <c r="D630" s="0" t="n">
        <v>114001</v>
      </c>
      <c r="E630" s="0" t="s">
        <v>1653</v>
      </c>
      <c r="F630" s="0" t="s">
        <v>18</v>
      </c>
      <c r="G630" s="0" t="s">
        <v>2122</v>
      </c>
      <c r="H630" s="0" t="s">
        <v>2123</v>
      </c>
      <c r="I630" s="0" t="s">
        <v>124</v>
      </c>
      <c r="J630" s="0" t="s">
        <v>125</v>
      </c>
      <c r="K630" s="0" t="s">
        <v>89</v>
      </c>
      <c r="L630" s="0" t="str">
        <f aca="false">IFERROR(VLOOKUP(K630,'Supplier list'!B:C,2,0),"")</f>
        <v>บริษัท เฮเฟเล่ (ประเทศไทย) จำกัด</v>
      </c>
      <c r="M630" s="1" t="s">
        <v>24</v>
      </c>
      <c r="O630" s="2" t="n">
        <v>2533</v>
      </c>
    </row>
    <row r="631" customFormat="false" ht="16.4" hidden="false" customHeight="false" outlineLevel="0" collapsed="false">
      <c r="A631" s="0" t="s">
        <v>15</v>
      </c>
      <c r="B631" s="0" t="s">
        <v>2124</v>
      </c>
      <c r="C631" s="0" t="n">
        <v>114001</v>
      </c>
      <c r="D631" s="0" t="n">
        <v>114001</v>
      </c>
      <c r="E631" s="0" t="s">
        <v>1653</v>
      </c>
      <c r="F631" s="0" t="s">
        <v>18</v>
      </c>
      <c r="G631" s="0" t="s">
        <v>2125</v>
      </c>
      <c r="H631" s="0" t="s">
        <v>2126</v>
      </c>
      <c r="I631" s="0" t="s">
        <v>124</v>
      </c>
      <c r="J631" s="0" t="s">
        <v>125</v>
      </c>
      <c r="K631" s="0" t="s">
        <v>89</v>
      </c>
      <c r="L631" s="0" t="str">
        <f aca="false">IFERROR(VLOOKUP(K631,'Supplier list'!B:C,2,0),"")</f>
        <v>บริษัท เฮเฟเล่ (ประเทศไทย) จำกัด</v>
      </c>
      <c r="M631" s="1" t="s">
        <v>24</v>
      </c>
      <c r="O631" s="2" t="n">
        <v>271</v>
      </c>
    </row>
    <row r="632" customFormat="false" ht="16.4" hidden="false" customHeight="false" outlineLevel="0" collapsed="false">
      <c r="A632" s="0" t="s">
        <v>15</v>
      </c>
      <c r="B632" s="0" t="s">
        <v>2127</v>
      </c>
      <c r="C632" s="0" t="n">
        <v>114001</v>
      </c>
      <c r="D632" s="0" t="n">
        <v>114001</v>
      </c>
      <c r="E632" s="0" t="s">
        <v>121</v>
      </c>
      <c r="F632" s="0" t="s">
        <v>18</v>
      </c>
      <c r="G632" s="0" t="s">
        <v>2128</v>
      </c>
      <c r="H632" s="0" t="s">
        <v>2129</v>
      </c>
      <c r="I632" s="0" t="s">
        <v>142</v>
      </c>
      <c r="J632" s="0" t="s">
        <v>143</v>
      </c>
      <c r="K632" s="0" t="s">
        <v>75</v>
      </c>
      <c r="L632" s="0" t="str">
        <f aca="false">IFERROR(VLOOKUP(K632,'Supplier list'!B:C,2,0),"")</f>
        <v/>
      </c>
      <c r="M632" s="1" t="s">
        <v>24</v>
      </c>
      <c r="O632" s="2" t="n">
        <v>200</v>
      </c>
    </row>
    <row r="633" customFormat="false" ht="16.4" hidden="false" customHeight="false" outlineLevel="0" collapsed="false">
      <c r="A633" s="0" t="s">
        <v>15</v>
      </c>
      <c r="B633" s="0" t="s">
        <v>2130</v>
      </c>
      <c r="C633" s="0" t="n">
        <v>114001</v>
      </c>
      <c r="D633" s="0" t="n">
        <v>114001</v>
      </c>
      <c r="E633" s="0" t="s">
        <v>1653</v>
      </c>
      <c r="F633" s="0" t="s">
        <v>18</v>
      </c>
      <c r="G633" s="0" t="s">
        <v>2131</v>
      </c>
      <c r="H633" s="0" t="s">
        <v>2132</v>
      </c>
      <c r="I633" s="0" t="s">
        <v>124</v>
      </c>
      <c r="J633" s="0" t="s">
        <v>125</v>
      </c>
      <c r="K633" s="0" t="s">
        <v>89</v>
      </c>
      <c r="L633" s="0" t="str">
        <f aca="false">IFERROR(VLOOKUP(K633,'Supplier list'!B:C,2,0),"")</f>
        <v>บริษัท เฮเฟเล่ (ประเทศไทย) จำกัด</v>
      </c>
      <c r="M633" s="1" t="s">
        <v>24</v>
      </c>
      <c r="O633" s="2" t="n">
        <v>1178</v>
      </c>
    </row>
    <row r="634" customFormat="false" ht="16.4" hidden="false" customHeight="false" outlineLevel="0" collapsed="false">
      <c r="A634" s="0" t="s">
        <v>15</v>
      </c>
      <c r="B634" s="0" t="s">
        <v>2133</v>
      </c>
      <c r="C634" s="0" t="n">
        <v>114001</v>
      </c>
      <c r="D634" s="0" t="n">
        <v>114001</v>
      </c>
      <c r="E634" s="0" t="s">
        <v>874</v>
      </c>
      <c r="F634" s="0" t="s">
        <v>18</v>
      </c>
      <c r="G634" s="0" t="s">
        <v>2134</v>
      </c>
      <c r="H634" s="0" t="s">
        <v>2135</v>
      </c>
      <c r="I634" s="0" t="s">
        <v>21</v>
      </c>
      <c r="J634" s="0" t="s">
        <v>22</v>
      </c>
      <c r="K634" s="0" t="s">
        <v>68</v>
      </c>
      <c r="L634" s="0" t="str">
        <f aca="false">IFERROR(VLOOKUP(K634,'Supplier list'!B:C,2,0),"")</f>
        <v>หจก. กรีน ดิสทริบิวชั่น</v>
      </c>
      <c r="M634" s="1" t="s">
        <v>24</v>
      </c>
      <c r="O634" s="2" t="n">
        <v>92</v>
      </c>
    </row>
    <row r="635" customFormat="false" ht="16.4" hidden="false" customHeight="false" outlineLevel="0" collapsed="false">
      <c r="A635" s="0" t="s">
        <v>15</v>
      </c>
      <c r="B635" s="0" t="s">
        <v>2136</v>
      </c>
      <c r="C635" s="0" t="n">
        <v>114001</v>
      </c>
      <c r="D635" s="0" t="n">
        <v>114001</v>
      </c>
      <c r="E635" s="0" t="s">
        <v>1653</v>
      </c>
      <c r="F635" s="0" t="s">
        <v>18</v>
      </c>
      <c r="G635" s="0" t="s">
        <v>2137</v>
      </c>
      <c r="H635" s="0" t="s">
        <v>2138</v>
      </c>
      <c r="I635" s="0" t="s">
        <v>124</v>
      </c>
      <c r="J635" s="0" t="s">
        <v>125</v>
      </c>
      <c r="K635" s="0" t="s">
        <v>89</v>
      </c>
      <c r="L635" s="0" t="str">
        <f aca="false">IFERROR(VLOOKUP(K635,'Supplier list'!B:C,2,0),"")</f>
        <v>บริษัท เฮเฟเล่ (ประเทศไทย) จำกัด</v>
      </c>
      <c r="M635" s="1" t="s">
        <v>24</v>
      </c>
      <c r="O635" s="2" t="n">
        <v>1000</v>
      </c>
    </row>
    <row r="636" customFormat="false" ht="16.4" hidden="false" customHeight="false" outlineLevel="0" collapsed="false">
      <c r="A636" s="0" t="s">
        <v>15</v>
      </c>
      <c r="B636" s="0" t="s">
        <v>2139</v>
      </c>
      <c r="C636" s="0" t="n">
        <v>114001</v>
      </c>
      <c r="D636" s="0" t="n">
        <v>114001</v>
      </c>
      <c r="E636" s="0" t="s">
        <v>1815</v>
      </c>
      <c r="F636" s="0" t="s">
        <v>18</v>
      </c>
      <c r="G636" s="0" t="s">
        <v>2140</v>
      </c>
      <c r="H636" s="0" t="s">
        <v>2141</v>
      </c>
      <c r="I636" s="0" t="s">
        <v>124</v>
      </c>
      <c r="J636" s="0" t="s">
        <v>125</v>
      </c>
      <c r="K636" s="0" t="s">
        <v>89</v>
      </c>
      <c r="L636" s="0" t="str">
        <f aca="false">IFERROR(VLOOKUP(K636,'Supplier list'!B:C,2,0),"")</f>
        <v>บริษัท เฮเฟเล่ (ประเทศไทย) จำกัด</v>
      </c>
      <c r="M636" s="1" t="s">
        <v>24</v>
      </c>
      <c r="O636" s="2" t="n">
        <v>571</v>
      </c>
    </row>
    <row r="637" customFormat="false" ht="16.4" hidden="false" customHeight="false" outlineLevel="0" collapsed="false">
      <c r="A637" s="0" t="s">
        <v>15</v>
      </c>
      <c r="B637" s="0" t="s">
        <v>2142</v>
      </c>
      <c r="C637" s="0" t="n">
        <v>114001</v>
      </c>
      <c r="D637" s="0" t="n">
        <v>114001</v>
      </c>
      <c r="E637" s="0" t="s">
        <v>1653</v>
      </c>
      <c r="F637" s="0" t="s">
        <v>18</v>
      </c>
      <c r="G637" s="0" t="s">
        <v>2143</v>
      </c>
      <c r="H637" s="0" t="s">
        <v>2144</v>
      </c>
      <c r="I637" s="0" t="s">
        <v>124</v>
      </c>
      <c r="J637" s="0" t="s">
        <v>125</v>
      </c>
      <c r="K637" s="0" t="s">
        <v>89</v>
      </c>
      <c r="L637" s="0" t="str">
        <f aca="false">IFERROR(VLOOKUP(K637,'Supplier list'!B:C,2,0),"")</f>
        <v>บริษัท เฮเฟเล่ (ประเทศไทย) จำกัด</v>
      </c>
      <c r="M637" s="1" t="s">
        <v>24</v>
      </c>
      <c r="O637" s="2" t="n">
        <v>1066</v>
      </c>
    </row>
    <row r="638" customFormat="false" ht="16.4" hidden="false" customHeight="false" outlineLevel="0" collapsed="false">
      <c r="A638" s="0" t="s">
        <v>15</v>
      </c>
      <c r="B638" s="0" t="s">
        <v>2145</v>
      </c>
      <c r="C638" s="0" t="n">
        <v>114001</v>
      </c>
      <c r="D638" s="0" t="n">
        <v>114001</v>
      </c>
      <c r="E638" s="0" t="s">
        <v>1653</v>
      </c>
      <c r="F638" s="0" t="s">
        <v>18</v>
      </c>
      <c r="G638" s="0" t="s">
        <v>2146</v>
      </c>
      <c r="H638" s="0" t="s">
        <v>2147</v>
      </c>
      <c r="I638" s="0" t="s">
        <v>124</v>
      </c>
      <c r="J638" s="0" t="s">
        <v>125</v>
      </c>
      <c r="K638" s="0" t="s">
        <v>89</v>
      </c>
      <c r="L638" s="0" t="str">
        <f aca="false">IFERROR(VLOOKUP(K638,'Supplier list'!B:C,2,0),"")</f>
        <v>บริษัท เฮเฟเล่ (ประเทศไทย) จำกัด</v>
      </c>
      <c r="M638" s="1" t="s">
        <v>24</v>
      </c>
      <c r="O638" s="2" t="n">
        <v>337</v>
      </c>
    </row>
    <row r="639" customFormat="false" ht="16.4" hidden="false" customHeight="false" outlineLevel="0" collapsed="false">
      <c r="A639" s="0" t="s">
        <v>15</v>
      </c>
      <c r="B639" s="0" t="s">
        <v>2148</v>
      </c>
      <c r="C639" s="0" t="n">
        <v>114001</v>
      </c>
      <c r="D639" s="0" t="n">
        <v>114001</v>
      </c>
      <c r="E639" s="0" t="s">
        <v>1653</v>
      </c>
      <c r="F639" s="0" t="s">
        <v>18</v>
      </c>
      <c r="G639" s="0" t="s">
        <v>2149</v>
      </c>
      <c r="H639" s="0" t="s">
        <v>2150</v>
      </c>
      <c r="I639" s="0" t="s">
        <v>124</v>
      </c>
      <c r="J639" s="0" t="s">
        <v>125</v>
      </c>
      <c r="K639" s="0" t="s">
        <v>89</v>
      </c>
      <c r="L639" s="0" t="str">
        <f aca="false">IFERROR(VLOOKUP(K639,'Supplier list'!B:C,2,0),"")</f>
        <v>บริษัท เฮเฟเล่ (ประเทศไทย) จำกัด</v>
      </c>
      <c r="M639" s="1" t="s">
        <v>24</v>
      </c>
      <c r="O639" s="2" t="n">
        <v>430</v>
      </c>
    </row>
    <row r="640" customFormat="false" ht="16.4" hidden="false" customHeight="false" outlineLevel="0" collapsed="false">
      <c r="A640" s="0" t="s">
        <v>15</v>
      </c>
      <c r="B640" s="0" t="s">
        <v>2151</v>
      </c>
      <c r="C640" s="0" t="n">
        <v>114001</v>
      </c>
      <c r="D640" s="0" t="n">
        <v>114001</v>
      </c>
      <c r="E640" s="0" t="s">
        <v>127</v>
      </c>
      <c r="F640" s="0" t="s">
        <v>18</v>
      </c>
      <c r="G640" s="0" t="s">
        <v>2152</v>
      </c>
      <c r="H640" s="0" t="s">
        <v>2153</v>
      </c>
      <c r="I640" s="0" t="s">
        <v>21</v>
      </c>
      <c r="J640" s="0" t="s">
        <v>22</v>
      </c>
      <c r="L640" s="0" t="str">
        <f aca="false">IFERROR(VLOOKUP(K640,'Supplier list'!B:C,2,0),"")</f>
        <v/>
      </c>
      <c r="M640" s="1" t="s">
        <v>24</v>
      </c>
      <c r="O640" s="2" t="n">
        <v>6</v>
      </c>
    </row>
    <row r="641" customFormat="false" ht="16.4" hidden="false" customHeight="false" outlineLevel="0" collapsed="false">
      <c r="A641" s="0" t="s">
        <v>15</v>
      </c>
      <c r="B641" s="0" t="s">
        <v>2154</v>
      </c>
      <c r="C641" s="0" t="n">
        <v>114001</v>
      </c>
      <c r="D641" s="0" t="n">
        <v>114001</v>
      </c>
      <c r="E641" s="0" t="s">
        <v>1653</v>
      </c>
      <c r="F641" s="0" t="s">
        <v>18</v>
      </c>
      <c r="G641" s="0" t="s">
        <v>2155</v>
      </c>
      <c r="H641" s="0" t="s">
        <v>2156</v>
      </c>
      <c r="I641" s="0" t="s">
        <v>124</v>
      </c>
      <c r="J641" s="0" t="s">
        <v>125</v>
      </c>
      <c r="K641" s="0" t="s">
        <v>89</v>
      </c>
      <c r="L641" s="0" t="str">
        <f aca="false">IFERROR(VLOOKUP(K641,'Supplier list'!B:C,2,0),"")</f>
        <v>บริษัท เฮเฟเล่ (ประเทศไทย) จำกัด</v>
      </c>
      <c r="M641" s="1" t="s">
        <v>24</v>
      </c>
      <c r="O641" s="2" t="n">
        <v>6440</v>
      </c>
    </row>
    <row r="642" customFormat="false" ht="16.4" hidden="false" customHeight="false" outlineLevel="0" collapsed="false">
      <c r="A642" s="0" t="s">
        <v>15</v>
      </c>
      <c r="B642" s="0" t="s">
        <v>2157</v>
      </c>
      <c r="C642" s="0" t="n">
        <v>114001</v>
      </c>
      <c r="D642" s="0" t="n">
        <v>114001</v>
      </c>
      <c r="E642" s="0" t="s">
        <v>1653</v>
      </c>
      <c r="F642" s="0" t="s">
        <v>18</v>
      </c>
      <c r="G642" s="0" t="s">
        <v>2158</v>
      </c>
      <c r="H642" s="0" t="s">
        <v>2159</v>
      </c>
      <c r="I642" s="0" t="s">
        <v>124</v>
      </c>
      <c r="J642" s="0" t="s">
        <v>125</v>
      </c>
      <c r="K642" s="0" t="s">
        <v>89</v>
      </c>
      <c r="L642" s="0" t="str">
        <f aca="false">IFERROR(VLOOKUP(K642,'Supplier list'!B:C,2,0),"")</f>
        <v>บริษัท เฮเฟเล่ (ประเทศไทย) จำกัด</v>
      </c>
      <c r="M642" s="1" t="s">
        <v>24</v>
      </c>
      <c r="O642" s="2" t="n">
        <v>5489</v>
      </c>
    </row>
    <row r="643" customFormat="false" ht="16.4" hidden="false" customHeight="false" outlineLevel="0" collapsed="false">
      <c r="A643" s="0" t="s">
        <v>15</v>
      </c>
      <c r="B643" s="0" t="s">
        <v>2160</v>
      </c>
      <c r="C643" s="0" t="n">
        <v>114001</v>
      </c>
      <c r="D643" s="0" t="n">
        <v>114001</v>
      </c>
      <c r="E643" s="0" t="s">
        <v>1653</v>
      </c>
      <c r="F643" s="0" t="s">
        <v>18</v>
      </c>
      <c r="G643" s="0" t="s">
        <v>2161</v>
      </c>
      <c r="H643" s="0" t="s">
        <v>2162</v>
      </c>
      <c r="I643" s="0" t="s">
        <v>124</v>
      </c>
      <c r="J643" s="0" t="s">
        <v>125</v>
      </c>
      <c r="K643" s="0" t="s">
        <v>89</v>
      </c>
      <c r="L643" s="0" t="str">
        <f aca="false">IFERROR(VLOOKUP(K643,'Supplier list'!B:C,2,0),"")</f>
        <v>บริษัท เฮเฟเล่ (ประเทศไทย) จำกัด</v>
      </c>
      <c r="M643" s="1" t="s">
        <v>24</v>
      </c>
      <c r="O643" s="2" t="n">
        <v>589</v>
      </c>
    </row>
    <row r="644" customFormat="false" ht="16.4" hidden="false" customHeight="false" outlineLevel="0" collapsed="false">
      <c r="A644" s="0" t="s">
        <v>15</v>
      </c>
      <c r="B644" s="0" t="s">
        <v>2163</v>
      </c>
      <c r="C644" s="0" t="n">
        <v>114001</v>
      </c>
      <c r="D644" s="0" t="n">
        <v>114001</v>
      </c>
      <c r="E644" s="0" t="s">
        <v>961</v>
      </c>
      <c r="F644" s="0" t="s">
        <v>18</v>
      </c>
      <c r="G644" s="0" t="s">
        <v>2164</v>
      </c>
      <c r="H644" s="0" t="s">
        <v>2165</v>
      </c>
      <c r="I644" s="0" t="s">
        <v>124</v>
      </c>
      <c r="J644" s="0" t="s">
        <v>125</v>
      </c>
      <c r="L644" s="0" t="str">
        <f aca="false">IFERROR(VLOOKUP(K644,'Supplier list'!B:C,2,0),"")</f>
        <v/>
      </c>
      <c r="M644" s="1" t="s">
        <v>24</v>
      </c>
      <c r="O644" s="2" t="n">
        <v>289</v>
      </c>
    </row>
    <row r="645" customFormat="false" ht="16.4" hidden="false" customHeight="false" outlineLevel="0" collapsed="false">
      <c r="A645" s="0" t="s">
        <v>15</v>
      </c>
      <c r="B645" s="0" t="s">
        <v>2166</v>
      </c>
      <c r="C645" s="0" t="n">
        <v>114001</v>
      </c>
      <c r="D645" s="0" t="n">
        <v>114001</v>
      </c>
      <c r="E645" s="0" t="s">
        <v>2167</v>
      </c>
      <c r="F645" s="0" t="s">
        <v>18</v>
      </c>
      <c r="G645" s="0" t="s">
        <v>2168</v>
      </c>
      <c r="H645" s="0" t="s">
        <v>2169</v>
      </c>
      <c r="I645" s="0" t="s">
        <v>21</v>
      </c>
      <c r="J645" s="0" t="s">
        <v>22</v>
      </c>
      <c r="K645" s="0" t="s">
        <v>89</v>
      </c>
      <c r="L645" s="0" t="str">
        <f aca="false">IFERROR(VLOOKUP(K645,'Supplier list'!B:C,2,0),"")</f>
        <v>บริษัท เฮเฟเล่ (ประเทศไทย) จำกัด</v>
      </c>
      <c r="M645" s="1" t="s">
        <v>24</v>
      </c>
      <c r="O645" s="2" t="n">
        <v>636</v>
      </c>
    </row>
    <row r="646" customFormat="false" ht="16.4" hidden="false" customHeight="false" outlineLevel="0" collapsed="false">
      <c r="A646" s="0" t="s">
        <v>15</v>
      </c>
      <c r="B646" s="0" t="s">
        <v>2170</v>
      </c>
      <c r="C646" s="0" t="n">
        <v>114001</v>
      </c>
      <c r="D646" s="0" t="n">
        <v>114001</v>
      </c>
      <c r="E646" s="0" t="s">
        <v>2171</v>
      </c>
      <c r="F646" s="0" t="s">
        <v>18</v>
      </c>
      <c r="G646" s="0" t="s">
        <v>2172</v>
      </c>
      <c r="H646" s="0" t="s">
        <v>2173</v>
      </c>
      <c r="I646" s="0" t="s">
        <v>124</v>
      </c>
      <c r="J646" s="0" t="s">
        <v>125</v>
      </c>
      <c r="K646" s="0" t="s">
        <v>89</v>
      </c>
      <c r="L646" s="0" t="str">
        <f aca="false">IFERROR(VLOOKUP(K646,'Supplier list'!B:C,2,0),"")</f>
        <v>บริษัท เฮเฟเล่ (ประเทศไทย) จำกัด</v>
      </c>
      <c r="M646" s="1" t="s">
        <v>24</v>
      </c>
      <c r="O646" s="2" t="n">
        <v>150</v>
      </c>
    </row>
    <row r="647" customFormat="false" ht="16.4" hidden="false" customHeight="false" outlineLevel="0" collapsed="false">
      <c r="A647" s="0" t="s">
        <v>15</v>
      </c>
      <c r="B647" s="0" t="s">
        <v>2174</v>
      </c>
      <c r="C647" s="0" t="n">
        <v>114001</v>
      </c>
      <c r="D647" s="0" t="n">
        <v>114001</v>
      </c>
      <c r="E647" s="0" t="s">
        <v>2167</v>
      </c>
      <c r="F647" s="0" t="s">
        <v>18</v>
      </c>
      <c r="G647" s="0" t="s">
        <v>2175</v>
      </c>
      <c r="H647" s="0" t="s">
        <v>2176</v>
      </c>
      <c r="I647" s="0" t="s">
        <v>168</v>
      </c>
      <c r="J647" s="0" t="s">
        <v>169</v>
      </c>
      <c r="K647" s="0" t="s">
        <v>89</v>
      </c>
      <c r="L647" s="0" t="str">
        <f aca="false">IFERROR(VLOOKUP(K647,'Supplier list'!B:C,2,0),"")</f>
        <v>บริษัท เฮเฟเล่ (ประเทศไทย) จำกัด</v>
      </c>
      <c r="M647" s="1" t="s">
        <v>24</v>
      </c>
      <c r="O647" s="2" t="n">
        <v>200</v>
      </c>
    </row>
    <row r="648" customFormat="false" ht="16.4" hidden="false" customHeight="false" outlineLevel="0" collapsed="false">
      <c r="A648" s="0" t="s">
        <v>15</v>
      </c>
      <c r="B648" s="0" t="s">
        <v>2177</v>
      </c>
      <c r="C648" s="0" t="n">
        <v>114001</v>
      </c>
      <c r="D648" s="0" t="n">
        <v>114001</v>
      </c>
      <c r="E648" s="0" t="s">
        <v>2178</v>
      </c>
      <c r="F648" s="0" t="s">
        <v>18</v>
      </c>
      <c r="G648" s="0" t="s">
        <v>2179</v>
      </c>
      <c r="H648" s="0" t="s">
        <v>2180</v>
      </c>
      <c r="I648" s="0" t="s">
        <v>21</v>
      </c>
      <c r="J648" s="0" t="s">
        <v>22</v>
      </c>
      <c r="K648" s="0" t="s">
        <v>89</v>
      </c>
      <c r="L648" s="0" t="str">
        <f aca="false">IFERROR(VLOOKUP(K648,'Supplier list'!B:C,2,0),"")</f>
        <v>บริษัท เฮเฟเล่ (ประเทศไทย) จำกัด</v>
      </c>
      <c r="M648" s="1" t="s">
        <v>24</v>
      </c>
      <c r="O648" s="2" t="n">
        <v>271</v>
      </c>
    </row>
    <row r="649" customFormat="false" ht="16.4" hidden="false" customHeight="false" outlineLevel="0" collapsed="false">
      <c r="A649" s="0" t="s">
        <v>15</v>
      </c>
      <c r="B649" s="0" t="s">
        <v>2181</v>
      </c>
      <c r="C649" s="0" t="n">
        <v>114001</v>
      </c>
      <c r="D649" s="0" t="n">
        <v>114001</v>
      </c>
      <c r="E649" s="0" t="s">
        <v>1734</v>
      </c>
      <c r="F649" s="0" t="s">
        <v>18</v>
      </c>
      <c r="G649" s="0" t="s">
        <v>2182</v>
      </c>
      <c r="H649" s="0" t="s">
        <v>2183</v>
      </c>
      <c r="I649" s="0" t="s">
        <v>124</v>
      </c>
      <c r="J649" s="0" t="s">
        <v>125</v>
      </c>
      <c r="K649" s="0" t="s">
        <v>89</v>
      </c>
      <c r="L649" s="0" t="str">
        <f aca="false">IFERROR(VLOOKUP(K649,'Supplier list'!B:C,2,0),"")</f>
        <v>บริษัท เฮเฟเล่ (ประเทศไทย) จำกัด</v>
      </c>
      <c r="M649" s="1" t="s">
        <v>24</v>
      </c>
      <c r="O649" s="2" t="n">
        <v>112.5</v>
      </c>
    </row>
    <row r="650" customFormat="false" ht="16.4" hidden="false" customHeight="false" outlineLevel="0" collapsed="false">
      <c r="A650" s="0" t="s">
        <v>15</v>
      </c>
      <c r="B650" s="0" t="s">
        <v>2184</v>
      </c>
      <c r="C650" s="0" t="n">
        <v>114001</v>
      </c>
      <c r="D650" s="0" t="n">
        <v>114001</v>
      </c>
      <c r="E650" s="0" t="s">
        <v>2185</v>
      </c>
      <c r="F650" s="0" t="s">
        <v>18</v>
      </c>
      <c r="G650" s="0" t="s">
        <v>2186</v>
      </c>
      <c r="H650" s="0" t="s">
        <v>2187</v>
      </c>
      <c r="I650" s="0" t="s">
        <v>168</v>
      </c>
      <c r="J650" s="0" t="s">
        <v>169</v>
      </c>
      <c r="K650" s="0" t="s">
        <v>89</v>
      </c>
      <c r="L650" s="0" t="str">
        <f aca="false">IFERROR(VLOOKUP(K650,'Supplier list'!B:C,2,0),"")</f>
        <v>บริษัท เฮเฟเล่ (ประเทศไทย) จำกัด</v>
      </c>
      <c r="M650" s="1" t="s">
        <v>24</v>
      </c>
      <c r="O650" s="2" t="n">
        <v>515</v>
      </c>
    </row>
    <row r="651" customFormat="false" ht="16.4" hidden="false" customHeight="false" outlineLevel="0" collapsed="false">
      <c r="A651" s="0" t="s">
        <v>15</v>
      </c>
      <c r="B651" s="0" t="s">
        <v>2188</v>
      </c>
      <c r="C651" s="0" t="n">
        <v>114001</v>
      </c>
      <c r="D651" s="0" t="n">
        <v>114001</v>
      </c>
      <c r="E651" s="0" t="s">
        <v>1684</v>
      </c>
      <c r="F651" s="0" t="s">
        <v>18</v>
      </c>
      <c r="G651" s="0" t="s">
        <v>2189</v>
      </c>
      <c r="H651" s="0" t="s">
        <v>2190</v>
      </c>
      <c r="I651" s="0" t="s">
        <v>21</v>
      </c>
      <c r="J651" s="0" t="s">
        <v>22</v>
      </c>
      <c r="K651" s="0" t="s">
        <v>89</v>
      </c>
      <c r="L651" s="0" t="str">
        <f aca="false">IFERROR(VLOOKUP(K651,'Supplier list'!B:C,2,0),"")</f>
        <v>บริษัท เฮเฟเล่ (ประเทศไทย) จำกัด</v>
      </c>
      <c r="M651" s="1" t="s">
        <v>24</v>
      </c>
      <c r="O651" s="2" t="n">
        <v>110</v>
      </c>
    </row>
    <row r="652" customFormat="false" ht="16.4" hidden="false" customHeight="false" outlineLevel="0" collapsed="false">
      <c r="A652" s="0" t="s">
        <v>15</v>
      </c>
      <c r="B652" s="0" t="s">
        <v>2191</v>
      </c>
      <c r="C652" s="0" t="n">
        <v>114001</v>
      </c>
      <c r="D652" s="0" t="n">
        <v>114001</v>
      </c>
      <c r="E652" s="0" t="s">
        <v>1634</v>
      </c>
      <c r="F652" s="0" t="s">
        <v>18</v>
      </c>
      <c r="G652" s="0" t="s">
        <v>2192</v>
      </c>
      <c r="H652" s="0" t="s">
        <v>2193</v>
      </c>
      <c r="I652" s="0" t="s">
        <v>21</v>
      </c>
      <c r="J652" s="0" t="s">
        <v>22</v>
      </c>
      <c r="K652" s="0" t="s">
        <v>89</v>
      </c>
      <c r="L652" s="0" t="str">
        <f aca="false">IFERROR(VLOOKUP(K652,'Supplier list'!B:C,2,0),"")</f>
        <v>บริษัท เฮเฟเล่ (ประเทศไทย) จำกัด</v>
      </c>
      <c r="M652" s="1" t="s">
        <v>1740</v>
      </c>
      <c r="N652" s="2" t="n">
        <v>2500</v>
      </c>
      <c r="O652" s="2" t="n">
        <v>1421</v>
      </c>
    </row>
    <row r="653" customFormat="false" ht="16.4" hidden="false" customHeight="false" outlineLevel="0" collapsed="false">
      <c r="A653" s="0" t="s">
        <v>15</v>
      </c>
      <c r="B653" s="0" t="s">
        <v>2194</v>
      </c>
      <c r="C653" s="0" t="n">
        <v>114001</v>
      </c>
      <c r="D653" s="0" t="n">
        <v>114001</v>
      </c>
      <c r="E653" s="0" t="s">
        <v>2195</v>
      </c>
      <c r="F653" s="0" t="s">
        <v>18</v>
      </c>
      <c r="G653" s="0" t="s">
        <v>2196</v>
      </c>
      <c r="H653" s="0" t="s">
        <v>2197</v>
      </c>
      <c r="I653" s="0" t="s">
        <v>168</v>
      </c>
      <c r="J653" s="0" t="s">
        <v>169</v>
      </c>
      <c r="L653" s="0" t="str">
        <f aca="false">IFERROR(VLOOKUP(K653,'Supplier list'!B:C,2,0),"")</f>
        <v/>
      </c>
      <c r="M653" s="1" t="s">
        <v>24</v>
      </c>
      <c r="O653" s="2" t="n">
        <v>988</v>
      </c>
    </row>
    <row r="654" customFormat="false" ht="16.4" hidden="false" customHeight="false" outlineLevel="0" collapsed="false">
      <c r="A654" s="0" t="s">
        <v>15</v>
      </c>
      <c r="B654" s="0" t="s">
        <v>2198</v>
      </c>
      <c r="C654" s="0" t="n">
        <v>114001</v>
      </c>
      <c r="D654" s="0" t="n">
        <v>114001</v>
      </c>
      <c r="E654" s="0" t="s">
        <v>2195</v>
      </c>
      <c r="F654" s="0" t="s">
        <v>18</v>
      </c>
      <c r="G654" s="0" t="s">
        <v>2199</v>
      </c>
      <c r="H654" s="0" t="s">
        <v>2200</v>
      </c>
      <c r="I654" s="0" t="s">
        <v>168</v>
      </c>
      <c r="J654" s="0" t="s">
        <v>169</v>
      </c>
      <c r="L654" s="0" t="str">
        <f aca="false">IFERROR(VLOOKUP(K654,'Supplier list'!B:C,2,0),"")</f>
        <v/>
      </c>
      <c r="M654" s="1" t="s">
        <v>24</v>
      </c>
      <c r="O654" s="2" t="n">
        <v>830</v>
      </c>
    </row>
    <row r="655" customFormat="false" ht="16.4" hidden="false" customHeight="false" outlineLevel="0" collapsed="false">
      <c r="A655" s="0" t="s">
        <v>15</v>
      </c>
      <c r="B655" s="0" t="s">
        <v>2201</v>
      </c>
      <c r="C655" s="0" t="n">
        <v>114001</v>
      </c>
      <c r="D655" s="0" t="n">
        <v>114001</v>
      </c>
      <c r="E655" s="0" t="s">
        <v>2195</v>
      </c>
      <c r="F655" s="0" t="s">
        <v>18</v>
      </c>
      <c r="G655" s="0" t="s">
        <v>2202</v>
      </c>
      <c r="H655" s="0" t="s">
        <v>2203</v>
      </c>
      <c r="I655" s="0" t="s">
        <v>168</v>
      </c>
      <c r="J655" s="0" t="s">
        <v>169</v>
      </c>
      <c r="L655" s="0" t="str">
        <f aca="false">IFERROR(VLOOKUP(K655,'Supplier list'!B:C,2,0),"")</f>
        <v/>
      </c>
      <c r="M655" s="1" t="s">
        <v>24</v>
      </c>
      <c r="O655" s="2" t="n">
        <v>1590</v>
      </c>
    </row>
    <row r="656" customFormat="false" ht="16.4" hidden="false" customHeight="false" outlineLevel="0" collapsed="false">
      <c r="A656" s="0" t="s">
        <v>15</v>
      </c>
      <c r="B656" s="0" t="s">
        <v>2204</v>
      </c>
      <c r="C656" s="0" t="n">
        <v>114001</v>
      </c>
      <c r="D656" s="0" t="n">
        <v>114001</v>
      </c>
      <c r="E656" s="0" t="s">
        <v>1970</v>
      </c>
      <c r="F656" s="0" t="s">
        <v>18</v>
      </c>
      <c r="G656" s="0" t="s">
        <v>2205</v>
      </c>
      <c r="H656" s="0" t="s">
        <v>2206</v>
      </c>
      <c r="I656" s="0" t="s">
        <v>21</v>
      </c>
      <c r="J656" s="0" t="s">
        <v>22</v>
      </c>
      <c r="L656" s="0" t="str">
        <f aca="false">IFERROR(VLOOKUP(K656,'Supplier list'!B:C,2,0),"")</f>
        <v/>
      </c>
      <c r="M656" s="1" t="s">
        <v>24</v>
      </c>
      <c r="O656" s="2" t="n">
        <v>0</v>
      </c>
    </row>
    <row r="657" customFormat="false" ht="16.4" hidden="false" customHeight="false" outlineLevel="0" collapsed="false">
      <c r="A657" s="0" t="s">
        <v>15</v>
      </c>
      <c r="B657" s="0" t="s">
        <v>2207</v>
      </c>
      <c r="C657" s="0" t="n">
        <v>114001</v>
      </c>
      <c r="D657" s="0" t="n">
        <v>114001</v>
      </c>
      <c r="E657" s="0" t="s">
        <v>2208</v>
      </c>
      <c r="F657" s="0" t="s">
        <v>18</v>
      </c>
      <c r="G657" s="0" t="s">
        <v>2209</v>
      </c>
      <c r="H657" s="0" t="s">
        <v>2210</v>
      </c>
      <c r="I657" s="0" t="s">
        <v>21</v>
      </c>
      <c r="J657" s="0" t="s">
        <v>22</v>
      </c>
      <c r="L657" s="0" t="str">
        <f aca="false">IFERROR(VLOOKUP(K657,'Supplier list'!B:C,2,0),"")</f>
        <v/>
      </c>
      <c r="M657" s="1" t="s">
        <v>24</v>
      </c>
      <c r="O657" s="2" t="n">
        <v>6</v>
      </c>
    </row>
    <row r="658" customFormat="false" ht="16.4" hidden="false" customHeight="false" outlineLevel="0" collapsed="false">
      <c r="A658" s="0" t="s">
        <v>15</v>
      </c>
      <c r="B658" s="0" t="s">
        <v>2211</v>
      </c>
      <c r="C658" s="0" t="n">
        <v>114001</v>
      </c>
      <c r="D658" s="0" t="n">
        <v>114001</v>
      </c>
      <c r="E658" s="0" t="s">
        <v>2208</v>
      </c>
      <c r="F658" s="0" t="s">
        <v>18</v>
      </c>
      <c r="G658" s="0" t="s">
        <v>2212</v>
      </c>
      <c r="H658" s="0" t="s">
        <v>2213</v>
      </c>
      <c r="I658" s="0" t="s">
        <v>21</v>
      </c>
      <c r="J658" s="0" t="s">
        <v>22</v>
      </c>
      <c r="L658" s="0" t="str">
        <f aca="false">IFERROR(VLOOKUP(K658,'Supplier list'!B:C,2,0),"")</f>
        <v/>
      </c>
      <c r="M658" s="1" t="s">
        <v>24</v>
      </c>
      <c r="O658" s="2" t="n">
        <v>10</v>
      </c>
    </row>
    <row r="659" customFormat="false" ht="16.4" hidden="false" customHeight="false" outlineLevel="0" collapsed="false">
      <c r="A659" s="0" t="s">
        <v>15</v>
      </c>
      <c r="B659" s="0" t="s">
        <v>2214</v>
      </c>
      <c r="C659" s="0" t="n">
        <v>114001</v>
      </c>
      <c r="D659" s="0" t="n">
        <v>114001</v>
      </c>
      <c r="E659" s="0" t="s">
        <v>2208</v>
      </c>
      <c r="F659" s="0" t="s">
        <v>18</v>
      </c>
      <c r="G659" s="0" t="s">
        <v>2215</v>
      </c>
      <c r="H659" s="0" t="s">
        <v>2216</v>
      </c>
      <c r="I659" s="0" t="s">
        <v>21</v>
      </c>
      <c r="J659" s="0" t="s">
        <v>22</v>
      </c>
      <c r="L659" s="0" t="str">
        <f aca="false">IFERROR(VLOOKUP(K659,'Supplier list'!B:C,2,0),"")</f>
        <v/>
      </c>
      <c r="M659" s="1" t="s">
        <v>24</v>
      </c>
      <c r="O659" s="2" t="n">
        <v>15</v>
      </c>
    </row>
    <row r="660" customFormat="false" ht="16.4" hidden="false" customHeight="false" outlineLevel="0" collapsed="false">
      <c r="A660" s="0" t="s">
        <v>15</v>
      </c>
      <c r="B660" s="0" t="s">
        <v>2217</v>
      </c>
      <c r="C660" s="0" t="n">
        <v>114001</v>
      </c>
      <c r="D660" s="0" t="n">
        <v>114001</v>
      </c>
      <c r="E660" s="0" t="s">
        <v>127</v>
      </c>
      <c r="F660" s="0" t="s">
        <v>18</v>
      </c>
      <c r="G660" s="0" t="s">
        <v>2218</v>
      </c>
      <c r="H660" s="0" t="s">
        <v>2219</v>
      </c>
      <c r="I660" s="0" t="s">
        <v>21</v>
      </c>
      <c r="J660" s="0" t="s">
        <v>22</v>
      </c>
      <c r="K660" s="0" t="s">
        <v>82</v>
      </c>
      <c r="L660" s="0" t="str">
        <f aca="false">IFERROR(VLOOKUP(K660,'Supplier list'!B:C,2,0),"")</f>
        <v>บริษัท เกรียงศิริพัฒนา (1995) จำกัด</v>
      </c>
      <c r="M660" s="1" t="s">
        <v>24</v>
      </c>
      <c r="O660" s="2" t="n">
        <v>12</v>
      </c>
    </row>
    <row r="661" customFormat="false" ht="16.4" hidden="false" customHeight="false" outlineLevel="0" collapsed="false">
      <c r="A661" s="0" t="s">
        <v>15</v>
      </c>
      <c r="B661" s="0" t="s">
        <v>2220</v>
      </c>
      <c r="C661" s="0" t="n">
        <v>114001</v>
      </c>
      <c r="D661" s="0" t="n">
        <v>114001</v>
      </c>
      <c r="E661" s="0" t="s">
        <v>127</v>
      </c>
      <c r="F661" s="0" t="s">
        <v>18</v>
      </c>
      <c r="G661" s="0" t="s">
        <v>2221</v>
      </c>
      <c r="H661" s="0" t="s">
        <v>2222</v>
      </c>
      <c r="I661" s="0" t="s">
        <v>21</v>
      </c>
      <c r="J661" s="0" t="s">
        <v>22</v>
      </c>
      <c r="K661" s="0" t="s">
        <v>82</v>
      </c>
      <c r="L661" s="0" t="str">
        <f aca="false">IFERROR(VLOOKUP(K661,'Supplier list'!B:C,2,0),"")</f>
        <v>บริษัท เกรียงศิริพัฒนา (1995) จำกัด</v>
      </c>
      <c r="M661" s="1" t="s">
        <v>24</v>
      </c>
      <c r="O661" s="2" t="n">
        <v>10</v>
      </c>
    </row>
    <row r="662" customFormat="false" ht="16.4" hidden="false" customHeight="false" outlineLevel="0" collapsed="false">
      <c r="A662" s="0" t="s">
        <v>15</v>
      </c>
      <c r="B662" s="0" t="s">
        <v>2223</v>
      </c>
      <c r="C662" s="0" t="n">
        <v>114001</v>
      </c>
      <c r="D662" s="0" t="n">
        <v>114001</v>
      </c>
      <c r="E662" s="0" t="s">
        <v>127</v>
      </c>
      <c r="F662" s="0" t="s">
        <v>18</v>
      </c>
      <c r="G662" s="0" t="s">
        <v>2224</v>
      </c>
      <c r="H662" s="0" t="s">
        <v>2225</v>
      </c>
      <c r="I662" s="0" t="s">
        <v>21</v>
      </c>
      <c r="J662" s="0" t="s">
        <v>22</v>
      </c>
      <c r="L662" s="0" t="str">
        <f aca="false">IFERROR(VLOOKUP(K662,'Supplier list'!B:C,2,0),"")</f>
        <v/>
      </c>
      <c r="M662" s="1" t="s">
        <v>24</v>
      </c>
      <c r="O662" s="2" t="n">
        <v>62</v>
      </c>
    </row>
    <row r="663" customFormat="false" ht="16.4" hidden="false" customHeight="false" outlineLevel="0" collapsed="false">
      <c r="A663" s="0" t="s">
        <v>15</v>
      </c>
      <c r="B663" s="0" t="s">
        <v>2226</v>
      </c>
      <c r="C663" s="0" t="n">
        <v>114001</v>
      </c>
      <c r="D663" s="0" t="n">
        <v>114001</v>
      </c>
      <c r="E663" s="0" t="s">
        <v>2195</v>
      </c>
      <c r="F663" s="0" t="s">
        <v>18</v>
      </c>
      <c r="G663" s="0" t="s">
        <v>2227</v>
      </c>
      <c r="H663" s="0" t="s">
        <v>2228</v>
      </c>
      <c r="I663" s="0" t="s">
        <v>168</v>
      </c>
      <c r="J663" s="0" t="s">
        <v>169</v>
      </c>
      <c r="L663" s="0" t="str">
        <f aca="false">IFERROR(VLOOKUP(K663,'Supplier list'!B:C,2,0),"")</f>
        <v/>
      </c>
      <c r="M663" s="1" t="s">
        <v>24</v>
      </c>
      <c r="O663" s="2" t="n">
        <v>990</v>
      </c>
    </row>
    <row r="664" customFormat="false" ht="16.4" hidden="false" customHeight="false" outlineLevel="0" collapsed="false">
      <c r="A664" s="0" t="s">
        <v>15</v>
      </c>
      <c r="B664" s="0" t="s">
        <v>2229</v>
      </c>
      <c r="C664" s="0" t="n">
        <v>114001</v>
      </c>
      <c r="D664" s="0" t="n">
        <v>114001</v>
      </c>
      <c r="E664" s="0" t="s">
        <v>127</v>
      </c>
      <c r="F664" s="0" t="s">
        <v>18</v>
      </c>
      <c r="G664" s="0" t="s">
        <v>2230</v>
      </c>
      <c r="H664" s="0" t="s">
        <v>2231</v>
      </c>
      <c r="I664" s="0" t="s">
        <v>21</v>
      </c>
      <c r="J664" s="0" t="s">
        <v>22</v>
      </c>
      <c r="L664" s="0" t="str">
        <f aca="false">IFERROR(VLOOKUP(K664,'Supplier list'!B:C,2,0),"")</f>
        <v/>
      </c>
      <c r="M664" s="1" t="s">
        <v>24</v>
      </c>
      <c r="O664" s="2" t="n">
        <v>9.5</v>
      </c>
    </row>
    <row r="665" customFormat="false" ht="16.4" hidden="false" customHeight="false" outlineLevel="0" collapsed="false">
      <c r="A665" s="0" t="s">
        <v>15</v>
      </c>
      <c r="B665" s="0" t="s">
        <v>2232</v>
      </c>
      <c r="C665" s="0" t="n">
        <v>114001</v>
      </c>
      <c r="D665" s="0" t="n">
        <v>114001</v>
      </c>
      <c r="E665" s="0" t="s">
        <v>121</v>
      </c>
      <c r="F665" s="0" t="s">
        <v>18</v>
      </c>
      <c r="G665" s="0" t="s">
        <v>2233</v>
      </c>
      <c r="H665" s="0" t="s">
        <v>2234</v>
      </c>
      <c r="I665" s="0" t="s">
        <v>142</v>
      </c>
      <c r="J665" s="0" t="s">
        <v>143</v>
      </c>
      <c r="K665" s="0" t="s">
        <v>82</v>
      </c>
      <c r="L665" s="0" t="str">
        <f aca="false">IFERROR(VLOOKUP(K665,'Supplier list'!B:C,2,0),"")</f>
        <v>บริษัท เกรียงศิริพัฒนา (1995) จำกัด</v>
      </c>
      <c r="M665" s="1" t="s">
        <v>24</v>
      </c>
      <c r="O665" s="2" t="n">
        <v>340</v>
      </c>
    </row>
    <row r="666" customFormat="false" ht="16.4" hidden="false" customHeight="false" outlineLevel="0" collapsed="false">
      <c r="A666" s="0" t="s">
        <v>15</v>
      </c>
      <c r="B666" s="0" t="s">
        <v>2235</v>
      </c>
      <c r="C666" s="0" t="n">
        <v>114001</v>
      </c>
      <c r="D666" s="0" t="n">
        <v>114001</v>
      </c>
      <c r="E666" s="0" t="s">
        <v>127</v>
      </c>
      <c r="F666" s="0" t="s">
        <v>18</v>
      </c>
      <c r="G666" s="0" t="s">
        <v>2236</v>
      </c>
      <c r="H666" s="0" t="s">
        <v>2237</v>
      </c>
      <c r="I666" s="0" t="s">
        <v>21</v>
      </c>
      <c r="J666" s="0" t="s">
        <v>22</v>
      </c>
      <c r="L666" s="0" t="str">
        <f aca="false">IFERROR(VLOOKUP(K666,'Supplier list'!B:C,2,0),"")</f>
        <v/>
      </c>
      <c r="M666" s="1" t="s">
        <v>24</v>
      </c>
      <c r="O666" s="2" t="n">
        <v>20</v>
      </c>
    </row>
    <row r="667" customFormat="false" ht="16.4" hidden="false" customHeight="false" outlineLevel="0" collapsed="false">
      <c r="A667" s="0" t="s">
        <v>15</v>
      </c>
      <c r="B667" s="0" t="s">
        <v>2238</v>
      </c>
      <c r="C667" s="0" t="n">
        <v>114001</v>
      </c>
      <c r="D667" s="0" t="n">
        <v>114001</v>
      </c>
      <c r="E667" s="0" t="s">
        <v>1764</v>
      </c>
      <c r="F667" s="0" t="s">
        <v>18</v>
      </c>
      <c r="G667" s="0" t="s">
        <v>2239</v>
      </c>
      <c r="H667" s="0" t="s">
        <v>2240</v>
      </c>
      <c r="I667" s="0" t="s">
        <v>21</v>
      </c>
      <c r="J667" s="0" t="s">
        <v>22</v>
      </c>
      <c r="K667" s="0" t="s">
        <v>787</v>
      </c>
      <c r="L667" s="0" t="str">
        <f aca="false">IFERROR(VLOOKUP(K667,'Supplier list'!B:C,2,0),"")</f>
        <v>บริษัท ฟิวเจอร์เทค อินเตอร์มาร์เก็ตติ้ง จำกัด</v>
      </c>
      <c r="M667" s="1" t="s">
        <v>24</v>
      </c>
      <c r="O667" s="2" t="n">
        <v>0</v>
      </c>
    </row>
    <row r="668" customFormat="false" ht="16.4" hidden="false" customHeight="false" outlineLevel="0" collapsed="false">
      <c r="A668" s="0" t="s">
        <v>15</v>
      </c>
      <c r="B668" s="0" t="s">
        <v>2241</v>
      </c>
      <c r="C668" s="0" t="n">
        <v>114001</v>
      </c>
      <c r="D668" s="0" t="n">
        <v>114001</v>
      </c>
      <c r="E668" s="0" t="s">
        <v>2242</v>
      </c>
      <c r="F668" s="0" t="s">
        <v>18</v>
      </c>
      <c r="G668" s="0" t="s">
        <v>2243</v>
      </c>
      <c r="H668" s="0" t="s">
        <v>2244</v>
      </c>
      <c r="I668" s="0" t="s">
        <v>396</v>
      </c>
      <c r="J668" s="0" t="s">
        <v>397</v>
      </c>
      <c r="L668" s="0" t="str">
        <f aca="false">IFERROR(VLOOKUP(K668,'Supplier list'!B:C,2,0),"")</f>
        <v/>
      </c>
      <c r="M668" s="1" t="s">
        <v>24</v>
      </c>
      <c r="O668" s="2" t="n">
        <v>99</v>
      </c>
    </row>
    <row r="669" customFormat="false" ht="16.4" hidden="false" customHeight="false" outlineLevel="0" collapsed="false">
      <c r="A669" s="0" t="s">
        <v>15</v>
      </c>
      <c r="B669" s="0" t="s">
        <v>2245</v>
      </c>
      <c r="C669" s="0" t="n">
        <v>114001</v>
      </c>
      <c r="D669" s="0" t="n">
        <v>114001</v>
      </c>
      <c r="E669" s="0" t="s">
        <v>613</v>
      </c>
      <c r="F669" s="0" t="s">
        <v>18</v>
      </c>
      <c r="G669" s="0" t="s">
        <v>2246</v>
      </c>
      <c r="H669" s="0" t="s">
        <v>2247</v>
      </c>
      <c r="I669" s="0" t="s">
        <v>2248</v>
      </c>
      <c r="J669" s="0" t="s">
        <v>2249</v>
      </c>
      <c r="L669" s="0" t="str">
        <f aca="false">IFERROR(VLOOKUP(K669,'Supplier list'!B:C,2,0),"")</f>
        <v/>
      </c>
      <c r="M669" s="1" t="s">
        <v>24</v>
      </c>
      <c r="O669" s="2" t="n">
        <v>30</v>
      </c>
    </row>
    <row r="670" customFormat="false" ht="16.4" hidden="false" customHeight="false" outlineLevel="0" collapsed="false">
      <c r="A670" s="0" t="s">
        <v>15</v>
      </c>
      <c r="B670" s="0" t="s">
        <v>2250</v>
      </c>
      <c r="C670" s="0" t="n">
        <v>114001</v>
      </c>
      <c r="D670" s="0" t="n">
        <v>114001</v>
      </c>
      <c r="E670" s="0" t="s">
        <v>127</v>
      </c>
      <c r="F670" s="0" t="s">
        <v>18</v>
      </c>
      <c r="G670" s="0" t="s">
        <v>2251</v>
      </c>
      <c r="H670" s="0" t="s">
        <v>2252</v>
      </c>
      <c r="I670" s="0" t="s">
        <v>21</v>
      </c>
      <c r="J670" s="0" t="s">
        <v>22</v>
      </c>
      <c r="L670" s="0" t="str">
        <f aca="false">IFERROR(VLOOKUP(K670,'Supplier list'!B:C,2,0),"")</f>
        <v/>
      </c>
      <c r="M670" s="1" t="s">
        <v>24</v>
      </c>
      <c r="O670" s="2" t="n">
        <v>7</v>
      </c>
    </row>
    <row r="671" customFormat="false" ht="16.4" hidden="false" customHeight="false" outlineLevel="0" collapsed="false">
      <c r="A671" s="0" t="s">
        <v>15</v>
      </c>
      <c r="B671" s="0" t="s">
        <v>2253</v>
      </c>
      <c r="C671" s="0" t="n">
        <v>114001</v>
      </c>
      <c r="D671" s="0" t="n">
        <v>114001</v>
      </c>
      <c r="E671" s="0" t="s">
        <v>1605</v>
      </c>
      <c r="F671" s="0" t="s">
        <v>18</v>
      </c>
      <c r="G671" s="0" t="s">
        <v>2254</v>
      </c>
      <c r="H671" s="0" t="s">
        <v>2255</v>
      </c>
      <c r="I671" s="0" t="s">
        <v>21</v>
      </c>
      <c r="J671" s="0" t="s">
        <v>22</v>
      </c>
      <c r="L671" s="0" t="str">
        <f aca="false">IFERROR(VLOOKUP(K671,'Supplier list'!B:C,2,0),"")</f>
        <v/>
      </c>
      <c r="M671" s="1" t="s">
        <v>24</v>
      </c>
      <c r="O671" s="2" t="n">
        <v>0</v>
      </c>
    </row>
    <row r="672" customFormat="false" ht="16.4" hidden="false" customHeight="false" outlineLevel="0" collapsed="false">
      <c r="A672" s="0" t="s">
        <v>15</v>
      </c>
      <c r="B672" s="0" t="s">
        <v>2256</v>
      </c>
      <c r="C672" s="0" t="n">
        <v>114001</v>
      </c>
      <c r="D672" s="0" t="n">
        <v>114001</v>
      </c>
      <c r="E672" s="0" t="s">
        <v>1605</v>
      </c>
      <c r="F672" s="0" t="s">
        <v>18</v>
      </c>
      <c r="G672" s="0" t="s">
        <v>2257</v>
      </c>
      <c r="H672" s="0" t="s">
        <v>2258</v>
      </c>
      <c r="I672" s="0" t="s">
        <v>124</v>
      </c>
      <c r="J672" s="0" t="s">
        <v>125</v>
      </c>
      <c r="K672" s="0" t="s">
        <v>89</v>
      </c>
      <c r="L672" s="0" t="str">
        <f aca="false">IFERROR(VLOOKUP(K672,'Supplier list'!B:C,2,0),"")</f>
        <v>บริษัท เฮเฟเล่ (ประเทศไทย) จำกัด</v>
      </c>
      <c r="M672" s="1" t="s">
        <v>24</v>
      </c>
      <c r="O672" s="2" t="n">
        <v>660</v>
      </c>
    </row>
    <row r="673" customFormat="false" ht="16.4" hidden="false" customHeight="false" outlineLevel="0" collapsed="false">
      <c r="A673" s="0" t="s">
        <v>15</v>
      </c>
      <c r="B673" s="0" t="s">
        <v>2259</v>
      </c>
      <c r="C673" s="0" t="n">
        <v>114001</v>
      </c>
      <c r="D673" s="0" t="n">
        <v>114001</v>
      </c>
      <c r="E673" s="0" t="s">
        <v>961</v>
      </c>
      <c r="F673" s="0" t="s">
        <v>18</v>
      </c>
      <c r="G673" s="0" t="s">
        <v>2260</v>
      </c>
      <c r="H673" s="0" t="s">
        <v>2261</v>
      </c>
      <c r="I673" s="0" t="s">
        <v>124</v>
      </c>
      <c r="J673" s="0" t="s">
        <v>125</v>
      </c>
      <c r="K673" s="0" t="s">
        <v>89</v>
      </c>
      <c r="L673" s="0" t="str">
        <f aca="false">IFERROR(VLOOKUP(K673,'Supplier list'!B:C,2,0),"")</f>
        <v>บริษัท เฮเฟเล่ (ประเทศไทย) จำกัด</v>
      </c>
      <c r="M673" s="1" t="s">
        <v>24</v>
      </c>
      <c r="O673" s="2" t="n">
        <v>68</v>
      </c>
    </row>
    <row r="674" customFormat="false" ht="16.4" hidden="false" customHeight="false" outlineLevel="0" collapsed="false">
      <c r="A674" s="0" t="s">
        <v>15</v>
      </c>
      <c r="B674" s="0" t="s">
        <v>2262</v>
      </c>
      <c r="C674" s="0" t="n">
        <v>114001</v>
      </c>
      <c r="D674" s="0" t="n">
        <v>114001</v>
      </c>
      <c r="E674" s="0" t="s">
        <v>1605</v>
      </c>
      <c r="F674" s="0" t="s">
        <v>18</v>
      </c>
      <c r="G674" s="0" t="s">
        <v>2263</v>
      </c>
      <c r="H674" s="0" t="s">
        <v>2264</v>
      </c>
      <c r="I674" s="0" t="s">
        <v>124</v>
      </c>
      <c r="J674" s="0" t="s">
        <v>125</v>
      </c>
      <c r="K674" s="0" t="s">
        <v>89</v>
      </c>
      <c r="L674" s="0" t="str">
        <f aca="false">IFERROR(VLOOKUP(K674,'Supplier list'!B:C,2,0),"")</f>
        <v>บริษัท เฮเฟเล่ (ประเทศไทย) จำกัด</v>
      </c>
      <c r="M674" s="1" t="s">
        <v>24</v>
      </c>
      <c r="O674" s="2" t="n">
        <v>3673</v>
      </c>
    </row>
    <row r="675" customFormat="false" ht="16.4" hidden="false" customHeight="false" outlineLevel="0" collapsed="false">
      <c r="A675" s="0" t="s">
        <v>15</v>
      </c>
      <c r="B675" s="0" t="s">
        <v>2265</v>
      </c>
      <c r="C675" s="0" t="n">
        <v>114001</v>
      </c>
      <c r="D675" s="0" t="n">
        <v>114001</v>
      </c>
      <c r="E675" s="0" t="s">
        <v>961</v>
      </c>
      <c r="F675" s="0" t="s">
        <v>18</v>
      </c>
      <c r="G675" s="0" t="s">
        <v>2266</v>
      </c>
      <c r="H675" s="0" t="s">
        <v>2267</v>
      </c>
      <c r="I675" s="0" t="s">
        <v>21</v>
      </c>
      <c r="J675" s="0" t="s">
        <v>22</v>
      </c>
      <c r="K675" s="0" t="s">
        <v>89</v>
      </c>
      <c r="L675" s="0" t="str">
        <f aca="false">IFERROR(VLOOKUP(K675,'Supplier list'!B:C,2,0),"")</f>
        <v>บริษัท เฮเฟเล่ (ประเทศไทย) จำกัด</v>
      </c>
      <c r="M675" s="1" t="s">
        <v>24</v>
      </c>
      <c r="O675" s="2" t="n">
        <v>50</v>
      </c>
    </row>
    <row r="676" customFormat="false" ht="16.4" hidden="false" customHeight="false" outlineLevel="0" collapsed="false">
      <c r="A676" s="0" t="s">
        <v>15</v>
      </c>
      <c r="B676" s="0" t="s">
        <v>2268</v>
      </c>
      <c r="C676" s="0" t="n">
        <v>114001</v>
      </c>
      <c r="D676" s="0" t="n">
        <v>114001</v>
      </c>
      <c r="E676" s="0" t="s">
        <v>1815</v>
      </c>
      <c r="F676" s="0" t="s">
        <v>18</v>
      </c>
      <c r="G676" s="0" t="s">
        <v>2269</v>
      </c>
      <c r="H676" s="0" t="s">
        <v>2270</v>
      </c>
      <c r="I676" s="0" t="s">
        <v>517</v>
      </c>
      <c r="J676" s="0" t="s">
        <v>518</v>
      </c>
      <c r="K676" s="0" t="s">
        <v>89</v>
      </c>
      <c r="L676" s="0" t="str">
        <f aca="false">IFERROR(VLOOKUP(K676,'Supplier list'!B:C,2,0),"")</f>
        <v>บริษัท เฮเฟเล่ (ประเทศไทย) จำกัด</v>
      </c>
      <c r="M676" s="1" t="s">
        <v>1740</v>
      </c>
      <c r="N676" s="2" t="n">
        <v>1600</v>
      </c>
      <c r="O676" s="2" t="n">
        <v>655</v>
      </c>
    </row>
    <row r="677" customFormat="false" ht="16.4" hidden="false" customHeight="false" outlineLevel="0" collapsed="false">
      <c r="A677" s="0" t="s">
        <v>15</v>
      </c>
      <c r="B677" s="0" t="s">
        <v>2271</v>
      </c>
      <c r="C677" s="0" t="n">
        <v>114001</v>
      </c>
      <c r="D677" s="0" t="n">
        <v>114001</v>
      </c>
      <c r="E677" s="0" t="s">
        <v>1815</v>
      </c>
      <c r="F677" s="0" t="s">
        <v>18</v>
      </c>
      <c r="G677" s="0" t="s">
        <v>2272</v>
      </c>
      <c r="H677" s="0" t="s">
        <v>2273</v>
      </c>
      <c r="I677" s="0" t="s">
        <v>21</v>
      </c>
      <c r="J677" s="0" t="s">
        <v>22</v>
      </c>
      <c r="K677" s="0" t="s">
        <v>89</v>
      </c>
      <c r="L677" s="0" t="str">
        <f aca="false">IFERROR(VLOOKUP(K677,'Supplier list'!B:C,2,0),"")</f>
        <v>บริษัท เฮเฟเล่ (ประเทศไทย) จำกัด</v>
      </c>
      <c r="M677" s="1" t="s">
        <v>1740</v>
      </c>
      <c r="N677" s="2" t="n">
        <v>1800</v>
      </c>
      <c r="O677" s="2" t="n">
        <v>683</v>
      </c>
    </row>
    <row r="678" customFormat="false" ht="16.4" hidden="false" customHeight="false" outlineLevel="0" collapsed="false">
      <c r="A678" s="0" t="s">
        <v>15</v>
      </c>
      <c r="B678" s="0" t="s">
        <v>2274</v>
      </c>
      <c r="C678" s="0" t="n">
        <v>114001</v>
      </c>
      <c r="D678" s="0" t="n">
        <v>114001</v>
      </c>
      <c r="E678" s="0" t="s">
        <v>1815</v>
      </c>
      <c r="F678" s="0" t="s">
        <v>18</v>
      </c>
      <c r="G678" s="0" t="s">
        <v>2275</v>
      </c>
      <c r="H678" s="0" t="s">
        <v>2276</v>
      </c>
      <c r="I678" s="0" t="s">
        <v>517</v>
      </c>
      <c r="J678" s="0" t="s">
        <v>518</v>
      </c>
      <c r="K678" s="0" t="s">
        <v>89</v>
      </c>
      <c r="L678" s="0" t="str">
        <f aca="false">IFERROR(VLOOKUP(K678,'Supplier list'!B:C,2,0),"")</f>
        <v>บริษัท เฮเฟเล่ (ประเทศไทย) จำกัด</v>
      </c>
      <c r="M678" s="1" t="s">
        <v>1740</v>
      </c>
      <c r="N678" s="2" t="n">
        <v>1400</v>
      </c>
      <c r="O678" s="2" t="n">
        <v>608</v>
      </c>
    </row>
    <row r="679" customFormat="false" ht="16.4" hidden="false" customHeight="false" outlineLevel="0" collapsed="false">
      <c r="A679" s="0" t="s">
        <v>15</v>
      </c>
      <c r="B679" s="0" t="s">
        <v>2277</v>
      </c>
      <c r="C679" s="0" t="n">
        <v>114001</v>
      </c>
      <c r="D679" s="0" t="n">
        <v>114001</v>
      </c>
      <c r="E679" s="0" t="s">
        <v>1815</v>
      </c>
      <c r="F679" s="0" t="s">
        <v>18</v>
      </c>
      <c r="G679" s="0" t="s">
        <v>2278</v>
      </c>
      <c r="H679" s="0" t="s">
        <v>2279</v>
      </c>
      <c r="I679" s="0" t="s">
        <v>124</v>
      </c>
      <c r="J679" s="0" t="s">
        <v>125</v>
      </c>
      <c r="K679" s="0" t="s">
        <v>89</v>
      </c>
      <c r="L679" s="0" t="str">
        <f aca="false">IFERROR(VLOOKUP(K679,'Supplier list'!B:C,2,0),"")</f>
        <v>บริษัท เฮเฟเล่ (ประเทศไทย) จำกัด</v>
      </c>
      <c r="M679" s="1" t="s">
        <v>24</v>
      </c>
      <c r="O679" s="2" t="n">
        <v>80</v>
      </c>
    </row>
    <row r="680" customFormat="false" ht="16.4" hidden="false" customHeight="false" outlineLevel="0" collapsed="false">
      <c r="A680" s="0" t="s">
        <v>15</v>
      </c>
      <c r="B680" s="0" t="s">
        <v>2280</v>
      </c>
      <c r="C680" s="0" t="n">
        <v>114001</v>
      </c>
      <c r="D680" s="0" t="n">
        <v>114001</v>
      </c>
      <c r="E680" s="0" t="s">
        <v>1815</v>
      </c>
      <c r="F680" s="0" t="s">
        <v>18</v>
      </c>
      <c r="G680" s="0" t="s">
        <v>2281</v>
      </c>
      <c r="H680" s="0" t="s">
        <v>2282</v>
      </c>
      <c r="I680" s="0" t="s">
        <v>124</v>
      </c>
      <c r="J680" s="0" t="s">
        <v>125</v>
      </c>
      <c r="K680" s="0" t="s">
        <v>89</v>
      </c>
      <c r="L680" s="0" t="str">
        <f aca="false">IFERROR(VLOOKUP(K680,'Supplier list'!B:C,2,0),"")</f>
        <v>บริษัท เฮเฟเล่ (ประเทศไทย) จำกัด</v>
      </c>
      <c r="M680" s="1" t="s">
        <v>24</v>
      </c>
      <c r="O680" s="2" t="n">
        <v>68</v>
      </c>
    </row>
    <row r="681" customFormat="false" ht="16.4" hidden="false" customHeight="false" outlineLevel="0" collapsed="false">
      <c r="A681" s="0" t="s">
        <v>15</v>
      </c>
      <c r="B681" s="0" t="s">
        <v>2283</v>
      </c>
      <c r="C681" s="0" t="n">
        <v>114001</v>
      </c>
      <c r="D681" s="0" t="n">
        <v>114001</v>
      </c>
      <c r="E681" s="0" t="s">
        <v>1815</v>
      </c>
      <c r="F681" s="0" t="s">
        <v>18</v>
      </c>
      <c r="G681" s="0" t="s">
        <v>2284</v>
      </c>
      <c r="H681" s="0" t="s">
        <v>2285</v>
      </c>
      <c r="I681" s="0" t="s">
        <v>124</v>
      </c>
      <c r="J681" s="0" t="s">
        <v>125</v>
      </c>
      <c r="K681" s="0" t="s">
        <v>89</v>
      </c>
      <c r="L681" s="0" t="str">
        <f aca="false">IFERROR(VLOOKUP(K681,'Supplier list'!B:C,2,0),"")</f>
        <v>บริษัท เฮเฟเล่ (ประเทศไทย) จำกัด</v>
      </c>
      <c r="M681" s="1" t="s">
        <v>24</v>
      </c>
      <c r="O681" s="2" t="n">
        <v>13</v>
      </c>
    </row>
    <row r="682" customFormat="false" ht="16.4" hidden="false" customHeight="false" outlineLevel="0" collapsed="false">
      <c r="A682" s="0" t="s">
        <v>15</v>
      </c>
      <c r="B682" s="0" t="s">
        <v>2286</v>
      </c>
      <c r="C682" s="0" t="n">
        <v>114001</v>
      </c>
      <c r="D682" s="0" t="n">
        <v>114001</v>
      </c>
      <c r="E682" s="0" t="s">
        <v>1891</v>
      </c>
      <c r="F682" s="0" t="s">
        <v>18</v>
      </c>
      <c r="G682" s="0" t="s">
        <v>2287</v>
      </c>
      <c r="H682" s="0" t="s">
        <v>2288</v>
      </c>
      <c r="I682" s="0" t="s">
        <v>21</v>
      </c>
      <c r="J682" s="0" t="s">
        <v>22</v>
      </c>
      <c r="K682" s="0" t="s">
        <v>89</v>
      </c>
      <c r="L682" s="0" t="str">
        <f aca="false">IFERROR(VLOOKUP(K682,'Supplier list'!B:C,2,0),"")</f>
        <v>บริษัท เฮเฟเล่ (ประเทศไทย) จำกัด</v>
      </c>
      <c r="M682" s="1" t="s">
        <v>24</v>
      </c>
      <c r="O682" s="2" t="n">
        <v>15</v>
      </c>
    </row>
    <row r="683" customFormat="false" ht="16.4" hidden="false" customHeight="false" outlineLevel="0" collapsed="false">
      <c r="A683" s="0" t="s">
        <v>15</v>
      </c>
      <c r="B683" s="0" t="s">
        <v>2289</v>
      </c>
      <c r="C683" s="0" t="n">
        <v>114001</v>
      </c>
      <c r="D683" s="0" t="n">
        <v>114001</v>
      </c>
      <c r="E683" s="0" t="s">
        <v>1605</v>
      </c>
      <c r="F683" s="0" t="s">
        <v>18</v>
      </c>
      <c r="G683" s="0" t="s">
        <v>2290</v>
      </c>
      <c r="H683" s="0" t="s">
        <v>2291</v>
      </c>
      <c r="I683" s="0" t="s">
        <v>168</v>
      </c>
      <c r="J683" s="0" t="s">
        <v>169</v>
      </c>
      <c r="K683" s="0" t="s">
        <v>89</v>
      </c>
      <c r="L683" s="0" t="str">
        <f aca="false">IFERROR(VLOOKUP(K683,'Supplier list'!B:C,2,0),"")</f>
        <v>บริษัท เฮเฟเล่ (ประเทศไทย) จำกัด</v>
      </c>
      <c r="M683" s="1" t="s">
        <v>24</v>
      </c>
      <c r="O683" s="2" t="n">
        <v>14</v>
      </c>
    </row>
    <row r="684" customFormat="false" ht="16.4" hidden="false" customHeight="false" outlineLevel="0" collapsed="false">
      <c r="A684" s="0" t="s">
        <v>15</v>
      </c>
      <c r="B684" s="0" t="s">
        <v>2292</v>
      </c>
      <c r="C684" s="0" t="n">
        <v>114001</v>
      </c>
      <c r="D684" s="0" t="n">
        <v>114001</v>
      </c>
      <c r="E684" s="0" t="s">
        <v>1605</v>
      </c>
      <c r="F684" s="0" t="s">
        <v>18</v>
      </c>
      <c r="G684" s="0" t="s">
        <v>2293</v>
      </c>
      <c r="H684" s="0" t="s">
        <v>2294</v>
      </c>
      <c r="I684" s="0" t="s">
        <v>168</v>
      </c>
      <c r="J684" s="0" t="s">
        <v>169</v>
      </c>
      <c r="K684" s="0" t="s">
        <v>787</v>
      </c>
      <c r="L684" s="0" t="str">
        <f aca="false">IFERROR(VLOOKUP(K684,'Supplier list'!B:C,2,0),"")</f>
        <v>บริษัท ฟิวเจอร์เทค อินเตอร์มาร์เก็ตติ้ง จำกัด</v>
      </c>
      <c r="M684" s="1" t="s">
        <v>24</v>
      </c>
      <c r="O684" s="2" t="n">
        <v>0</v>
      </c>
    </row>
    <row r="685" customFormat="false" ht="16.4" hidden="false" customHeight="false" outlineLevel="0" collapsed="false">
      <c r="A685" s="0" t="s">
        <v>15</v>
      </c>
      <c r="B685" s="0" t="s">
        <v>2295</v>
      </c>
      <c r="C685" s="0" t="n">
        <v>114001</v>
      </c>
      <c r="D685" s="0" t="n">
        <v>114001</v>
      </c>
      <c r="E685" s="0" t="s">
        <v>1605</v>
      </c>
      <c r="F685" s="0" t="s">
        <v>18</v>
      </c>
      <c r="G685" s="0" t="s">
        <v>2296</v>
      </c>
      <c r="H685" s="0" t="s">
        <v>2297</v>
      </c>
      <c r="I685" s="0" t="s">
        <v>21</v>
      </c>
      <c r="J685" s="0" t="s">
        <v>22</v>
      </c>
      <c r="K685" s="0" t="s">
        <v>2298</v>
      </c>
      <c r="L685" s="0" t="str">
        <f aca="false">IFERROR(VLOOKUP(K685,'Supplier list'!B:C,2,0),"")</f>
        <v>Best Solid Surfaces Corp.</v>
      </c>
      <c r="M685" s="1" t="s">
        <v>24</v>
      </c>
      <c r="O685" s="2" t="n">
        <v>7</v>
      </c>
    </row>
    <row r="686" customFormat="false" ht="16.4" hidden="false" customHeight="false" outlineLevel="0" collapsed="false">
      <c r="A686" s="0" t="s">
        <v>15</v>
      </c>
      <c r="B686" s="0" t="s">
        <v>2299</v>
      </c>
      <c r="C686" s="0" t="n">
        <v>114001</v>
      </c>
      <c r="D686" s="0" t="n">
        <v>114001</v>
      </c>
      <c r="E686" s="0" t="s">
        <v>1605</v>
      </c>
      <c r="F686" s="0" t="s">
        <v>18</v>
      </c>
      <c r="G686" s="0" t="s">
        <v>2300</v>
      </c>
      <c r="H686" s="0" t="s">
        <v>2301</v>
      </c>
      <c r="I686" s="0" t="s">
        <v>21</v>
      </c>
      <c r="J686" s="0" t="s">
        <v>22</v>
      </c>
      <c r="K686" s="0" t="s">
        <v>787</v>
      </c>
      <c r="L686" s="0" t="str">
        <f aca="false">IFERROR(VLOOKUP(K686,'Supplier list'!B:C,2,0),"")</f>
        <v>บริษัท ฟิวเจอร์เทค อินเตอร์มาร์เก็ตติ้ง จำกัด</v>
      </c>
      <c r="M686" s="1" t="s">
        <v>24</v>
      </c>
      <c r="O686" s="2" t="n">
        <v>1</v>
      </c>
    </row>
    <row r="687" customFormat="false" ht="16.4" hidden="false" customHeight="false" outlineLevel="0" collapsed="false">
      <c r="A687" s="0" t="s">
        <v>15</v>
      </c>
      <c r="B687" s="0" t="s">
        <v>2302</v>
      </c>
      <c r="C687" s="0" t="n">
        <v>114001</v>
      </c>
      <c r="D687" s="0" t="n">
        <v>114001</v>
      </c>
      <c r="E687" s="0" t="s">
        <v>1605</v>
      </c>
      <c r="F687" s="0" t="s">
        <v>18</v>
      </c>
      <c r="G687" s="0" t="s">
        <v>2303</v>
      </c>
      <c r="H687" s="0" t="s">
        <v>2304</v>
      </c>
      <c r="I687" s="0" t="s">
        <v>102</v>
      </c>
      <c r="J687" s="0" t="s">
        <v>103</v>
      </c>
      <c r="K687" s="0" t="s">
        <v>89</v>
      </c>
      <c r="L687" s="0" t="str">
        <f aca="false">IFERROR(VLOOKUP(K687,'Supplier list'!B:C,2,0),"")</f>
        <v>บริษัท เฮเฟเล่ (ประเทศไทย) จำกัด</v>
      </c>
      <c r="M687" s="1" t="s">
        <v>24</v>
      </c>
      <c r="O687" s="2" t="n">
        <v>32552</v>
      </c>
    </row>
    <row r="688" customFormat="false" ht="16.4" hidden="false" customHeight="false" outlineLevel="0" collapsed="false">
      <c r="A688" s="0" t="s">
        <v>15</v>
      </c>
      <c r="B688" s="0" t="s">
        <v>2305</v>
      </c>
      <c r="C688" s="0" t="n">
        <v>114001</v>
      </c>
      <c r="D688" s="0" t="n">
        <v>114001</v>
      </c>
      <c r="E688" s="0" t="s">
        <v>1454</v>
      </c>
      <c r="F688" s="0" t="s">
        <v>18</v>
      </c>
      <c r="G688" s="0" t="s">
        <v>2306</v>
      </c>
      <c r="H688" s="0" t="s">
        <v>2307</v>
      </c>
      <c r="I688" s="0" t="s">
        <v>21</v>
      </c>
      <c r="J688" s="0" t="s">
        <v>22</v>
      </c>
      <c r="K688" s="0" t="s">
        <v>787</v>
      </c>
      <c r="L688" s="0" t="str">
        <f aca="false">IFERROR(VLOOKUP(K688,'Supplier list'!B:C,2,0),"")</f>
        <v>บริษัท ฟิวเจอร์เทค อินเตอร์มาร์เก็ตติ้ง จำกัด</v>
      </c>
      <c r="M688" s="1" t="s">
        <v>24</v>
      </c>
      <c r="O688" s="2" t="n">
        <v>60</v>
      </c>
    </row>
    <row r="689" customFormat="false" ht="16.4" hidden="false" customHeight="false" outlineLevel="0" collapsed="false">
      <c r="A689" s="0" t="s">
        <v>15</v>
      </c>
      <c r="B689" s="0" t="s">
        <v>2308</v>
      </c>
      <c r="C689" s="0" t="n">
        <v>114001</v>
      </c>
      <c r="D689" s="0" t="n">
        <v>114001</v>
      </c>
      <c r="E689" s="0" t="s">
        <v>1815</v>
      </c>
      <c r="F689" s="0" t="s">
        <v>18</v>
      </c>
      <c r="G689" s="0" t="s">
        <v>2309</v>
      </c>
      <c r="H689" s="0" t="s">
        <v>2310</v>
      </c>
      <c r="I689" s="0" t="s">
        <v>124</v>
      </c>
      <c r="J689" s="0" t="s">
        <v>125</v>
      </c>
      <c r="K689" s="0" t="s">
        <v>1725</v>
      </c>
      <c r="L689" s="0" t="str">
        <f aca="false">IFERROR(VLOOKUP(K689,'Supplier list'!B:C,2,0),"")</f>
        <v>บริษัท พรีซิชั่นไลน์ จำกัด</v>
      </c>
      <c r="M689" s="1" t="s">
        <v>24</v>
      </c>
      <c r="O689" s="2" t="n">
        <v>205</v>
      </c>
    </row>
    <row r="690" customFormat="false" ht="16.4" hidden="false" customHeight="false" outlineLevel="0" collapsed="false">
      <c r="A690" s="0" t="s">
        <v>15</v>
      </c>
      <c r="B690" s="0" t="s">
        <v>2311</v>
      </c>
      <c r="C690" s="0" t="n">
        <v>114001</v>
      </c>
      <c r="D690" s="0" t="n">
        <v>114001</v>
      </c>
      <c r="E690" s="0" t="s">
        <v>1605</v>
      </c>
      <c r="F690" s="0" t="s">
        <v>18</v>
      </c>
      <c r="G690" s="0" t="s">
        <v>2312</v>
      </c>
      <c r="H690" s="0" t="s">
        <v>2313</v>
      </c>
      <c r="I690" s="0" t="s">
        <v>21</v>
      </c>
      <c r="J690" s="0" t="s">
        <v>22</v>
      </c>
      <c r="K690" s="0" t="s">
        <v>1753</v>
      </c>
      <c r="L690" s="0" t="str">
        <f aca="false">IFERROR(VLOOKUP(K690,'Supplier list'!B:C,2,0),"")</f>
        <v>บริษัท ไอ.โอ.ดีไซน์ แอนด์ โฮม จำกัด</v>
      </c>
      <c r="M690" s="1" t="s">
        <v>24</v>
      </c>
      <c r="O690" s="2" t="n">
        <v>2.5</v>
      </c>
    </row>
    <row r="691" customFormat="false" ht="16.4" hidden="false" customHeight="false" outlineLevel="0" collapsed="false">
      <c r="A691" s="0" t="s">
        <v>15</v>
      </c>
      <c r="B691" s="0" t="s">
        <v>2314</v>
      </c>
      <c r="C691" s="0" t="n">
        <v>114001</v>
      </c>
      <c r="D691" s="0" t="n">
        <v>114001</v>
      </c>
      <c r="E691" s="0" t="s">
        <v>121</v>
      </c>
      <c r="F691" s="0" t="s">
        <v>18</v>
      </c>
      <c r="G691" s="0" t="s">
        <v>2315</v>
      </c>
      <c r="H691" s="0" t="s">
        <v>2316</v>
      </c>
      <c r="I691" s="0" t="s">
        <v>142</v>
      </c>
      <c r="J691" s="0" t="s">
        <v>143</v>
      </c>
      <c r="L691" s="0" t="str">
        <f aca="false">IFERROR(VLOOKUP(K691,'Supplier list'!B:C,2,0),"")</f>
        <v/>
      </c>
      <c r="M691" s="1" t="s">
        <v>24</v>
      </c>
      <c r="O691" s="2" t="n">
        <v>20</v>
      </c>
    </row>
    <row r="692" customFormat="false" ht="16.4" hidden="false" customHeight="false" outlineLevel="0" collapsed="false">
      <c r="A692" s="0" t="s">
        <v>15</v>
      </c>
      <c r="B692" s="0" t="s">
        <v>2317</v>
      </c>
      <c r="C692" s="0" t="n">
        <v>114001</v>
      </c>
      <c r="D692" s="0" t="n">
        <v>114001</v>
      </c>
      <c r="E692" s="0" t="s">
        <v>121</v>
      </c>
      <c r="F692" s="0" t="s">
        <v>18</v>
      </c>
      <c r="G692" s="0" t="s">
        <v>2318</v>
      </c>
      <c r="H692" s="0" t="s">
        <v>2319</v>
      </c>
      <c r="I692" s="0" t="s">
        <v>142</v>
      </c>
      <c r="J692" s="0" t="s">
        <v>143</v>
      </c>
      <c r="K692" s="0" t="s">
        <v>82</v>
      </c>
      <c r="L692" s="0" t="str">
        <f aca="false">IFERROR(VLOOKUP(K692,'Supplier list'!B:C,2,0),"")</f>
        <v>บริษัท เกรียงศิริพัฒนา (1995) จำกัด</v>
      </c>
      <c r="M692" s="1" t="s">
        <v>24</v>
      </c>
      <c r="O692" s="2" t="n">
        <v>227</v>
      </c>
    </row>
    <row r="693" customFormat="false" ht="16.4" hidden="false" customHeight="false" outlineLevel="0" collapsed="false">
      <c r="A693" s="0" t="s">
        <v>15</v>
      </c>
      <c r="B693" s="0" t="s">
        <v>2320</v>
      </c>
      <c r="C693" s="0" t="n">
        <v>114001</v>
      </c>
      <c r="D693" s="0" t="n">
        <v>114001</v>
      </c>
      <c r="E693" s="0" t="s">
        <v>1653</v>
      </c>
      <c r="F693" s="0" t="s">
        <v>18</v>
      </c>
      <c r="G693" s="0" t="s">
        <v>2321</v>
      </c>
      <c r="H693" s="0" t="s">
        <v>2322</v>
      </c>
      <c r="I693" s="0" t="s">
        <v>124</v>
      </c>
      <c r="J693" s="0" t="s">
        <v>125</v>
      </c>
      <c r="K693" s="0" t="s">
        <v>1725</v>
      </c>
      <c r="L693" s="0" t="str">
        <f aca="false">IFERROR(VLOOKUP(K693,'Supplier list'!B:C,2,0),"")</f>
        <v>บริษัท พรีซิชั่นไลน์ จำกัด</v>
      </c>
      <c r="M693" s="1" t="s">
        <v>24</v>
      </c>
      <c r="O693" s="2" t="n">
        <v>0</v>
      </c>
    </row>
    <row r="694" customFormat="false" ht="16.4" hidden="false" customHeight="false" outlineLevel="0" collapsed="false">
      <c r="A694" s="0" t="s">
        <v>15</v>
      </c>
      <c r="B694" s="0" t="s">
        <v>2323</v>
      </c>
      <c r="C694" s="0" t="n">
        <v>114001</v>
      </c>
      <c r="D694" s="0" t="n">
        <v>114001</v>
      </c>
      <c r="E694" s="0" t="s">
        <v>1727</v>
      </c>
      <c r="F694" s="0" t="s">
        <v>18</v>
      </c>
      <c r="G694" s="0" t="s">
        <v>2324</v>
      </c>
      <c r="H694" s="0" t="s">
        <v>2325</v>
      </c>
      <c r="I694" s="0" t="s">
        <v>124</v>
      </c>
      <c r="J694" s="0" t="s">
        <v>125</v>
      </c>
      <c r="K694" s="0" t="s">
        <v>1725</v>
      </c>
      <c r="L694" s="0" t="str">
        <f aca="false">IFERROR(VLOOKUP(K694,'Supplier list'!B:C,2,0),"")</f>
        <v>บริษัท พรีซิชั่นไลน์ จำกัด</v>
      </c>
      <c r="M694" s="1" t="s">
        <v>24</v>
      </c>
      <c r="O694" s="2" t="n">
        <v>0</v>
      </c>
    </row>
    <row r="695" customFormat="false" ht="16.4" hidden="false" customHeight="false" outlineLevel="0" collapsed="false">
      <c r="A695" s="0" t="s">
        <v>15</v>
      </c>
      <c r="B695" s="0" t="s">
        <v>2326</v>
      </c>
      <c r="C695" s="0" t="n">
        <v>114001</v>
      </c>
      <c r="D695" s="0" t="n">
        <v>114001</v>
      </c>
      <c r="E695" s="0" t="s">
        <v>1605</v>
      </c>
      <c r="F695" s="0" t="s">
        <v>18</v>
      </c>
      <c r="G695" s="0" t="s">
        <v>2327</v>
      </c>
      <c r="H695" s="0" t="s">
        <v>2328</v>
      </c>
      <c r="I695" s="0" t="s">
        <v>168</v>
      </c>
      <c r="J695" s="0" t="s">
        <v>169</v>
      </c>
      <c r="K695" s="0" t="s">
        <v>1725</v>
      </c>
      <c r="L695" s="0" t="str">
        <f aca="false">IFERROR(VLOOKUP(K695,'Supplier list'!B:C,2,0),"")</f>
        <v>บริษัท พรีซิชั่นไลน์ จำกัด</v>
      </c>
      <c r="M695" s="1" t="s">
        <v>24</v>
      </c>
      <c r="O695" s="2" t="n">
        <v>550</v>
      </c>
    </row>
    <row r="696" customFormat="false" ht="16.4" hidden="false" customHeight="false" outlineLevel="0" collapsed="false">
      <c r="A696" s="0" t="s">
        <v>15</v>
      </c>
      <c r="B696" s="0" t="s">
        <v>2329</v>
      </c>
      <c r="C696" s="0" t="n">
        <v>114001</v>
      </c>
      <c r="D696" s="0" t="n">
        <v>114001</v>
      </c>
      <c r="E696" s="0" t="s">
        <v>961</v>
      </c>
      <c r="F696" s="0" t="s">
        <v>18</v>
      </c>
      <c r="G696" s="0" t="s">
        <v>2330</v>
      </c>
      <c r="H696" s="0" t="s">
        <v>2331</v>
      </c>
      <c r="I696" s="0" t="s">
        <v>124</v>
      </c>
      <c r="J696" s="0" t="s">
        <v>125</v>
      </c>
      <c r="K696" s="0" t="s">
        <v>89</v>
      </c>
      <c r="L696" s="0" t="str">
        <f aca="false">IFERROR(VLOOKUP(K696,'Supplier list'!B:C,2,0),"")</f>
        <v>บริษัท เฮเฟเล่ (ประเทศไทย) จำกัด</v>
      </c>
      <c r="M696" s="1" t="s">
        <v>24</v>
      </c>
      <c r="O696" s="2" t="n">
        <v>150</v>
      </c>
    </row>
    <row r="697" customFormat="false" ht="16.4" hidden="false" customHeight="false" outlineLevel="0" collapsed="false">
      <c r="A697" s="0" t="s">
        <v>15</v>
      </c>
      <c r="B697" s="0" t="s">
        <v>2332</v>
      </c>
      <c r="C697" s="0" t="n">
        <v>114001</v>
      </c>
      <c r="D697" s="0" t="n">
        <v>114001</v>
      </c>
      <c r="E697" s="0" t="s">
        <v>961</v>
      </c>
      <c r="F697" s="0" t="s">
        <v>18</v>
      </c>
      <c r="G697" s="0" t="s">
        <v>2333</v>
      </c>
      <c r="H697" s="0" t="s">
        <v>2334</v>
      </c>
      <c r="I697" s="0" t="s">
        <v>124</v>
      </c>
      <c r="J697" s="0" t="s">
        <v>125</v>
      </c>
      <c r="K697" s="0" t="s">
        <v>89</v>
      </c>
      <c r="L697" s="0" t="str">
        <f aca="false">IFERROR(VLOOKUP(K697,'Supplier list'!B:C,2,0),"")</f>
        <v>บริษัท เฮเฟเล่ (ประเทศไทย) จำกัด</v>
      </c>
      <c r="M697" s="1" t="s">
        <v>24</v>
      </c>
      <c r="O697" s="2" t="n">
        <v>150</v>
      </c>
    </row>
    <row r="698" customFormat="false" ht="16.4" hidden="false" customHeight="false" outlineLevel="0" collapsed="false">
      <c r="A698" s="0" t="s">
        <v>15</v>
      </c>
      <c r="B698" s="0" t="s">
        <v>2335</v>
      </c>
      <c r="C698" s="0" t="n">
        <v>114001</v>
      </c>
      <c r="D698" s="0" t="n">
        <v>114001</v>
      </c>
      <c r="E698" s="0" t="s">
        <v>1605</v>
      </c>
      <c r="F698" s="0" t="s">
        <v>18</v>
      </c>
      <c r="G698" s="0" t="s">
        <v>2336</v>
      </c>
      <c r="H698" s="0" t="s">
        <v>2337</v>
      </c>
      <c r="I698" s="0" t="s">
        <v>168</v>
      </c>
      <c r="J698" s="0" t="s">
        <v>169</v>
      </c>
      <c r="L698" s="0" t="str">
        <f aca="false">IFERROR(VLOOKUP(K698,'Supplier list'!B:C,2,0),"")</f>
        <v/>
      </c>
      <c r="M698" s="1" t="s">
        <v>24</v>
      </c>
      <c r="O698" s="2" t="n">
        <v>0</v>
      </c>
    </row>
    <row r="699" customFormat="false" ht="16.4" hidden="false" customHeight="false" outlineLevel="0" collapsed="false">
      <c r="A699" s="0" t="s">
        <v>15</v>
      </c>
      <c r="B699" s="0" t="s">
        <v>2338</v>
      </c>
      <c r="C699" s="0" t="n">
        <v>114001</v>
      </c>
      <c r="D699" s="0" t="n">
        <v>114001</v>
      </c>
      <c r="E699" s="0" t="s">
        <v>1605</v>
      </c>
      <c r="F699" s="0" t="s">
        <v>18</v>
      </c>
      <c r="G699" s="0" t="s">
        <v>2339</v>
      </c>
      <c r="H699" s="0" t="s">
        <v>2340</v>
      </c>
      <c r="I699" s="0" t="s">
        <v>168</v>
      </c>
      <c r="J699" s="0" t="s">
        <v>169</v>
      </c>
      <c r="L699" s="0" t="str">
        <f aca="false">IFERROR(VLOOKUP(K699,'Supplier list'!B:C,2,0),"")</f>
        <v/>
      </c>
      <c r="M699" s="1" t="s">
        <v>24</v>
      </c>
      <c r="O699" s="2" t="n">
        <v>0</v>
      </c>
    </row>
    <row r="700" customFormat="false" ht="16.4" hidden="false" customHeight="false" outlineLevel="0" collapsed="false">
      <c r="A700" s="0" t="s">
        <v>15</v>
      </c>
      <c r="B700" s="0" t="s">
        <v>2341</v>
      </c>
      <c r="C700" s="0" t="n">
        <v>114001</v>
      </c>
      <c r="D700" s="0" t="n">
        <v>114001</v>
      </c>
      <c r="E700" s="0" t="s">
        <v>1605</v>
      </c>
      <c r="F700" s="0" t="s">
        <v>18</v>
      </c>
      <c r="G700" s="0" t="s">
        <v>2342</v>
      </c>
      <c r="H700" s="0" t="s">
        <v>2343</v>
      </c>
      <c r="I700" s="0" t="s">
        <v>168</v>
      </c>
      <c r="J700" s="0" t="s">
        <v>169</v>
      </c>
      <c r="L700" s="0" t="str">
        <f aca="false">IFERROR(VLOOKUP(K700,'Supplier list'!B:C,2,0),"")</f>
        <v/>
      </c>
      <c r="M700" s="1" t="s">
        <v>24</v>
      </c>
      <c r="O700" s="2" t="n">
        <v>0</v>
      </c>
    </row>
    <row r="701" customFormat="false" ht="16.4" hidden="false" customHeight="false" outlineLevel="0" collapsed="false">
      <c r="A701" s="0" t="s">
        <v>15</v>
      </c>
      <c r="B701" s="0" t="s">
        <v>2344</v>
      </c>
      <c r="C701" s="0" t="n">
        <v>114001</v>
      </c>
      <c r="D701" s="0" t="n">
        <v>114001</v>
      </c>
      <c r="E701" s="0" t="s">
        <v>1605</v>
      </c>
      <c r="F701" s="0" t="s">
        <v>18</v>
      </c>
      <c r="G701" s="0" t="s">
        <v>2345</v>
      </c>
      <c r="H701" s="0" t="s">
        <v>2346</v>
      </c>
      <c r="I701" s="0" t="s">
        <v>124</v>
      </c>
      <c r="J701" s="0" t="s">
        <v>125</v>
      </c>
      <c r="L701" s="0" t="str">
        <f aca="false">IFERROR(VLOOKUP(K701,'Supplier list'!B:C,2,0),"")</f>
        <v/>
      </c>
      <c r="M701" s="1" t="s">
        <v>24</v>
      </c>
      <c r="O701" s="2" t="n">
        <v>0</v>
      </c>
    </row>
    <row r="702" customFormat="false" ht="16.4" hidden="false" customHeight="false" outlineLevel="0" collapsed="false">
      <c r="A702" s="0" t="s">
        <v>15</v>
      </c>
      <c r="B702" s="0" t="s">
        <v>2347</v>
      </c>
      <c r="C702" s="0" t="n">
        <v>114001</v>
      </c>
      <c r="D702" s="0" t="n">
        <v>114001</v>
      </c>
      <c r="E702" s="0" t="s">
        <v>1970</v>
      </c>
      <c r="F702" s="0" t="s">
        <v>18</v>
      </c>
      <c r="G702" s="0" t="s">
        <v>2348</v>
      </c>
      <c r="H702" s="0" t="s">
        <v>2349</v>
      </c>
      <c r="I702" s="0" t="s">
        <v>168</v>
      </c>
      <c r="J702" s="0" t="s">
        <v>169</v>
      </c>
      <c r="L702" s="0" t="str">
        <f aca="false">IFERROR(VLOOKUP(K702,'Supplier list'!B:C,2,0),"")</f>
        <v/>
      </c>
      <c r="M702" s="1" t="s">
        <v>24</v>
      </c>
      <c r="O702" s="2" t="n">
        <v>0</v>
      </c>
    </row>
    <row r="703" customFormat="false" ht="16.4" hidden="false" customHeight="false" outlineLevel="0" collapsed="false">
      <c r="A703" s="0" t="s">
        <v>15</v>
      </c>
      <c r="B703" s="0" t="s">
        <v>2350</v>
      </c>
      <c r="C703" s="0" t="n">
        <v>114001</v>
      </c>
      <c r="D703" s="0" t="n">
        <v>114001</v>
      </c>
      <c r="E703" s="0" t="s">
        <v>1605</v>
      </c>
      <c r="F703" s="0" t="s">
        <v>18</v>
      </c>
      <c r="G703" s="0" t="s">
        <v>2351</v>
      </c>
      <c r="H703" s="0" t="s">
        <v>2352</v>
      </c>
      <c r="I703" s="0" t="s">
        <v>168</v>
      </c>
      <c r="J703" s="0" t="s">
        <v>169</v>
      </c>
      <c r="L703" s="0" t="str">
        <f aca="false">IFERROR(VLOOKUP(K703,'Supplier list'!B:C,2,0),"")</f>
        <v/>
      </c>
      <c r="M703" s="1" t="s">
        <v>24</v>
      </c>
      <c r="O703" s="2" t="n">
        <v>0</v>
      </c>
    </row>
    <row r="704" customFormat="false" ht="16.4" hidden="false" customHeight="false" outlineLevel="0" collapsed="false">
      <c r="A704" s="0" t="s">
        <v>15</v>
      </c>
      <c r="B704" s="0" t="s">
        <v>2353</v>
      </c>
      <c r="C704" s="0" t="n">
        <v>114001</v>
      </c>
      <c r="D704" s="0" t="n">
        <v>114001</v>
      </c>
      <c r="E704" s="0" t="s">
        <v>1605</v>
      </c>
      <c r="F704" s="0" t="s">
        <v>18</v>
      </c>
      <c r="G704" s="0" t="s">
        <v>2354</v>
      </c>
      <c r="H704" s="0" t="s">
        <v>2355</v>
      </c>
      <c r="I704" s="0" t="s">
        <v>21</v>
      </c>
      <c r="J704" s="0" t="s">
        <v>22</v>
      </c>
      <c r="L704" s="0" t="str">
        <f aca="false">IFERROR(VLOOKUP(K704,'Supplier list'!B:C,2,0),"")</f>
        <v/>
      </c>
      <c r="M704" s="1" t="s">
        <v>24</v>
      </c>
      <c r="O704" s="2" t="n">
        <v>0</v>
      </c>
    </row>
    <row r="705" customFormat="false" ht="16.4" hidden="false" customHeight="false" outlineLevel="0" collapsed="false">
      <c r="A705" s="0" t="s">
        <v>15</v>
      </c>
      <c r="B705" s="0" t="s">
        <v>2356</v>
      </c>
      <c r="C705" s="0" t="n">
        <v>114001</v>
      </c>
      <c r="D705" s="0" t="n">
        <v>114001</v>
      </c>
      <c r="E705" s="0" t="s">
        <v>1605</v>
      </c>
      <c r="F705" s="0" t="s">
        <v>18</v>
      </c>
      <c r="G705" s="0" t="s">
        <v>2357</v>
      </c>
      <c r="H705" s="0" t="s">
        <v>2358</v>
      </c>
      <c r="I705" s="0" t="s">
        <v>21</v>
      </c>
      <c r="J705" s="0" t="s">
        <v>22</v>
      </c>
      <c r="L705" s="0" t="str">
        <f aca="false">IFERROR(VLOOKUP(K705,'Supplier list'!B:C,2,0),"")</f>
        <v/>
      </c>
      <c r="M705" s="1" t="s">
        <v>24</v>
      </c>
      <c r="O705" s="2" t="n">
        <v>0</v>
      </c>
    </row>
    <row r="706" customFormat="false" ht="16.4" hidden="false" customHeight="false" outlineLevel="0" collapsed="false">
      <c r="A706" s="0" t="s">
        <v>15</v>
      </c>
      <c r="B706" s="0" t="s">
        <v>2359</v>
      </c>
      <c r="C706" s="0" t="n">
        <v>114001</v>
      </c>
      <c r="D706" s="0" t="n">
        <v>114001</v>
      </c>
      <c r="E706" s="0" t="s">
        <v>1601</v>
      </c>
      <c r="F706" s="0" t="s">
        <v>18</v>
      </c>
      <c r="G706" s="0" t="s">
        <v>2360</v>
      </c>
      <c r="H706" s="0" t="s">
        <v>2361</v>
      </c>
      <c r="I706" s="0" t="s">
        <v>168</v>
      </c>
      <c r="J706" s="0" t="s">
        <v>169</v>
      </c>
      <c r="L706" s="0" t="str">
        <f aca="false">IFERROR(VLOOKUP(K706,'Supplier list'!B:C,2,0),"")</f>
        <v/>
      </c>
      <c r="M706" s="1" t="s">
        <v>24</v>
      </c>
      <c r="O706" s="2" t="n">
        <v>0</v>
      </c>
    </row>
    <row r="707" customFormat="false" ht="16.4" hidden="false" customHeight="false" outlineLevel="0" collapsed="false">
      <c r="A707" s="0" t="s">
        <v>15</v>
      </c>
      <c r="B707" s="0" t="s">
        <v>2362</v>
      </c>
      <c r="C707" s="0" t="n">
        <v>114001</v>
      </c>
      <c r="D707" s="0" t="n">
        <v>114001</v>
      </c>
      <c r="E707" s="0" t="s">
        <v>2363</v>
      </c>
      <c r="F707" s="0" t="s">
        <v>18</v>
      </c>
      <c r="G707" s="0" t="s">
        <v>2364</v>
      </c>
      <c r="H707" s="0" t="s">
        <v>2365</v>
      </c>
      <c r="I707" s="0" t="s">
        <v>21</v>
      </c>
      <c r="J707" s="0" t="s">
        <v>22</v>
      </c>
      <c r="L707" s="0" t="str">
        <f aca="false">IFERROR(VLOOKUP(K707,'Supplier list'!B:C,2,0),"")</f>
        <v/>
      </c>
      <c r="M707" s="1" t="s">
        <v>24</v>
      </c>
      <c r="O707" s="2" t="n">
        <v>0</v>
      </c>
    </row>
    <row r="708" customFormat="false" ht="16.4" hidden="false" customHeight="false" outlineLevel="0" collapsed="false">
      <c r="A708" s="0" t="s">
        <v>15</v>
      </c>
      <c r="B708" s="0" t="s">
        <v>2366</v>
      </c>
      <c r="C708" s="0" t="n">
        <v>114001</v>
      </c>
      <c r="D708" s="0" t="n">
        <v>114001</v>
      </c>
      <c r="E708" s="0" t="s">
        <v>2367</v>
      </c>
      <c r="F708" s="0" t="s">
        <v>18</v>
      </c>
      <c r="G708" s="0" t="s">
        <v>2368</v>
      </c>
      <c r="H708" s="0" t="s">
        <v>2369</v>
      </c>
      <c r="I708" s="0" t="s">
        <v>168</v>
      </c>
      <c r="J708" s="0" t="s">
        <v>169</v>
      </c>
      <c r="L708" s="0" t="str">
        <f aca="false">IFERROR(VLOOKUP(K708,'Supplier list'!B:C,2,0),"")</f>
        <v/>
      </c>
      <c r="M708" s="1" t="s">
        <v>24</v>
      </c>
      <c r="O708" s="2" t="n">
        <v>0</v>
      </c>
    </row>
    <row r="709" customFormat="false" ht="16.4" hidden="false" customHeight="false" outlineLevel="0" collapsed="false">
      <c r="A709" s="0" t="s">
        <v>15</v>
      </c>
      <c r="B709" s="0" t="s">
        <v>2370</v>
      </c>
      <c r="C709" s="0" t="n">
        <v>114001</v>
      </c>
      <c r="D709" s="0" t="n">
        <v>114001</v>
      </c>
      <c r="E709" s="0" t="s">
        <v>2185</v>
      </c>
      <c r="F709" s="0" t="s">
        <v>18</v>
      </c>
      <c r="G709" s="0" t="s">
        <v>2371</v>
      </c>
      <c r="H709" s="0" t="s">
        <v>2372</v>
      </c>
      <c r="I709" s="0" t="s">
        <v>168</v>
      </c>
      <c r="J709" s="0" t="s">
        <v>169</v>
      </c>
      <c r="L709" s="0" t="str">
        <f aca="false">IFERROR(VLOOKUP(K709,'Supplier list'!B:C,2,0),"")</f>
        <v/>
      </c>
      <c r="M709" s="1" t="s">
        <v>24</v>
      </c>
      <c r="O709" s="2" t="n">
        <v>0</v>
      </c>
    </row>
    <row r="710" customFormat="false" ht="16.4" hidden="false" customHeight="false" outlineLevel="0" collapsed="false">
      <c r="A710" s="0" t="s">
        <v>15</v>
      </c>
      <c r="B710" s="0" t="s">
        <v>2373</v>
      </c>
      <c r="C710" s="0" t="n">
        <v>114001</v>
      </c>
      <c r="D710" s="0" t="n">
        <v>114001</v>
      </c>
      <c r="E710" s="0" t="s">
        <v>2185</v>
      </c>
      <c r="F710" s="0" t="s">
        <v>18</v>
      </c>
      <c r="G710" s="0" t="s">
        <v>2374</v>
      </c>
      <c r="H710" s="0" t="s">
        <v>2375</v>
      </c>
      <c r="I710" s="0" t="s">
        <v>21</v>
      </c>
      <c r="J710" s="0" t="s">
        <v>22</v>
      </c>
      <c r="L710" s="0" t="str">
        <f aca="false">IFERROR(VLOOKUP(K710,'Supplier list'!B:C,2,0),"")</f>
        <v/>
      </c>
      <c r="M710" s="1" t="s">
        <v>24</v>
      </c>
      <c r="O710" s="2" t="n">
        <v>0</v>
      </c>
    </row>
    <row r="711" customFormat="false" ht="16.4" hidden="false" customHeight="false" outlineLevel="0" collapsed="false">
      <c r="A711" s="0" t="s">
        <v>15</v>
      </c>
      <c r="B711" s="0" t="s">
        <v>2376</v>
      </c>
      <c r="C711" s="0" t="n">
        <v>114001</v>
      </c>
      <c r="D711" s="0" t="n">
        <v>114001</v>
      </c>
      <c r="E711" s="0" t="s">
        <v>2185</v>
      </c>
      <c r="F711" s="0" t="s">
        <v>18</v>
      </c>
      <c r="G711" s="0" t="s">
        <v>2377</v>
      </c>
      <c r="H711" s="0" t="s">
        <v>2378</v>
      </c>
      <c r="I711" s="0" t="s">
        <v>168</v>
      </c>
      <c r="J711" s="0" t="s">
        <v>169</v>
      </c>
      <c r="L711" s="0" t="str">
        <f aca="false">IFERROR(VLOOKUP(K711,'Supplier list'!B:C,2,0),"")</f>
        <v/>
      </c>
      <c r="M711" s="1" t="s">
        <v>24</v>
      </c>
      <c r="O711" s="2" t="n">
        <v>0</v>
      </c>
    </row>
    <row r="712" customFormat="false" ht="16.4" hidden="false" customHeight="false" outlineLevel="0" collapsed="false">
      <c r="A712" s="0" t="s">
        <v>15</v>
      </c>
      <c r="B712" s="0" t="s">
        <v>2379</v>
      </c>
      <c r="C712" s="0" t="n">
        <v>114001</v>
      </c>
      <c r="D712" s="0" t="n">
        <v>114001</v>
      </c>
      <c r="E712" s="0" t="s">
        <v>127</v>
      </c>
      <c r="F712" s="0" t="s">
        <v>18</v>
      </c>
      <c r="G712" s="0" t="s">
        <v>2380</v>
      </c>
      <c r="H712" s="0" t="s">
        <v>2381</v>
      </c>
      <c r="I712" s="0" t="s">
        <v>168</v>
      </c>
      <c r="J712" s="0" t="s">
        <v>169</v>
      </c>
      <c r="L712" s="0" t="str">
        <f aca="false">IFERROR(VLOOKUP(K712,'Supplier list'!B:C,2,0),"")</f>
        <v/>
      </c>
      <c r="M712" s="1" t="s">
        <v>24</v>
      </c>
      <c r="O712" s="2" t="n">
        <v>0</v>
      </c>
    </row>
    <row r="713" customFormat="false" ht="16.4" hidden="false" customHeight="false" outlineLevel="0" collapsed="false">
      <c r="A713" s="0" t="s">
        <v>15</v>
      </c>
      <c r="B713" s="0" t="s">
        <v>2382</v>
      </c>
      <c r="C713" s="0" t="n">
        <v>114001</v>
      </c>
      <c r="D713" s="0" t="n">
        <v>114001</v>
      </c>
      <c r="E713" s="0" t="s">
        <v>2383</v>
      </c>
      <c r="F713" s="0" t="s">
        <v>18</v>
      </c>
      <c r="G713" s="0" t="s">
        <v>2384</v>
      </c>
      <c r="H713" s="0" t="s">
        <v>2385</v>
      </c>
      <c r="I713" s="0" t="s">
        <v>168</v>
      </c>
      <c r="J713" s="0" t="s">
        <v>169</v>
      </c>
      <c r="L713" s="0" t="str">
        <f aca="false">IFERROR(VLOOKUP(K713,'Supplier list'!B:C,2,0),"")</f>
        <v/>
      </c>
      <c r="M713" s="1" t="s">
        <v>24</v>
      </c>
      <c r="O713" s="2" t="n">
        <v>0</v>
      </c>
    </row>
    <row r="714" customFormat="false" ht="16.4" hidden="false" customHeight="false" outlineLevel="0" collapsed="false">
      <c r="A714" s="0" t="s">
        <v>15</v>
      </c>
      <c r="B714" s="0" t="s">
        <v>2386</v>
      </c>
      <c r="C714" s="0" t="n">
        <v>114001</v>
      </c>
      <c r="D714" s="0" t="n">
        <v>114001</v>
      </c>
      <c r="E714" s="0" t="s">
        <v>2185</v>
      </c>
      <c r="F714" s="0" t="s">
        <v>18</v>
      </c>
      <c r="G714" s="0" t="s">
        <v>2387</v>
      </c>
      <c r="H714" s="0" t="s">
        <v>2388</v>
      </c>
      <c r="I714" s="0" t="s">
        <v>168</v>
      </c>
      <c r="J714" s="0" t="s">
        <v>169</v>
      </c>
      <c r="L714" s="0" t="str">
        <f aca="false">IFERROR(VLOOKUP(K714,'Supplier list'!B:C,2,0),"")</f>
        <v/>
      </c>
      <c r="M714" s="1" t="s">
        <v>24</v>
      </c>
      <c r="O714" s="2" t="n">
        <v>0</v>
      </c>
    </row>
    <row r="715" customFormat="false" ht="16.4" hidden="false" customHeight="false" outlineLevel="0" collapsed="false">
      <c r="A715" s="0" t="s">
        <v>15</v>
      </c>
      <c r="B715" s="0" t="s">
        <v>2389</v>
      </c>
      <c r="C715" s="0" t="n">
        <v>114001</v>
      </c>
      <c r="D715" s="0" t="n">
        <v>114001</v>
      </c>
      <c r="E715" s="0" t="s">
        <v>2185</v>
      </c>
      <c r="F715" s="0" t="s">
        <v>18</v>
      </c>
      <c r="G715" s="0" t="s">
        <v>2390</v>
      </c>
      <c r="H715" s="0" t="s">
        <v>2391</v>
      </c>
      <c r="I715" s="0" t="s">
        <v>168</v>
      </c>
      <c r="J715" s="0" t="s">
        <v>169</v>
      </c>
      <c r="L715" s="0" t="str">
        <f aca="false">IFERROR(VLOOKUP(K715,'Supplier list'!B:C,2,0),"")</f>
        <v/>
      </c>
      <c r="M715" s="1" t="s">
        <v>24</v>
      </c>
      <c r="O715" s="2" t="n">
        <v>0</v>
      </c>
    </row>
    <row r="716" customFormat="false" ht="16.4" hidden="false" customHeight="false" outlineLevel="0" collapsed="false">
      <c r="A716" s="0" t="s">
        <v>15</v>
      </c>
      <c r="B716" s="0" t="s">
        <v>2392</v>
      </c>
      <c r="C716" s="0" t="n">
        <v>114001</v>
      </c>
      <c r="D716" s="0" t="n">
        <v>114001</v>
      </c>
      <c r="E716" s="0" t="s">
        <v>127</v>
      </c>
      <c r="F716" s="0" t="s">
        <v>18</v>
      </c>
      <c r="G716" s="0" t="s">
        <v>2393</v>
      </c>
      <c r="H716" s="0" t="s">
        <v>2394</v>
      </c>
      <c r="I716" s="0" t="s">
        <v>168</v>
      </c>
      <c r="J716" s="0" t="s">
        <v>169</v>
      </c>
      <c r="L716" s="0" t="str">
        <f aca="false">IFERROR(VLOOKUP(K716,'Supplier list'!B:C,2,0),"")</f>
        <v/>
      </c>
      <c r="M716" s="1" t="s">
        <v>24</v>
      </c>
      <c r="O716" s="2" t="n">
        <v>0</v>
      </c>
    </row>
    <row r="717" customFormat="false" ht="16.4" hidden="false" customHeight="false" outlineLevel="0" collapsed="false">
      <c r="A717" s="0" t="s">
        <v>15</v>
      </c>
      <c r="B717" s="0" t="s">
        <v>2395</v>
      </c>
      <c r="C717" s="0" t="n">
        <v>114001</v>
      </c>
      <c r="D717" s="0" t="n">
        <v>114001</v>
      </c>
      <c r="E717" s="0" t="s">
        <v>2185</v>
      </c>
      <c r="F717" s="0" t="s">
        <v>18</v>
      </c>
      <c r="G717" s="0" t="s">
        <v>2396</v>
      </c>
      <c r="H717" s="0" t="s">
        <v>2397</v>
      </c>
      <c r="I717" s="0" t="s">
        <v>168</v>
      </c>
      <c r="J717" s="0" t="s">
        <v>169</v>
      </c>
      <c r="L717" s="0" t="str">
        <f aca="false">IFERROR(VLOOKUP(K717,'Supplier list'!B:C,2,0),"")</f>
        <v/>
      </c>
      <c r="M717" s="1" t="s">
        <v>24</v>
      </c>
      <c r="O717" s="2" t="n">
        <v>0</v>
      </c>
    </row>
    <row r="718" customFormat="false" ht="16.4" hidden="false" customHeight="false" outlineLevel="0" collapsed="false">
      <c r="A718" s="0" t="s">
        <v>15</v>
      </c>
      <c r="B718" s="0" t="s">
        <v>2398</v>
      </c>
      <c r="C718" s="0" t="n">
        <v>114001</v>
      </c>
      <c r="D718" s="0" t="n">
        <v>114001</v>
      </c>
      <c r="E718" s="0" t="s">
        <v>2185</v>
      </c>
      <c r="F718" s="0" t="s">
        <v>18</v>
      </c>
      <c r="G718" s="0" t="s">
        <v>2399</v>
      </c>
      <c r="H718" s="0" t="s">
        <v>2400</v>
      </c>
      <c r="I718" s="0" t="s">
        <v>168</v>
      </c>
      <c r="J718" s="0" t="s">
        <v>169</v>
      </c>
      <c r="L718" s="0" t="str">
        <f aca="false">IFERROR(VLOOKUP(K718,'Supplier list'!B:C,2,0),"")</f>
        <v/>
      </c>
      <c r="M718" s="1" t="s">
        <v>24</v>
      </c>
      <c r="O718" s="2" t="n">
        <v>0</v>
      </c>
    </row>
    <row r="719" customFormat="false" ht="16.4" hidden="false" customHeight="false" outlineLevel="0" collapsed="false">
      <c r="A719" s="0" t="s">
        <v>15</v>
      </c>
      <c r="B719" s="0" t="s">
        <v>2401</v>
      </c>
      <c r="C719" s="0" t="n">
        <v>114001</v>
      </c>
      <c r="D719" s="0" t="n">
        <v>114001</v>
      </c>
      <c r="E719" s="0" t="s">
        <v>2185</v>
      </c>
      <c r="F719" s="0" t="s">
        <v>18</v>
      </c>
      <c r="G719" s="0" t="s">
        <v>2402</v>
      </c>
      <c r="H719" s="0" t="s">
        <v>2403</v>
      </c>
      <c r="I719" s="0" t="s">
        <v>168</v>
      </c>
      <c r="J719" s="0" t="s">
        <v>169</v>
      </c>
      <c r="L719" s="0" t="str">
        <f aca="false">IFERROR(VLOOKUP(K719,'Supplier list'!B:C,2,0),"")</f>
        <v/>
      </c>
      <c r="M719" s="1" t="s">
        <v>24</v>
      </c>
      <c r="O719" s="2" t="n">
        <v>0</v>
      </c>
    </row>
    <row r="720" customFormat="false" ht="16.4" hidden="false" customHeight="false" outlineLevel="0" collapsed="false">
      <c r="A720" s="0" t="s">
        <v>15</v>
      </c>
      <c r="B720" s="0" t="s">
        <v>2404</v>
      </c>
      <c r="C720" s="0" t="n">
        <v>114001</v>
      </c>
      <c r="D720" s="0" t="n">
        <v>114001</v>
      </c>
      <c r="E720" s="0" t="s">
        <v>2185</v>
      </c>
      <c r="F720" s="0" t="s">
        <v>18</v>
      </c>
      <c r="G720" s="0" t="s">
        <v>2405</v>
      </c>
      <c r="H720" s="0" t="s">
        <v>2406</v>
      </c>
      <c r="I720" s="0" t="s">
        <v>168</v>
      </c>
      <c r="J720" s="0" t="s">
        <v>169</v>
      </c>
      <c r="L720" s="0" t="str">
        <f aca="false">IFERROR(VLOOKUP(K720,'Supplier list'!B:C,2,0),"")</f>
        <v/>
      </c>
      <c r="M720" s="1" t="s">
        <v>24</v>
      </c>
      <c r="O720" s="2" t="n">
        <v>0</v>
      </c>
    </row>
    <row r="721" customFormat="false" ht="16.4" hidden="false" customHeight="false" outlineLevel="0" collapsed="false">
      <c r="A721" s="0" t="s">
        <v>15</v>
      </c>
      <c r="B721" s="0" t="s">
        <v>2407</v>
      </c>
      <c r="C721" s="0" t="n">
        <v>114001</v>
      </c>
      <c r="D721" s="0" t="n">
        <v>114001</v>
      </c>
      <c r="E721" s="0" t="s">
        <v>2185</v>
      </c>
      <c r="F721" s="0" t="s">
        <v>18</v>
      </c>
      <c r="G721" s="0" t="s">
        <v>2408</v>
      </c>
      <c r="H721" s="0" t="s">
        <v>2409</v>
      </c>
      <c r="I721" s="0" t="s">
        <v>168</v>
      </c>
      <c r="J721" s="0" t="s">
        <v>169</v>
      </c>
      <c r="L721" s="0" t="str">
        <f aca="false">IFERROR(VLOOKUP(K721,'Supplier list'!B:C,2,0),"")</f>
        <v/>
      </c>
      <c r="M721" s="1" t="s">
        <v>24</v>
      </c>
      <c r="O721" s="2" t="n">
        <v>0</v>
      </c>
    </row>
    <row r="722" customFormat="false" ht="16.4" hidden="false" customHeight="false" outlineLevel="0" collapsed="false">
      <c r="A722" s="0" t="s">
        <v>15</v>
      </c>
      <c r="B722" s="0" t="s">
        <v>2410</v>
      </c>
      <c r="C722" s="0" t="n">
        <v>114001</v>
      </c>
      <c r="D722" s="0" t="n">
        <v>114001</v>
      </c>
      <c r="E722" s="0" t="s">
        <v>1764</v>
      </c>
      <c r="F722" s="0" t="s">
        <v>18</v>
      </c>
      <c r="G722" s="0" t="s">
        <v>2411</v>
      </c>
      <c r="H722" s="0" t="s">
        <v>2412</v>
      </c>
      <c r="I722" s="0" t="s">
        <v>168</v>
      </c>
      <c r="J722" s="0" t="s">
        <v>169</v>
      </c>
      <c r="L722" s="0" t="str">
        <f aca="false">IFERROR(VLOOKUP(K722,'Supplier list'!B:C,2,0),"")</f>
        <v/>
      </c>
      <c r="M722" s="1" t="s">
        <v>24</v>
      </c>
      <c r="O722" s="2" t="n">
        <v>0</v>
      </c>
    </row>
    <row r="723" customFormat="false" ht="16.4" hidden="false" customHeight="false" outlineLevel="0" collapsed="false">
      <c r="A723" s="0" t="s">
        <v>15</v>
      </c>
      <c r="B723" s="0" t="s">
        <v>2413</v>
      </c>
      <c r="C723" s="0" t="n">
        <v>114001</v>
      </c>
      <c r="D723" s="0" t="n">
        <v>114001</v>
      </c>
      <c r="E723" s="0" t="s">
        <v>1764</v>
      </c>
      <c r="F723" s="0" t="s">
        <v>18</v>
      </c>
      <c r="G723" s="0" t="s">
        <v>2414</v>
      </c>
      <c r="H723" s="0" t="s">
        <v>2415</v>
      </c>
      <c r="I723" s="0" t="s">
        <v>168</v>
      </c>
      <c r="J723" s="0" t="s">
        <v>169</v>
      </c>
      <c r="L723" s="0" t="str">
        <f aca="false">IFERROR(VLOOKUP(K723,'Supplier list'!B:C,2,0),"")</f>
        <v/>
      </c>
      <c r="M723" s="1" t="s">
        <v>24</v>
      </c>
      <c r="O723" s="2" t="n">
        <v>0</v>
      </c>
    </row>
    <row r="724" customFormat="false" ht="16.4" hidden="false" customHeight="false" outlineLevel="0" collapsed="false">
      <c r="A724" s="0" t="s">
        <v>15</v>
      </c>
      <c r="B724" s="0" t="s">
        <v>2416</v>
      </c>
      <c r="C724" s="0" t="n">
        <v>114001</v>
      </c>
      <c r="D724" s="0" t="n">
        <v>114001</v>
      </c>
      <c r="E724" s="0" t="s">
        <v>1764</v>
      </c>
      <c r="F724" s="0" t="s">
        <v>18</v>
      </c>
      <c r="G724" s="0" t="s">
        <v>2417</v>
      </c>
      <c r="H724" s="0" t="s">
        <v>2418</v>
      </c>
      <c r="I724" s="0" t="s">
        <v>168</v>
      </c>
      <c r="J724" s="0" t="s">
        <v>169</v>
      </c>
      <c r="L724" s="0" t="str">
        <f aca="false">IFERROR(VLOOKUP(K724,'Supplier list'!B:C,2,0),"")</f>
        <v/>
      </c>
      <c r="M724" s="1" t="s">
        <v>24</v>
      </c>
      <c r="O724" s="2" t="n">
        <v>0</v>
      </c>
    </row>
    <row r="725" customFormat="false" ht="16.4" hidden="false" customHeight="false" outlineLevel="0" collapsed="false">
      <c r="A725" s="0" t="s">
        <v>15</v>
      </c>
      <c r="B725" s="0" t="s">
        <v>2419</v>
      </c>
      <c r="C725" s="0" t="n">
        <v>114001</v>
      </c>
      <c r="D725" s="0" t="n">
        <v>114001</v>
      </c>
      <c r="E725" s="0" t="s">
        <v>2185</v>
      </c>
      <c r="F725" s="0" t="s">
        <v>18</v>
      </c>
      <c r="G725" s="0" t="s">
        <v>2420</v>
      </c>
      <c r="H725" s="0" t="s">
        <v>2421</v>
      </c>
      <c r="I725" s="0" t="s">
        <v>168</v>
      </c>
      <c r="J725" s="0" t="s">
        <v>169</v>
      </c>
      <c r="L725" s="0" t="str">
        <f aca="false">IFERROR(VLOOKUP(K725,'Supplier list'!B:C,2,0),"")</f>
        <v/>
      </c>
      <c r="M725" s="1" t="s">
        <v>24</v>
      </c>
      <c r="O725" s="2" t="n">
        <v>0</v>
      </c>
    </row>
    <row r="726" customFormat="false" ht="16.4" hidden="false" customHeight="false" outlineLevel="0" collapsed="false">
      <c r="A726" s="0" t="s">
        <v>15</v>
      </c>
      <c r="B726" s="0" t="s">
        <v>2422</v>
      </c>
      <c r="C726" s="0" t="n">
        <v>114001</v>
      </c>
      <c r="D726" s="0" t="n">
        <v>114001</v>
      </c>
      <c r="E726" s="0" t="s">
        <v>2185</v>
      </c>
      <c r="F726" s="0" t="s">
        <v>18</v>
      </c>
      <c r="G726" s="0" t="s">
        <v>2423</v>
      </c>
      <c r="H726" s="0" t="s">
        <v>2424</v>
      </c>
      <c r="I726" s="0" t="s">
        <v>168</v>
      </c>
      <c r="J726" s="0" t="s">
        <v>169</v>
      </c>
      <c r="L726" s="0" t="str">
        <f aca="false">IFERROR(VLOOKUP(K726,'Supplier list'!B:C,2,0),"")</f>
        <v/>
      </c>
      <c r="M726" s="1" t="s">
        <v>24</v>
      </c>
      <c r="O726" s="2" t="n">
        <v>0</v>
      </c>
    </row>
    <row r="727" customFormat="false" ht="16.4" hidden="false" customHeight="false" outlineLevel="0" collapsed="false">
      <c r="A727" s="0" t="s">
        <v>15</v>
      </c>
      <c r="B727" s="0" t="s">
        <v>2425</v>
      </c>
      <c r="C727" s="0" t="n">
        <v>114001</v>
      </c>
      <c r="D727" s="0" t="n">
        <v>114001</v>
      </c>
      <c r="E727" s="0" t="s">
        <v>2185</v>
      </c>
      <c r="F727" s="0" t="s">
        <v>18</v>
      </c>
      <c r="G727" s="0" t="s">
        <v>2426</v>
      </c>
      <c r="H727" s="0" t="s">
        <v>2427</v>
      </c>
      <c r="I727" s="0" t="s">
        <v>168</v>
      </c>
      <c r="J727" s="0" t="s">
        <v>169</v>
      </c>
      <c r="L727" s="0" t="str">
        <f aca="false">IFERROR(VLOOKUP(K727,'Supplier list'!B:C,2,0),"")</f>
        <v/>
      </c>
      <c r="M727" s="1" t="s">
        <v>24</v>
      </c>
      <c r="O727" s="2" t="n">
        <v>0</v>
      </c>
    </row>
    <row r="728" customFormat="false" ht="16.4" hidden="false" customHeight="false" outlineLevel="0" collapsed="false">
      <c r="A728" s="0" t="s">
        <v>15</v>
      </c>
      <c r="B728" s="0" t="s">
        <v>2428</v>
      </c>
      <c r="C728" s="0" t="n">
        <v>114001</v>
      </c>
      <c r="D728" s="0" t="n">
        <v>114001</v>
      </c>
      <c r="E728" s="0" t="s">
        <v>2185</v>
      </c>
      <c r="F728" s="0" t="s">
        <v>18</v>
      </c>
      <c r="G728" s="0" t="s">
        <v>2429</v>
      </c>
      <c r="H728" s="0" t="s">
        <v>2430</v>
      </c>
      <c r="I728" s="0" t="s">
        <v>168</v>
      </c>
      <c r="J728" s="0" t="s">
        <v>169</v>
      </c>
      <c r="L728" s="0" t="str">
        <f aca="false">IFERROR(VLOOKUP(K728,'Supplier list'!B:C,2,0),"")</f>
        <v/>
      </c>
      <c r="M728" s="1" t="s">
        <v>24</v>
      </c>
      <c r="O728" s="2" t="n">
        <v>0</v>
      </c>
    </row>
    <row r="729" customFormat="false" ht="16.4" hidden="false" customHeight="false" outlineLevel="0" collapsed="false">
      <c r="A729" s="0" t="s">
        <v>15</v>
      </c>
      <c r="B729" s="0" t="s">
        <v>2431</v>
      </c>
      <c r="C729" s="0" t="n">
        <v>114001</v>
      </c>
      <c r="D729" s="0" t="n">
        <v>114001</v>
      </c>
      <c r="E729" s="0" t="s">
        <v>2185</v>
      </c>
      <c r="F729" s="0" t="s">
        <v>18</v>
      </c>
      <c r="G729" s="0" t="s">
        <v>2432</v>
      </c>
      <c r="H729" s="0" t="s">
        <v>2433</v>
      </c>
      <c r="I729" s="0" t="s">
        <v>168</v>
      </c>
      <c r="J729" s="0" t="s">
        <v>169</v>
      </c>
      <c r="L729" s="0" t="str">
        <f aca="false">IFERROR(VLOOKUP(K729,'Supplier list'!B:C,2,0),"")</f>
        <v/>
      </c>
      <c r="M729" s="1" t="s">
        <v>24</v>
      </c>
      <c r="O729" s="2" t="n">
        <v>0</v>
      </c>
    </row>
    <row r="730" customFormat="false" ht="16.4" hidden="false" customHeight="false" outlineLevel="0" collapsed="false">
      <c r="A730" s="0" t="s">
        <v>15</v>
      </c>
      <c r="B730" s="0" t="s">
        <v>2434</v>
      </c>
      <c r="C730" s="0" t="n">
        <v>114001</v>
      </c>
      <c r="D730" s="0" t="n">
        <v>114001</v>
      </c>
      <c r="E730" s="0" t="s">
        <v>2185</v>
      </c>
      <c r="F730" s="0" t="s">
        <v>18</v>
      </c>
      <c r="G730" s="0" t="s">
        <v>2435</v>
      </c>
      <c r="H730" s="0" t="s">
        <v>2436</v>
      </c>
      <c r="I730" s="0" t="s">
        <v>168</v>
      </c>
      <c r="J730" s="0" t="s">
        <v>169</v>
      </c>
      <c r="L730" s="0" t="str">
        <f aca="false">IFERROR(VLOOKUP(K730,'Supplier list'!B:C,2,0),"")</f>
        <v/>
      </c>
      <c r="M730" s="1" t="s">
        <v>24</v>
      </c>
      <c r="O730" s="2" t="n">
        <v>0</v>
      </c>
    </row>
    <row r="731" customFormat="false" ht="16.4" hidden="false" customHeight="false" outlineLevel="0" collapsed="false">
      <c r="A731" s="0" t="s">
        <v>15</v>
      </c>
      <c r="B731" s="0" t="s">
        <v>2437</v>
      </c>
      <c r="C731" s="0" t="n">
        <v>114001</v>
      </c>
      <c r="D731" s="0" t="n">
        <v>114001</v>
      </c>
      <c r="E731" s="0" t="s">
        <v>581</v>
      </c>
      <c r="F731" s="0" t="s">
        <v>18</v>
      </c>
      <c r="G731" s="0" t="s">
        <v>2438</v>
      </c>
      <c r="H731" s="0" t="s">
        <v>2439</v>
      </c>
      <c r="I731" s="0" t="s">
        <v>21</v>
      </c>
      <c r="J731" s="0" t="s">
        <v>22</v>
      </c>
      <c r="K731" s="0" t="s">
        <v>176</v>
      </c>
      <c r="L731" s="0" t="str">
        <f aca="false">IFERROR(VLOOKUP(K731,'Supplier list'!B:C,2,0),"")</f>
        <v>บริษัท ต้าโจว อินดัสทรี จำกัด</v>
      </c>
      <c r="M731" s="1" t="s">
        <v>24</v>
      </c>
      <c r="O731" s="2" t="n">
        <v>880</v>
      </c>
    </row>
    <row r="732" customFormat="false" ht="16.4" hidden="false" customHeight="false" outlineLevel="0" collapsed="false">
      <c r="A732" s="0" t="s">
        <v>15</v>
      </c>
      <c r="B732" s="0" t="s">
        <v>2440</v>
      </c>
      <c r="C732" s="0" t="n">
        <v>114001</v>
      </c>
      <c r="D732" s="0" t="n">
        <v>114001</v>
      </c>
      <c r="E732" s="0" t="s">
        <v>2185</v>
      </c>
      <c r="F732" s="0" t="s">
        <v>18</v>
      </c>
      <c r="G732" s="0" t="s">
        <v>2441</v>
      </c>
      <c r="H732" s="0" t="s">
        <v>2442</v>
      </c>
      <c r="I732" s="0" t="s">
        <v>168</v>
      </c>
      <c r="J732" s="0" t="s">
        <v>169</v>
      </c>
      <c r="L732" s="0" t="str">
        <f aca="false">IFERROR(VLOOKUP(K732,'Supplier list'!B:C,2,0),"")</f>
        <v/>
      </c>
      <c r="M732" s="1" t="s">
        <v>24</v>
      </c>
      <c r="O732" s="2" t="n">
        <v>470</v>
      </c>
    </row>
    <row r="733" customFormat="false" ht="16.4" hidden="false" customHeight="false" outlineLevel="0" collapsed="false">
      <c r="A733" s="0" t="s">
        <v>15</v>
      </c>
      <c r="B733" s="0" t="s">
        <v>2443</v>
      </c>
      <c r="C733" s="0" t="n">
        <v>114001</v>
      </c>
      <c r="D733" s="0" t="n">
        <v>114001</v>
      </c>
      <c r="E733" s="0" t="s">
        <v>1727</v>
      </c>
      <c r="F733" s="0" t="s">
        <v>18</v>
      </c>
      <c r="G733" s="0" t="s">
        <v>2444</v>
      </c>
      <c r="H733" s="0" t="s">
        <v>2445</v>
      </c>
      <c r="I733" s="0" t="s">
        <v>124</v>
      </c>
      <c r="J733" s="0" t="s">
        <v>125</v>
      </c>
      <c r="K733" s="0" t="s">
        <v>1725</v>
      </c>
      <c r="L733" s="0" t="str">
        <f aca="false">IFERROR(VLOOKUP(K733,'Supplier list'!B:C,2,0),"")</f>
        <v>บริษัท พรีซิชั่นไลน์ จำกัด</v>
      </c>
      <c r="M733" s="1" t="s">
        <v>24</v>
      </c>
      <c r="O733" s="2" t="n">
        <v>0</v>
      </c>
    </row>
    <row r="734" customFormat="false" ht="16.4" hidden="false" customHeight="false" outlineLevel="0" collapsed="false">
      <c r="A734" s="0" t="s">
        <v>15</v>
      </c>
      <c r="B734" s="0" t="s">
        <v>2446</v>
      </c>
      <c r="C734" s="0" t="n">
        <v>114001</v>
      </c>
      <c r="D734" s="0" t="n">
        <v>114001</v>
      </c>
      <c r="E734" s="0" t="s">
        <v>1684</v>
      </c>
      <c r="F734" s="0" t="s">
        <v>18</v>
      </c>
      <c r="G734" s="0" t="s">
        <v>2447</v>
      </c>
      <c r="H734" s="0" t="s">
        <v>2448</v>
      </c>
      <c r="I734" s="0" t="s">
        <v>248</v>
      </c>
      <c r="J734" s="0" t="s">
        <v>249</v>
      </c>
      <c r="K734" s="0" t="s">
        <v>89</v>
      </c>
      <c r="L734" s="0" t="str">
        <f aca="false">IFERROR(VLOOKUP(K734,'Supplier list'!B:C,2,0),"")</f>
        <v>บริษัท เฮเฟเล่ (ประเทศไทย) จำกัด</v>
      </c>
      <c r="M734" s="1" t="s">
        <v>24</v>
      </c>
      <c r="O734" s="2" t="n">
        <v>1500</v>
      </c>
    </row>
    <row r="735" customFormat="false" ht="16.4" hidden="false" customHeight="false" outlineLevel="0" collapsed="false">
      <c r="A735" s="0" t="s">
        <v>15</v>
      </c>
      <c r="B735" s="0" t="s">
        <v>2449</v>
      </c>
      <c r="C735" s="0" t="n">
        <v>114001</v>
      </c>
      <c r="D735" s="0" t="n">
        <v>114001</v>
      </c>
      <c r="E735" s="0" t="s">
        <v>1684</v>
      </c>
      <c r="F735" s="0" t="s">
        <v>18</v>
      </c>
      <c r="G735" s="0" t="s">
        <v>2450</v>
      </c>
      <c r="H735" s="0" t="s">
        <v>2451</v>
      </c>
      <c r="I735" s="0" t="s">
        <v>248</v>
      </c>
      <c r="J735" s="0" t="s">
        <v>249</v>
      </c>
      <c r="K735" s="0" t="s">
        <v>89</v>
      </c>
      <c r="L735" s="0" t="str">
        <f aca="false">IFERROR(VLOOKUP(K735,'Supplier list'!B:C,2,0),"")</f>
        <v>บริษัท เฮเฟเล่ (ประเทศไทย) จำกัด</v>
      </c>
      <c r="M735" s="1" t="s">
        <v>24</v>
      </c>
      <c r="O735" s="2" t="n">
        <v>1500</v>
      </c>
    </row>
    <row r="736" customFormat="false" ht="16.4" hidden="false" customHeight="false" outlineLevel="0" collapsed="false">
      <c r="A736" s="0" t="s">
        <v>15</v>
      </c>
      <c r="B736" s="0" t="s">
        <v>2452</v>
      </c>
      <c r="C736" s="0" t="n">
        <v>114001</v>
      </c>
      <c r="D736" s="0" t="n">
        <v>114001</v>
      </c>
      <c r="E736" s="0" t="s">
        <v>1815</v>
      </c>
      <c r="F736" s="0" t="s">
        <v>18</v>
      </c>
      <c r="G736" s="0" t="s">
        <v>2453</v>
      </c>
      <c r="H736" s="0" t="s">
        <v>2454</v>
      </c>
      <c r="I736" s="0" t="s">
        <v>124</v>
      </c>
      <c r="J736" s="0" t="s">
        <v>125</v>
      </c>
      <c r="K736" s="0" t="s">
        <v>89</v>
      </c>
      <c r="L736" s="0" t="str">
        <f aca="false">IFERROR(VLOOKUP(K736,'Supplier list'!B:C,2,0),"")</f>
        <v>บริษัท เฮเฟเล่ (ประเทศไทย) จำกัด</v>
      </c>
      <c r="M736" s="1" t="s">
        <v>24</v>
      </c>
      <c r="O736" s="2" t="n">
        <v>589</v>
      </c>
    </row>
    <row r="737" customFormat="false" ht="16.4" hidden="false" customHeight="false" outlineLevel="0" collapsed="false">
      <c r="A737" s="0" t="s">
        <v>15</v>
      </c>
      <c r="B737" s="0" t="s">
        <v>2455</v>
      </c>
      <c r="C737" s="0" t="n">
        <v>114001</v>
      </c>
      <c r="D737" s="0" t="n">
        <v>114001</v>
      </c>
      <c r="E737" s="0" t="s">
        <v>1605</v>
      </c>
      <c r="F737" s="0" t="s">
        <v>18</v>
      </c>
      <c r="G737" s="0" t="s">
        <v>2456</v>
      </c>
      <c r="H737" s="0" t="s">
        <v>2457</v>
      </c>
      <c r="I737" s="0" t="s">
        <v>21</v>
      </c>
      <c r="J737" s="0" t="s">
        <v>22</v>
      </c>
      <c r="K737" s="0" t="s">
        <v>787</v>
      </c>
      <c r="L737" s="0" t="str">
        <f aca="false">IFERROR(VLOOKUP(K737,'Supplier list'!B:C,2,0),"")</f>
        <v>บริษัท ฟิวเจอร์เทค อินเตอร์มาร์เก็ตติ้ง จำกัด</v>
      </c>
      <c r="M737" s="1" t="s">
        <v>24</v>
      </c>
      <c r="O737" s="2" t="n">
        <v>10</v>
      </c>
    </row>
    <row r="738" customFormat="false" ht="16.4" hidden="false" customHeight="false" outlineLevel="0" collapsed="false">
      <c r="A738" s="0" t="s">
        <v>15</v>
      </c>
      <c r="B738" s="0" t="s">
        <v>2458</v>
      </c>
      <c r="C738" s="0" t="n">
        <v>114001</v>
      </c>
      <c r="D738" s="0" t="n">
        <v>114001</v>
      </c>
      <c r="E738" s="0" t="s">
        <v>1605</v>
      </c>
      <c r="F738" s="0" t="s">
        <v>18</v>
      </c>
      <c r="G738" s="0" t="s">
        <v>2459</v>
      </c>
      <c r="H738" s="0" t="s">
        <v>2460</v>
      </c>
      <c r="I738" s="0" t="s">
        <v>168</v>
      </c>
      <c r="J738" s="0" t="s">
        <v>169</v>
      </c>
      <c r="K738" s="0" t="s">
        <v>787</v>
      </c>
      <c r="L738" s="0" t="str">
        <f aca="false">IFERROR(VLOOKUP(K738,'Supplier list'!B:C,2,0),"")</f>
        <v>บริษัท ฟิวเจอร์เทค อินเตอร์มาร์เก็ตติ้ง จำกัด</v>
      </c>
      <c r="M738" s="1" t="s">
        <v>24</v>
      </c>
      <c r="O738" s="2" t="n">
        <v>385</v>
      </c>
    </row>
    <row r="739" customFormat="false" ht="16.4" hidden="false" customHeight="false" outlineLevel="0" collapsed="false">
      <c r="A739" s="0" t="s">
        <v>15</v>
      </c>
      <c r="B739" s="0" t="s">
        <v>2461</v>
      </c>
      <c r="C739" s="0" t="n">
        <v>114001</v>
      </c>
      <c r="D739" s="0" t="n">
        <v>114001</v>
      </c>
      <c r="E739" s="0" t="s">
        <v>1764</v>
      </c>
      <c r="F739" s="0" t="s">
        <v>18</v>
      </c>
      <c r="G739" s="0" t="s">
        <v>2462</v>
      </c>
      <c r="H739" s="0" t="s">
        <v>2463</v>
      </c>
      <c r="I739" s="0" t="s">
        <v>168</v>
      </c>
      <c r="J739" s="0" t="s">
        <v>169</v>
      </c>
      <c r="K739" s="0" t="s">
        <v>1725</v>
      </c>
      <c r="L739" s="0" t="str">
        <f aca="false">IFERROR(VLOOKUP(K739,'Supplier list'!B:C,2,0),"")</f>
        <v>บริษัท พรีซิชั่นไลน์ จำกัด</v>
      </c>
      <c r="M739" s="1" t="s">
        <v>24</v>
      </c>
      <c r="O739" s="2" t="n">
        <v>139</v>
      </c>
    </row>
    <row r="740" customFormat="false" ht="16.4" hidden="false" customHeight="false" outlineLevel="0" collapsed="false">
      <c r="A740" s="0" t="s">
        <v>15</v>
      </c>
      <c r="B740" s="0" t="s">
        <v>2464</v>
      </c>
      <c r="C740" s="0" t="n">
        <v>114001</v>
      </c>
      <c r="D740" s="0" t="n">
        <v>114001</v>
      </c>
      <c r="E740" s="0" t="s">
        <v>1653</v>
      </c>
      <c r="F740" s="0" t="s">
        <v>18</v>
      </c>
      <c r="G740" s="0" t="s">
        <v>2465</v>
      </c>
      <c r="H740" s="0" t="s">
        <v>2466</v>
      </c>
      <c r="I740" s="0" t="s">
        <v>124</v>
      </c>
      <c r="J740" s="0" t="s">
        <v>125</v>
      </c>
      <c r="K740" s="0" t="s">
        <v>89</v>
      </c>
      <c r="L740" s="0" t="str">
        <f aca="false">IFERROR(VLOOKUP(K740,'Supplier list'!B:C,2,0),"")</f>
        <v>บริษัท เฮเฟเล่ (ประเทศไทย) จำกัด</v>
      </c>
      <c r="M740" s="1" t="s">
        <v>24</v>
      </c>
      <c r="O740" s="2" t="n">
        <v>4972</v>
      </c>
    </row>
    <row r="741" customFormat="false" ht="16.4" hidden="false" customHeight="false" outlineLevel="0" collapsed="false">
      <c r="A741" s="0" t="s">
        <v>15</v>
      </c>
      <c r="B741" s="0" t="s">
        <v>2467</v>
      </c>
      <c r="C741" s="0" t="n">
        <v>114001</v>
      </c>
      <c r="D741" s="0" t="n">
        <v>114001</v>
      </c>
      <c r="E741" s="0" t="s">
        <v>2363</v>
      </c>
      <c r="F741" s="0" t="s">
        <v>18</v>
      </c>
      <c r="G741" s="0" t="s">
        <v>2468</v>
      </c>
      <c r="H741" s="0" t="s">
        <v>2469</v>
      </c>
      <c r="I741" s="0" t="s">
        <v>124</v>
      </c>
      <c r="J741" s="0" t="s">
        <v>125</v>
      </c>
      <c r="K741" s="0" t="s">
        <v>89</v>
      </c>
      <c r="L741" s="0" t="str">
        <f aca="false">IFERROR(VLOOKUP(K741,'Supplier list'!B:C,2,0),"")</f>
        <v>บริษัท เฮเฟเล่ (ประเทศไทย) จำกัด</v>
      </c>
      <c r="M741" s="1" t="s">
        <v>24</v>
      </c>
      <c r="O741" s="2" t="n">
        <v>1963</v>
      </c>
    </row>
    <row r="742" customFormat="false" ht="16.4" hidden="false" customHeight="false" outlineLevel="0" collapsed="false">
      <c r="A742" s="0" t="s">
        <v>15</v>
      </c>
      <c r="B742" s="0" t="s">
        <v>2470</v>
      </c>
      <c r="C742" s="0" t="n">
        <v>114001</v>
      </c>
      <c r="D742" s="0" t="n">
        <v>114001</v>
      </c>
      <c r="E742" s="0" t="s">
        <v>121</v>
      </c>
      <c r="F742" s="0" t="s">
        <v>18</v>
      </c>
      <c r="G742" s="0" t="s">
        <v>2471</v>
      </c>
      <c r="H742" s="0" t="s">
        <v>2472</v>
      </c>
      <c r="I742" s="0" t="s">
        <v>142</v>
      </c>
      <c r="J742" s="0" t="s">
        <v>143</v>
      </c>
      <c r="K742" s="0" t="s">
        <v>82</v>
      </c>
      <c r="L742" s="0" t="str">
        <f aca="false">IFERROR(VLOOKUP(K742,'Supplier list'!B:C,2,0),"")</f>
        <v>บริษัท เกรียงศิริพัฒนา (1995) จำกัด</v>
      </c>
      <c r="M742" s="1" t="s">
        <v>24</v>
      </c>
      <c r="O742" s="2" t="n">
        <v>239</v>
      </c>
    </row>
    <row r="743" customFormat="false" ht="16.4" hidden="false" customHeight="false" outlineLevel="0" collapsed="false">
      <c r="A743" s="0" t="s">
        <v>15</v>
      </c>
      <c r="B743" s="0" t="s">
        <v>2473</v>
      </c>
      <c r="C743" s="0" t="n">
        <v>114001</v>
      </c>
      <c r="D743" s="0" t="n">
        <v>114001</v>
      </c>
      <c r="E743" s="0" t="s">
        <v>1605</v>
      </c>
      <c r="F743" s="0" t="s">
        <v>18</v>
      </c>
      <c r="G743" s="0" t="s">
        <v>2474</v>
      </c>
      <c r="H743" s="0" t="s">
        <v>2475</v>
      </c>
      <c r="I743" s="0" t="s">
        <v>21</v>
      </c>
      <c r="J743" s="0" t="s">
        <v>22</v>
      </c>
      <c r="L743" s="0" t="str">
        <f aca="false">IFERROR(VLOOKUP(K743,'Supplier list'!B:C,2,0),"")</f>
        <v/>
      </c>
      <c r="M743" s="1" t="s">
        <v>24</v>
      </c>
      <c r="O743" s="2" t="n">
        <v>10</v>
      </c>
    </row>
    <row r="744" customFormat="false" ht="16.4" hidden="false" customHeight="false" outlineLevel="0" collapsed="false">
      <c r="A744" s="0" t="s">
        <v>15</v>
      </c>
      <c r="B744" s="0" t="s">
        <v>2476</v>
      </c>
      <c r="C744" s="0" t="n">
        <v>114001</v>
      </c>
      <c r="D744" s="0" t="n">
        <v>114001</v>
      </c>
      <c r="E744" s="0" t="s">
        <v>1653</v>
      </c>
      <c r="F744" s="0" t="s">
        <v>18</v>
      </c>
      <c r="G744" s="0" t="s">
        <v>2477</v>
      </c>
      <c r="H744" s="0" t="s">
        <v>2478</v>
      </c>
      <c r="I744" s="0" t="s">
        <v>124</v>
      </c>
      <c r="J744" s="0" t="s">
        <v>125</v>
      </c>
      <c r="K744" s="0" t="s">
        <v>1725</v>
      </c>
      <c r="L744" s="0" t="str">
        <f aca="false">IFERROR(VLOOKUP(K744,'Supplier list'!B:C,2,0),"")</f>
        <v>บริษัท พรีซิชั่นไลน์ จำกัด</v>
      </c>
      <c r="M744" s="1" t="s">
        <v>24</v>
      </c>
      <c r="O744" s="2" t="n">
        <v>0</v>
      </c>
    </row>
    <row r="745" customFormat="false" ht="16.4" hidden="false" customHeight="false" outlineLevel="0" collapsed="false">
      <c r="A745" s="0" t="s">
        <v>15</v>
      </c>
      <c r="B745" s="0" t="s">
        <v>2479</v>
      </c>
      <c r="C745" s="0" t="n">
        <v>114001</v>
      </c>
      <c r="D745" s="0" t="n">
        <v>114001</v>
      </c>
      <c r="E745" s="0" t="s">
        <v>1605</v>
      </c>
      <c r="F745" s="0" t="s">
        <v>18</v>
      </c>
      <c r="G745" s="0" t="s">
        <v>2480</v>
      </c>
      <c r="H745" s="0" t="s">
        <v>2481</v>
      </c>
      <c r="I745" s="0" t="s">
        <v>396</v>
      </c>
      <c r="J745" s="0" t="s">
        <v>397</v>
      </c>
      <c r="K745" s="0" t="s">
        <v>787</v>
      </c>
      <c r="L745" s="0" t="str">
        <f aca="false">IFERROR(VLOOKUP(K745,'Supplier list'!B:C,2,0),"")</f>
        <v>บริษัท ฟิวเจอร์เทค อินเตอร์มาร์เก็ตติ้ง จำกัด</v>
      </c>
      <c r="M745" s="1" t="s">
        <v>24</v>
      </c>
      <c r="O745" s="2" t="n">
        <v>15</v>
      </c>
    </row>
    <row r="746" customFormat="false" ht="16.4" hidden="false" customHeight="false" outlineLevel="0" collapsed="false">
      <c r="A746" s="0" t="s">
        <v>15</v>
      </c>
      <c r="B746" s="0" t="s">
        <v>2482</v>
      </c>
      <c r="C746" s="0" t="n">
        <v>114001</v>
      </c>
      <c r="D746" s="0" t="n">
        <v>114001</v>
      </c>
      <c r="E746" s="0" t="s">
        <v>1804</v>
      </c>
      <c r="F746" s="0" t="s">
        <v>18</v>
      </c>
      <c r="G746" s="0" t="s">
        <v>2483</v>
      </c>
      <c r="H746" s="0" t="s">
        <v>2484</v>
      </c>
      <c r="I746" s="0" t="s">
        <v>124</v>
      </c>
      <c r="J746" s="0" t="s">
        <v>125</v>
      </c>
      <c r="K746" s="0" t="s">
        <v>1725</v>
      </c>
      <c r="L746" s="0" t="str">
        <f aca="false">IFERROR(VLOOKUP(K746,'Supplier list'!B:C,2,0),"")</f>
        <v>บริษัท พรีซิชั่นไลน์ จำกัด</v>
      </c>
      <c r="M746" s="1" t="s">
        <v>24</v>
      </c>
      <c r="O746" s="2" t="n">
        <v>190</v>
      </c>
    </row>
    <row r="747" customFormat="false" ht="16.4" hidden="false" customHeight="false" outlineLevel="0" collapsed="false">
      <c r="A747" s="0" t="s">
        <v>15</v>
      </c>
      <c r="B747" s="0" t="s">
        <v>2485</v>
      </c>
      <c r="C747" s="0" t="n">
        <v>114001</v>
      </c>
      <c r="D747" s="0" t="n">
        <v>114001</v>
      </c>
      <c r="E747" s="0" t="s">
        <v>1653</v>
      </c>
      <c r="F747" s="0" t="s">
        <v>18</v>
      </c>
      <c r="G747" s="0" t="s">
        <v>2486</v>
      </c>
      <c r="H747" s="0" t="s">
        <v>2487</v>
      </c>
      <c r="I747" s="0" t="s">
        <v>124</v>
      </c>
      <c r="J747" s="0" t="s">
        <v>125</v>
      </c>
      <c r="K747" s="0" t="s">
        <v>1725</v>
      </c>
      <c r="L747" s="0" t="str">
        <f aca="false">IFERROR(VLOOKUP(K747,'Supplier list'!B:C,2,0),"")</f>
        <v>บริษัท พรีซิชั่นไลน์ จำกัด</v>
      </c>
      <c r="M747" s="1" t="s">
        <v>24</v>
      </c>
      <c r="O747" s="2" t="n">
        <v>5800</v>
      </c>
    </row>
    <row r="748" customFormat="false" ht="16.4" hidden="false" customHeight="false" outlineLevel="0" collapsed="false">
      <c r="A748" s="0" t="s">
        <v>15</v>
      </c>
      <c r="B748" s="0" t="s">
        <v>2488</v>
      </c>
      <c r="C748" s="0" t="n">
        <v>114001</v>
      </c>
      <c r="D748" s="0" t="n">
        <v>114001</v>
      </c>
      <c r="E748" s="0" t="s">
        <v>1815</v>
      </c>
      <c r="F748" s="0" t="s">
        <v>18</v>
      </c>
      <c r="G748" s="0" t="s">
        <v>2489</v>
      </c>
      <c r="H748" s="0" t="s">
        <v>2490</v>
      </c>
      <c r="I748" s="0" t="s">
        <v>21</v>
      </c>
      <c r="J748" s="0" t="s">
        <v>22</v>
      </c>
      <c r="K748" s="0" t="s">
        <v>89</v>
      </c>
      <c r="L748" s="0" t="str">
        <f aca="false">IFERROR(VLOOKUP(K748,'Supplier list'!B:C,2,0),"")</f>
        <v>บริษัท เฮเฟเล่ (ประเทศไทย) จำกัด</v>
      </c>
      <c r="M748" s="1" t="s">
        <v>24</v>
      </c>
      <c r="O748" s="2" t="n">
        <v>636</v>
      </c>
    </row>
    <row r="749" customFormat="false" ht="16.4" hidden="false" customHeight="false" outlineLevel="0" collapsed="false">
      <c r="A749" s="0" t="s">
        <v>15</v>
      </c>
      <c r="B749" s="0" t="s">
        <v>2491</v>
      </c>
      <c r="C749" s="0" t="n">
        <v>114001</v>
      </c>
      <c r="D749" s="0" t="n">
        <v>114001</v>
      </c>
      <c r="E749" s="0" t="s">
        <v>2492</v>
      </c>
      <c r="F749" s="0" t="s">
        <v>18</v>
      </c>
      <c r="G749" s="0" t="s">
        <v>2493</v>
      </c>
      <c r="H749" s="0" t="s">
        <v>2494</v>
      </c>
      <c r="I749" s="0" t="s">
        <v>21</v>
      </c>
      <c r="J749" s="0" t="s">
        <v>22</v>
      </c>
      <c r="K749" s="0" t="s">
        <v>56</v>
      </c>
      <c r="L749" s="0" t="str">
        <f aca="false">IFERROR(VLOOKUP(K749,'Supplier list'!B:C,2,0),"")</f>
        <v>CO.,LTD QINGDAO NEW LIBERTY INT'L TRADING CO.LTD.</v>
      </c>
      <c r="M749" s="1" t="s">
        <v>24</v>
      </c>
      <c r="O749" s="2" t="n">
        <v>0</v>
      </c>
    </row>
    <row r="750" customFormat="false" ht="16.4" hidden="false" customHeight="false" outlineLevel="0" collapsed="false">
      <c r="A750" s="0" t="s">
        <v>15</v>
      </c>
      <c r="B750" s="0" t="s">
        <v>2495</v>
      </c>
      <c r="C750" s="0" t="n">
        <v>114001</v>
      </c>
      <c r="D750" s="0" t="n">
        <v>114001</v>
      </c>
      <c r="E750" s="0" t="s">
        <v>1605</v>
      </c>
      <c r="F750" s="0" t="s">
        <v>18</v>
      </c>
      <c r="G750" s="0" t="s">
        <v>2496</v>
      </c>
      <c r="H750" s="0" t="s">
        <v>2497</v>
      </c>
      <c r="I750" s="0" t="s">
        <v>168</v>
      </c>
      <c r="J750" s="0" t="s">
        <v>169</v>
      </c>
      <c r="K750" s="0" t="s">
        <v>2498</v>
      </c>
      <c r="L750" s="0" t="str">
        <f aca="false">IFERROR(VLOOKUP(K750,'Supplier list'!B:C,2,0),"")</f>
        <v>หจก. ทรัพย์ศรีวงษ์ การช่าง</v>
      </c>
      <c r="M750" s="1" t="s">
        <v>24</v>
      </c>
      <c r="O750" s="2" t="n">
        <v>0</v>
      </c>
    </row>
    <row r="751" customFormat="false" ht="16.4" hidden="false" customHeight="false" outlineLevel="0" collapsed="false">
      <c r="A751" s="0" t="s">
        <v>15</v>
      </c>
      <c r="B751" s="0" t="s">
        <v>2499</v>
      </c>
      <c r="C751" s="0" t="n">
        <v>114001</v>
      </c>
      <c r="D751" s="0" t="n">
        <v>114001</v>
      </c>
      <c r="E751" s="0" t="s">
        <v>1605</v>
      </c>
      <c r="F751" s="0" t="s">
        <v>18</v>
      </c>
      <c r="G751" s="0" t="s">
        <v>2500</v>
      </c>
      <c r="H751" s="0" t="s">
        <v>2501</v>
      </c>
      <c r="I751" s="0" t="s">
        <v>168</v>
      </c>
      <c r="J751" s="0" t="s">
        <v>169</v>
      </c>
      <c r="K751" s="0" t="s">
        <v>89</v>
      </c>
      <c r="L751" s="0" t="str">
        <f aca="false">IFERROR(VLOOKUP(K751,'Supplier list'!B:C,2,0),"")</f>
        <v>บริษัท เฮเฟเล่ (ประเทศไทย) จำกัด</v>
      </c>
      <c r="M751" s="1" t="s">
        <v>24</v>
      </c>
      <c r="O751" s="2" t="n">
        <v>281</v>
      </c>
    </row>
    <row r="752" customFormat="false" ht="16.4" hidden="false" customHeight="false" outlineLevel="0" collapsed="false">
      <c r="A752" s="0" t="s">
        <v>15</v>
      </c>
      <c r="B752" s="0" t="s">
        <v>2502</v>
      </c>
      <c r="C752" s="0" t="n">
        <v>114001</v>
      </c>
      <c r="D752" s="0" t="n">
        <v>114001</v>
      </c>
      <c r="E752" s="0" t="s">
        <v>1605</v>
      </c>
      <c r="F752" s="0" t="s">
        <v>18</v>
      </c>
      <c r="G752" s="0" t="s">
        <v>2503</v>
      </c>
      <c r="H752" s="0" t="s">
        <v>2504</v>
      </c>
      <c r="I752" s="0" t="s">
        <v>142</v>
      </c>
      <c r="J752" s="0" t="s">
        <v>143</v>
      </c>
      <c r="K752" s="0" t="s">
        <v>89</v>
      </c>
      <c r="L752" s="0" t="str">
        <f aca="false">IFERROR(VLOOKUP(K752,'Supplier list'!B:C,2,0),"")</f>
        <v>บริษัท เฮเฟเล่ (ประเทศไทย) จำกัด</v>
      </c>
      <c r="M752" s="1" t="s">
        <v>24</v>
      </c>
      <c r="O752" s="2" t="n">
        <v>0</v>
      </c>
    </row>
    <row r="753" customFormat="false" ht="16.4" hidden="false" customHeight="false" outlineLevel="0" collapsed="false">
      <c r="A753" s="0" t="s">
        <v>15</v>
      </c>
      <c r="B753" s="0" t="s">
        <v>2505</v>
      </c>
      <c r="C753" s="0" t="n">
        <v>114001</v>
      </c>
      <c r="D753" s="0" t="n">
        <v>114001</v>
      </c>
      <c r="E753" s="0" t="s">
        <v>1605</v>
      </c>
      <c r="F753" s="0" t="s">
        <v>18</v>
      </c>
      <c r="G753" s="0" t="s">
        <v>2506</v>
      </c>
      <c r="H753" s="0" t="s">
        <v>2507</v>
      </c>
      <c r="I753" s="0" t="s">
        <v>21</v>
      </c>
      <c r="J753" s="0" t="s">
        <v>22</v>
      </c>
      <c r="K753" s="0" t="s">
        <v>89</v>
      </c>
      <c r="L753" s="0" t="str">
        <f aca="false">IFERROR(VLOOKUP(K753,'Supplier list'!B:C,2,0),"")</f>
        <v>บริษัท เฮเฟเล่ (ประเทศไทย) จำกัด</v>
      </c>
      <c r="M753" s="1" t="s">
        <v>24</v>
      </c>
      <c r="O753" s="2" t="n">
        <v>0</v>
      </c>
    </row>
    <row r="754" customFormat="false" ht="16.4" hidden="false" customHeight="false" outlineLevel="0" collapsed="false">
      <c r="A754" s="0" t="s">
        <v>15</v>
      </c>
      <c r="B754" s="0" t="s">
        <v>2508</v>
      </c>
      <c r="C754" s="0" t="n">
        <v>114001</v>
      </c>
      <c r="D754" s="0" t="n">
        <v>114001</v>
      </c>
      <c r="E754" s="0" t="s">
        <v>2509</v>
      </c>
      <c r="F754" s="0" t="s">
        <v>18</v>
      </c>
      <c r="G754" s="0" t="s">
        <v>2510</v>
      </c>
      <c r="H754" s="0" t="s">
        <v>2511</v>
      </c>
      <c r="I754" s="0" t="s">
        <v>21</v>
      </c>
      <c r="J754" s="0" t="s">
        <v>22</v>
      </c>
      <c r="L754" s="0" t="str">
        <f aca="false">IFERROR(VLOOKUP(K754,'Supplier list'!B:C,2,0),"")</f>
        <v/>
      </c>
      <c r="M754" s="1" t="s">
        <v>24</v>
      </c>
      <c r="O754" s="2" t="n">
        <v>0</v>
      </c>
    </row>
    <row r="755" customFormat="false" ht="16.4" hidden="false" customHeight="false" outlineLevel="0" collapsed="false">
      <c r="A755" s="0" t="s">
        <v>15</v>
      </c>
      <c r="B755" s="0" t="s">
        <v>2512</v>
      </c>
      <c r="C755" s="0" t="n">
        <v>114001</v>
      </c>
      <c r="D755" s="0" t="n">
        <v>114001</v>
      </c>
      <c r="E755" s="0" t="s">
        <v>2509</v>
      </c>
      <c r="F755" s="0" t="s">
        <v>18</v>
      </c>
      <c r="G755" s="0" t="s">
        <v>2513</v>
      </c>
      <c r="H755" s="0" t="s">
        <v>2514</v>
      </c>
      <c r="I755" s="0" t="s">
        <v>21</v>
      </c>
      <c r="J755" s="0" t="s">
        <v>22</v>
      </c>
      <c r="L755" s="0" t="str">
        <f aca="false">IFERROR(VLOOKUP(K755,'Supplier list'!B:C,2,0),"")</f>
        <v/>
      </c>
      <c r="M755" s="1" t="s">
        <v>24</v>
      </c>
      <c r="O755" s="2" t="n">
        <v>0</v>
      </c>
    </row>
    <row r="756" customFormat="false" ht="16.4" hidden="false" customHeight="false" outlineLevel="0" collapsed="false">
      <c r="A756" s="0" t="s">
        <v>15</v>
      </c>
      <c r="B756" s="0" t="s">
        <v>2515</v>
      </c>
      <c r="C756" s="0" t="n">
        <v>114001</v>
      </c>
      <c r="D756" s="0" t="n">
        <v>114001</v>
      </c>
      <c r="E756" s="0" t="s">
        <v>2509</v>
      </c>
      <c r="F756" s="0" t="s">
        <v>18</v>
      </c>
      <c r="G756" s="0" t="s">
        <v>2516</v>
      </c>
      <c r="H756" s="0" t="s">
        <v>2517</v>
      </c>
      <c r="I756" s="0" t="s">
        <v>21</v>
      </c>
      <c r="J756" s="0" t="s">
        <v>22</v>
      </c>
      <c r="L756" s="0" t="str">
        <f aca="false">IFERROR(VLOOKUP(K756,'Supplier list'!B:C,2,0),"")</f>
        <v/>
      </c>
      <c r="M756" s="1" t="s">
        <v>24</v>
      </c>
      <c r="O756" s="2" t="n">
        <v>0</v>
      </c>
    </row>
    <row r="757" customFormat="false" ht="16.4" hidden="false" customHeight="false" outlineLevel="0" collapsed="false">
      <c r="A757" s="0" t="s">
        <v>15</v>
      </c>
      <c r="B757" s="0" t="s">
        <v>2518</v>
      </c>
      <c r="C757" s="0" t="n">
        <v>114001</v>
      </c>
      <c r="D757" s="0" t="n">
        <v>114001</v>
      </c>
      <c r="E757" s="0" t="s">
        <v>613</v>
      </c>
      <c r="F757" s="0" t="s">
        <v>18</v>
      </c>
      <c r="G757" s="0" t="s">
        <v>2519</v>
      </c>
      <c r="H757" s="0" t="s">
        <v>2520</v>
      </c>
      <c r="I757" s="0" t="s">
        <v>2248</v>
      </c>
      <c r="J757" s="0" t="s">
        <v>2249</v>
      </c>
      <c r="L757" s="0" t="str">
        <f aca="false">IFERROR(VLOOKUP(K757,'Supplier list'!B:C,2,0),"")</f>
        <v/>
      </c>
      <c r="M757" s="1" t="s">
        <v>24</v>
      </c>
      <c r="O757" s="2" t="n">
        <v>30</v>
      </c>
    </row>
    <row r="758" customFormat="false" ht="16.4" hidden="false" customHeight="false" outlineLevel="0" collapsed="false">
      <c r="A758" s="0" t="s">
        <v>15</v>
      </c>
      <c r="B758" s="0" t="s">
        <v>2521</v>
      </c>
      <c r="C758" s="0" t="n">
        <v>114001</v>
      </c>
      <c r="D758" s="0" t="n">
        <v>114001</v>
      </c>
      <c r="E758" s="0" t="s">
        <v>613</v>
      </c>
      <c r="F758" s="0" t="s">
        <v>18</v>
      </c>
      <c r="G758" s="0" t="s">
        <v>2522</v>
      </c>
      <c r="H758" s="0" t="s">
        <v>2523</v>
      </c>
      <c r="I758" s="0" t="s">
        <v>2248</v>
      </c>
      <c r="J758" s="0" t="s">
        <v>2249</v>
      </c>
      <c r="L758" s="0" t="str">
        <f aca="false">IFERROR(VLOOKUP(K758,'Supplier list'!B:C,2,0),"")</f>
        <v/>
      </c>
      <c r="M758" s="1" t="s">
        <v>24</v>
      </c>
      <c r="O758" s="2" t="n">
        <v>30</v>
      </c>
    </row>
    <row r="759" customFormat="false" ht="16.4" hidden="false" customHeight="false" outlineLevel="0" collapsed="false">
      <c r="A759" s="0" t="s">
        <v>15</v>
      </c>
      <c r="B759" s="0" t="s">
        <v>2524</v>
      </c>
      <c r="C759" s="0" t="n">
        <v>114001</v>
      </c>
      <c r="D759" s="0" t="n">
        <v>114001</v>
      </c>
      <c r="E759" s="0" t="s">
        <v>613</v>
      </c>
      <c r="F759" s="0" t="s">
        <v>18</v>
      </c>
      <c r="G759" s="0" t="s">
        <v>2525</v>
      </c>
      <c r="H759" s="0" t="s">
        <v>2526</v>
      </c>
      <c r="I759" s="0" t="s">
        <v>2248</v>
      </c>
      <c r="J759" s="0" t="s">
        <v>2249</v>
      </c>
      <c r="L759" s="0" t="str">
        <f aca="false">IFERROR(VLOOKUP(K759,'Supplier list'!B:C,2,0),"")</f>
        <v/>
      </c>
      <c r="M759" s="1" t="s">
        <v>24</v>
      </c>
      <c r="O759" s="2" t="n">
        <v>30</v>
      </c>
    </row>
    <row r="760" customFormat="false" ht="16.4" hidden="false" customHeight="false" outlineLevel="0" collapsed="false">
      <c r="A760" s="0" t="s">
        <v>15</v>
      </c>
      <c r="B760" s="0" t="s">
        <v>2527</v>
      </c>
      <c r="C760" s="0" t="n">
        <v>114001</v>
      </c>
      <c r="D760" s="0" t="n">
        <v>114001</v>
      </c>
      <c r="E760" s="0" t="s">
        <v>613</v>
      </c>
      <c r="F760" s="0" t="s">
        <v>18</v>
      </c>
      <c r="G760" s="0" t="s">
        <v>2528</v>
      </c>
      <c r="H760" s="0" t="s">
        <v>2529</v>
      </c>
      <c r="I760" s="0" t="s">
        <v>2248</v>
      </c>
      <c r="J760" s="0" t="s">
        <v>2249</v>
      </c>
      <c r="L760" s="0" t="str">
        <f aca="false">IFERROR(VLOOKUP(K760,'Supplier list'!B:C,2,0),"")</f>
        <v/>
      </c>
      <c r="M760" s="1" t="s">
        <v>24</v>
      </c>
      <c r="O760" s="2" t="n">
        <v>30</v>
      </c>
    </row>
    <row r="761" customFormat="false" ht="16.4" hidden="false" customHeight="false" outlineLevel="0" collapsed="false">
      <c r="A761" s="0" t="s">
        <v>15</v>
      </c>
      <c r="B761" s="0" t="s">
        <v>2530</v>
      </c>
      <c r="C761" s="0" t="n">
        <v>114001</v>
      </c>
      <c r="D761" s="0" t="n">
        <v>114001</v>
      </c>
      <c r="E761" s="0" t="s">
        <v>1653</v>
      </c>
      <c r="F761" s="0" t="s">
        <v>18</v>
      </c>
      <c r="G761" s="0" t="s">
        <v>2531</v>
      </c>
      <c r="H761" s="0" t="s">
        <v>2532</v>
      </c>
      <c r="I761" s="0" t="s">
        <v>102</v>
      </c>
      <c r="J761" s="0" t="s">
        <v>103</v>
      </c>
      <c r="L761" s="0" t="str">
        <f aca="false">IFERROR(VLOOKUP(K761,'Supplier list'!B:C,2,0),"")</f>
        <v/>
      </c>
      <c r="M761" s="1" t="s">
        <v>24</v>
      </c>
      <c r="O761" s="2" t="n">
        <v>229</v>
      </c>
    </row>
    <row r="762" customFormat="false" ht="16.4" hidden="false" customHeight="false" outlineLevel="0" collapsed="false">
      <c r="A762" s="0" t="s">
        <v>15</v>
      </c>
      <c r="B762" s="0" t="s">
        <v>2533</v>
      </c>
      <c r="C762" s="0" t="n">
        <v>114001</v>
      </c>
      <c r="D762" s="0" t="n">
        <v>114001</v>
      </c>
      <c r="E762" s="0" t="s">
        <v>1653</v>
      </c>
      <c r="F762" s="0" t="s">
        <v>18</v>
      </c>
      <c r="G762" s="0" t="s">
        <v>2534</v>
      </c>
      <c r="H762" s="0" t="s">
        <v>2535</v>
      </c>
      <c r="I762" s="0" t="s">
        <v>21</v>
      </c>
      <c r="J762" s="0" t="s">
        <v>22</v>
      </c>
      <c r="L762" s="0" t="str">
        <f aca="false">IFERROR(VLOOKUP(K762,'Supplier list'!B:C,2,0),"")</f>
        <v/>
      </c>
      <c r="M762" s="1" t="s">
        <v>1740</v>
      </c>
      <c r="N762" s="2" t="n">
        <v>3500</v>
      </c>
      <c r="O762" s="2" t="n">
        <v>1300</v>
      </c>
    </row>
    <row r="763" customFormat="false" ht="16.4" hidden="false" customHeight="false" outlineLevel="0" collapsed="false">
      <c r="A763" s="0" t="s">
        <v>15</v>
      </c>
      <c r="B763" s="0" t="s">
        <v>2536</v>
      </c>
      <c r="C763" s="0" t="n">
        <v>114001</v>
      </c>
      <c r="D763" s="0" t="n">
        <v>114001</v>
      </c>
      <c r="E763" s="0" t="s">
        <v>2185</v>
      </c>
      <c r="F763" s="0" t="s">
        <v>18</v>
      </c>
      <c r="G763" s="0" t="s">
        <v>2537</v>
      </c>
      <c r="H763" s="0" t="s">
        <v>2538</v>
      </c>
      <c r="I763" s="0" t="s">
        <v>124</v>
      </c>
      <c r="J763" s="0" t="s">
        <v>125</v>
      </c>
      <c r="K763" s="0" t="s">
        <v>89</v>
      </c>
      <c r="L763" s="0" t="str">
        <f aca="false">IFERROR(VLOOKUP(K763,'Supplier list'!B:C,2,0),"")</f>
        <v>บริษัท เฮเฟเล่ (ประเทศไทย) จำกัด</v>
      </c>
      <c r="M763" s="1" t="s">
        <v>24</v>
      </c>
      <c r="O763" s="2" t="n">
        <v>840</v>
      </c>
    </row>
    <row r="764" customFormat="false" ht="16.4" hidden="false" customHeight="false" outlineLevel="0" collapsed="false">
      <c r="A764" s="0" t="s">
        <v>15</v>
      </c>
      <c r="B764" s="0" t="s">
        <v>2539</v>
      </c>
      <c r="C764" s="0" t="n">
        <v>114001</v>
      </c>
      <c r="D764" s="0" t="n">
        <v>114001</v>
      </c>
      <c r="E764" s="0" t="s">
        <v>1454</v>
      </c>
      <c r="F764" s="0" t="s">
        <v>18</v>
      </c>
      <c r="G764" s="0" t="s">
        <v>2540</v>
      </c>
      <c r="H764" s="0" t="s">
        <v>2541</v>
      </c>
      <c r="I764" s="0" t="s">
        <v>21</v>
      </c>
      <c r="J764" s="0" t="s">
        <v>22</v>
      </c>
      <c r="K764" s="0" t="s">
        <v>787</v>
      </c>
      <c r="L764" s="0" t="str">
        <f aca="false">IFERROR(VLOOKUP(K764,'Supplier list'!B:C,2,0),"")</f>
        <v>บริษัท ฟิวเจอร์เทค อินเตอร์มาร์เก็ตติ้ง จำกัด</v>
      </c>
      <c r="M764" s="1" t="s">
        <v>24</v>
      </c>
      <c r="O764" s="2" t="n">
        <v>15</v>
      </c>
    </row>
    <row r="765" customFormat="false" ht="16.4" hidden="false" customHeight="false" outlineLevel="0" collapsed="false">
      <c r="A765" s="0" t="s">
        <v>15</v>
      </c>
      <c r="B765" s="0" t="s">
        <v>2542</v>
      </c>
      <c r="C765" s="0" t="n">
        <v>114001</v>
      </c>
      <c r="D765" s="0" t="n">
        <v>114001</v>
      </c>
      <c r="E765" s="0" t="s">
        <v>2543</v>
      </c>
      <c r="F765" s="0" t="s">
        <v>18</v>
      </c>
      <c r="G765" s="0" t="s">
        <v>2544</v>
      </c>
      <c r="H765" s="0" t="s">
        <v>2545</v>
      </c>
      <c r="I765" s="0" t="s">
        <v>21</v>
      </c>
      <c r="J765" s="0" t="s">
        <v>22</v>
      </c>
      <c r="K765" s="0" t="s">
        <v>787</v>
      </c>
      <c r="L765" s="0" t="str">
        <f aca="false">IFERROR(VLOOKUP(K765,'Supplier list'!B:C,2,0),"")</f>
        <v>บริษัท ฟิวเจอร์เทค อินเตอร์มาร์เก็ตติ้ง จำกัด</v>
      </c>
      <c r="M765" s="1" t="s">
        <v>24</v>
      </c>
      <c r="O765" s="2" t="n">
        <v>90</v>
      </c>
    </row>
    <row r="766" customFormat="false" ht="16.4" hidden="false" customHeight="false" outlineLevel="0" collapsed="false">
      <c r="A766" s="0" t="s">
        <v>15</v>
      </c>
      <c r="B766" s="0" t="s">
        <v>2546</v>
      </c>
      <c r="C766" s="0" t="n">
        <v>114001</v>
      </c>
      <c r="D766" s="0" t="n">
        <v>114001</v>
      </c>
      <c r="E766" s="0" t="s">
        <v>2547</v>
      </c>
      <c r="F766" s="0" t="s">
        <v>18</v>
      </c>
      <c r="G766" s="0" t="s">
        <v>2548</v>
      </c>
      <c r="H766" s="0" t="s">
        <v>2549</v>
      </c>
      <c r="I766" s="0" t="s">
        <v>21</v>
      </c>
      <c r="J766" s="0" t="s">
        <v>22</v>
      </c>
      <c r="K766" s="0" t="s">
        <v>2550</v>
      </c>
      <c r="L766" s="0" t="str">
        <f aca="false">IFERROR(VLOOKUP(K766,'Supplier list'!B:C,2,0),"")</f>
        <v>บริษัท เอส.เอส.อุตสาหกรรมบรรจุภัณฑ์ จำกัด</v>
      </c>
      <c r="M766" s="1" t="s">
        <v>24</v>
      </c>
      <c r="O766" s="2" t="n">
        <v>58</v>
      </c>
    </row>
    <row r="767" customFormat="false" ht="16.4" hidden="false" customHeight="false" outlineLevel="0" collapsed="false">
      <c r="A767" s="0" t="s">
        <v>15</v>
      </c>
      <c r="B767" s="0" t="s">
        <v>2551</v>
      </c>
      <c r="C767" s="0" t="n">
        <v>114001</v>
      </c>
      <c r="D767" s="0" t="n">
        <v>114001</v>
      </c>
      <c r="E767" s="0" t="s">
        <v>1653</v>
      </c>
      <c r="F767" s="0" t="s">
        <v>18</v>
      </c>
      <c r="G767" s="0" t="s">
        <v>2552</v>
      </c>
      <c r="H767" s="0" t="s">
        <v>2553</v>
      </c>
      <c r="I767" s="0" t="s">
        <v>124</v>
      </c>
      <c r="J767" s="0" t="s">
        <v>125</v>
      </c>
      <c r="K767" s="0" t="s">
        <v>1725</v>
      </c>
      <c r="L767" s="0" t="str">
        <f aca="false">IFERROR(VLOOKUP(K767,'Supplier list'!B:C,2,0),"")</f>
        <v>บริษัท พรีซิชั่นไลน์ จำกัด</v>
      </c>
      <c r="M767" s="1" t="s">
        <v>24</v>
      </c>
      <c r="O767" s="2" t="n">
        <v>19600</v>
      </c>
    </row>
    <row r="768" customFormat="false" ht="16.4" hidden="false" customHeight="false" outlineLevel="0" collapsed="false">
      <c r="A768" s="0" t="s">
        <v>15</v>
      </c>
      <c r="B768" s="0" t="s">
        <v>2554</v>
      </c>
      <c r="C768" s="0" t="n">
        <v>114001</v>
      </c>
      <c r="D768" s="0" t="n">
        <v>114001</v>
      </c>
      <c r="E768" s="0" t="s">
        <v>1764</v>
      </c>
      <c r="F768" s="0" t="s">
        <v>18</v>
      </c>
      <c r="G768" s="0" t="s">
        <v>2555</v>
      </c>
      <c r="H768" s="0" t="s">
        <v>2556</v>
      </c>
      <c r="I768" s="0" t="s">
        <v>21</v>
      </c>
      <c r="J768" s="0" t="s">
        <v>22</v>
      </c>
      <c r="K768" s="0" t="s">
        <v>787</v>
      </c>
      <c r="L768" s="0" t="str">
        <f aca="false">IFERROR(VLOOKUP(K768,'Supplier list'!B:C,2,0),"")</f>
        <v>บริษัท ฟิวเจอร์เทค อินเตอร์มาร์เก็ตติ้ง จำกัด</v>
      </c>
      <c r="M768" s="1" t="s">
        <v>24</v>
      </c>
      <c r="O768" s="2" t="n">
        <v>420</v>
      </c>
    </row>
    <row r="769" customFormat="false" ht="16.4" hidden="false" customHeight="false" outlineLevel="0" collapsed="false">
      <c r="A769" s="0" t="s">
        <v>15</v>
      </c>
      <c r="B769" s="0" t="s">
        <v>2557</v>
      </c>
      <c r="C769" s="0" t="n">
        <v>114001</v>
      </c>
      <c r="D769" s="0" t="n">
        <v>114001</v>
      </c>
      <c r="E769" s="0" t="s">
        <v>1815</v>
      </c>
      <c r="F769" s="0" t="s">
        <v>18</v>
      </c>
      <c r="G769" s="0" t="s">
        <v>2558</v>
      </c>
      <c r="H769" s="0" t="s">
        <v>2559</v>
      </c>
      <c r="I769" s="0" t="s">
        <v>517</v>
      </c>
      <c r="J769" s="0" t="s">
        <v>518</v>
      </c>
      <c r="K769" s="0" t="s">
        <v>89</v>
      </c>
      <c r="L769" s="0" t="str">
        <f aca="false">IFERROR(VLOOKUP(K769,'Supplier list'!B:C,2,0),"")</f>
        <v>บริษัท เฮเฟเล่ (ประเทศไทย) จำกัด</v>
      </c>
      <c r="M769" s="1" t="s">
        <v>1740</v>
      </c>
      <c r="N769" s="2" t="n">
        <v>1500</v>
      </c>
      <c r="O769" s="2" t="n">
        <v>636</v>
      </c>
    </row>
    <row r="770" customFormat="false" ht="16.4" hidden="false" customHeight="false" outlineLevel="0" collapsed="false">
      <c r="A770" s="0" t="s">
        <v>15</v>
      </c>
      <c r="B770" s="0" t="s">
        <v>2560</v>
      </c>
      <c r="C770" s="0" t="n">
        <v>114001</v>
      </c>
      <c r="D770" s="0" t="n">
        <v>114001</v>
      </c>
      <c r="E770" s="0" t="s">
        <v>1815</v>
      </c>
      <c r="F770" s="0" t="s">
        <v>18</v>
      </c>
      <c r="G770" s="0" t="s">
        <v>2561</v>
      </c>
      <c r="H770" s="0" t="s">
        <v>2562</v>
      </c>
      <c r="I770" s="0" t="s">
        <v>517</v>
      </c>
      <c r="J770" s="0" t="s">
        <v>518</v>
      </c>
      <c r="K770" s="0" t="s">
        <v>89</v>
      </c>
      <c r="L770" s="0" t="str">
        <f aca="false">IFERROR(VLOOKUP(K770,'Supplier list'!B:C,2,0),"")</f>
        <v>บริษัท เฮเฟเล่ (ประเทศไทย) จำกัด</v>
      </c>
      <c r="M770" s="1" t="s">
        <v>24</v>
      </c>
      <c r="O770" s="2" t="n">
        <v>480</v>
      </c>
    </row>
    <row r="771" customFormat="false" ht="16.4" hidden="false" customHeight="false" outlineLevel="0" collapsed="false">
      <c r="A771" s="0" t="s">
        <v>15</v>
      </c>
      <c r="B771" s="0" t="s">
        <v>2563</v>
      </c>
      <c r="C771" s="0" t="n">
        <v>114001</v>
      </c>
      <c r="D771" s="0" t="n">
        <v>114001</v>
      </c>
      <c r="E771" s="0" t="s">
        <v>1605</v>
      </c>
      <c r="F771" s="0" t="s">
        <v>18</v>
      </c>
      <c r="G771" s="0" t="s">
        <v>2564</v>
      </c>
      <c r="H771" s="0" t="s">
        <v>2565</v>
      </c>
      <c r="I771" s="0" t="s">
        <v>21</v>
      </c>
      <c r="J771" s="0" t="s">
        <v>22</v>
      </c>
      <c r="K771" s="0" t="s">
        <v>787</v>
      </c>
      <c r="L771" s="0" t="str">
        <f aca="false">IFERROR(VLOOKUP(K771,'Supplier list'!B:C,2,0),"")</f>
        <v>บริษัท ฟิวเจอร์เทค อินเตอร์มาร์เก็ตติ้ง จำกัด</v>
      </c>
      <c r="M771" s="1" t="s">
        <v>24</v>
      </c>
      <c r="O771" s="2" t="n">
        <v>25</v>
      </c>
    </row>
    <row r="772" customFormat="false" ht="16.4" hidden="false" customHeight="false" outlineLevel="0" collapsed="false">
      <c r="A772" s="0" t="s">
        <v>15</v>
      </c>
      <c r="B772" s="0" t="s">
        <v>2566</v>
      </c>
      <c r="C772" s="0" t="n">
        <v>114001</v>
      </c>
      <c r="D772" s="0" t="n">
        <v>114001</v>
      </c>
      <c r="E772" s="0" t="s">
        <v>1653</v>
      </c>
      <c r="F772" s="0" t="s">
        <v>18</v>
      </c>
      <c r="G772" s="0" t="s">
        <v>2567</v>
      </c>
      <c r="H772" s="0" t="s">
        <v>2568</v>
      </c>
      <c r="I772" s="0" t="s">
        <v>21</v>
      </c>
      <c r="J772" s="0" t="s">
        <v>22</v>
      </c>
      <c r="K772" s="0" t="s">
        <v>89</v>
      </c>
      <c r="L772" s="0" t="str">
        <f aca="false">IFERROR(VLOOKUP(K772,'Supplier list'!B:C,2,0),"")</f>
        <v>บริษัท เฮเฟเล่ (ประเทศไทย) จำกัด</v>
      </c>
      <c r="M772" s="1" t="s">
        <v>24</v>
      </c>
      <c r="O772" s="2" t="n">
        <v>19950</v>
      </c>
    </row>
    <row r="773" customFormat="false" ht="16.4" hidden="false" customHeight="false" outlineLevel="0" collapsed="false">
      <c r="A773" s="0" t="s">
        <v>15</v>
      </c>
      <c r="B773" s="0" t="s">
        <v>2569</v>
      </c>
      <c r="C773" s="0" t="n">
        <v>114001</v>
      </c>
      <c r="D773" s="0" t="n">
        <v>114001</v>
      </c>
      <c r="E773" s="0" t="s">
        <v>2570</v>
      </c>
      <c r="F773" s="0" t="s">
        <v>18</v>
      </c>
      <c r="G773" s="0" t="s">
        <v>2571</v>
      </c>
      <c r="H773" s="0" t="s">
        <v>2572</v>
      </c>
      <c r="I773" s="0" t="s">
        <v>21</v>
      </c>
      <c r="J773" s="0" t="s">
        <v>22</v>
      </c>
      <c r="K773" s="0" t="s">
        <v>89</v>
      </c>
      <c r="L773" s="0" t="str">
        <f aca="false">IFERROR(VLOOKUP(K773,'Supplier list'!B:C,2,0),"")</f>
        <v>บริษัท เฮเฟเล่ (ประเทศไทย) จำกัด</v>
      </c>
      <c r="M773" s="1" t="s">
        <v>24</v>
      </c>
      <c r="O773" s="2" t="n">
        <v>32800</v>
      </c>
    </row>
    <row r="774" customFormat="false" ht="16.4" hidden="false" customHeight="false" outlineLevel="0" collapsed="false">
      <c r="A774" s="0" t="s">
        <v>15</v>
      </c>
      <c r="B774" s="0" t="s">
        <v>2573</v>
      </c>
      <c r="C774" s="0" t="n">
        <v>114001</v>
      </c>
      <c r="D774" s="0" t="n">
        <v>114001</v>
      </c>
      <c r="E774" s="0" t="s">
        <v>1653</v>
      </c>
      <c r="F774" s="0" t="s">
        <v>18</v>
      </c>
      <c r="G774" s="0" t="s">
        <v>2574</v>
      </c>
      <c r="H774" s="0" t="s">
        <v>2575</v>
      </c>
      <c r="I774" s="0" t="s">
        <v>21</v>
      </c>
      <c r="J774" s="0" t="s">
        <v>22</v>
      </c>
      <c r="K774" s="0" t="s">
        <v>89</v>
      </c>
      <c r="L774" s="0" t="str">
        <f aca="false">IFERROR(VLOOKUP(K774,'Supplier list'!B:C,2,0),"")</f>
        <v>บริษัท เฮเฟเล่ (ประเทศไทย) จำกัด</v>
      </c>
      <c r="M774" s="1" t="s">
        <v>24</v>
      </c>
      <c r="O774" s="2" t="n">
        <v>4750</v>
      </c>
    </row>
    <row r="775" customFormat="false" ht="16.4" hidden="false" customHeight="false" outlineLevel="0" collapsed="false">
      <c r="A775" s="0" t="s">
        <v>15</v>
      </c>
      <c r="B775" s="0" t="s">
        <v>2576</v>
      </c>
      <c r="C775" s="0" t="n">
        <v>114001</v>
      </c>
      <c r="D775" s="0" t="n">
        <v>114001</v>
      </c>
      <c r="E775" s="0" t="s">
        <v>1804</v>
      </c>
      <c r="F775" s="0" t="s">
        <v>18</v>
      </c>
      <c r="G775" s="0" t="s">
        <v>2577</v>
      </c>
      <c r="H775" s="0" t="s">
        <v>2578</v>
      </c>
      <c r="I775" s="0" t="s">
        <v>21</v>
      </c>
      <c r="J775" s="0" t="s">
        <v>22</v>
      </c>
      <c r="K775" s="0" t="s">
        <v>787</v>
      </c>
      <c r="L775" s="0" t="str">
        <f aca="false">IFERROR(VLOOKUP(K775,'Supplier list'!B:C,2,0),"")</f>
        <v>บริษัท ฟิวเจอร์เทค อินเตอร์มาร์เก็ตติ้ง จำกัด</v>
      </c>
      <c r="M775" s="1" t="s">
        <v>24</v>
      </c>
      <c r="O775" s="2" t="n">
        <v>110</v>
      </c>
    </row>
    <row r="776" customFormat="false" ht="16.4" hidden="false" customHeight="false" outlineLevel="0" collapsed="false">
      <c r="A776" s="0" t="s">
        <v>15</v>
      </c>
      <c r="B776" s="0" t="s">
        <v>2579</v>
      </c>
      <c r="C776" s="0" t="n">
        <v>114001</v>
      </c>
      <c r="D776" s="0" t="n">
        <v>114001</v>
      </c>
      <c r="E776" s="0" t="s">
        <v>1605</v>
      </c>
      <c r="F776" s="0" t="s">
        <v>18</v>
      </c>
      <c r="G776" s="0" t="s">
        <v>2580</v>
      </c>
      <c r="H776" s="0" t="s">
        <v>2581</v>
      </c>
      <c r="I776" s="0" t="s">
        <v>21</v>
      </c>
      <c r="J776" s="0" t="s">
        <v>22</v>
      </c>
      <c r="K776" s="0" t="s">
        <v>89</v>
      </c>
      <c r="L776" s="0" t="str">
        <f aca="false">IFERROR(VLOOKUP(K776,'Supplier list'!B:C,2,0),"")</f>
        <v>บริษัท เฮเฟเล่ (ประเทศไทย) จำกัด</v>
      </c>
      <c r="M776" s="1" t="s">
        <v>24</v>
      </c>
      <c r="O776" s="2" t="n">
        <v>18500</v>
      </c>
    </row>
    <row r="777" customFormat="false" ht="16.4" hidden="false" customHeight="false" outlineLevel="0" collapsed="false">
      <c r="A777" s="0" t="s">
        <v>15</v>
      </c>
      <c r="B777" s="0" t="s">
        <v>2582</v>
      </c>
      <c r="C777" s="0" t="n">
        <v>114001</v>
      </c>
      <c r="D777" s="0" t="n">
        <v>114001</v>
      </c>
      <c r="E777" s="0" t="s">
        <v>1764</v>
      </c>
      <c r="F777" s="0" t="s">
        <v>18</v>
      </c>
      <c r="G777" s="0" t="s">
        <v>2583</v>
      </c>
      <c r="H777" s="0" t="s">
        <v>2584</v>
      </c>
      <c r="I777" s="0" t="s">
        <v>21</v>
      </c>
      <c r="J777" s="0" t="s">
        <v>22</v>
      </c>
      <c r="K777" s="0" t="s">
        <v>89</v>
      </c>
      <c r="L777" s="0" t="str">
        <f aca="false">IFERROR(VLOOKUP(K777,'Supplier list'!B:C,2,0),"")</f>
        <v>บริษัท เฮเฟเล่ (ประเทศไทย) จำกัด</v>
      </c>
      <c r="M777" s="1" t="s">
        <v>24</v>
      </c>
      <c r="O777" s="2" t="n">
        <v>1230</v>
      </c>
    </row>
    <row r="778" customFormat="false" ht="16.4" hidden="false" customHeight="false" outlineLevel="0" collapsed="false">
      <c r="A778" s="0" t="s">
        <v>15</v>
      </c>
      <c r="B778" s="0" t="s">
        <v>2585</v>
      </c>
      <c r="C778" s="0" t="n">
        <v>114001</v>
      </c>
      <c r="D778" s="0" t="n">
        <v>114001</v>
      </c>
      <c r="E778" s="0" t="s">
        <v>1605</v>
      </c>
      <c r="F778" s="0" t="s">
        <v>18</v>
      </c>
      <c r="G778" s="0" t="s">
        <v>2586</v>
      </c>
      <c r="H778" s="0" t="s">
        <v>2587</v>
      </c>
      <c r="I778" s="0" t="s">
        <v>21</v>
      </c>
      <c r="J778" s="0" t="s">
        <v>22</v>
      </c>
      <c r="K778" s="0" t="s">
        <v>89</v>
      </c>
      <c r="L778" s="0" t="str">
        <f aca="false">IFERROR(VLOOKUP(K778,'Supplier list'!B:C,2,0),"")</f>
        <v>บริษัท เฮเฟเล่ (ประเทศไทย) จำกัด</v>
      </c>
      <c r="M778" s="1" t="s">
        <v>24</v>
      </c>
      <c r="O778" s="2" t="n">
        <v>103</v>
      </c>
    </row>
    <row r="779" customFormat="false" ht="16.4" hidden="false" customHeight="false" outlineLevel="0" collapsed="false">
      <c r="A779" s="0" t="s">
        <v>15</v>
      </c>
      <c r="B779" s="0" t="s">
        <v>2588</v>
      </c>
      <c r="C779" s="0" t="n">
        <v>114001</v>
      </c>
      <c r="D779" s="0" t="n">
        <v>114001</v>
      </c>
      <c r="E779" s="0" t="s">
        <v>1764</v>
      </c>
      <c r="F779" s="0" t="s">
        <v>18</v>
      </c>
      <c r="G779" s="0" t="s">
        <v>2589</v>
      </c>
      <c r="H779" s="0" t="s">
        <v>2590</v>
      </c>
      <c r="I779" s="0" t="s">
        <v>21</v>
      </c>
      <c r="J779" s="0" t="s">
        <v>22</v>
      </c>
      <c r="K779" s="0" t="s">
        <v>89</v>
      </c>
      <c r="L779" s="0" t="str">
        <f aca="false">IFERROR(VLOOKUP(K779,'Supplier list'!B:C,2,0),"")</f>
        <v>บริษัท เฮเฟเล่ (ประเทศไทย) จำกัด</v>
      </c>
      <c r="M779" s="1" t="s">
        <v>24</v>
      </c>
      <c r="O779" s="2" t="n">
        <v>970</v>
      </c>
    </row>
    <row r="780" customFormat="false" ht="16.4" hidden="false" customHeight="false" outlineLevel="0" collapsed="false">
      <c r="A780" s="0" t="s">
        <v>15</v>
      </c>
      <c r="B780" s="0" t="s">
        <v>2591</v>
      </c>
      <c r="C780" s="0" t="n">
        <v>114001</v>
      </c>
      <c r="D780" s="0" t="n">
        <v>114001</v>
      </c>
      <c r="E780" s="0" t="s">
        <v>1764</v>
      </c>
      <c r="F780" s="0" t="s">
        <v>18</v>
      </c>
      <c r="G780" s="0" t="s">
        <v>2592</v>
      </c>
      <c r="H780" s="0" t="s">
        <v>2593</v>
      </c>
      <c r="I780" s="0" t="s">
        <v>21</v>
      </c>
      <c r="J780" s="0" t="s">
        <v>22</v>
      </c>
      <c r="K780" s="0" t="s">
        <v>2594</v>
      </c>
      <c r="L780" s="0" t="str">
        <f aca="false">IFERROR(VLOOKUP(K780,'Supplier list'!B:C,2,0),"")</f>
        <v>หจก. แพนยูเนี่ยน อิมปอร์ต เอกซ์ปอร์ต</v>
      </c>
      <c r="M780" s="1" t="s">
        <v>24</v>
      </c>
      <c r="O780" s="2" t="n">
        <v>265</v>
      </c>
    </row>
    <row r="781" customFormat="false" ht="16.4" hidden="false" customHeight="false" outlineLevel="0" collapsed="false">
      <c r="A781" s="0" t="s">
        <v>15</v>
      </c>
      <c r="B781" s="0" t="s">
        <v>2595</v>
      </c>
      <c r="C781" s="0" t="n">
        <v>114001</v>
      </c>
      <c r="D781" s="0" t="n">
        <v>114001</v>
      </c>
      <c r="E781" s="0" t="s">
        <v>2596</v>
      </c>
      <c r="F781" s="0" t="s">
        <v>18</v>
      </c>
      <c r="G781" s="0" t="s">
        <v>2597</v>
      </c>
      <c r="H781" s="0" t="s">
        <v>2598</v>
      </c>
      <c r="I781" s="0" t="s">
        <v>21</v>
      </c>
      <c r="J781" s="0" t="s">
        <v>22</v>
      </c>
      <c r="K781" s="0" t="s">
        <v>89</v>
      </c>
      <c r="L781" s="0" t="str">
        <f aca="false">IFERROR(VLOOKUP(K781,'Supplier list'!B:C,2,0),"")</f>
        <v>บริษัท เฮเฟเล่ (ประเทศไทย) จำกัด</v>
      </c>
      <c r="M781" s="1" t="s">
        <v>24</v>
      </c>
      <c r="O781" s="2" t="n">
        <v>260</v>
      </c>
    </row>
    <row r="782" customFormat="false" ht="16.4" hidden="false" customHeight="false" outlineLevel="0" collapsed="false">
      <c r="A782" s="0" t="s">
        <v>15</v>
      </c>
      <c r="B782" s="0" t="s">
        <v>2599</v>
      </c>
      <c r="C782" s="0" t="n">
        <v>114001</v>
      </c>
      <c r="D782" s="0" t="n">
        <v>114001</v>
      </c>
      <c r="E782" s="0" t="s">
        <v>1727</v>
      </c>
      <c r="F782" s="0" t="s">
        <v>18</v>
      </c>
      <c r="G782" s="0" t="s">
        <v>2600</v>
      </c>
      <c r="H782" s="0" t="s">
        <v>2601</v>
      </c>
      <c r="I782" s="0" t="s">
        <v>124</v>
      </c>
      <c r="J782" s="0" t="s">
        <v>125</v>
      </c>
      <c r="K782" s="0" t="s">
        <v>1725</v>
      </c>
      <c r="L782" s="0" t="str">
        <f aca="false">IFERROR(VLOOKUP(K782,'Supplier list'!B:C,2,0),"")</f>
        <v>บริษัท พรีซิชั่นไลน์ จำกัด</v>
      </c>
      <c r="M782" s="1" t="s">
        <v>24</v>
      </c>
      <c r="O782" s="2" t="n">
        <v>2130</v>
      </c>
    </row>
    <row r="783" customFormat="false" ht="16.4" hidden="false" customHeight="false" outlineLevel="0" collapsed="false">
      <c r="A783" s="0" t="s">
        <v>15</v>
      </c>
      <c r="B783" s="0" t="s">
        <v>2602</v>
      </c>
      <c r="C783" s="0" t="n">
        <v>114001</v>
      </c>
      <c r="D783" s="0" t="n">
        <v>114001</v>
      </c>
      <c r="E783" s="0" t="s">
        <v>1653</v>
      </c>
      <c r="F783" s="0" t="s">
        <v>18</v>
      </c>
      <c r="G783" s="0" t="s">
        <v>2603</v>
      </c>
      <c r="H783" s="0" t="s">
        <v>2604</v>
      </c>
      <c r="I783" s="0" t="s">
        <v>124</v>
      </c>
      <c r="J783" s="0" t="s">
        <v>125</v>
      </c>
      <c r="K783" s="0" t="s">
        <v>89</v>
      </c>
      <c r="L783" s="0" t="str">
        <f aca="false">IFERROR(VLOOKUP(K783,'Supplier list'!B:C,2,0),"")</f>
        <v>บริษัท เฮเฟเล่ (ประเทศไทย) จำกัด</v>
      </c>
      <c r="M783" s="1" t="s">
        <v>24</v>
      </c>
      <c r="O783" s="2" t="n">
        <v>2650</v>
      </c>
    </row>
    <row r="784" customFormat="false" ht="16.4" hidden="false" customHeight="false" outlineLevel="0" collapsed="false">
      <c r="A784" s="0" t="s">
        <v>15</v>
      </c>
      <c r="B784" s="0" t="s">
        <v>2605</v>
      </c>
      <c r="C784" s="0" t="n">
        <v>114001</v>
      </c>
      <c r="D784" s="0" t="n">
        <v>114001</v>
      </c>
      <c r="E784" s="0" t="s">
        <v>1653</v>
      </c>
      <c r="F784" s="0" t="s">
        <v>18</v>
      </c>
      <c r="G784" s="0" t="s">
        <v>2606</v>
      </c>
      <c r="H784" s="0" t="s">
        <v>2607</v>
      </c>
      <c r="I784" s="0" t="s">
        <v>124</v>
      </c>
      <c r="J784" s="0" t="s">
        <v>125</v>
      </c>
      <c r="K784" s="0" t="s">
        <v>89</v>
      </c>
      <c r="L784" s="0" t="str">
        <f aca="false">IFERROR(VLOOKUP(K784,'Supplier list'!B:C,2,0),"")</f>
        <v>บริษัท เฮเฟเล่ (ประเทศไทย) จำกัด</v>
      </c>
      <c r="M784" s="1" t="s">
        <v>1740</v>
      </c>
      <c r="N784" s="2" t="n">
        <v>6500</v>
      </c>
      <c r="O784" s="2" t="n">
        <v>3000</v>
      </c>
    </row>
    <row r="785" customFormat="false" ht="16.4" hidden="false" customHeight="false" outlineLevel="0" collapsed="false">
      <c r="A785" s="0" t="s">
        <v>15</v>
      </c>
      <c r="B785" s="0" t="s">
        <v>2608</v>
      </c>
      <c r="C785" s="0" t="n">
        <v>114001</v>
      </c>
      <c r="D785" s="0" t="n">
        <v>114001</v>
      </c>
      <c r="E785" s="0" t="s">
        <v>1328</v>
      </c>
      <c r="F785" s="0" t="s">
        <v>18</v>
      </c>
      <c r="G785" s="0" t="s">
        <v>2609</v>
      </c>
      <c r="H785" s="0" t="s">
        <v>2610</v>
      </c>
      <c r="I785" s="0" t="s">
        <v>124</v>
      </c>
      <c r="J785" s="0" t="s">
        <v>125</v>
      </c>
      <c r="K785" s="0" t="s">
        <v>89</v>
      </c>
      <c r="L785" s="0" t="str">
        <f aca="false">IFERROR(VLOOKUP(K785,'Supplier list'!B:C,2,0),"")</f>
        <v>บริษัท เฮเฟเล่ (ประเทศไทย) จำกัด</v>
      </c>
      <c r="M785" s="1" t="s">
        <v>24</v>
      </c>
      <c r="O785" s="2" t="n">
        <v>20590</v>
      </c>
    </row>
    <row r="786" customFormat="false" ht="16.4" hidden="false" customHeight="false" outlineLevel="0" collapsed="false">
      <c r="A786" s="0" t="s">
        <v>15</v>
      </c>
      <c r="B786" s="0" t="s">
        <v>2611</v>
      </c>
      <c r="C786" s="0" t="n">
        <v>114001</v>
      </c>
      <c r="D786" s="0" t="n">
        <v>114001</v>
      </c>
      <c r="E786" s="0" t="s">
        <v>874</v>
      </c>
      <c r="F786" s="0" t="s">
        <v>18</v>
      </c>
      <c r="G786" s="0" t="s">
        <v>2612</v>
      </c>
      <c r="H786" s="0" t="s">
        <v>2613</v>
      </c>
      <c r="I786" s="0" t="s">
        <v>124</v>
      </c>
      <c r="J786" s="0" t="s">
        <v>125</v>
      </c>
      <c r="K786" s="0" t="s">
        <v>89</v>
      </c>
      <c r="L786" s="0" t="str">
        <f aca="false">IFERROR(VLOOKUP(K786,'Supplier list'!B:C,2,0),"")</f>
        <v>บริษัท เฮเฟเล่ (ประเทศไทย) จำกัด</v>
      </c>
      <c r="M786" s="1" t="s">
        <v>24</v>
      </c>
      <c r="O786" s="2" t="n">
        <v>2700</v>
      </c>
    </row>
    <row r="787" customFormat="false" ht="16.4" hidden="false" customHeight="false" outlineLevel="0" collapsed="false">
      <c r="A787" s="0" t="s">
        <v>15</v>
      </c>
      <c r="B787" s="0" t="s">
        <v>2614</v>
      </c>
      <c r="C787" s="0" t="n">
        <v>114001</v>
      </c>
      <c r="D787" s="0" t="n">
        <v>114001</v>
      </c>
      <c r="E787" s="0" t="s">
        <v>2615</v>
      </c>
      <c r="F787" s="0" t="s">
        <v>18</v>
      </c>
      <c r="G787" s="0" t="s">
        <v>2616</v>
      </c>
      <c r="H787" s="0" t="s">
        <v>2617</v>
      </c>
      <c r="I787" s="0" t="s">
        <v>396</v>
      </c>
      <c r="J787" s="0" t="s">
        <v>397</v>
      </c>
      <c r="K787" s="0" t="s">
        <v>2065</v>
      </c>
      <c r="L787" s="0" t="str">
        <f aca="false">IFERROR(VLOOKUP(K787,'Supplier list'!B:C,2,0),"")</f>
        <v>บริษัท บลู อินเตอร์เนชั่นแนล จำกัด</v>
      </c>
      <c r="M787" s="1" t="s">
        <v>24</v>
      </c>
      <c r="O787" s="2" t="n">
        <v>520</v>
      </c>
    </row>
    <row r="788" customFormat="false" ht="16.4" hidden="false" customHeight="false" outlineLevel="0" collapsed="false">
      <c r="A788" s="0" t="s">
        <v>15</v>
      </c>
      <c r="B788" s="0" t="s">
        <v>2618</v>
      </c>
      <c r="C788" s="0" t="n">
        <v>114001</v>
      </c>
      <c r="D788" s="0" t="n">
        <v>114001</v>
      </c>
      <c r="E788" s="0" t="s">
        <v>1653</v>
      </c>
      <c r="F788" s="0" t="s">
        <v>18</v>
      </c>
      <c r="G788" s="0" t="s">
        <v>2619</v>
      </c>
      <c r="H788" s="0" t="s">
        <v>2620</v>
      </c>
      <c r="I788" s="0" t="s">
        <v>124</v>
      </c>
      <c r="J788" s="0" t="s">
        <v>125</v>
      </c>
      <c r="K788" s="0" t="s">
        <v>89</v>
      </c>
      <c r="L788" s="0" t="str">
        <f aca="false">IFERROR(VLOOKUP(K788,'Supplier list'!B:C,2,0),"")</f>
        <v>บริษัท เฮเฟเล่ (ประเทศไทย) จำกัด</v>
      </c>
      <c r="M788" s="1" t="s">
        <v>24</v>
      </c>
      <c r="O788" s="2" t="n">
        <v>14019</v>
      </c>
    </row>
    <row r="789" customFormat="false" ht="16.4" hidden="false" customHeight="false" outlineLevel="0" collapsed="false">
      <c r="A789" s="0" t="s">
        <v>15</v>
      </c>
      <c r="B789" s="0" t="s">
        <v>2621</v>
      </c>
      <c r="C789" s="0" t="n">
        <v>114001</v>
      </c>
      <c r="D789" s="0" t="n">
        <v>114001</v>
      </c>
      <c r="E789" s="0" t="s">
        <v>1653</v>
      </c>
      <c r="F789" s="0" t="s">
        <v>18</v>
      </c>
      <c r="G789" s="0" t="s">
        <v>2622</v>
      </c>
      <c r="H789" s="0" t="s">
        <v>2623</v>
      </c>
      <c r="I789" s="0" t="s">
        <v>124</v>
      </c>
      <c r="J789" s="0" t="s">
        <v>125</v>
      </c>
      <c r="K789" s="0" t="s">
        <v>89</v>
      </c>
      <c r="L789" s="0" t="str">
        <f aca="false">IFERROR(VLOOKUP(K789,'Supplier list'!B:C,2,0),"")</f>
        <v>บริษัท เฮเฟเล่ (ประเทศไทย) จำกัด</v>
      </c>
      <c r="M789" s="1" t="s">
        <v>1740</v>
      </c>
      <c r="N789" s="2" t="n">
        <v>32500</v>
      </c>
      <c r="O789" s="2" t="n">
        <v>19950</v>
      </c>
    </row>
    <row r="790" customFormat="false" ht="16.4" hidden="false" customHeight="false" outlineLevel="0" collapsed="false">
      <c r="A790" s="0" t="s">
        <v>15</v>
      </c>
      <c r="B790" s="0" t="s">
        <v>2624</v>
      </c>
      <c r="C790" s="0" t="n">
        <v>114001</v>
      </c>
      <c r="D790" s="0" t="n">
        <v>114001</v>
      </c>
      <c r="E790" s="0" t="s">
        <v>1653</v>
      </c>
      <c r="F790" s="0" t="s">
        <v>18</v>
      </c>
      <c r="G790" s="0" t="s">
        <v>2625</v>
      </c>
      <c r="H790" s="0" t="s">
        <v>2626</v>
      </c>
      <c r="I790" s="0" t="s">
        <v>124</v>
      </c>
      <c r="J790" s="0" t="s">
        <v>125</v>
      </c>
      <c r="K790" s="0" t="s">
        <v>89</v>
      </c>
      <c r="L790" s="0" t="str">
        <f aca="false">IFERROR(VLOOKUP(K790,'Supplier list'!B:C,2,0),"")</f>
        <v>บริษัท เฮเฟเล่ (ประเทศไทย) จำกัด</v>
      </c>
      <c r="M790" s="1" t="s">
        <v>1740</v>
      </c>
      <c r="N790" s="2" t="n">
        <v>39900</v>
      </c>
      <c r="O790" s="2" t="n">
        <v>510</v>
      </c>
    </row>
    <row r="791" customFormat="false" ht="16.4" hidden="false" customHeight="false" outlineLevel="0" collapsed="false">
      <c r="A791" s="0" t="s">
        <v>15</v>
      </c>
      <c r="B791" s="0" t="s">
        <v>2627</v>
      </c>
      <c r="C791" s="0" t="n">
        <v>114001</v>
      </c>
      <c r="D791" s="0" t="n">
        <v>114001</v>
      </c>
      <c r="E791" s="0" t="s">
        <v>1653</v>
      </c>
      <c r="F791" s="0" t="s">
        <v>18</v>
      </c>
      <c r="G791" s="0" t="s">
        <v>2628</v>
      </c>
      <c r="H791" s="0" t="s">
        <v>2629</v>
      </c>
      <c r="I791" s="0" t="s">
        <v>124</v>
      </c>
      <c r="J791" s="0" t="s">
        <v>125</v>
      </c>
      <c r="K791" s="0" t="s">
        <v>89</v>
      </c>
      <c r="L791" s="0" t="str">
        <f aca="false">IFERROR(VLOOKUP(K791,'Supplier list'!B:C,2,0),"")</f>
        <v>บริษัท เฮเฟเล่ (ประเทศไทย) จำกัด</v>
      </c>
      <c r="M791" s="1" t="s">
        <v>1740</v>
      </c>
      <c r="N791" s="2" t="n">
        <v>40500</v>
      </c>
      <c r="O791" s="2" t="n">
        <v>26150</v>
      </c>
    </row>
    <row r="792" customFormat="false" ht="16.4" hidden="false" customHeight="false" outlineLevel="0" collapsed="false">
      <c r="A792" s="0" t="s">
        <v>15</v>
      </c>
      <c r="B792" s="0" t="s">
        <v>2630</v>
      </c>
      <c r="C792" s="0" t="n">
        <v>114001</v>
      </c>
      <c r="D792" s="0" t="n">
        <v>114001</v>
      </c>
      <c r="E792" s="0" t="s">
        <v>1653</v>
      </c>
      <c r="F792" s="0" t="s">
        <v>18</v>
      </c>
      <c r="G792" s="0" t="s">
        <v>2631</v>
      </c>
      <c r="H792" s="0" t="s">
        <v>2632</v>
      </c>
      <c r="I792" s="0" t="s">
        <v>124</v>
      </c>
      <c r="J792" s="0" t="s">
        <v>125</v>
      </c>
      <c r="K792" s="0" t="s">
        <v>89</v>
      </c>
      <c r="L792" s="0" t="str">
        <f aca="false">IFERROR(VLOOKUP(K792,'Supplier list'!B:C,2,0),"")</f>
        <v>บริษัท เฮเฟเล่ (ประเทศไทย) จำกัด</v>
      </c>
      <c r="M792" s="1" t="s">
        <v>1740</v>
      </c>
      <c r="N792" s="2" t="n">
        <v>3590</v>
      </c>
      <c r="O792" s="2" t="n">
        <v>14</v>
      </c>
    </row>
    <row r="793" customFormat="false" ht="16.4" hidden="false" customHeight="false" outlineLevel="0" collapsed="false">
      <c r="A793" s="0" t="s">
        <v>15</v>
      </c>
      <c r="B793" s="0" t="s">
        <v>2633</v>
      </c>
      <c r="C793" s="0" t="n">
        <v>114001</v>
      </c>
      <c r="D793" s="0" t="n">
        <v>114001</v>
      </c>
      <c r="E793" s="0" t="s">
        <v>1653</v>
      </c>
      <c r="F793" s="0" t="s">
        <v>18</v>
      </c>
      <c r="G793" s="0" t="s">
        <v>2634</v>
      </c>
      <c r="H793" s="0" t="s">
        <v>2635</v>
      </c>
      <c r="I793" s="0" t="s">
        <v>124</v>
      </c>
      <c r="J793" s="0" t="s">
        <v>125</v>
      </c>
      <c r="K793" s="0" t="s">
        <v>89</v>
      </c>
      <c r="L793" s="0" t="str">
        <f aca="false">IFERROR(VLOOKUP(K793,'Supplier list'!B:C,2,0),"")</f>
        <v>บริษัท เฮเฟเล่ (ประเทศไทย) จำกัด</v>
      </c>
      <c r="M793" s="1" t="s">
        <v>24</v>
      </c>
      <c r="O793" s="2" t="n">
        <v>770</v>
      </c>
    </row>
    <row r="794" customFormat="false" ht="16.4" hidden="false" customHeight="false" outlineLevel="0" collapsed="false">
      <c r="A794" s="0" t="s">
        <v>15</v>
      </c>
      <c r="B794" s="0" t="s">
        <v>2636</v>
      </c>
      <c r="C794" s="0" t="n">
        <v>114001</v>
      </c>
      <c r="D794" s="0" t="n">
        <v>114001</v>
      </c>
      <c r="E794" s="0" t="s">
        <v>1653</v>
      </c>
      <c r="F794" s="0" t="s">
        <v>18</v>
      </c>
      <c r="G794" s="0" t="s">
        <v>2637</v>
      </c>
      <c r="H794" s="0" t="s">
        <v>2638</v>
      </c>
      <c r="I794" s="0" t="s">
        <v>124</v>
      </c>
      <c r="J794" s="0" t="s">
        <v>125</v>
      </c>
      <c r="K794" s="0" t="s">
        <v>89</v>
      </c>
      <c r="L794" s="0" t="str">
        <f aca="false">IFERROR(VLOOKUP(K794,'Supplier list'!B:C,2,0),"")</f>
        <v>บริษัท เฮเฟเล่ (ประเทศไทย) จำกัด</v>
      </c>
      <c r="M794" s="1" t="s">
        <v>1740</v>
      </c>
      <c r="N794" s="2" t="n">
        <v>14990</v>
      </c>
      <c r="O794" s="2" t="n">
        <v>8745</v>
      </c>
    </row>
    <row r="795" customFormat="false" ht="16.4" hidden="false" customHeight="false" outlineLevel="0" collapsed="false">
      <c r="A795" s="0" t="s">
        <v>15</v>
      </c>
      <c r="B795" s="0" t="s">
        <v>2639</v>
      </c>
      <c r="C795" s="0" t="n">
        <v>114001</v>
      </c>
      <c r="D795" s="0" t="n">
        <v>114001</v>
      </c>
      <c r="E795" s="0" t="s">
        <v>1653</v>
      </c>
      <c r="F795" s="0" t="s">
        <v>18</v>
      </c>
      <c r="G795" s="0" t="s">
        <v>2640</v>
      </c>
      <c r="H795" s="0" t="s">
        <v>2641</v>
      </c>
      <c r="I795" s="0" t="s">
        <v>124</v>
      </c>
      <c r="J795" s="0" t="s">
        <v>125</v>
      </c>
      <c r="K795" s="0" t="s">
        <v>89</v>
      </c>
      <c r="L795" s="0" t="str">
        <f aca="false">IFERROR(VLOOKUP(K795,'Supplier list'!B:C,2,0),"")</f>
        <v>บริษัท เฮเฟเล่ (ประเทศไทย) จำกัด</v>
      </c>
      <c r="M795" s="1" t="s">
        <v>1740</v>
      </c>
      <c r="N795" s="2" t="n">
        <v>3990</v>
      </c>
      <c r="O795" s="2" t="n">
        <v>3500</v>
      </c>
    </row>
    <row r="796" customFormat="false" ht="16.4" hidden="false" customHeight="false" outlineLevel="0" collapsed="false">
      <c r="A796" s="0" t="s">
        <v>15</v>
      </c>
      <c r="B796" s="0" t="s">
        <v>2642</v>
      </c>
      <c r="C796" s="0" t="n">
        <v>114001</v>
      </c>
      <c r="D796" s="0" t="n">
        <v>114001</v>
      </c>
      <c r="E796" s="0" t="s">
        <v>1653</v>
      </c>
      <c r="F796" s="0" t="s">
        <v>18</v>
      </c>
      <c r="G796" s="0" t="s">
        <v>2643</v>
      </c>
      <c r="H796" s="0" t="s">
        <v>2644</v>
      </c>
      <c r="I796" s="0" t="s">
        <v>124</v>
      </c>
      <c r="J796" s="0" t="s">
        <v>125</v>
      </c>
      <c r="K796" s="0" t="s">
        <v>89</v>
      </c>
      <c r="L796" s="0" t="str">
        <f aca="false">IFERROR(VLOOKUP(K796,'Supplier list'!B:C,2,0),"")</f>
        <v>บริษัท เฮเฟเล่ (ประเทศไทย) จำกัด</v>
      </c>
      <c r="M796" s="1" t="s">
        <v>24</v>
      </c>
      <c r="O796" s="2" t="n">
        <v>545</v>
      </c>
    </row>
    <row r="797" customFormat="false" ht="16.4" hidden="false" customHeight="false" outlineLevel="0" collapsed="false">
      <c r="A797" s="0" t="s">
        <v>15</v>
      </c>
      <c r="B797" s="0" t="s">
        <v>2645</v>
      </c>
      <c r="C797" s="0" t="n">
        <v>114001</v>
      </c>
      <c r="D797" s="0" t="n">
        <v>114001</v>
      </c>
      <c r="E797" s="0" t="s">
        <v>961</v>
      </c>
      <c r="F797" s="0" t="s">
        <v>18</v>
      </c>
      <c r="G797" s="0" t="s">
        <v>2646</v>
      </c>
      <c r="H797" s="0" t="s">
        <v>2647</v>
      </c>
      <c r="I797" s="0" t="s">
        <v>124</v>
      </c>
      <c r="J797" s="0" t="s">
        <v>125</v>
      </c>
      <c r="K797" s="0" t="s">
        <v>89</v>
      </c>
      <c r="L797" s="0" t="str">
        <f aca="false">IFERROR(VLOOKUP(K797,'Supplier list'!B:C,2,0),"")</f>
        <v>บริษัท เฮเฟเล่ (ประเทศไทย) จำกัด</v>
      </c>
      <c r="M797" s="1" t="s">
        <v>24</v>
      </c>
      <c r="O797" s="2" t="n">
        <v>2.5</v>
      </c>
    </row>
    <row r="798" customFormat="false" ht="16.4" hidden="false" customHeight="false" outlineLevel="0" collapsed="false">
      <c r="A798" s="0" t="s">
        <v>15</v>
      </c>
      <c r="B798" s="0" t="s">
        <v>2648</v>
      </c>
      <c r="C798" s="0" t="n">
        <v>114001</v>
      </c>
      <c r="D798" s="0" t="n">
        <v>114001</v>
      </c>
      <c r="E798" s="0" t="s">
        <v>961</v>
      </c>
      <c r="F798" s="0" t="s">
        <v>18</v>
      </c>
      <c r="G798" s="0" t="s">
        <v>2649</v>
      </c>
      <c r="H798" s="0" t="s">
        <v>2650</v>
      </c>
      <c r="I798" s="0" t="s">
        <v>124</v>
      </c>
      <c r="J798" s="0" t="s">
        <v>125</v>
      </c>
      <c r="K798" s="0" t="s">
        <v>89</v>
      </c>
      <c r="L798" s="0" t="str">
        <f aca="false">IFERROR(VLOOKUP(K798,'Supplier list'!B:C,2,0),"")</f>
        <v>บริษัท เฮเฟเล่ (ประเทศไทย) จำกัด</v>
      </c>
      <c r="M798" s="1" t="s">
        <v>24</v>
      </c>
      <c r="O798" s="2" t="n">
        <v>4300</v>
      </c>
    </row>
    <row r="799" customFormat="false" ht="16.4" hidden="false" customHeight="false" outlineLevel="0" collapsed="false">
      <c r="A799" s="0" t="s">
        <v>15</v>
      </c>
      <c r="B799" s="0" t="s">
        <v>2651</v>
      </c>
      <c r="C799" s="0" t="n">
        <v>114001</v>
      </c>
      <c r="D799" s="0" t="n">
        <v>114001</v>
      </c>
      <c r="E799" s="0" t="s">
        <v>961</v>
      </c>
      <c r="F799" s="0" t="s">
        <v>18</v>
      </c>
      <c r="G799" s="0" t="s">
        <v>2652</v>
      </c>
      <c r="H799" s="0" t="s">
        <v>2653</v>
      </c>
      <c r="I799" s="0" t="s">
        <v>124</v>
      </c>
      <c r="J799" s="0" t="s">
        <v>125</v>
      </c>
      <c r="K799" s="0" t="s">
        <v>89</v>
      </c>
      <c r="L799" s="0" t="str">
        <f aca="false">IFERROR(VLOOKUP(K799,'Supplier list'!B:C,2,0),"")</f>
        <v>บริษัท เฮเฟเล่ (ประเทศไทย) จำกัด</v>
      </c>
      <c r="M799" s="1" t="s">
        <v>24</v>
      </c>
      <c r="O799" s="2" t="n">
        <v>4627</v>
      </c>
    </row>
    <row r="800" customFormat="false" ht="16.4" hidden="false" customHeight="false" outlineLevel="0" collapsed="false">
      <c r="A800" s="0" t="s">
        <v>15</v>
      </c>
      <c r="B800" s="0" t="s">
        <v>2654</v>
      </c>
      <c r="C800" s="0" t="n">
        <v>114001</v>
      </c>
      <c r="D800" s="0" t="n">
        <v>114001</v>
      </c>
      <c r="E800" s="0" t="s">
        <v>961</v>
      </c>
      <c r="F800" s="0" t="s">
        <v>18</v>
      </c>
      <c r="G800" s="0" t="s">
        <v>2655</v>
      </c>
      <c r="H800" s="0" t="s">
        <v>2656</v>
      </c>
      <c r="I800" s="0" t="s">
        <v>124</v>
      </c>
      <c r="J800" s="0" t="s">
        <v>125</v>
      </c>
      <c r="K800" s="0" t="s">
        <v>89</v>
      </c>
      <c r="L800" s="0" t="str">
        <f aca="false">IFERROR(VLOOKUP(K800,'Supplier list'!B:C,2,0),"")</f>
        <v>บริษัท เฮเฟเล่ (ประเทศไทย) จำกัด</v>
      </c>
      <c r="M800" s="1" t="s">
        <v>24</v>
      </c>
      <c r="O800" s="2" t="n">
        <v>4206</v>
      </c>
    </row>
    <row r="801" customFormat="false" ht="16.4" hidden="false" customHeight="false" outlineLevel="0" collapsed="false">
      <c r="A801" s="0" t="s">
        <v>15</v>
      </c>
      <c r="B801" s="0" t="s">
        <v>2657</v>
      </c>
      <c r="C801" s="0" t="n">
        <v>114001</v>
      </c>
      <c r="D801" s="0" t="n">
        <v>114001</v>
      </c>
      <c r="E801" s="0" t="s">
        <v>961</v>
      </c>
      <c r="F801" s="0" t="s">
        <v>18</v>
      </c>
      <c r="G801" s="0" t="s">
        <v>2658</v>
      </c>
      <c r="H801" s="0" t="s">
        <v>2659</v>
      </c>
      <c r="I801" s="0" t="s">
        <v>124</v>
      </c>
      <c r="J801" s="0" t="s">
        <v>125</v>
      </c>
      <c r="K801" s="0" t="s">
        <v>89</v>
      </c>
      <c r="L801" s="0" t="str">
        <f aca="false">IFERROR(VLOOKUP(K801,'Supplier list'!B:C,2,0),"")</f>
        <v>บริษัท เฮเฟเล่ (ประเทศไทย) จำกัด</v>
      </c>
      <c r="M801" s="1" t="s">
        <v>24</v>
      </c>
      <c r="O801" s="2" t="n">
        <v>5617</v>
      </c>
    </row>
    <row r="802" customFormat="false" ht="16.4" hidden="false" customHeight="false" outlineLevel="0" collapsed="false">
      <c r="A802" s="0" t="s">
        <v>15</v>
      </c>
      <c r="B802" s="0" t="s">
        <v>2660</v>
      </c>
      <c r="C802" s="0" t="n">
        <v>114001</v>
      </c>
      <c r="D802" s="0" t="n">
        <v>114001</v>
      </c>
      <c r="E802" s="0" t="s">
        <v>961</v>
      </c>
      <c r="F802" s="0" t="s">
        <v>18</v>
      </c>
      <c r="G802" s="0" t="s">
        <v>2661</v>
      </c>
      <c r="H802" s="0" t="s">
        <v>2662</v>
      </c>
      <c r="I802" s="0" t="s">
        <v>124</v>
      </c>
      <c r="J802" s="0" t="s">
        <v>125</v>
      </c>
      <c r="K802" s="0" t="s">
        <v>89</v>
      </c>
      <c r="L802" s="0" t="str">
        <f aca="false">IFERROR(VLOOKUP(K802,'Supplier list'!B:C,2,0),"")</f>
        <v>บริษัท เฮเฟเล่ (ประเทศไทย) จำกัด</v>
      </c>
      <c r="M802" s="1" t="s">
        <v>24</v>
      </c>
      <c r="O802" s="2" t="n">
        <v>5505</v>
      </c>
    </row>
    <row r="803" customFormat="false" ht="16.4" hidden="false" customHeight="false" outlineLevel="0" collapsed="false">
      <c r="A803" s="0" t="s">
        <v>15</v>
      </c>
      <c r="B803" s="0" t="s">
        <v>2663</v>
      </c>
      <c r="C803" s="0" t="n">
        <v>114001</v>
      </c>
      <c r="D803" s="0" t="n">
        <v>114001</v>
      </c>
      <c r="E803" s="0" t="s">
        <v>961</v>
      </c>
      <c r="F803" s="0" t="s">
        <v>18</v>
      </c>
      <c r="G803" s="0" t="s">
        <v>2664</v>
      </c>
      <c r="H803" s="0" t="s">
        <v>2665</v>
      </c>
      <c r="I803" s="0" t="s">
        <v>124</v>
      </c>
      <c r="J803" s="0" t="s">
        <v>125</v>
      </c>
      <c r="K803" s="0" t="s">
        <v>89</v>
      </c>
      <c r="L803" s="0" t="str">
        <f aca="false">IFERROR(VLOOKUP(K803,'Supplier list'!B:C,2,0),"")</f>
        <v>บริษัท เฮเฟเล่ (ประเทศไทย) จำกัด</v>
      </c>
      <c r="M803" s="1" t="s">
        <v>24</v>
      </c>
      <c r="O803" s="2" t="n">
        <v>6019</v>
      </c>
    </row>
    <row r="804" customFormat="false" ht="16.4" hidden="false" customHeight="false" outlineLevel="0" collapsed="false">
      <c r="A804" s="0" t="s">
        <v>15</v>
      </c>
      <c r="B804" s="0" t="s">
        <v>2666</v>
      </c>
      <c r="C804" s="0" t="n">
        <v>114001</v>
      </c>
      <c r="D804" s="0" t="n">
        <v>114001</v>
      </c>
      <c r="E804" s="0" t="s">
        <v>961</v>
      </c>
      <c r="F804" s="0" t="s">
        <v>18</v>
      </c>
      <c r="G804" s="0" t="s">
        <v>2667</v>
      </c>
      <c r="H804" s="0" t="s">
        <v>2668</v>
      </c>
      <c r="I804" s="0" t="s">
        <v>124</v>
      </c>
      <c r="J804" s="0" t="s">
        <v>125</v>
      </c>
      <c r="K804" s="0" t="s">
        <v>89</v>
      </c>
      <c r="L804" s="0" t="str">
        <f aca="false">IFERROR(VLOOKUP(K804,'Supplier list'!B:C,2,0),"")</f>
        <v>บริษัท เฮเฟเล่ (ประเทศไทย) จำกัด</v>
      </c>
      <c r="M804" s="1" t="s">
        <v>24</v>
      </c>
      <c r="O804" s="2" t="n">
        <v>5674</v>
      </c>
    </row>
    <row r="805" customFormat="false" ht="16.4" hidden="false" customHeight="false" outlineLevel="0" collapsed="false">
      <c r="A805" s="0" t="s">
        <v>15</v>
      </c>
      <c r="B805" s="0" t="s">
        <v>2669</v>
      </c>
      <c r="C805" s="0" t="n">
        <v>114001</v>
      </c>
      <c r="D805" s="0" t="n">
        <v>114001</v>
      </c>
      <c r="E805" s="0" t="s">
        <v>1815</v>
      </c>
      <c r="F805" s="0" t="s">
        <v>18</v>
      </c>
      <c r="G805" s="0" t="s">
        <v>2670</v>
      </c>
      <c r="H805" s="0" t="s">
        <v>2671</v>
      </c>
      <c r="I805" s="0" t="s">
        <v>124</v>
      </c>
      <c r="J805" s="0" t="s">
        <v>125</v>
      </c>
      <c r="K805" s="0" t="s">
        <v>89</v>
      </c>
      <c r="L805" s="0" t="str">
        <f aca="false">IFERROR(VLOOKUP(K805,'Supplier list'!B:C,2,0),"")</f>
        <v>บริษัท เฮเฟเล่ (ประเทศไทย) จำกัด</v>
      </c>
      <c r="M805" s="1" t="s">
        <v>24</v>
      </c>
      <c r="O805" s="2" t="n">
        <v>1506</v>
      </c>
    </row>
    <row r="806" customFormat="false" ht="16.4" hidden="false" customHeight="false" outlineLevel="0" collapsed="false">
      <c r="A806" s="0" t="s">
        <v>15</v>
      </c>
      <c r="B806" s="0" t="s">
        <v>2672</v>
      </c>
      <c r="C806" s="0" t="n">
        <v>114001</v>
      </c>
      <c r="D806" s="0" t="n">
        <v>114001</v>
      </c>
      <c r="E806" s="0" t="s">
        <v>1815</v>
      </c>
      <c r="F806" s="0" t="s">
        <v>18</v>
      </c>
      <c r="G806" s="0" t="s">
        <v>2673</v>
      </c>
      <c r="H806" s="0" t="s">
        <v>2674</v>
      </c>
      <c r="I806" s="0" t="s">
        <v>124</v>
      </c>
      <c r="J806" s="0" t="s">
        <v>125</v>
      </c>
      <c r="K806" s="0" t="s">
        <v>89</v>
      </c>
      <c r="L806" s="0" t="str">
        <f aca="false">IFERROR(VLOOKUP(K806,'Supplier list'!B:C,2,0),"")</f>
        <v>บริษัท เฮเฟเล่ (ประเทศไทย) จำกัด</v>
      </c>
      <c r="M806" s="1" t="s">
        <v>24</v>
      </c>
      <c r="O806" s="2" t="n">
        <v>2059</v>
      </c>
    </row>
    <row r="807" customFormat="false" ht="16.4" hidden="false" customHeight="false" outlineLevel="0" collapsed="false">
      <c r="A807" s="0" t="s">
        <v>15</v>
      </c>
      <c r="B807" s="0" t="s">
        <v>2675</v>
      </c>
      <c r="C807" s="0" t="n">
        <v>114001</v>
      </c>
      <c r="D807" s="0" t="n">
        <v>114001</v>
      </c>
      <c r="E807" s="0" t="s">
        <v>1653</v>
      </c>
      <c r="F807" s="0" t="s">
        <v>18</v>
      </c>
      <c r="G807" s="0" t="s">
        <v>2676</v>
      </c>
      <c r="H807" s="0" t="s">
        <v>2604</v>
      </c>
      <c r="I807" s="0" t="s">
        <v>124</v>
      </c>
      <c r="J807" s="0" t="s">
        <v>125</v>
      </c>
      <c r="K807" s="0" t="s">
        <v>89</v>
      </c>
      <c r="L807" s="0" t="str">
        <f aca="false">IFERROR(VLOOKUP(K807,'Supplier list'!B:C,2,0),"")</f>
        <v>บริษัท เฮเฟเล่ (ประเทศไทย) จำกัด</v>
      </c>
      <c r="M807" s="1" t="s">
        <v>24</v>
      </c>
      <c r="O807" s="2" t="n">
        <v>5888</v>
      </c>
    </row>
    <row r="808" customFormat="false" ht="16.4" hidden="false" customHeight="false" outlineLevel="0" collapsed="false">
      <c r="A808" s="0" t="s">
        <v>15</v>
      </c>
      <c r="B808" s="0" t="s">
        <v>2677</v>
      </c>
      <c r="C808" s="0" t="n">
        <v>114001</v>
      </c>
      <c r="D808" s="0" t="n">
        <v>114001</v>
      </c>
      <c r="E808" s="0" t="s">
        <v>1653</v>
      </c>
      <c r="F808" s="0" t="s">
        <v>18</v>
      </c>
      <c r="G808" s="0" t="s">
        <v>2678</v>
      </c>
      <c r="H808" s="0" t="s">
        <v>2679</v>
      </c>
      <c r="I808" s="0" t="s">
        <v>124</v>
      </c>
      <c r="J808" s="0" t="s">
        <v>125</v>
      </c>
      <c r="K808" s="0" t="s">
        <v>1725</v>
      </c>
      <c r="L808" s="0" t="str">
        <f aca="false">IFERROR(VLOOKUP(K808,'Supplier list'!B:C,2,0),"")</f>
        <v>บริษัท พรีซิชั่นไลน์ จำกัด</v>
      </c>
      <c r="M808" s="1" t="s">
        <v>24</v>
      </c>
      <c r="O808" s="2" t="n">
        <v>0</v>
      </c>
    </row>
    <row r="809" customFormat="false" ht="16.4" hidden="false" customHeight="false" outlineLevel="0" collapsed="false">
      <c r="A809" s="0" t="s">
        <v>15</v>
      </c>
      <c r="B809" s="0" t="s">
        <v>2680</v>
      </c>
      <c r="C809" s="0" t="n">
        <v>114001</v>
      </c>
      <c r="D809" s="0" t="n">
        <v>114001</v>
      </c>
      <c r="E809" s="0" t="s">
        <v>1653</v>
      </c>
      <c r="F809" s="0" t="s">
        <v>18</v>
      </c>
      <c r="G809" s="0" t="s">
        <v>2681</v>
      </c>
      <c r="H809" s="0" t="s">
        <v>2682</v>
      </c>
      <c r="I809" s="0" t="s">
        <v>124</v>
      </c>
      <c r="J809" s="0" t="s">
        <v>125</v>
      </c>
      <c r="K809" s="0" t="s">
        <v>1725</v>
      </c>
      <c r="L809" s="0" t="str">
        <f aca="false">IFERROR(VLOOKUP(K809,'Supplier list'!B:C,2,0),"")</f>
        <v>บริษัท พรีซิชั่นไลน์ จำกัด</v>
      </c>
      <c r="M809" s="1" t="s">
        <v>24</v>
      </c>
      <c r="O809" s="2" t="n">
        <v>0</v>
      </c>
    </row>
    <row r="810" customFormat="false" ht="16.4" hidden="false" customHeight="false" outlineLevel="0" collapsed="false">
      <c r="A810" s="0" t="s">
        <v>15</v>
      </c>
      <c r="B810" s="0" t="s">
        <v>2683</v>
      </c>
      <c r="C810" s="0" t="n">
        <v>114001</v>
      </c>
      <c r="D810" s="0" t="n">
        <v>114001</v>
      </c>
      <c r="E810" s="0" t="s">
        <v>2684</v>
      </c>
      <c r="F810" s="0" t="s">
        <v>18</v>
      </c>
      <c r="G810" s="0" t="s">
        <v>2685</v>
      </c>
      <c r="H810" s="0" t="s">
        <v>2686</v>
      </c>
      <c r="I810" s="0" t="s">
        <v>124</v>
      </c>
      <c r="J810" s="0" t="s">
        <v>125</v>
      </c>
      <c r="K810" s="0" t="s">
        <v>89</v>
      </c>
      <c r="L810" s="0" t="str">
        <f aca="false">IFERROR(VLOOKUP(K810,'Supplier list'!B:C,2,0),"")</f>
        <v>บริษัท เฮเฟเล่ (ประเทศไทย) จำกัด</v>
      </c>
      <c r="M810" s="1" t="s">
        <v>24</v>
      </c>
      <c r="O810" s="2" t="n">
        <v>5514</v>
      </c>
    </row>
    <row r="811" customFormat="false" ht="16.4" hidden="false" customHeight="false" outlineLevel="0" collapsed="false">
      <c r="A811" s="0" t="s">
        <v>15</v>
      </c>
      <c r="B811" s="0" t="s">
        <v>2687</v>
      </c>
      <c r="C811" s="0" t="n">
        <v>114001</v>
      </c>
      <c r="D811" s="0" t="n">
        <v>114001</v>
      </c>
      <c r="E811" s="0" t="s">
        <v>1804</v>
      </c>
      <c r="F811" s="0" t="s">
        <v>18</v>
      </c>
      <c r="G811" s="0" t="s">
        <v>2688</v>
      </c>
      <c r="H811" s="0" t="s">
        <v>2689</v>
      </c>
      <c r="I811" s="0" t="s">
        <v>124</v>
      </c>
      <c r="J811" s="0" t="s">
        <v>125</v>
      </c>
      <c r="K811" s="0" t="s">
        <v>787</v>
      </c>
      <c r="L811" s="0" t="str">
        <f aca="false">IFERROR(VLOOKUP(K811,'Supplier list'!B:C,2,0),"")</f>
        <v>บริษัท ฟิวเจอร์เทค อินเตอร์มาร์เก็ตติ้ง จำกัด</v>
      </c>
      <c r="M811" s="1" t="s">
        <v>24</v>
      </c>
      <c r="O811" s="2" t="n">
        <v>2450</v>
      </c>
    </row>
    <row r="812" customFormat="false" ht="16.4" hidden="false" customHeight="false" outlineLevel="0" collapsed="false">
      <c r="A812" s="0" t="s">
        <v>15</v>
      </c>
      <c r="B812" s="0" t="s">
        <v>2690</v>
      </c>
      <c r="C812" s="0" t="n">
        <v>114001</v>
      </c>
      <c r="D812" s="0" t="n">
        <v>114001</v>
      </c>
      <c r="E812" s="0" t="s">
        <v>1727</v>
      </c>
      <c r="F812" s="0" t="s">
        <v>18</v>
      </c>
      <c r="G812" s="0" t="s">
        <v>2691</v>
      </c>
      <c r="H812" s="0" t="s">
        <v>2692</v>
      </c>
      <c r="I812" s="0" t="s">
        <v>124</v>
      </c>
      <c r="J812" s="0" t="s">
        <v>125</v>
      </c>
      <c r="K812" s="0" t="s">
        <v>1725</v>
      </c>
      <c r="L812" s="0" t="str">
        <f aca="false">IFERROR(VLOOKUP(K812,'Supplier list'!B:C,2,0),"")</f>
        <v>บริษัท พรีซิชั่นไลน์ จำกัด</v>
      </c>
      <c r="M812" s="1" t="s">
        <v>24</v>
      </c>
      <c r="O812" s="2" t="n">
        <v>3550</v>
      </c>
    </row>
    <row r="813" customFormat="false" ht="16.4" hidden="false" customHeight="false" outlineLevel="0" collapsed="false">
      <c r="A813" s="0" t="s">
        <v>15</v>
      </c>
      <c r="B813" s="0" t="s">
        <v>2693</v>
      </c>
      <c r="C813" s="0" t="n">
        <v>114001</v>
      </c>
      <c r="D813" s="0" t="n">
        <v>114001</v>
      </c>
      <c r="E813" s="0" t="s">
        <v>1804</v>
      </c>
      <c r="F813" s="0" t="s">
        <v>18</v>
      </c>
      <c r="G813" s="0" t="s">
        <v>2694</v>
      </c>
      <c r="H813" s="0" t="s">
        <v>2695</v>
      </c>
      <c r="I813" s="0" t="s">
        <v>124</v>
      </c>
      <c r="J813" s="0" t="s">
        <v>125</v>
      </c>
      <c r="K813" s="0" t="s">
        <v>1725</v>
      </c>
      <c r="L813" s="0" t="str">
        <f aca="false">IFERROR(VLOOKUP(K813,'Supplier list'!B:C,2,0),"")</f>
        <v>บริษัท พรีซิชั่นไลน์ จำกัด</v>
      </c>
      <c r="M813" s="1" t="s">
        <v>1740</v>
      </c>
      <c r="N813" s="2" t="n">
        <v>12900</v>
      </c>
      <c r="O813" s="2" t="n">
        <v>0</v>
      </c>
    </row>
    <row r="814" customFormat="false" ht="16.4" hidden="false" customHeight="false" outlineLevel="0" collapsed="false">
      <c r="A814" s="0" t="s">
        <v>15</v>
      </c>
      <c r="B814" s="0" t="s">
        <v>2696</v>
      </c>
      <c r="C814" s="0" t="n">
        <v>114001</v>
      </c>
      <c r="D814" s="0" t="n">
        <v>114001</v>
      </c>
      <c r="E814" s="0" t="s">
        <v>1804</v>
      </c>
      <c r="F814" s="0" t="s">
        <v>18</v>
      </c>
      <c r="G814" s="0" t="s">
        <v>2697</v>
      </c>
      <c r="H814" s="0" t="s">
        <v>2698</v>
      </c>
      <c r="I814" s="0" t="s">
        <v>124</v>
      </c>
      <c r="J814" s="0" t="s">
        <v>125</v>
      </c>
      <c r="K814" s="0" t="s">
        <v>1725</v>
      </c>
      <c r="L814" s="0" t="str">
        <f aca="false">IFERROR(VLOOKUP(K814,'Supplier list'!B:C,2,0),"")</f>
        <v>บริษัท พรีซิชั่นไลน์ จำกัด</v>
      </c>
      <c r="M814" s="1" t="s">
        <v>1740</v>
      </c>
      <c r="N814" s="2" t="n">
        <v>39500</v>
      </c>
      <c r="O814" s="2" t="n">
        <v>0</v>
      </c>
    </row>
    <row r="815" customFormat="false" ht="16.4" hidden="false" customHeight="false" outlineLevel="0" collapsed="false">
      <c r="A815" s="0" t="s">
        <v>15</v>
      </c>
      <c r="B815" s="0" t="s">
        <v>2699</v>
      </c>
      <c r="C815" s="0" t="n">
        <v>114001</v>
      </c>
      <c r="D815" s="0" t="n">
        <v>114001</v>
      </c>
      <c r="E815" s="0" t="s">
        <v>1804</v>
      </c>
      <c r="F815" s="0" t="s">
        <v>18</v>
      </c>
      <c r="G815" s="0" t="s">
        <v>2700</v>
      </c>
      <c r="H815" s="0" t="s">
        <v>2701</v>
      </c>
      <c r="I815" s="0" t="s">
        <v>124</v>
      </c>
      <c r="J815" s="0" t="s">
        <v>125</v>
      </c>
      <c r="K815" s="0" t="s">
        <v>1725</v>
      </c>
      <c r="L815" s="0" t="str">
        <f aca="false">IFERROR(VLOOKUP(K815,'Supplier list'!B:C,2,0),"")</f>
        <v>บริษัท พรีซิชั่นไลน์ จำกัด</v>
      </c>
      <c r="M815" s="1" t="s">
        <v>1740</v>
      </c>
      <c r="N815" s="2" t="n">
        <v>28900</v>
      </c>
      <c r="O815" s="2" t="n">
        <v>0</v>
      </c>
    </row>
    <row r="816" customFormat="false" ht="16.4" hidden="false" customHeight="false" outlineLevel="0" collapsed="false">
      <c r="A816" s="0" t="s">
        <v>15</v>
      </c>
      <c r="B816" s="0" t="s">
        <v>2702</v>
      </c>
      <c r="C816" s="0" t="n">
        <v>114001</v>
      </c>
      <c r="D816" s="0" t="n">
        <v>114001</v>
      </c>
      <c r="E816" s="0" t="s">
        <v>1727</v>
      </c>
      <c r="F816" s="0" t="s">
        <v>18</v>
      </c>
      <c r="G816" s="0" t="s">
        <v>2703</v>
      </c>
      <c r="H816" s="0" t="s">
        <v>2704</v>
      </c>
      <c r="I816" s="0" t="s">
        <v>124</v>
      </c>
      <c r="J816" s="0" t="s">
        <v>125</v>
      </c>
      <c r="K816" s="0" t="s">
        <v>1725</v>
      </c>
      <c r="L816" s="0" t="str">
        <f aca="false">IFERROR(VLOOKUP(K816,'Supplier list'!B:C,2,0),"")</f>
        <v>บริษัท พรีซิชั่นไลน์ จำกัด</v>
      </c>
      <c r="M816" s="1" t="s">
        <v>24</v>
      </c>
      <c r="O816" s="2" t="n">
        <v>0</v>
      </c>
    </row>
    <row r="817" customFormat="false" ht="16.4" hidden="false" customHeight="false" outlineLevel="0" collapsed="false">
      <c r="A817" s="0" t="s">
        <v>15</v>
      </c>
      <c r="B817" s="0" t="s">
        <v>2705</v>
      </c>
      <c r="C817" s="0" t="n">
        <v>114001</v>
      </c>
      <c r="D817" s="0" t="n">
        <v>114001</v>
      </c>
      <c r="E817" s="0" t="s">
        <v>1804</v>
      </c>
      <c r="F817" s="0" t="s">
        <v>18</v>
      </c>
      <c r="G817" s="0" t="s">
        <v>2706</v>
      </c>
      <c r="H817" s="0" t="s">
        <v>2707</v>
      </c>
      <c r="I817" s="0" t="s">
        <v>124</v>
      </c>
      <c r="J817" s="0" t="s">
        <v>125</v>
      </c>
      <c r="K817" s="0" t="s">
        <v>787</v>
      </c>
      <c r="L817" s="0" t="str">
        <f aca="false">IFERROR(VLOOKUP(K817,'Supplier list'!B:C,2,0),"")</f>
        <v>บริษัท ฟิวเจอร์เทค อินเตอร์มาร์เก็ตติ้ง จำกัด</v>
      </c>
      <c r="M817" s="1" t="s">
        <v>1740</v>
      </c>
      <c r="N817" s="2" t="n">
        <v>1690</v>
      </c>
      <c r="O817" s="2" t="n">
        <v>600</v>
      </c>
    </row>
    <row r="818" customFormat="false" ht="16.4" hidden="false" customHeight="false" outlineLevel="0" collapsed="false">
      <c r="A818" s="0" t="s">
        <v>15</v>
      </c>
      <c r="B818" s="0" t="s">
        <v>2708</v>
      </c>
      <c r="C818" s="0" t="n">
        <v>114001</v>
      </c>
      <c r="D818" s="0" t="n">
        <v>114001</v>
      </c>
      <c r="E818" s="0" t="s">
        <v>1727</v>
      </c>
      <c r="F818" s="0" t="s">
        <v>18</v>
      </c>
      <c r="G818" s="0" t="s">
        <v>2709</v>
      </c>
      <c r="H818" s="0" t="s">
        <v>2710</v>
      </c>
      <c r="I818" s="0" t="s">
        <v>124</v>
      </c>
      <c r="J818" s="0" t="s">
        <v>125</v>
      </c>
      <c r="K818" s="0" t="s">
        <v>1725</v>
      </c>
      <c r="L818" s="0" t="str">
        <f aca="false">IFERROR(VLOOKUP(K818,'Supplier list'!B:C,2,0),"")</f>
        <v>บริษัท พรีซิชั่นไลน์ จำกัด</v>
      </c>
      <c r="M818" s="1" t="s">
        <v>24</v>
      </c>
      <c r="O818" s="2" t="n">
        <v>0</v>
      </c>
    </row>
    <row r="819" customFormat="false" ht="16.4" hidden="false" customHeight="false" outlineLevel="0" collapsed="false">
      <c r="A819" s="0" t="s">
        <v>15</v>
      </c>
      <c r="B819" s="0" t="s">
        <v>2711</v>
      </c>
      <c r="C819" s="0" t="n">
        <v>114001</v>
      </c>
      <c r="D819" s="0" t="n">
        <v>114001</v>
      </c>
      <c r="E819" s="0" t="s">
        <v>1804</v>
      </c>
      <c r="F819" s="0" t="s">
        <v>18</v>
      </c>
      <c r="G819" s="0" t="s">
        <v>2712</v>
      </c>
      <c r="H819" s="0" t="s">
        <v>2713</v>
      </c>
      <c r="I819" s="0" t="s">
        <v>124</v>
      </c>
      <c r="J819" s="0" t="s">
        <v>125</v>
      </c>
      <c r="K819" s="0" t="s">
        <v>89</v>
      </c>
      <c r="L819" s="0" t="str">
        <f aca="false">IFERROR(VLOOKUP(K819,'Supplier list'!B:C,2,0),"")</f>
        <v>บริษัท เฮเฟเล่ (ประเทศไทย) จำกัด</v>
      </c>
      <c r="M819" s="1" t="s">
        <v>24</v>
      </c>
      <c r="O819" s="2" t="n">
        <v>3200</v>
      </c>
    </row>
    <row r="820" customFormat="false" ht="16.4" hidden="false" customHeight="false" outlineLevel="0" collapsed="false">
      <c r="A820" s="0" t="s">
        <v>15</v>
      </c>
      <c r="B820" s="0" t="s">
        <v>2714</v>
      </c>
      <c r="C820" s="0" t="n">
        <v>114001</v>
      </c>
      <c r="D820" s="0" t="n">
        <v>114001</v>
      </c>
      <c r="E820" s="0" t="s">
        <v>1804</v>
      </c>
      <c r="F820" s="0" t="s">
        <v>18</v>
      </c>
      <c r="G820" s="0" t="s">
        <v>2715</v>
      </c>
      <c r="H820" s="0" t="s">
        <v>2716</v>
      </c>
      <c r="I820" s="0" t="s">
        <v>124</v>
      </c>
      <c r="J820" s="0" t="s">
        <v>125</v>
      </c>
      <c r="K820" s="0" t="s">
        <v>1725</v>
      </c>
      <c r="L820" s="0" t="str">
        <f aca="false">IFERROR(VLOOKUP(K820,'Supplier list'!B:C,2,0),"")</f>
        <v>บริษัท พรีซิชั่นไลน์ จำกัด</v>
      </c>
      <c r="M820" s="1" t="s">
        <v>24</v>
      </c>
      <c r="O820" s="2" t="n">
        <v>0</v>
      </c>
    </row>
    <row r="821" customFormat="false" ht="16.4" hidden="false" customHeight="false" outlineLevel="0" collapsed="false">
      <c r="A821" s="0" t="s">
        <v>15</v>
      </c>
      <c r="B821" s="0" t="s">
        <v>2717</v>
      </c>
      <c r="C821" s="0" t="n">
        <v>114001</v>
      </c>
      <c r="D821" s="0" t="n">
        <v>114001</v>
      </c>
      <c r="E821" s="0" t="s">
        <v>1804</v>
      </c>
      <c r="F821" s="0" t="s">
        <v>18</v>
      </c>
      <c r="G821" s="0" t="s">
        <v>2718</v>
      </c>
      <c r="H821" s="0" t="s">
        <v>2719</v>
      </c>
      <c r="I821" s="0" t="s">
        <v>124</v>
      </c>
      <c r="J821" s="0" t="s">
        <v>125</v>
      </c>
      <c r="K821" s="0" t="s">
        <v>1725</v>
      </c>
      <c r="L821" s="0" t="str">
        <f aca="false">IFERROR(VLOOKUP(K821,'Supplier list'!B:C,2,0),"")</f>
        <v>บริษัท พรีซิชั่นไลน์ จำกัด</v>
      </c>
      <c r="M821" s="1" t="s">
        <v>24</v>
      </c>
      <c r="O821" s="2" t="n">
        <v>0</v>
      </c>
    </row>
    <row r="822" customFormat="false" ht="16.4" hidden="false" customHeight="false" outlineLevel="0" collapsed="false">
      <c r="A822" s="0" t="s">
        <v>15</v>
      </c>
      <c r="B822" s="0" t="s">
        <v>2720</v>
      </c>
      <c r="C822" s="0" t="n">
        <v>114001</v>
      </c>
      <c r="D822" s="0" t="n">
        <v>114001</v>
      </c>
      <c r="E822" s="0" t="s">
        <v>1727</v>
      </c>
      <c r="F822" s="0" t="s">
        <v>18</v>
      </c>
      <c r="G822" s="0" t="s">
        <v>2721</v>
      </c>
      <c r="H822" s="0" t="s">
        <v>2722</v>
      </c>
      <c r="I822" s="0" t="s">
        <v>124</v>
      </c>
      <c r="J822" s="0" t="s">
        <v>125</v>
      </c>
      <c r="K822" s="0" t="s">
        <v>1725</v>
      </c>
      <c r="L822" s="0" t="str">
        <f aca="false">IFERROR(VLOOKUP(K822,'Supplier list'!B:C,2,0),"")</f>
        <v>บริษัท พรีซิชั่นไลน์ จำกัด</v>
      </c>
      <c r="M822" s="1" t="s">
        <v>24</v>
      </c>
      <c r="O822" s="2" t="n">
        <v>5750</v>
      </c>
    </row>
    <row r="823" customFormat="false" ht="16.4" hidden="false" customHeight="false" outlineLevel="0" collapsed="false">
      <c r="A823" s="0" t="s">
        <v>15</v>
      </c>
      <c r="B823" s="0" t="s">
        <v>2723</v>
      </c>
      <c r="C823" s="0" t="n">
        <v>114001</v>
      </c>
      <c r="D823" s="0" t="n">
        <v>114001</v>
      </c>
      <c r="E823" s="0" t="s">
        <v>1804</v>
      </c>
      <c r="F823" s="0" t="s">
        <v>18</v>
      </c>
      <c r="G823" s="0" t="s">
        <v>2724</v>
      </c>
      <c r="H823" s="0" t="s">
        <v>2725</v>
      </c>
      <c r="I823" s="0" t="s">
        <v>124</v>
      </c>
      <c r="J823" s="0" t="s">
        <v>125</v>
      </c>
      <c r="K823" s="0" t="s">
        <v>89</v>
      </c>
      <c r="L823" s="0" t="str">
        <f aca="false">IFERROR(VLOOKUP(K823,'Supplier list'!B:C,2,0),"")</f>
        <v>บริษัท เฮเฟเล่ (ประเทศไทย) จำกัด</v>
      </c>
      <c r="M823" s="1" t="s">
        <v>24</v>
      </c>
      <c r="O823" s="2" t="n">
        <v>15459</v>
      </c>
    </row>
    <row r="824" customFormat="false" ht="16.4" hidden="false" customHeight="false" outlineLevel="0" collapsed="false">
      <c r="A824" s="0" t="s">
        <v>15</v>
      </c>
      <c r="B824" s="0" t="s">
        <v>2726</v>
      </c>
      <c r="C824" s="0" t="n">
        <v>114001</v>
      </c>
      <c r="D824" s="0" t="n">
        <v>114001</v>
      </c>
      <c r="E824" s="0" t="s">
        <v>1605</v>
      </c>
      <c r="F824" s="0" t="s">
        <v>18</v>
      </c>
      <c r="G824" s="0" t="s">
        <v>2727</v>
      </c>
      <c r="H824" s="0" t="s">
        <v>2728</v>
      </c>
      <c r="I824" s="0" t="s">
        <v>124</v>
      </c>
      <c r="J824" s="0" t="s">
        <v>125</v>
      </c>
      <c r="L824" s="0" t="str">
        <f aca="false">IFERROR(VLOOKUP(K824,'Supplier list'!B:C,2,0),"")</f>
        <v/>
      </c>
      <c r="M824" s="1" t="s">
        <v>24</v>
      </c>
      <c r="O824" s="2" t="n">
        <v>0</v>
      </c>
    </row>
    <row r="825" customFormat="false" ht="16.4" hidden="false" customHeight="false" outlineLevel="0" collapsed="false">
      <c r="A825" s="0" t="s">
        <v>15</v>
      </c>
      <c r="B825" s="0" t="s">
        <v>2729</v>
      </c>
      <c r="C825" s="0" t="n">
        <v>114001</v>
      </c>
      <c r="D825" s="0" t="n">
        <v>114001</v>
      </c>
      <c r="E825" s="0" t="s">
        <v>1804</v>
      </c>
      <c r="F825" s="0" t="s">
        <v>18</v>
      </c>
      <c r="G825" s="0" t="s">
        <v>2730</v>
      </c>
      <c r="H825" s="0" t="s">
        <v>2644</v>
      </c>
      <c r="I825" s="0" t="s">
        <v>124</v>
      </c>
      <c r="J825" s="0" t="s">
        <v>125</v>
      </c>
      <c r="K825" s="0" t="s">
        <v>89</v>
      </c>
      <c r="L825" s="0" t="str">
        <f aca="false">IFERROR(VLOOKUP(K825,'Supplier list'!B:C,2,0),"")</f>
        <v>บริษัท เฮเฟเล่ (ประเทศไทย) จำกัด</v>
      </c>
      <c r="M825" s="1" t="s">
        <v>24</v>
      </c>
      <c r="O825" s="2" t="n">
        <v>6739</v>
      </c>
    </row>
    <row r="826" customFormat="false" ht="16.4" hidden="false" customHeight="false" outlineLevel="0" collapsed="false">
      <c r="A826" s="0" t="s">
        <v>15</v>
      </c>
      <c r="B826" s="0" t="s">
        <v>2731</v>
      </c>
      <c r="C826" s="0" t="n">
        <v>114001</v>
      </c>
      <c r="D826" s="0" t="n">
        <v>114001</v>
      </c>
      <c r="E826" s="0" t="s">
        <v>1804</v>
      </c>
      <c r="F826" s="0" t="s">
        <v>18</v>
      </c>
      <c r="G826" s="0" t="s">
        <v>2732</v>
      </c>
      <c r="H826" s="0" t="s">
        <v>2733</v>
      </c>
      <c r="I826" s="0" t="s">
        <v>124</v>
      </c>
      <c r="J826" s="0" t="s">
        <v>125</v>
      </c>
      <c r="K826" s="0" t="s">
        <v>89</v>
      </c>
      <c r="L826" s="0" t="str">
        <f aca="false">IFERROR(VLOOKUP(K826,'Supplier list'!B:C,2,0),"")</f>
        <v>บริษัท เฮเฟเล่ (ประเทศไทย) จำกัด</v>
      </c>
      <c r="M826" s="1" t="s">
        <v>24</v>
      </c>
      <c r="O826" s="2" t="n">
        <v>4719</v>
      </c>
    </row>
    <row r="827" customFormat="false" ht="16.4" hidden="false" customHeight="false" outlineLevel="0" collapsed="false">
      <c r="A827" s="0" t="s">
        <v>15</v>
      </c>
      <c r="B827" s="0" t="s">
        <v>2734</v>
      </c>
      <c r="C827" s="0" t="n">
        <v>114001</v>
      </c>
      <c r="D827" s="0" t="n">
        <v>114001</v>
      </c>
      <c r="E827" s="0" t="s">
        <v>1804</v>
      </c>
      <c r="F827" s="0" t="s">
        <v>18</v>
      </c>
      <c r="G827" s="0" t="s">
        <v>2735</v>
      </c>
      <c r="H827" s="0" t="s">
        <v>2736</v>
      </c>
      <c r="I827" s="0" t="s">
        <v>124</v>
      </c>
      <c r="J827" s="0" t="s">
        <v>125</v>
      </c>
      <c r="K827" s="0" t="s">
        <v>1725</v>
      </c>
      <c r="L827" s="0" t="str">
        <f aca="false">IFERROR(VLOOKUP(K827,'Supplier list'!B:C,2,0),"")</f>
        <v>บริษัท พรีซิชั่นไลน์ จำกัด</v>
      </c>
      <c r="M827" s="1" t="s">
        <v>1740</v>
      </c>
      <c r="N827" s="2" t="n">
        <v>20500</v>
      </c>
      <c r="O827" s="2" t="n">
        <v>15900</v>
      </c>
    </row>
    <row r="828" customFormat="false" ht="16.4" hidden="false" customHeight="false" outlineLevel="0" collapsed="false">
      <c r="A828" s="0" t="s">
        <v>15</v>
      </c>
      <c r="B828" s="0" t="s">
        <v>2737</v>
      </c>
      <c r="C828" s="0" t="n">
        <v>114001</v>
      </c>
      <c r="D828" s="0" t="n">
        <v>114001</v>
      </c>
      <c r="E828" s="0" t="s">
        <v>1804</v>
      </c>
      <c r="F828" s="0" t="s">
        <v>18</v>
      </c>
      <c r="G828" s="0" t="s">
        <v>2738</v>
      </c>
      <c r="H828" s="0" t="s">
        <v>2739</v>
      </c>
      <c r="I828" s="0" t="s">
        <v>124</v>
      </c>
      <c r="J828" s="0" t="s">
        <v>125</v>
      </c>
      <c r="K828" s="0" t="s">
        <v>1725</v>
      </c>
      <c r="L828" s="0" t="str">
        <f aca="false">IFERROR(VLOOKUP(K828,'Supplier list'!B:C,2,0),"")</f>
        <v>บริษัท พรีซิชั่นไลน์ จำกัด</v>
      </c>
      <c r="M828" s="1" t="s">
        <v>24</v>
      </c>
      <c r="O828" s="2" t="n">
        <v>0</v>
      </c>
    </row>
    <row r="829" customFormat="false" ht="16.4" hidden="false" customHeight="false" outlineLevel="0" collapsed="false">
      <c r="A829" s="0" t="s">
        <v>15</v>
      </c>
      <c r="B829" s="0" t="s">
        <v>2740</v>
      </c>
      <c r="C829" s="0" t="n">
        <v>114001</v>
      </c>
      <c r="D829" s="0" t="n">
        <v>114001</v>
      </c>
      <c r="E829" s="0" t="s">
        <v>613</v>
      </c>
      <c r="F829" s="0" t="s">
        <v>18</v>
      </c>
      <c r="G829" s="0" t="s">
        <v>2741</v>
      </c>
      <c r="H829" s="0" t="s">
        <v>2742</v>
      </c>
      <c r="I829" s="0" t="s">
        <v>102</v>
      </c>
      <c r="J829" s="0" t="s">
        <v>103</v>
      </c>
      <c r="L829" s="0" t="str">
        <f aca="false">IFERROR(VLOOKUP(K829,'Supplier list'!B:C,2,0),"")</f>
        <v/>
      </c>
      <c r="M829" s="1" t="s">
        <v>24</v>
      </c>
      <c r="O829" s="2" t="n">
        <v>0</v>
      </c>
    </row>
    <row r="830" customFormat="false" ht="16.4" hidden="false" customHeight="false" outlineLevel="0" collapsed="false">
      <c r="A830" s="0" t="s">
        <v>15</v>
      </c>
      <c r="B830" s="0" t="s">
        <v>2743</v>
      </c>
      <c r="C830" s="0" t="n">
        <v>114001</v>
      </c>
      <c r="D830" s="0" t="n">
        <v>114001</v>
      </c>
      <c r="E830" s="0" t="s">
        <v>613</v>
      </c>
      <c r="F830" s="0" t="s">
        <v>18</v>
      </c>
      <c r="G830" s="0" t="s">
        <v>2744</v>
      </c>
      <c r="H830" s="0" t="s">
        <v>2745</v>
      </c>
      <c r="I830" s="0" t="s">
        <v>102</v>
      </c>
      <c r="J830" s="0" t="s">
        <v>103</v>
      </c>
      <c r="L830" s="0" t="str">
        <f aca="false">IFERROR(VLOOKUP(K830,'Supplier list'!B:C,2,0),"")</f>
        <v/>
      </c>
      <c r="M830" s="1" t="s">
        <v>24</v>
      </c>
      <c r="O830" s="2" t="n">
        <v>0</v>
      </c>
    </row>
    <row r="831" customFormat="false" ht="16.4" hidden="false" customHeight="false" outlineLevel="0" collapsed="false">
      <c r="A831" s="0" t="s">
        <v>15</v>
      </c>
      <c r="B831" s="0" t="s">
        <v>2746</v>
      </c>
      <c r="C831" s="0" t="n">
        <v>114001</v>
      </c>
      <c r="D831" s="0" t="n">
        <v>114001</v>
      </c>
      <c r="E831" s="0" t="s">
        <v>613</v>
      </c>
      <c r="F831" s="0" t="s">
        <v>18</v>
      </c>
      <c r="G831" s="0" t="s">
        <v>2747</v>
      </c>
      <c r="H831" s="0" t="s">
        <v>2748</v>
      </c>
      <c r="I831" s="0" t="s">
        <v>102</v>
      </c>
      <c r="J831" s="0" t="s">
        <v>103</v>
      </c>
      <c r="L831" s="0" t="str">
        <f aca="false">IFERROR(VLOOKUP(K831,'Supplier list'!B:C,2,0),"")</f>
        <v/>
      </c>
      <c r="M831" s="1" t="s">
        <v>24</v>
      </c>
      <c r="O831" s="2" t="n">
        <v>0</v>
      </c>
    </row>
    <row r="832" customFormat="false" ht="16.4" hidden="false" customHeight="false" outlineLevel="0" collapsed="false">
      <c r="A832" s="0" t="s">
        <v>15</v>
      </c>
      <c r="B832" s="0" t="s">
        <v>2749</v>
      </c>
      <c r="C832" s="0" t="n">
        <v>114001</v>
      </c>
      <c r="D832" s="0" t="n">
        <v>114001</v>
      </c>
      <c r="E832" s="0" t="s">
        <v>613</v>
      </c>
      <c r="F832" s="0" t="s">
        <v>18</v>
      </c>
      <c r="G832" s="0" t="s">
        <v>2750</v>
      </c>
      <c r="H832" s="0" t="s">
        <v>2751</v>
      </c>
      <c r="I832" s="0" t="s">
        <v>102</v>
      </c>
      <c r="J832" s="0" t="s">
        <v>103</v>
      </c>
      <c r="L832" s="0" t="str">
        <f aca="false">IFERROR(VLOOKUP(K832,'Supplier list'!B:C,2,0),"")</f>
        <v/>
      </c>
      <c r="M832" s="1" t="s">
        <v>24</v>
      </c>
      <c r="O832" s="2" t="n">
        <v>0</v>
      </c>
    </row>
    <row r="833" customFormat="false" ht="16.4" hidden="false" customHeight="false" outlineLevel="0" collapsed="false">
      <c r="A833" s="0" t="s">
        <v>15</v>
      </c>
      <c r="B833" s="0" t="s">
        <v>2752</v>
      </c>
      <c r="C833" s="0" t="n">
        <v>114001</v>
      </c>
      <c r="D833" s="0" t="n">
        <v>114001</v>
      </c>
      <c r="E833" s="0" t="s">
        <v>844</v>
      </c>
      <c r="F833" s="0" t="s">
        <v>18</v>
      </c>
      <c r="G833" s="0" t="s">
        <v>2753</v>
      </c>
      <c r="H833" s="0" t="s">
        <v>2754</v>
      </c>
      <c r="I833" s="0" t="s">
        <v>21</v>
      </c>
      <c r="J833" s="0" t="s">
        <v>22</v>
      </c>
      <c r="L833" s="0" t="str">
        <f aca="false">IFERROR(VLOOKUP(K833,'Supplier list'!B:C,2,0),"")</f>
        <v/>
      </c>
      <c r="M833" s="1" t="s">
        <v>24</v>
      </c>
      <c r="O833" s="2" t="n">
        <v>0</v>
      </c>
    </row>
    <row r="834" customFormat="false" ht="16.4" hidden="false" customHeight="false" outlineLevel="0" collapsed="false">
      <c r="A834" s="0" t="s">
        <v>15</v>
      </c>
      <c r="B834" s="0" t="s">
        <v>2755</v>
      </c>
      <c r="C834" s="0" t="n">
        <v>114001</v>
      </c>
      <c r="D834" s="0" t="n">
        <v>114001</v>
      </c>
      <c r="E834" s="0" t="s">
        <v>1764</v>
      </c>
      <c r="F834" s="0" t="s">
        <v>18</v>
      </c>
      <c r="G834" s="0" t="s">
        <v>2756</v>
      </c>
      <c r="H834" s="0" t="s">
        <v>2757</v>
      </c>
      <c r="I834" s="0" t="s">
        <v>21</v>
      </c>
      <c r="J834" s="0" t="s">
        <v>22</v>
      </c>
      <c r="L834" s="0" t="str">
        <f aca="false">IFERROR(VLOOKUP(K834,'Supplier list'!B:C,2,0),"")</f>
        <v/>
      </c>
      <c r="M834" s="1" t="s">
        <v>24</v>
      </c>
      <c r="O834" s="2" t="n">
        <v>0</v>
      </c>
    </row>
    <row r="835" customFormat="false" ht="16.4" hidden="false" customHeight="false" outlineLevel="0" collapsed="false">
      <c r="A835" s="0" t="s">
        <v>15</v>
      </c>
      <c r="B835" s="0" t="s">
        <v>2758</v>
      </c>
      <c r="C835" s="0" t="n">
        <v>114001</v>
      </c>
      <c r="D835" s="0" t="n">
        <v>114001</v>
      </c>
      <c r="E835" s="0" t="s">
        <v>1764</v>
      </c>
      <c r="F835" s="0" t="s">
        <v>18</v>
      </c>
      <c r="G835" s="0" t="s">
        <v>2759</v>
      </c>
      <c r="H835" s="0" t="s">
        <v>2760</v>
      </c>
      <c r="I835" s="0" t="s">
        <v>21</v>
      </c>
      <c r="J835" s="0" t="s">
        <v>22</v>
      </c>
      <c r="L835" s="0" t="str">
        <f aca="false">IFERROR(VLOOKUP(K835,'Supplier list'!B:C,2,0),"")</f>
        <v/>
      </c>
      <c r="M835" s="1" t="s">
        <v>24</v>
      </c>
      <c r="O835" s="2" t="n">
        <v>0</v>
      </c>
    </row>
    <row r="836" customFormat="false" ht="16.4" hidden="false" customHeight="false" outlineLevel="0" collapsed="false">
      <c r="A836" s="0" t="s">
        <v>15</v>
      </c>
      <c r="B836" s="0" t="s">
        <v>2761</v>
      </c>
      <c r="C836" s="0" t="n">
        <v>114001</v>
      </c>
      <c r="D836" s="0" t="n">
        <v>114001</v>
      </c>
      <c r="E836" s="0" t="s">
        <v>1764</v>
      </c>
      <c r="F836" s="0" t="s">
        <v>18</v>
      </c>
      <c r="G836" s="0" t="s">
        <v>2762</v>
      </c>
      <c r="H836" s="0" t="s">
        <v>2763</v>
      </c>
      <c r="I836" s="0" t="s">
        <v>21</v>
      </c>
      <c r="J836" s="0" t="s">
        <v>22</v>
      </c>
      <c r="L836" s="0" t="str">
        <f aca="false">IFERROR(VLOOKUP(K836,'Supplier list'!B:C,2,0),"")</f>
        <v/>
      </c>
      <c r="M836" s="1" t="s">
        <v>24</v>
      </c>
      <c r="O836" s="2" t="n">
        <v>0</v>
      </c>
    </row>
    <row r="837" customFormat="false" ht="16.4" hidden="false" customHeight="false" outlineLevel="0" collapsed="false">
      <c r="A837" s="0" t="s">
        <v>15</v>
      </c>
      <c r="B837" s="0" t="s">
        <v>2764</v>
      </c>
      <c r="C837" s="0" t="n">
        <v>114001</v>
      </c>
      <c r="D837" s="0" t="n">
        <v>114001</v>
      </c>
      <c r="E837" s="0" t="s">
        <v>1764</v>
      </c>
      <c r="F837" s="0" t="s">
        <v>18</v>
      </c>
      <c r="G837" s="0" t="s">
        <v>2765</v>
      </c>
      <c r="H837" s="0" t="s">
        <v>2766</v>
      </c>
      <c r="I837" s="0" t="s">
        <v>21</v>
      </c>
      <c r="J837" s="0" t="s">
        <v>22</v>
      </c>
      <c r="L837" s="0" t="str">
        <f aca="false">IFERROR(VLOOKUP(K837,'Supplier list'!B:C,2,0),"")</f>
        <v/>
      </c>
      <c r="M837" s="1" t="s">
        <v>24</v>
      </c>
      <c r="O837" s="2" t="n">
        <v>0</v>
      </c>
    </row>
    <row r="838" customFormat="false" ht="16.4" hidden="false" customHeight="false" outlineLevel="0" collapsed="false">
      <c r="A838" s="0" t="s">
        <v>15</v>
      </c>
      <c r="B838" s="0" t="s">
        <v>2767</v>
      </c>
      <c r="C838" s="0" t="n">
        <v>114001</v>
      </c>
      <c r="D838" s="0" t="n">
        <v>114001</v>
      </c>
      <c r="E838" s="0" t="s">
        <v>1684</v>
      </c>
      <c r="F838" s="0" t="s">
        <v>18</v>
      </c>
      <c r="G838" s="0" t="s">
        <v>2768</v>
      </c>
      <c r="H838" s="0" t="s">
        <v>2769</v>
      </c>
      <c r="I838" s="0" t="s">
        <v>21</v>
      </c>
      <c r="J838" s="0" t="s">
        <v>22</v>
      </c>
      <c r="L838" s="0" t="str">
        <f aca="false">IFERROR(VLOOKUP(K838,'Supplier list'!B:C,2,0),"")</f>
        <v/>
      </c>
      <c r="M838" s="1" t="s">
        <v>24</v>
      </c>
      <c r="O838" s="2" t="n">
        <v>0</v>
      </c>
    </row>
    <row r="839" customFormat="false" ht="16.4" hidden="false" customHeight="false" outlineLevel="0" collapsed="false">
      <c r="A839" s="0" t="s">
        <v>15</v>
      </c>
      <c r="B839" s="0" t="s">
        <v>2770</v>
      </c>
      <c r="C839" s="0" t="n">
        <v>114001</v>
      </c>
      <c r="D839" s="0" t="n">
        <v>114001</v>
      </c>
      <c r="E839" s="0" t="s">
        <v>1684</v>
      </c>
      <c r="F839" s="0" t="s">
        <v>18</v>
      </c>
      <c r="G839" s="0" t="s">
        <v>2771</v>
      </c>
      <c r="H839" s="0" t="s">
        <v>2772</v>
      </c>
      <c r="I839" s="0" t="s">
        <v>21</v>
      </c>
      <c r="J839" s="0" t="s">
        <v>22</v>
      </c>
      <c r="L839" s="0" t="str">
        <f aca="false">IFERROR(VLOOKUP(K839,'Supplier list'!B:C,2,0),"")</f>
        <v/>
      </c>
      <c r="M839" s="1" t="s">
        <v>24</v>
      </c>
      <c r="O839" s="2" t="n">
        <v>0</v>
      </c>
    </row>
    <row r="840" customFormat="false" ht="16.4" hidden="false" customHeight="false" outlineLevel="0" collapsed="false">
      <c r="A840" s="0" t="s">
        <v>15</v>
      </c>
      <c r="B840" s="0" t="s">
        <v>2773</v>
      </c>
      <c r="C840" s="0" t="n">
        <v>114001</v>
      </c>
      <c r="D840" s="0" t="n">
        <v>114001</v>
      </c>
      <c r="E840" s="0" t="s">
        <v>1634</v>
      </c>
      <c r="F840" s="0" t="s">
        <v>18</v>
      </c>
      <c r="G840" s="0" t="s">
        <v>2774</v>
      </c>
      <c r="H840" s="0" t="s">
        <v>2775</v>
      </c>
      <c r="I840" s="0" t="s">
        <v>21</v>
      </c>
      <c r="J840" s="0" t="s">
        <v>22</v>
      </c>
      <c r="L840" s="0" t="str">
        <f aca="false">IFERROR(VLOOKUP(K840,'Supplier list'!B:C,2,0),"")</f>
        <v/>
      </c>
      <c r="M840" s="1" t="s">
        <v>24</v>
      </c>
      <c r="O840" s="2" t="n">
        <v>0</v>
      </c>
    </row>
    <row r="841" customFormat="false" ht="16.4" hidden="false" customHeight="false" outlineLevel="0" collapsed="false">
      <c r="A841" s="0" t="s">
        <v>15</v>
      </c>
      <c r="B841" s="0" t="s">
        <v>2776</v>
      </c>
      <c r="C841" s="0" t="n">
        <v>114001</v>
      </c>
      <c r="D841" s="0" t="n">
        <v>114001</v>
      </c>
      <c r="E841" s="0" t="s">
        <v>1684</v>
      </c>
      <c r="F841" s="0" t="s">
        <v>18</v>
      </c>
      <c r="G841" s="0" t="s">
        <v>2777</v>
      </c>
      <c r="H841" s="0" t="s">
        <v>2778</v>
      </c>
      <c r="I841" s="0" t="s">
        <v>21</v>
      </c>
      <c r="J841" s="0" t="s">
        <v>22</v>
      </c>
      <c r="L841" s="0" t="str">
        <f aca="false">IFERROR(VLOOKUP(K841,'Supplier list'!B:C,2,0),"")</f>
        <v/>
      </c>
      <c r="M841" s="1" t="s">
        <v>24</v>
      </c>
      <c r="O841" s="2" t="n">
        <v>0</v>
      </c>
    </row>
    <row r="842" customFormat="false" ht="16.4" hidden="false" customHeight="false" outlineLevel="0" collapsed="false">
      <c r="A842" s="0" t="s">
        <v>15</v>
      </c>
      <c r="B842" s="0" t="s">
        <v>2779</v>
      </c>
      <c r="C842" s="0" t="n">
        <v>114001</v>
      </c>
      <c r="D842" s="0" t="n">
        <v>114001</v>
      </c>
      <c r="E842" s="0" t="s">
        <v>1734</v>
      </c>
      <c r="F842" s="0" t="s">
        <v>18</v>
      </c>
      <c r="G842" s="0" t="s">
        <v>2780</v>
      </c>
      <c r="H842" s="0" t="s">
        <v>2781</v>
      </c>
      <c r="I842" s="0" t="s">
        <v>21</v>
      </c>
      <c r="J842" s="0" t="s">
        <v>22</v>
      </c>
      <c r="L842" s="0" t="str">
        <f aca="false">IFERROR(VLOOKUP(K842,'Supplier list'!B:C,2,0),"")</f>
        <v/>
      </c>
      <c r="M842" s="1" t="s">
        <v>24</v>
      </c>
      <c r="O842" s="2" t="n">
        <v>0</v>
      </c>
    </row>
    <row r="843" customFormat="false" ht="16.4" hidden="false" customHeight="false" outlineLevel="0" collapsed="false">
      <c r="A843" s="0" t="s">
        <v>15</v>
      </c>
      <c r="B843" s="0" t="s">
        <v>2782</v>
      </c>
      <c r="C843" s="0" t="n">
        <v>114001</v>
      </c>
      <c r="D843" s="0" t="n">
        <v>114001</v>
      </c>
      <c r="E843" s="0" t="s">
        <v>1734</v>
      </c>
      <c r="F843" s="0" t="s">
        <v>18</v>
      </c>
      <c r="G843" s="0" t="s">
        <v>2783</v>
      </c>
      <c r="H843" s="0" t="s">
        <v>2784</v>
      </c>
      <c r="I843" s="0" t="s">
        <v>21</v>
      </c>
      <c r="J843" s="0" t="s">
        <v>22</v>
      </c>
      <c r="L843" s="0" t="str">
        <f aca="false">IFERROR(VLOOKUP(K843,'Supplier list'!B:C,2,0),"")</f>
        <v/>
      </c>
      <c r="M843" s="1" t="s">
        <v>24</v>
      </c>
      <c r="O843" s="2" t="n">
        <v>0</v>
      </c>
    </row>
    <row r="844" customFormat="false" ht="16.4" hidden="false" customHeight="false" outlineLevel="0" collapsed="false">
      <c r="A844" s="0" t="s">
        <v>15</v>
      </c>
      <c r="B844" s="0" t="s">
        <v>2785</v>
      </c>
      <c r="C844" s="0" t="n">
        <v>114001</v>
      </c>
      <c r="D844" s="0" t="n">
        <v>114001</v>
      </c>
      <c r="E844" s="0" t="s">
        <v>1454</v>
      </c>
      <c r="F844" s="0" t="s">
        <v>18</v>
      </c>
      <c r="G844" s="0" t="s">
        <v>2786</v>
      </c>
      <c r="H844" s="0" t="s">
        <v>2787</v>
      </c>
      <c r="I844" s="0" t="s">
        <v>21</v>
      </c>
      <c r="J844" s="0" t="s">
        <v>22</v>
      </c>
      <c r="L844" s="0" t="str">
        <f aca="false">IFERROR(VLOOKUP(K844,'Supplier list'!B:C,2,0),"")</f>
        <v/>
      </c>
      <c r="M844" s="1" t="s">
        <v>24</v>
      </c>
      <c r="O844" s="2" t="n">
        <v>0</v>
      </c>
    </row>
    <row r="845" customFormat="false" ht="16.4" hidden="false" customHeight="false" outlineLevel="0" collapsed="false">
      <c r="A845" s="0" t="s">
        <v>15</v>
      </c>
      <c r="B845" s="0" t="s">
        <v>2788</v>
      </c>
      <c r="C845" s="0" t="n">
        <v>114001</v>
      </c>
      <c r="D845" s="0" t="n">
        <v>114001</v>
      </c>
      <c r="E845" s="0" t="s">
        <v>1764</v>
      </c>
      <c r="F845" s="0" t="s">
        <v>18</v>
      </c>
      <c r="G845" s="0" t="s">
        <v>2789</v>
      </c>
      <c r="H845" s="0" t="s">
        <v>2790</v>
      </c>
      <c r="I845" s="0" t="s">
        <v>21</v>
      </c>
      <c r="J845" s="0" t="s">
        <v>22</v>
      </c>
      <c r="L845" s="0" t="str">
        <f aca="false">IFERROR(VLOOKUP(K845,'Supplier list'!B:C,2,0),"")</f>
        <v/>
      </c>
      <c r="M845" s="1" t="s">
        <v>24</v>
      </c>
      <c r="O845" s="2" t="n">
        <v>0</v>
      </c>
    </row>
    <row r="846" customFormat="false" ht="16.4" hidden="false" customHeight="false" outlineLevel="0" collapsed="false">
      <c r="A846" s="0" t="s">
        <v>15</v>
      </c>
      <c r="B846" s="0" t="s">
        <v>2791</v>
      </c>
      <c r="C846" s="0" t="n">
        <v>114001</v>
      </c>
      <c r="D846" s="0" t="n">
        <v>114001</v>
      </c>
      <c r="E846" s="0" t="s">
        <v>1764</v>
      </c>
      <c r="F846" s="0" t="s">
        <v>18</v>
      </c>
      <c r="G846" s="0" t="s">
        <v>2792</v>
      </c>
      <c r="H846" s="0" t="s">
        <v>2793</v>
      </c>
      <c r="I846" s="0" t="s">
        <v>21</v>
      </c>
      <c r="J846" s="0" t="s">
        <v>22</v>
      </c>
      <c r="L846" s="0" t="str">
        <f aca="false">IFERROR(VLOOKUP(K846,'Supplier list'!B:C,2,0),"")</f>
        <v/>
      </c>
      <c r="M846" s="1" t="s">
        <v>24</v>
      </c>
      <c r="O846" s="2" t="n">
        <v>0</v>
      </c>
    </row>
    <row r="847" customFormat="false" ht="16.4" hidden="false" customHeight="false" outlineLevel="0" collapsed="false">
      <c r="A847" s="0" t="s">
        <v>15</v>
      </c>
      <c r="B847" s="0" t="s">
        <v>2794</v>
      </c>
      <c r="C847" s="0" t="n">
        <v>114001</v>
      </c>
      <c r="D847" s="0" t="n">
        <v>114001</v>
      </c>
      <c r="E847" s="0" t="s">
        <v>1764</v>
      </c>
      <c r="F847" s="0" t="s">
        <v>18</v>
      </c>
      <c r="G847" s="0" t="s">
        <v>2795</v>
      </c>
      <c r="H847" s="0" t="s">
        <v>2796</v>
      </c>
      <c r="I847" s="0" t="s">
        <v>168</v>
      </c>
      <c r="J847" s="0" t="s">
        <v>169</v>
      </c>
      <c r="K847" s="0" t="s">
        <v>787</v>
      </c>
      <c r="L847" s="0" t="str">
        <f aca="false">IFERROR(VLOOKUP(K847,'Supplier list'!B:C,2,0),"")</f>
        <v>บริษัท ฟิวเจอร์เทค อินเตอร์มาร์เก็ตติ้ง จำกัด</v>
      </c>
      <c r="M847" s="1" t="s">
        <v>24</v>
      </c>
      <c r="O847" s="2" t="n">
        <v>800</v>
      </c>
    </row>
    <row r="848" customFormat="false" ht="16.4" hidden="false" customHeight="false" outlineLevel="0" collapsed="false">
      <c r="A848" s="0" t="s">
        <v>15</v>
      </c>
      <c r="B848" s="0" t="s">
        <v>2797</v>
      </c>
      <c r="C848" s="0" t="n">
        <v>114001</v>
      </c>
      <c r="D848" s="0" t="n">
        <v>114001</v>
      </c>
      <c r="E848" s="0" t="s">
        <v>121</v>
      </c>
      <c r="F848" s="0" t="s">
        <v>18</v>
      </c>
      <c r="G848" s="0" t="s">
        <v>2798</v>
      </c>
      <c r="H848" s="0" t="s">
        <v>2799</v>
      </c>
      <c r="I848" s="0" t="s">
        <v>446</v>
      </c>
      <c r="J848" s="0" t="s">
        <v>447</v>
      </c>
      <c r="K848" s="0" t="s">
        <v>787</v>
      </c>
      <c r="L848" s="0" t="str">
        <f aca="false">IFERROR(VLOOKUP(K848,'Supplier list'!B:C,2,0),"")</f>
        <v>บริษัท ฟิวเจอร์เทค อินเตอร์มาร์เก็ตติ้ง จำกัด</v>
      </c>
      <c r="M848" s="1" t="s">
        <v>24</v>
      </c>
      <c r="O848" s="2" t="n">
        <v>20</v>
      </c>
    </row>
    <row r="849" customFormat="false" ht="16.4" hidden="false" customHeight="false" outlineLevel="0" collapsed="false">
      <c r="A849" s="0" t="s">
        <v>15</v>
      </c>
      <c r="B849" s="0" t="s">
        <v>2800</v>
      </c>
      <c r="C849" s="0" t="n">
        <v>114001</v>
      </c>
      <c r="D849" s="0" t="n">
        <v>114001</v>
      </c>
      <c r="E849" s="0" t="s">
        <v>2801</v>
      </c>
      <c r="F849" s="0" t="s">
        <v>18</v>
      </c>
      <c r="G849" s="0" t="s">
        <v>2802</v>
      </c>
      <c r="H849" s="0" t="s">
        <v>2803</v>
      </c>
      <c r="I849" s="0" t="s">
        <v>21</v>
      </c>
      <c r="J849" s="0" t="s">
        <v>22</v>
      </c>
      <c r="K849" s="0" t="s">
        <v>89</v>
      </c>
      <c r="L849" s="0" t="str">
        <f aca="false">IFERROR(VLOOKUP(K849,'Supplier list'!B:C,2,0),"")</f>
        <v>บริษัท เฮเฟเล่ (ประเทศไทย) จำกัด</v>
      </c>
      <c r="M849" s="1" t="s">
        <v>24</v>
      </c>
      <c r="O849" s="2" t="n">
        <v>26700</v>
      </c>
    </row>
    <row r="850" customFormat="false" ht="16.4" hidden="false" customHeight="false" outlineLevel="0" collapsed="false">
      <c r="A850" s="0" t="s">
        <v>15</v>
      </c>
      <c r="B850" s="0" t="s">
        <v>2804</v>
      </c>
      <c r="C850" s="0" t="n">
        <v>114001</v>
      </c>
      <c r="D850" s="0" t="n">
        <v>114001</v>
      </c>
      <c r="E850" s="0" t="s">
        <v>1804</v>
      </c>
      <c r="F850" s="0" t="s">
        <v>18</v>
      </c>
      <c r="G850" s="0" t="s">
        <v>2805</v>
      </c>
      <c r="H850" s="0" t="s">
        <v>2806</v>
      </c>
      <c r="I850" s="0" t="s">
        <v>21</v>
      </c>
      <c r="J850" s="0" t="s">
        <v>22</v>
      </c>
      <c r="K850" s="0" t="s">
        <v>89</v>
      </c>
      <c r="L850" s="0" t="str">
        <f aca="false">IFERROR(VLOOKUP(K850,'Supplier list'!B:C,2,0),"")</f>
        <v>บริษัท เฮเฟเล่ (ประเทศไทย) จำกัด</v>
      </c>
      <c r="M850" s="1" t="s">
        <v>24</v>
      </c>
      <c r="O850" s="2" t="n">
        <v>4350</v>
      </c>
    </row>
    <row r="851" customFormat="false" ht="16.4" hidden="false" customHeight="false" outlineLevel="0" collapsed="false">
      <c r="A851" s="0" t="s">
        <v>15</v>
      </c>
      <c r="B851" s="0" t="s">
        <v>2807</v>
      </c>
      <c r="C851" s="0" t="n">
        <v>114001</v>
      </c>
      <c r="D851" s="0" t="n">
        <v>114001</v>
      </c>
      <c r="E851" s="0" t="s">
        <v>1804</v>
      </c>
      <c r="F851" s="0" t="s">
        <v>18</v>
      </c>
      <c r="G851" s="0" t="s">
        <v>2808</v>
      </c>
      <c r="H851" s="0" t="s">
        <v>2809</v>
      </c>
      <c r="I851" s="0" t="s">
        <v>21</v>
      </c>
      <c r="J851" s="0" t="s">
        <v>22</v>
      </c>
      <c r="K851" s="0" t="s">
        <v>89</v>
      </c>
      <c r="L851" s="0" t="str">
        <f aca="false">IFERROR(VLOOKUP(K851,'Supplier list'!B:C,2,0),"")</f>
        <v>บริษัท เฮเฟเล่ (ประเทศไทย) จำกัด</v>
      </c>
      <c r="M851" s="1" t="s">
        <v>24</v>
      </c>
      <c r="O851" s="2" t="n">
        <v>3750</v>
      </c>
    </row>
    <row r="852" customFormat="false" ht="16.4" hidden="false" customHeight="false" outlineLevel="0" collapsed="false">
      <c r="A852" s="0" t="s">
        <v>15</v>
      </c>
      <c r="B852" s="0" t="s">
        <v>2810</v>
      </c>
      <c r="C852" s="0" t="n">
        <v>114001</v>
      </c>
      <c r="D852" s="0" t="n">
        <v>114001</v>
      </c>
      <c r="E852" s="0" t="s">
        <v>1804</v>
      </c>
      <c r="F852" s="0" t="s">
        <v>18</v>
      </c>
      <c r="G852" s="0" t="s">
        <v>2811</v>
      </c>
      <c r="H852" s="0" t="s">
        <v>2812</v>
      </c>
      <c r="I852" s="0" t="s">
        <v>21</v>
      </c>
      <c r="J852" s="0" t="s">
        <v>22</v>
      </c>
      <c r="K852" s="0" t="s">
        <v>89</v>
      </c>
      <c r="L852" s="0" t="str">
        <f aca="false">IFERROR(VLOOKUP(K852,'Supplier list'!B:C,2,0),"")</f>
        <v>บริษัท เฮเฟเล่ (ประเทศไทย) จำกัด</v>
      </c>
      <c r="M852" s="1" t="s">
        <v>24</v>
      </c>
      <c r="O852" s="2" t="n">
        <v>2050</v>
      </c>
    </row>
    <row r="853" customFormat="false" ht="16.4" hidden="false" customHeight="false" outlineLevel="0" collapsed="false">
      <c r="A853" s="0" t="s">
        <v>15</v>
      </c>
      <c r="B853" s="0" t="s">
        <v>2813</v>
      </c>
      <c r="C853" s="0" t="n">
        <v>114001</v>
      </c>
      <c r="D853" s="0" t="n">
        <v>114001</v>
      </c>
      <c r="E853" s="0" t="s">
        <v>1804</v>
      </c>
      <c r="F853" s="0" t="s">
        <v>18</v>
      </c>
      <c r="G853" s="0" t="s">
        <v>2814</v>
      </c>
      <c r="H853" s="0" t="s">
        <v>2815</v>
      </c>
      <c r="I853" s="0" t="s">
        <v>21</v>
      </c>
      <c r="J853" s="0" t="s">
        <v>22</v>
      </c>
      <c r="K853" s="0" t="s">
        <v>89</v>
      </c>
      <c r="L853" s="0" t="str">
        <f aca="false">IFERROR(VLOOKUP(K853,'Supplier list'!B:C,2,0),"")</f>
        <v>บริษัท เฮเฟเล่ (ประเทศไทย) จำกัด</v>
      </c>
      <c r="M853" s="1" t="s">
        <v>24</v>
      </c>
      <c r="O853" s="2" t="n">
        <v>2900</v>
      </c>
    </row>
    <row r="854" customFormat="false" ht="16.4" hidden="false" customHeight="false" outlineLevel="0" collapsed="false">
      <c r="A854" s="0" t="s">
        <v>15</v>
      </c>
      <c r="B854" s="0" t="s">
        <v>2816</v>
      </c>
      <c r="C854" s="0" t="n">
        <v>114001</v>
      </c>
      <c r="D854" s="0" t="n">
        <v>114001</v>
      </c>
      <c r="E854" s="0" t="s">
        <v>2363</v>
      </c>
      <c r="F854" s="0" t="s">
        <v>18</v>
      </c>
      <c r="G854" s="0" t="s">
        <v>2817</v>
      </c>
      <c r="H854" s="0" t="s">
        <v>2818</v>
      </c>
      <c r="I854" s="0" t="s">
        <v>21</v>
      </c>
      <c r="J854" s="0" t="s">
        <v>22</v>
      </c>
      <c r="K854" s="0" t="s">
        <v>89</v>
      </c>
      <c r="L854" s="0" t="str">
        <f aca="false">IFERROR(VLOOKUP(K854,'Supplier list'!B:C,2,0),"")</f>
        <v>บริษัท เฮเฟเล่ (ประเทศไทย) จำกัด</v>
      </c>
      <c r="M854" s="1" t="s">
        <v>24</v>
      </c>
      <c r="O854" s="2" t="n">
        <v>1350</v>
      </c>
    </row>
    <row r="855" customFormat="false" ht="16.4" hidden="false" customHeight="false" outlineLevel="0" collapsed="false">
      <c r="A855" s="0" t="s">
        <v>15</v>
      </c>
      <c r="B855" s="0" t="s">
        <v>2819</v>
      </c>
      <c r="C855" s="0" t="n">
        <v>114001</v>
      </c>
      <c r="D855" s="0" t="n">
        <v>114001</v>
      </c>
      <c r="E855" s="0" t="s">
        <v>2185</v>
      </c>
      <c r="F855" s="0" t="s">
        <v>18</v>
      </c>
      <c r="G855" s="0" t="s">
        <v>2820</v>
      </c>
      <c r="H855" s="0" t="s">
        <v>2821</v>
      </c>
      <c r="I855" s="0" t="s">
        <v>21</v>
      </c>
      <c r="J855" s="0" t="s">
        <v>22</v>
      </c>
      <c r="K855" s="0" t="s">
        <v>89</v>
      </c>
      <c r="L855" s="0" t="str">
        <f aca="false">IFERROR(VLOOKUP(K855,'Supplier list'!B:C,2,0),"")</f>
        <v>บริษัท เฮเฟเล่ (ประเทศไทย) จำกัด</v>
      </c>
      <c r="M855" s="1" t="s">
        <v>24</v>
      </c>
      <c r="O855" s="2" t="n">
        <v>800</v>
      </c>
    </row>
    <row r="856" customFormat="false" ht="16.4" hidden="false" customHeight="false" outlineLevel="0" collapsed="false">
      <c r="A856" s="0" t="s">
        <v>15</v>
      </c>
      <c r="B856" s="0" t="s">
        <v>2822</v>
      </c>
      <c r="C856" s="0" t="n">
        <v>114001</v>
      </c>
      <c r="D856" s="0" t="n">
        <v>114001</v>
      </c>
      <c r="E856" s="0" t="s">
        <v>121</v>
      </c>
      <c r="F856" s="0" t="s">
        <v>18</v>
      </c>
      <c r="G856" s="0" t="s">
        <v>2823</v>
      </c>
      <c r="H856" s="0" t="s">
        <v>2824</v>
      </c>
      <c r="I856" s="0" t="s">
        <v>21</v>
      </c>
      <c r="J856" s="0" t="s">
        <v>22</v>
      </c>
      <c r="K856" s="0" t="s">
        <v>75</v>
      </c>
      <c r="L856" s="0" t="str">
        <f aca="false">IFERROR(VLOOKUP(K856,'Supplier list'!B:C,2,0),"")</f>
        <v/>
      </c>
      <c r="M856" s="1" t="s">
        <v>24</v>
      </c>
      <c r="O856" s="2" t="n">
        <v>205</v>
      </c>
    </row>
    <row r="857" customFormat="false" ht="16.4" hidden="false" customHeight="false" outlineLevel="0" collapsed="false">
      <c r="A857" s="0" t="s">
        <v>15</v>
      </c>
      <c r="B857" s="0" t="s">
        <v>2825</v>
      </c>
      <c r="C857" s="0" t="n">
        <v>114001</v>
      </c>
      <c r="D857" s="0" t="n">
        <v>114001</v>
      </c>
      <c r="E857" s="0" t="s">
        <v>1804</v>
      </c>
      <c r="F857" s="0" t="s">
        <v>18</v>
      </c>
      <c r="G857" s="0" t="s">
        <v>2826</v>
      </c>
      <c r="H857" s="0" t="s">
        <v>2827</v>
      </c>
      <c r="I857" s="0" t="s">
        <v>21</v>
      </c>
      <c r="J857" s="0" t="s">
        <v>22</v>
      </c>
      <c r="K857" s="0" t="s">
        <v>89</v>
      </c>
      <c r="L857" s="0" t="str">
        <f aca="false">IFERROR(VLOOKUP(K857,'Supplier list'!B:C,2,0),"")</f>
        <v>บริษัท เฮเฟเล่ (ประเทศไทย) จำกัด</v>
      </c>
      <c r="M857" s="1" t="s">
        <v>24</v>
      </c>
      <c r="O857" s="2" t="n">
        <v>2300</v>
      </c>
    </row>
    <row r="858" customFormat="false" ht="16.4" hidden="false" customHeight="false" outlineLevel="0" collapsed="false">
      <c r="A858" s="0" t="s">
        <v>15</v>
      </c>
      <c r="B858" s="0" t="s">
        <v>2828</v>
      </c>
      <c r="C858" s="0" t="n">
        <v>114001</v>
      </c>
      <c r="D858" s="0" t="n">
        <v>114001</v>
      </c>
      <c r="E858" s="0" t="s">
        <v>1804</v>
      </c>
      <c r="F858" s="0" t="s">
        <v>18</v>
      </c>
      <c r="G858" s="0" t="s">
        <v>2829</v>
      </c>
      <c r="H858" s="0" t="s">
        <v>2830</v>
      </c>
      <c r="I858" s="0" t="s">
        <v>21</v>
      </c>
      <c r="J858" s="0" t="s">
        <v>22</v>
      </c>
      <c r="K858" s="0" t="s">
        <v>89</v>
      </c>
      <c r="L858" s="0" t="str">
        <f aca="false">IFERROR(VLOOKUP(K858,'Supplier list'!B:C,2,0),"")</f>
        <v>บริษัท เฮเฟเล่ (ประเทศไทย) จำกัด</v>
      </c>
      <c r="M858" s="1" t="s">
        <v>24</v>
      </c>
      <c r="O858" s="2" t="n">
        <v>600</v>
      </c>
    </row>
    <row r="859" customFormat="false" ht="16.4" hidden="false" customHeight="false" outlineLevel="0" collapsed="false">
      <c r="A859" s="0" t="s">
        <v>15</v>
      </c>
      <c r="B859" s="0" t="s">
        <v>2831</v>
      </c>
      <c r="C859" s="0" t="n">
        <v>114001</v>
      </c>
      <c r="D859" s="0" t="n">
        <v>114001</v>
      </c>
      <c r="E859" s="0" t="s">
        <v>1804</v>
      </c>
      <c r="F859" s="0" t="s">
        <v>18</v>
      </c>
      <c r="G859" s="0" t="s">
        <v>2832</v>
      </c>
      <c r="H859" s="0" t="s">
        <v>2833</v>
      </c>
      <c r="I859" s="0" t="s">
        <v>21</v>
      </c>
      <c r="J859" s="0" t="s">
        <v>22</v>
      </c>
      <c r="K859" s="0" t="s">
        <v>89</v>
      </c>
      <c r="L859" s="0" t="str">
        <f aca="false">IFERROR(VLOOKUP(K859,'Supplier list'!B:C,2,0),"")</f>
        <v>บริษัท เฮเฟเล่ (ประเทศไทย) จำกัด</v>
      </c>
      <c r="M859" s="1" t="s">
        <v>24</v>
      </c>
      <c r="O859" s="2" t="n">
        <v>3400</v>
      </c>
    </row>
    <row r="860" customFormat="false" ht="16.4" hidden="false" customHeight="false" outlineLevel="0" collapsed="false">
      <c r="A860" s="0" t="s">
        <v>15</v>
      </c>
      <c r="B860" s="0" t="s">
        <v>2834</v>
      </c>
      <c r="C860" s="0" t="n">
        <v>114001</v>
      </c>
      <c r="D860" s="0" t="n">
        <v>114001</v>
      </c>
      <c r="E860" s="0" t="s">
        <v>1815</v>
      </c>
      <c r="F860" s="0" t="s">
        <v>18</v>
      </c>
      <c r="G860" s="0" t="s">
        <v>2835</v>
      </c>
      <c r="H860" s="0" t="s">
        <v>2836</v>
      </c>
      <c r="I860" s="0" t="s">
        <v>21</v>
      </c>
      <c r="J860" s="0" t="s">
        <v>22</v>
      </c>
      <c r="K860" s="0" t="s">
        <v>89</v>
      </c>
      <c r="L860" s="0" t="str">
        <f aca="false">IFERROR(VLOOKUP(K860,'Supplier list'!B:C,2,0),"")</f>
        <v>บริษัท เฮเฟเล่ (ประเทศไทย) จำกัด</v>
      </c>
      <c r="M860" s="1" t="s">
        <v>1740</v>
      </c>
      <c r="N860" s="2" t="n">
        <v>1800</v>
      </c>
      <c r="O860" s="2" t="n">
        <v>520</v>
      </c>
    </row>
    <row r="861" customFormat="false" ht="16.4" hidden="false" customHeight="false" outlineLevel="0" collapsed="false">
      <c r="A861" s="0" t="s">
        <v>15</v>
      </c>
      <c r="B861" s="0" t="s">
        <v>2837</v>
      </c>
      <c r="C861" s="0" t="n">
        <v>114001</v>
      </c>
      <c r="D861" s="0" t="n">
        <v>114001</v>
      </c>
      <c r="E861" s="0" t="s">
        <v>1653</v>
      </c>
      <c r="F861" s="0" t="s">
        <v>18</v>
      </c>
      <c r="G861" s="0" t="s">
        <v>2838</v>
      </c>
      <c r="H861" s="0" t="s">
        <v>2839</v>
      </c>
      <c r="I861" s="0" t="s">
        <v>21</v>
      </c>
      <c r="J861" s="0" t="s">
        <v>22</v>
      </c>
      <c r="K861" s="0" t="s">
        <v>89</v>
      </c>
      <c r="L861" s="0" t="str">
        <f aca="false">IFERROR(VLOOKUP(K861,'Supplier list'!B:C,2,0),"")</f>
        <v>บริษัท เฮเฟเล่ (ประเทศไทย) จำกัด</v>
      </c>
      <c r="M861" s="1" t="s">
        <v>24</v>
      </c>
      <c r="O861" s="2" t="n">
        <v>7250</v>
      </c>
    </row>
    <row r="862" customFormat="false" ht="16.4" hidden="false" customHeight="false" outlineLevel="0" collapsed="false">
      <c r="A862" s="0" t="s">
        <v>15</v>
      </c>
      <c r="B862" s="0" t="s">
        <v>2840</v>
      </c>
      <c r="C862" s="0" t="n">
        <v>114001</v>
      </c>
      <c r="D862" s="0" t="n">
        <v>114001</v>
      </c>
      <c r="E862" s="0" t="s">
        <v>1653</v>
      </c>
      <c r="F862" s="0" t="s">
        <v>18</v>
      </c>
      <c r="G862" s="0" t="s">
        <v>2841</v>
      </c>
      <c r="H862" s="0" t="s">
        <v>2842</v>
      </c>
      <c r="I862" s="0" t="s">
        <v>21</v>
      </c>
      <c r="J862" s="0" t="s">
        <v>22</v>
      </c>
      <c r="K862" s="0" t="s">
        <v>89</v>
      </c>
      <c r="L862" s="0" t="str">
        <f aca="false">IFERROR(VLOOKUP(K862,'Supplier list'!B:C,2,0),"")</f>
        <v>บริษัท เฮเฟเล่ (ประเทศไทย) จำกัด</v>
      </c>
      <c r="M862" s="1" t="s">
        <v>24</v>
      </c>
      <c r="O862" s="2" t="n">
        <v>7757</v>
      </c>
    </row>
    <row r="863" customFormat="false" ht="16.4" hidden="false" customHeight="false" outlineLevel="0" collapsed="false">
      <c r="A863" s="0" t="s">
        <v>15</v>
      </c>
      <c r="B863" s="0" t="s">
        <v>2843</v>
      </c>
      <c r="C863" s="0" t="n">
        <v>114001</v>
      </c>
      <c r="D863" s="0" t="n">
        <v>114001</v>
      </c>
      <c r="E863" s="0" t="s">
        <v>1804</v>
      </c>
      <c r="F863" s="0" t="s">
        <v>18</v>
      </c>
      <c r="G863" s="0" t="s">
        <v>2844</v>
      </c>
      <c r="H863" s="0" t="s">
        <v>2845</v>
      </c>
      <c r="I863" s="0" t="s">
        <v>21</v>
      </c>
      <c r="J863" s="0" t="s">
        <v>22</v>
      </c>
      <c r="K863" s="0" t="s">
        <v>89</v>
      </c>
      <c r="L863" s="0" t="str">
        <f aca="false">IFERROR(VLOOKUP(K863,'Supplier list'!B:C,2,0),"")</f>
        <v>บริษัท เฮเฟเล่ (ประเทศไทย) จำกัด</v>
      </c>
      <c r="M863" s="1" t="s">
        <v>1740</v>
      </c>
      <c r="N863" s="2" t="n">
        <v>14900</v>
      </c>
      <c r="O863" s="2" t="n">
        <v>6200</v>
      </c>
    </row>
    <row r="864" customFormat="false" ht="16.4" hidden="false" customHeight="false" outlineLevel="0" collapsed="false">
      <c r="A864" s="0" t="s">
        <v>15</v>
      </c>
      <c r="B864" s="0" t="s">
        <v>2846</v>
      </c>
      <c r="C864" s="0" t="n">
        <v>114001</v>
      </c>
      <c r="D864" s="0" t="n">
        <v>114001</v>
      </c>
      <c r="E864" s="0" t="s">
        <v>1804</v>
      </c>
      <c r="F864" s="0" t="s">
        <v>18</v>
      </c>
      <c r="G864" s="0" t="s">
        <v>2847</v>
      </c>
      <c r="H864" s="0" t="s">
        <v>2848</v>
      </c>
      <c r="I864" s="0" t="s">
        <v>21</v>
      </c>
      <c r="J864" s="0" t="s">
        <v>22</v>
      </c>
      <c r="K864" s="0" t="s">
        <v>89</v>
      </c>
      <c r="L864" s="0" t="str">
        <f aca="false">IFERROR(VLOOKUP(K864,'Supplier list'!B:C,2,0),"")</f>
        <v>บริษัท เฮเฟเล่ (ประเทศไทย) จำกัด</v>
      </c>
      <c r="M864" s="1" t="s">
        <v>24</v>
      </c>
      <c r="O864" s="2" t="n">
        <v>3600</v>
      </c>
    </row>
    <row r="865" customFormat="false" ht="16.4" hidden="false" customHeight="false" outlineLevel="0" collapsed="false">
      <c r="A865" s="0" t="s">
        <v>15</v>
      </c>
      <c r="B865" s="0" t="s">
        <v>2849</v>
      </c>
      <c r="C865" s="0" t="n">
        <v>114001</v>
      </c>
      <c r="D865" s="0" t="n">
        <v>114001</v>
      </c>
      <c r="E865" s="0" t="s">
        <v>1764</v>
      </c>
      <c r="F865" s="0" t="s">
        <v>18</v>
      </c>
      <c r="G865" s="0" t="s">
        <v>2850</v>
      </c>
      <c r="H865" s="0" t="s">
        <v>2851</v>
      </c>
      <c r="I865" s="0" t="s">
        <v>21</v>
      </c>
      <c r="J865" s="0" t="s">
        <v>22</v>
      </c>
      <c r="K865" s="0" t="s">
        <v>89</v>
      </c>
      <c r="L865" s="0" t="str">
        <f aca="false">IFERROR(VLOOKUP(K865,'Supplier list'!B:C,2,0),"")</f>
        <v>บริษัท เฮเฟเล่ (ประเทศไทย) จำกัด</v>
      </c>
      <c r="M865" s="1" t="s">
        <v>24</v>
      </c>
      <c r="O865" s="2" t="n">
        <v>180</v>
      </c>
    </row>
    <row r="866" customFormat="false" ht="16.4" hidden="false" customHeight="false" outlineLevel="0" collapsed="false">
      <c r="A866" s="0" t="s">
        <v>15</v>
      </c>
      <c r="B866" s="0" t="s">
        <v>2852</v>
      </c>
      <c r="C866" s="0" t="n">
        <v>114001</v>
      </c>
      <c r="D866" s="0" t="n">
        <v>114001</v>
      </c>
      <c r="E866" s="0" t="s">
        <v>1653</v>
      </c>
      <c r="F866" s="0" t="s">
        <v>18</v>
      </c>
      <c r="G866" s="0" t="s">
        <v>2853</v>
      </c>
      <c r="H866" s="0" t="s">
        <v>2854</v>
      </c>
      <c r="I866" s="0" t="s">
        <v>21</v>
      </c>
      <c r="J866" s="0" t="s">
        <v>22</v>
      </c>
      <c r="K866" s="0" t="s">
        <v>89</v>
      </c>
      <c r="L866" s="0" t="str">
        <f aca="false">IFERROR(VLOOKUP(K866,'Supplier list'!B:C,2,0),"")</f>
        <v>บริษัท เฮเฟเล่ (ประเทศไทย) จำกัด</v>
      </c>
      <c r="M866" s="1" t="s">
        <v>1740</v>
      </c>
      <c r="N866" s="2" t="n">
        <v>41900</v>
      </c>
      <c r="O866" s="2" t="n">
        <v>26600</v>
      </c>
    </row>
    <row r="867" customFormat="false" ht="16.4" hidden="false" customHeight="false" outlineLevel="0" collapsed="false">
      <c r="A867" s="0" t="s">
        <v>15</v>
      </c>
      <c r="B867" s="0" t="s">
        <v>2855</v>
      </c>
      <c r="C867" s="0" t="n">
        <v>114001</v>
      </c>
      <c r="D867" s="0" t="n">
        <v>114001</v>
      </c>
      <c r="E867" s="0" t="s">
        <v>1653</v>
      </c>
      <c r="F867" s="0" t="s">
        <v>18</v>
      </c>
      <c r="G867" s="0" t="s">
        <v>2856</v>
      </c>
      <c r="H867" s="0" t="s">
        <v>2857</v>
      </c>
      <c r="I867" s="0" t="s">
        <v>21</v>
      </c>
      <c r="J867" s="0" t="s">
        <v>22</v>
      </c>
      <c r="K867" s="0" t="s">
        <v>89</v>
      </c>
      <c r="L867" s="0" t="str">
        <f aca="false">IFERROR(VLOOKUP(K867,'Supplier list'!B:C,2,0),"")</f>
        <v>บริษัท เฮเฟเล่ (ประเทศไทย) จำกัด</v>
      </c>
      <c r="M867" s="1" t="s">
        <v>1740</v>
      </c>
      <c r="N867" s="2" t="n">
        <v>6900</v>
      </c>
      <c r="O867" s="2" t="n">
        <v>3700</v>
      </c>
    </row>
    <row r="868" customFormat="false" ht="16.4" hidden="false" customHeight="false" outlineLevel="0" collapsed="false">
      <c r="A868" s="0" t="s">
        <v>15</v>
      </c>
      <c r="B868" s="0" t="s">
        <v>2858</v>
      </c>
      <c r="C868" s="0" t="n">
        <v>114001</v>
      </c>
      <c r="D868" s="0" t="n">
        <v>114001</v>
      </c>
      <c r="E868" s="0" t="s">
        <v>1605</v>
      </c>
      <c r="F868" s="0" t="s">
        <v>18</v>
      </c>
      <c r="G868" s="0" t="s">
        <v>2859</v>
      </c>
      <c r="H868" s="0" t="s">
        <v>2860</v>
      </c>
      <c r="I868" s="0" t="s">
        <v>21</v>
      </c>
      <c r="J868" s="0" t="s">
        <v>22</v>
      </c>
      <c r="K868" s="0" t="s">
        <v>89</v>
      </c>
      <c r="L868" s="0" t="str">
        <f aca="false">IFERROR(VLOOKUP(K868,'Supplier list'!B:C,2,0),"")</f>
        <v>บริษัท เฮเฟเล่ (ประเทศไทย) จำกัด</v>
      </c>
      <c r="M868" s="1" t="s">
        <v>24</v>
      </c>
      <c r="O868" s="2" t="n">
        <v>1205</v>
      </c>
    </row>
    <row r="869" customFormat="false" ht="16.4" hidden="false" customHeight="false" outlineLevel="0" collapsed="false">
      <c r="A869" s="0" t="s">
        <v>15</v>
      </c>
      <c r="B869" s="0" t="s">
        <v>2861</v>
      </c>
      <c r="C869" s="0" t="n">
        <v>114001</v>
      </c>
      <c r="D869" s="0" t="n">
        <v>114001</v>
      </c>
      <c r="E869" s="0" t="s">
        <v>1764</v>
      </c>
      <c r="F869" s="0" t="s">
        <v>18</v>
      </c>
      <c r="G869" s="0" t="s">
        <v>2862</v>
      </c>
      <c r="H869" s="0" t="s">
        <v>2863</v>
      </c>
      <c r="I869" s="0" t="s">
        <v>21</v>
      </c>
      <c r="J869" s="0" t="s">
        <v>22</v>
      </c>
      <c r="K869" s="0" t="s">
        <v>89</v>
      </c>
      <c r="L869" s="0" t="str">
        <f aca="false">IFERROR(VLOOKUP(K869,'Supplier list'!B:C,2,0),"")</f>
        <v>บริษัท เฮเฟเล่ (ประเทศไทย) จำกัด</v>
      </c>
      <c r="M869" s="1" t="s">
        <v>24</v>
      </c>
      <c r="O869" s="2" t="n">
        <v>400</v>
      </c>
    </row>
    <row r="870" customFormat="false" ht="16.4" hidden="false" customHeight="false" outlineLevel="0" collapsed="false">
      <c r="A870" s="0" t="s">
        <v>15</v>
      </c>
      <c r="B870" s="0" t="s">
        <v>2864</v>
      </c>
      <c r="C870" s="0" t="n">
        <v>114001</v>
      </c>
      <c r="D870" s="0" t="n">
        <v>114001</v>
      </c>
      <c r="E870" s="0" t="s">
        <v>1605</v>
      </c>
      <c r="F870" s="0" t="s">
        <v>18</v>
      </c>
      <c r="G870" s="0" t="s">
        <v>2865</v>
      </c>
      <c r="H870" s="0" t="s">
        <v>2866</v>
      </c>
      <c r="I870" s="0" t="s">
        <v>248</v>
      </c>
      <c r="J870" s="0" t="s">
        <v>249</v>
      </c>
      <c r="L870" s="0" t="str">
        <f aca="false">IFERROR(VLOOKUP(K870,'Supplier list'!B:C,2,0),"")</f>
        <v/>
      </c>
      <c r="M870" s="1" t="s">
        <v>24</v>
      </c>
      <c r="O870" s="2" t="n">
        <v>0</v>
      </c>
    </row>
    <row r="871" customFormat="false" ht="16.4" hidden="false" customHeight="false" outlineLevel="0" collapsed="false">
      <c r="A871" s="0" t="s">
        <v>15</v>
      </c>
      <c r="B871" s="0" t="s">
        <v>2867</v>
      </c>
      <c r="C871" s="0" t="n">
        <v>114001</v>
      </c>
      <c r="D871" s="0" t="n">
        <v>114001</v>
      </c>
      <c r="E871" s="0" t="s">
        <v>874</v>
      </c>
      <c r="F871" s="0" t="s">
        <v>18</v>
      </c>
      <c r="G871" s="0" t="s">
        <v>2868</v>
      </c>
      <c r="H871" s="0" t="s">
        <v>2869</v>
      </c>
      <c r="I871" s="0" t="s">
        <v>21</v>
      </c>
      <c r="J871" s="0" t="s">
        <v>22</v>
      </c>
      <c r="K871" s="0" t="s">
        <v>89</v>
      </c>
      <c r="L871" s="0" t="str">
        <f aca="false">IFERROR(VLOOKUP(K871,'Supplier list'!B:C,2,0),"")</f>
        <v>บริษัท เฮเฟเล่ (ประเทศไทย) จำกัด</v>
      </c>
      <c r="M871" s="1" t="s">
        <v>24</v>
      </c>
      <c r="O871" s="2" t="n">
        <v>2700</v>
      </c>
    </row>
    <row r="872" customFormat="false" ht="16.4" hidden="false" customHeight="false" outlineLevel="0" collapsed="false">
      <c r="A872" s="0" t="s">
        <v>15</v>
      </c>
      <c r="B872" s="0" t="s">
        <v>2870</v>
      </c>
      <c r="C872" s="0" t="n">
        <v>114001</v>
      </c>
      <c r="D872" s="0" t="n">
        <v>114001</v>
      </c>
      <c r="E872" s="0" t="s">
        <v>961</v>
      </c>
      <c r="F872" s="0" t="s">
        <v>18</v>
      </c>
      <c r="G872" s="0" t="s">
        <v>2871</v>
      </c>
      <c r="H872" s="0" t="s">
        <v>2872</v>
      </c>
      <c r="I872" s="0" t="s">
        <v>21</v>
      </c>
      <c r="J872" s="0" t="s">
        <v>22</v>
      </c>
      <c r="K872" s="0" t="s">
        <v>89</v>
      </c>
      <c r="L872" s="0" t="str">
        <f aca="false">IFERROR(VLOOKUP(K872,'Supplier list'!B:C,2,0),"")</f>
        <v>บริษัท เฮเฟเล่ (ประเทศไทย) จำกัด</v>
      </c>
      <c r="M872" s="1" t="s">
        <v>24</v>
      </c>
      <c r="O872" s="2" t="n">
        <v>2100</v>
      </c>
    </row>
    <row r="873" customFormat="false" ht="16.4" hidden="false" customHeight="false" outlineLevel="0" collapsed="false">
      <c r="A873" s="0" t="s">
        <v>15</v>
      </c>
      <c r="B873" s="0" t="s">
        <v>2873</v>
      </c>
      <c r="C873" s="0" t="n">
        <v>114001</v>
      </c>
      <c r="D873" s="0" t="n">
        <v>114001</v>
      </c>
      <c r="E873" s="0" t="s">
        <v>2185</v>
      </c>
      <c r="F873" s="0" t="s">
        <v>18</v>
      </c>
      <c r="G873" s="0" t="s">
        <v>2874</v>
      </c>
      <c r="H873" s="0" t="s">
        <v>2875</v>
      </c>
      <c r="I873" s="0" t="s">
        <v>21</v>
      </c>
      <c r="J873" s="0" t="s">
        <v>22</v>
      </c>
      <c r="K873" s="0" t="s">
        <v>89</v>
      </c>
      <c r="L873" s="0" t="str">
        <f aca="false">IFERROR(VLOOKUP(K873,'Supplier list'!B:C,2,0),"")</f>
        <v>บริษัท เฮเฟเล่ (ประเทศไทย) จำกัด</v>
      </c>
      <c r="M873" s="1" t="s">
        <v>1740</v>
      </c>
      <c r="N873" s="2" t="n">
        <v>1900</v>
      </c>
      <c r="O873" s="2" t="n">
        <v>926</v>
      </c>
    </row>
    <row r="874" customFormat="false" ht="16.4" hidden="false" customHeight="false" outlineLevel="0" collapsed="false">
      <c r="A874" s="0" t="s">
        <v>15</v>
      </c>
      <c r="B874" s="0" t="s">
        <v>2876</v>
      </c>
      <c r="C874" s="0" t="n">
        <v>114001</v>
      </c>
      <c r="D874" s="0" t="n">
        <v>114001</v>
      </c>
      <c r="E874" s="0" t="s">
        <v>2185</v>
      </c>
      <c r="F874" s="0" t="s">
        <v>18</v>
      </c>
      <c r="G874" s="0" t="s">
        <v>2877</v>
      </c>
      <c r="H874" s="0" t="s">
        <v>2878</v>
      </c>
      <c r="I874" s="0" t="s">
        <v>21</v>
      </c>
      <c r="J874" s="0" t="s">
        <v>22</v>
      </c>
      <c r="K874" s="0" t="s">
        <v>89</v>
      </c>
      <c r="L874" s="0" t="str">
        <f aca="false">IFERROR(VLOOKUP(K874,'Supplier list'!B:C,2,0),"")</f>
        <v>บริษัท เฮเฟเล่ (ประเทศไทย) จำกัด</v>
      </c>
      <c r="M874" s="1" t="s">
        <v>24</v>
      </c>
      <c r="O874" s="2" t="n">
        <v>33</v>
      </c>
    </row>
    <row r="875" customFormat="false" ht="16.4" hidden="false" customHeight="false" outlineLevel="0" collapsed="false">
      <c r="A875" s="0" t="s">
        <v>15</v>
      </c>
      <c r="B875" s="0" t="s">
        <v>2879</v>
      </c>
      <c r="C875" s="0" t="n">
        <v>114001</v>
      </c>
      <c r="D875" s="0" t="n">
        <v>114001</v>
      </c>
      <c r="E875" s="0" t="s">
        <v>1764</v>
      </c>
      <c r="F875" s="0" t="s">
        <v>18</v>
      </c>
      <c r="G875" s="0" t="s">
        <v>2880</v>
      </c>
      <c r="H875" s="0" t="s">
        <v>2881</v>
      </c>
      <c r="I875" s="0" t="s">
        <v>21</v>
      </c>
      <c r="J875" s="0" t="s">
        <v>22</v>
      </c>
      <c r="K875" s="0" t="s">
        <v>89</v>
      </c>
      <c r="L875" s="0" t="str">
        <f aca="false">IFERROR(VLOOKUP(K875,'Supplier list'!B:C,2,0),"")</f>
        <v>บริษัท เฮเฟเล่ (ประเทศไทย) จำกัด</v>
      </c>
      <c r="M875" s="1" t="s">
        <v>24</v>
      </c>
      <c r="O875" s="2" t="n">
        <v>780</v>
      </c>
    </row>
    <row r="876" customFormat="false" ht="16.4" hidden="false" customHeight="false" outlineLevel="0" collapsed="false">
      <c r="A876" s="0" t="s">
        <v>15</v>
      </c>
      <c r="B876" s="0" t="s">
        <v>2882</v>
      </c>
      <c r="C876" s="0" t="n">
        <v>114001</v>
      </c>
      <c r="D876" s="0" t="n">
        <v>114001</v>
      </c>
      <c r="E876" s="0" t="s">
        <v>1815</v>
      </c>
      <c r="F876" s="0" t="s">
        <v>18</v>
      </c>
      <c r="G876" s="0" t="s">
        <v>2883</v>
      </c>
      <c r="H876" s="0" t="s">
        <v>2635</v>
      </c>
      <c r="I876" s="0" t="s">
        <v>21</v>
      </c>
      <c r="J876" s="0" t="s">
        <v>22</v>
      </c>
      <c r="K876" s="0" t="s">
        <v>89</v>
      </c>
      <c r="L876" s="0" t="str">
        <f aca="false">IFERROR(VLOOKUP(K876,'Supplier list'!B:C,2,0),"")</f>
        <v>บริษัท เฮเฟเล่ (ประเทศไทย) จำกัด</v>
      </c>
      <c r="M876" s="1" t="s">
        <v>1740</v>
      </c>
      <c r="N876" s="2" t="n">
        <v>13900</v>
      </c>
      <c r="O876" s="2" t="n">
        <v>7750</v>
      </c>
    </row>
    <row r="877" customFormat="false" ht="16.4" hidden="false" customHeight="false" outlineLevel="0" collapsed="false">
      <c r="A877" s="0" t="s">
        <v>15</v>
      </c>
      <c r="B877" s="0" t="s">
        <v>2884</v>
      </c>
      <c r="C877" s="0" t="n">
        <v>114001</v>
      </c>
      <c r="D877" s="0" t="n">
        <v>114001</v>
      </c>
      <c r="E877" s="0" t="s">
        <v>1815</v>
      </c>
      <c r="F877" s="0" t="s">
        <v>18</v>
      </c>
      <c r="G877" s="0" t="s">
        <v>2885</v>
      </c>
      <c r="H877" s="0" t="s">
        <v>2886</v>
      </c>
      <c r="I877" s="0" t="s">
        <v>21</v>
      </c>
      <c r="J877" s="0" t="s">
        <v>22</v>
      </c>
      <c r="K877" s="0" t="s">
        <v>89</v>
      </c>
      <c r="L877" s="0" t="str">
        <f aca="false">IFERROR(VLOOKUP(K877,'Supplier list'!B:C,2,0),"")</f>
        <v>บริษัท เฮเฟเล่ (ประเทศไทย) จำกัด</v>
      </c>
      <c r="M877" s="1" t="s">
        <v>24</v>
      </c>
      <c r="O877" s="2" t="n">
        <v>6800</v>
      </c>
    </row>
    <row r="878" customFormat="false" ht="16.4" hidden="false" customHeight="false" outlineLevel="0" collapsed="false">
      <c r="A878" s="0" t="s">
        <v>15</v>
      </c>
      <c r="B878" s="0" t="s">
        <v>2887</v>
      </c>
      <c r="C878" s="0" t="n">
        <v>114001</v>
      </c>
      <c r="D878" s="0" t="n">
        <v>114001</v>
      </c>
      <c r="E878" s="0" t="s">
        <v>1605</v>
      </c>
      <c r="F878" s="0" t="s">
        <v>18</v>
      </c>
      <c r="G878" s="0" t="s">
        <v>2888</v>
      </c>
      <c r="H878" s="0" t="s">
        <v>2889</v>
      </c>
      <c r="I878" s="0" t="s">
        <v>21</v>
      </c>
      <c r="J878" s="0" t="s">
        <v>22</v>
      </c>
      <c r="K878" s="0" t="s">
        <v>1725</v>
      </c>
      <c r="L878" s="0" t="str">
        <f aca="false">IFERROR(VLOOKUP(K878,'Supplier list'!B:C,2,0),"")</f>
        <v>บริษัท พรีซิชั่นไลน์ จำกัด</v>
      </c>
      <c r="M878" s="1" t="s">
        <v>24</v>
      </c>
      <c r="O878" s="2" t="n">
        <v>21800</v>
      </c>
    </row>
    <row r="879" customFormat="false" ht="16.4" hidden="false" customHeight="false" outlineLevel="0" collapsed="false">
      <c r="A879" s="0" t="s">
        <v>15</v>
      </c>
      <c r="B879" s="0" t="s">
        <v>2890</v>
      </c>
      <c r="C879" s="0" t="n">
        <v>114001</v>
      </c>
      <c r="D879" s="0" t="n">
        <v>114001</v>
      </c>
      <c r="E879" s="0" t="s">
        <v>1727</v>
      </c>
      <c r="F879" s="0" t="s">
        <v>18</v>
      </c>
      <c r="G879" s="0" t="s">
        <v>2891</v>
      </c>
      <c r="H879" s="0" t="s">
        <v>2892</v>
      </c>
      <c r="I879" s="0" t="s">
        <v>21</v>
      </c>
      <c r="J879" s="0" t="s">
        <v>22</v>
      </c>
      <c r="K879" s="0" t="s">
        <v>1725</v>
      </c>
      <c r="L879" s="0" t="str">
        <f aca="false">IFERROR(VLOOKUP(K879,'Supplier list'!B:C,2,0),"")</f>
        <v>บริษัท พรีซิชั่นไลน์ จำกัด</v>
      </c>
      <c r="M879" s="1" t="s">
        <v>24</v>
      </c>
      <c r="O879" s="2" t="n">
        <v>820</v>
      </c>
    </row>
    <row r="880" customFormat="false" ht="16.4" hidden="false" customHeight="false" outlineLevel="0" collapsed="false">
      <c r="A880" s="0" t="s">
        <v>15</v>
      </c>
      <c r="B880" s="0" t="s">
        <v>2893</v>
      </c>
      <c r="C880" s="0" t="n">
        <v>114001</v>
      </c>
      <c r="D880" s="0" t="n">
        <v>114001</v>
      </c>
      <c r="E880" s="0" t="s">
        <v>1804</v>
      </c>
      <c r="F880" s="0" t="s">
        <v>18</v>
      </c>
      <c r="G880" s="0" t="s">
        <v>2894</v>
      </c>
      <c r="H880" s="0" t="s">
        <v>2895</v>
      </c>
      <c r="I880" s="0" t="s">
        <v>21</v>
      </c>
      <c r="J880" s="0" t="s">
        <v>22</v>
      </c>
      <c r="K880" s="0" t="s">
        <v>89</v>
      </c>
      <c r="L880" s="0" t="str">
        <f aca="false">IFERROR(VLOOKUP(K880,'Supplier list'!B:C,2,0),"")</f>
        <v>บริษัท เฮเฟเล่ (ประเทศไทย) จำกัด</v>
      </c>
      <c r="M880" s="1" t="s">
        <v>24</v>
      </c>
      <c r="O880" s="2" t="n">
        <v>7300</v>
      </c>
    </row>
    <row r="881" customFormat="false" ht="16.4" hidden="false" customHeight="false" outlineLevel="0" collapsed="false">
      <c r="A881" s="0" t="s">
        <v>15</v>
      </c>
      <c r="B881" s="0" t="s">
        <v>2896</v>
      </c>
      <c r="C881" s="0" t="n">
        <v>114001</v>
      </c>
      <c r="D881" s="0" t="n">
        <v>114001</v>
      </c>
      <c r="E881" s="0" t="s">
        <v>2547</v>
      </c>
      <c r="F881" s="0" t="s">
        <v>18</v>
      </c>
      <c r="G881" s="0" t="s">
        <v>2897</v>
      </c>
      <c r="H881" s="0" t="s">
        <v>2898</v>
      </c>
      <c r="I881" s="0" t="s">
        <v>124</v>
      </c>
      <c r="J881" s="0" t="s">
        <v>125</v>
      </c>
      <c r="K881" s="0" t="s">
        <v>2550</v>
      </c>
      <c r="L881" s="0" t="str">
        <f aca="false">IFERROR(VLOOKUP(K881,'Supplier list'!B:C,2,0),"")</f>
        <v>บริษัท เอส.เอส.อุตสาหกรรมบรรจุภัณฑ์ จำกัด</v>
      </c>
      <c r="M881" s="1" t="s">
        <v>24</v>
      </c>
      <c r="O881" s="2" t="n">
        <v>58</v>
      </c>
    </row>
    <row r="882" customFormat="false" ht="16.4" hidden="false" customHeight="false" outlineLevel="0" collapsed="false">
      <c r="A882" s="0" t="s">
        <v>15</v>
      </c>
      <c r="B882" s="0" t="s">
        <v>2899</v>
      </c>
      <c r="C882" s="0" t="n">
        <v>114001</v>
      </c>
      <c r="D882" s="0" t="n">
        <v>114001</v>
      </c>
      <c r="E882" s="0" t="s">
        <v>961</v>
      </c>
      <c r="F882" s="0" t="s">
        <v>18</v>
      </c>
      <c r="G882" s="0" t="s">
        <v>2900</v>
      </c>
      <c r="H882" s="0" t="s">
        <v>2901</v>
      </c>
      <c r="I882" s="0" t="s">
        <v>21</v>
      </c>
      <c r="J882" s="0" t="s">
        <v>22</v>
      </c>
      <c r="K882" s="0" t="s">
        <v>89</v>
      </c>
      <c r="L882" s="0" t="str">
        <f aca="false">IFERROR(VLOOKUP(K882,'Supplier list'!B:C,2,0),"")</f>
        <v>บริษัท เฮเฟเล่ (ประเทศไทย) จำกัด</v>
      </c>
      <c r="M882" s="1" t="s">
        <v>24</v>
      </c>
      <c r="O882" s="2" t="n">
        <v>11</v>
      </c>
    </row>
    <row r="883" customFormat="false" ht="16.4" hidden="false" customHeight="false" outlineLevel="0" collapsed="false">
      <c r="A883" s="0" t="s">
        <v>15</v>
      </c>
      <c r="B883" s="0" t="s">
        <v>2902</v>
      </c>
      <c r="C883" s="0" t="n">
        <v>114001</v>
      </c>
      <c r="D883" s="0" t="n">
        <v>114001</v>
      </c>
      <c r="E883" s="0" t="s">
        <v>961</v>
      </c>
      <c r="F883" s="0" t="s">
        <v>18</v>
      </c>
      <c r="G883" s="0" t="s">
        <v>2903</v>
      </c>
      <c r="H883" s="0" t="s">
        <v>2904</v>
      </c>
      <c r="I883" s="0" t="s">
        <v>21</v>
      </c>
      <c r="J883" s="0" t="s">
        <v>22</v>
      </c>
      <c r="K883" s="0" t="s">
        <v>89</v>
      </c>
      <c r="L883" s="0" t="str">
        <f aca="false">IFERROR(VLOOKUP(K883,'Supplier list'!B:C,2,0),"")</f>
        <v>บริษัท เฮเฟเล่ (ประเทศไทย) จำกัด</v>
      </c>
      <c r="M883" s="1" t="s">
        <v>24</v>
      </c>
      <c r="O883" s="2" t="n">
        <v>110</v>
      </c>
    </row>
    <row r="884" customFormat="false" ht="16.4" hidden="false" customHeight="false" outlineLevel="0" collapsed="false">
      <c r="A884" s="0" t="s">
        <v>15</v>
      </c>
      <c r="B884" s="0" t="s">
        <v>2905</v>
      </c>
      <c r="C884" s="0" t="n">
        <v>114001</v>
      </c>
      <c r="D884" s="0" t="n">
        <v>114001</v>
      </c>
      <c r="E884" s="0" t="s">
        <v>961</v>
      </c>
      <c r="F884" s="0" t="s">
        <v>18</v>
      </c>
      <c r="G884" s="0" t="s">
        <v>2906</v>
      </c>
      <c r="H884" s="0" t="s">
        <v>2907</v>
      </c>
      <c r="I884" s="0" t="s">
        <v>21</v>
      </c>
      <c r="J884" s="0" t="s">
        <v>22</v>
      </c>
      <c r="K884" s="0" t="s">
        <v>89</v>
      </c>
      <c r="L884" s="0" t="str">
        <f aca="false">IFERROR(VLOOKUP(K884,'Supplier list'!B:C,2,0),"")</f>
        <v>บริษัท เฮเฟเล่ (ประเทศไทย) จำกัด</v>
      </c>
      <c r="M884" s="1" t="s">
        <v>24</v>
      </c>
      <c r="O884" s="2" t="n">
        <v>410</v>
      </c>
    </row>
    <row r="885" customFormat="false" ht="16.4" hidden="false" customHeight="false" outlineLevel="0" collapsed="false">
      <c r="A885" s="0" t="s">
        <v>15</v>
      </c>
      <c r="B885" s="0" t="s">
        <v>2908</v>
      </c>
      <c r="C885" s="0" t="n">
        <v>114001</v>
      </c>
      <c r="D885" s="0" t="n">
        <v>114001</v>
      </c>
      <c r="E885" s="0" t="s">
        <v>961</v>
      </c>
      <c r="F885" s="0" t="s">
        <v>18</v>
      </c>
      <c r="G885" s="0" t="s">
        <v>2909</v>
      </c>
      <c r="H885" s="0" t="s">
        <v>2910</v>
      </c>
      <c r="I885" s="0" t="s">
        <v>21</v>
      </c>
      <c r="J885" s="0" t="s">
        <v>22</v>
      </c>
      <c r="K885" s="0" t="s">
        <v>89</v>
      </c>
      <c r="L885" s="0" t="str">
        <f aca="false">IFERROR(VLOOKUP(K885,'Supplier list'!B:C,2,0),"")</f>
        <v>บริษัท เฮเฟเล่ (ประเทศไทย) จำกัด</v>
      </c>
      <c r="M885" s="1" t="s">
        <v>24</v>
      </c>
      <c r="O885" s="2" t="n">
        <v>410</v>
      </c>
    </row>
    <row r="886" customFormat="false" ht="16.4" hidden="false" customHeight="false" outlineLevel="0" collapsed="false">
      <c r="A886" s="0" t="s">
        <v>15</v>
      </c>
      <c r="B886" s="0" t="s">
        <v>2911</v>
      </c>
      <c r="C886" s="0" t="n">
        <v>114001</v>
      </c>
      <c r="D886" s="0" t="n">
        <v>114001</v>
      </c>
      <c r="E886" s="0" t="s">
        <v>1764</v>
      </c>
      <c r="F886" s="0" t="s">
        <v>18</v>
      </c>
      <c r="G886" s="0" t="s">
        <v>2912</v>
      </c>
      <c r="H886" s="0" t="s">
        <v>2913</v>
      </c>
      <c r="I886" s="0" t="s">
        <v>168</v>
      </c>
      <c r="J886" s="0" t="s">
        <v>169</v>
      </c>
      <c r="K886" s="0" t="s">
        <v>89</v>
      </c>
      <c r="L886" s="0" t="str">
        <f aca="false">IFERROR(VLOOKUP(K886,'Supplier list'!B:C,2,0),"")</f>
        <v>บริษัท เฮเฟเล่ (ประเทศไทย) จำกัด</v>
      </c>
      <c r="M886" s="1" t="s">
        <v>24</v>
      </c>
      <c r="O886" s="2" t="n">
        <v>970</v>
      </c>
    </row>
    <row r="887" customFormat="false" ht="16.4" hidden="false" customHeight="false" outlineLevel="0" collapsed="false">
      <c r="A887" s="0" t="s">
        <v>15</v>
      </c>
      <c r="B887" s="0" t="s">
        <v>2914</v>
      </c>
      <c r="C887" s="0" t="n">
        <v>114001</v>
      </c>
      <c r="D887" s="0" t="n">
        <v>114001</v>
      </c>
      <c r="E887" s="0" t="s">
        <v>2801</v>
      </c>
      <c r="F887" s="0" t="s">
        <v>18</v>
      </c>
      <c r="G887" s="0" t="s">
        <v>2915</v>
      </c>
      <c r="H887" s="0" t="s">
        <v>2916</v>
      </c>
      <c r="I887" s="0" t="s">
        <v>21</v>
      </c>
      <c r="J887" s="0" t="s">
        <v>22</v>
      </c>
      <c r="K887" s="0" t="s">
        <v>89</v>
      </c>
      <c r="L887" s="0" t="str">
        <f aca="false">IFERROR(VLOOKUP(K887,'Supplier list'!B:C,2,0),"")</f>
        <v>บริษัท เฮเฟเล่ (ประเทศไทย) จำกัด</v>
      </c>
      <c r="M887" s="1" t="s">
        <v>24</v>
      </c>
      <c r="O887" s="2" t="n">
        <v>26700</v>
      </c>
    </row>
    <row r="888" customFormat="false" ht="16.4" hidden="false" customHeight="false" outlineLevel="0" collapsed="false">
      <c r="A888" s="0" t="s">
        <v>15</v>
      </c>
      <c r="B888" s="0" t="s">
        <v>2917</v>
      </c>
      <c r="C888" s="0" t="n">
        <v>114001</v>
      </c>
      <c r="D888" s="0" t="n">
        <v>114001</v>
      </c>
      <c r="E888" s="0" t="s">
        <v>2918</v>
      </c>
      <c r="F888" s="0" t="s">
        <v>18</v>
      </c>
      <c r="G888" s="0" t="s">
        <v>2919</v>
      </c>
      <c r="H888" s="0" t="s">
        <v>2920</v>
      </c>
      <c r="I888" s="0" t="s">
        <v>21</v>
      </c>
      <c r="J888" s="0" t="s">
        <v>22</v>
      </c>
      <c r="K888" s="0" t="s">
        <v>89</v>
      </c>
      <c r="L888" s="0" t="str">
        <f aca="false">IFERROR(VLOOKUP(K888,'Supplier list'!B:C,2,0),"")</f>
        <v>บริษัท เฮเฟเล่ (ประเทศไทย) จำกัด</v>
      </c>
      <c r="M888" s="1" t="s">
        <v>24</v>
      </c>
      <c r="O888" s="2" t="n">
        <v>83</v>
      </c>
    </row>
    <row r="889" customFormat="false" ht="16.4" hidden="false" customHeight="false" outlineLevel="0" collapsed="false">
      <c r="A889" s="0" t="s">
        <v>15</v>
      </c>
      <c r="B889" s="0" t="s">
        <v>2921</v>
      </c>
      <c r="C889" s="0" t="n">
        <v>114001</v>
      </c>
      <c r="D889" s="0" t="n">
        <v>114001</v>
      </c>
      <c r="E889" s="0" t="s">
        <v>1764</v>
      </c>
      <c r="F889" s="0" t="s">
        <v>18</v>
      </c>
      <c r="G889" s="0" t="s">
        <v>2922</v>
      </c>
      <c r="H889" s="0" t="s">
        <v>2923</v>
      </c>
      <c r="I889" s="0" t="s">
        <v>21</v>
      </c>
      <c r="J889" s="0" t="s">
        <v>22</v>
      </c>
      <c r="L889" s="0" t="str">
        <f aca="false">IFERROR(VLOOKUP(K889,'Supplier list'!B:C,2,0),"")</f>
        <v/>
      </c>
      <c r="M889" s="1" t="s">
        <v>24</v>
      </c>
      <c r="O889" s="2" t="n">
        <v>0</v>
      </c>
    </row>
    <row r="890" customFormat="false" ht="16.4" hidden="false" customHeight="false" outlineLevel="0" collapsed="false">
      <c r="A890" s="0" t="s">
        <v>15</v>
      </c>
      <c r="B890" s="0" t="s">
        <v>2924</v>
      </c>
      <c r="C890" s="0" t="n">
        <v>114001</v>
      </c>
      <c r="D890" s="0" t="n">
        <v>114001</v>
      </c>
      <c r="E890" s="0" t="s">
        <v>1601</v>
      </c>
      <c r="F890" s="0" t="s">
        <v>18</v>
      </c>
      <c r="G890" s="0" t="s">
        <v>2925</v>
      </c>
      <c r="H890" s="0" t="s">
        <v>2926</v>
      </c>
      <c r="I890" s="0" t="s">
        <v>168</v>
      </c>
      <c r="J890" s="0" t="s">
        <v>169</v>
      </c>
      <c r="K890" s="0" t="s">
        <v>89</v>
      </c>
      <c r="L890" s="0" t="str">
        <f aca="false">IFERROR(VLOOKUP(K890,'Supplier list'!B:C,2,0),"")</f>
        <v>บริษัท เฮเฟเล่ (ประเทศไทย) จำกัด</v>
      </c>
      <c r="M890" s="1" t="s">
        <v>24</v>
      </c>
      <c r="O890" s="2" t="n">
        <v>580</v>
      </c>
    </row>
    <row r="891" customFormat="false" ht="16.4" hidden="false" customHeight="false" outlineLevel="0" collapsed="false">
      <c r="A891" s="0" t="s">
        <v>15</v>
      </c>
      <c r="B891" s="0" t="s">
        <v>2927</v>
      </c>
      <c r="C891" s="0" t="n">
        <v>114001</v>
      </c>
      <c r="D891" s="0" t="n">
        <v>114001</v>
      </c>
      <c r="E891" s="0" t="s">
        <v>1764</v>
      </c>
      <c r="F891" s="0" t="s">
        <v>18</v>
      </c>
      <c r="G891" s="0" t="s">
        <v>2928</v>
      </c>
      <c r="H891" s="0" t="s">
        <v>2929</v>
      </c>
      <c r="I891" s="0" t="s">
        <v>21</v>
      </c>
      <c r="J891" s="0" t="s">
        <v>22</v>
      </c>
      <c r="K891" s="0" t="s">
        <v>89</v>
      </c>
      <c r="L891" s="0" t="str">
        <f aca="false">IFERROR(VLOOKUP(K891,'Supplier list'!B:C,2,0),"")</f>
        <v>บริษัท เฮเฟเล่ (ประเทศไทย) จำกัด</v>
      </c>
      <c r="M891" s="1" t="s">
        <v>24</v>
      </c>
      <c r="O891" s="2" t="n">
        <v>970</v>
      </c>
    </row>
    <row r="892" customFormat="false" ht="16.4" hidden="false" customHeight="false" outlineLevel="0" collapsed="false">
      <c r="A892" s="0" t="s">
        <v>15</v>
      </c>
      <c r="B892" s="0" t="s">
        <v>2930</v>
      </c>
      <c r="C892" s="0" t="n">
        <v>114001</v>
      </c>
      <c r="D892" s="0" t="n">
        <v>114001</v>
      </c>
      <c r="E892" s="0" t="s">
        <v>121</v>
      </c>
      <c r="F892" s="0" t="s">
        <v>18</v>
      </c>
      <c r="G892" s="0" t="s">
        <v>2931</v>
      </c>
      <c r="H892" s="0" t="s">
        <v>2932</v>
      </c>
      <c r="I892" s="0" t="s">
        <v>21</v>
      </c>
      <c r="J892" s="0" t="s">
        <v>22</v>
      </c>
      <c r="K892" s="0" t="s">
        <v>89</v>
      </c>
      <c r="L892" s="0" t="str">
        <f aca="false">IFERROR(VLOOKUP(K892,'Supplier list'!B:C,2,0),"")</f>
        <v>บริษัท เฮเฟเล่ (ประเทศไทย) จำกัด</v>
      </c>
      <c r="M892" s="1" t="s">
        <v>24</v>
      </c>
      <c r="O892" s="2" t="n">
        <v>1960</v>
      </c>
    </row>
    <row r="893" customFormat="false" ht="16.4" hidden="false" customHeight="false" outlineLevel="0" collapsed="false">
      <c r="A893" s="0" t="s">
        <v>15</v>
      </c>
      <c r="B893" s="0" t="s">
        <v>2933</v>
      </c>
      <c r="C893" s="0" t="n">
        <v>114001</v>
      </c>
      <c r="D893" s="0" t="n">
        <v>114001</v>
      </c>
      <c r="E893" s="0" t="s">
        <v>2934</v>
      </c>
      <c r="F893" s="0" t="s">
        <v>18</v>
      </c>
      <c r="G893" s="0" t="s">
        <v>2935</v>
      </c>
      <c r="H893" s="0" t="s">
        <v>2936</v>
      </c>
      <c r="I893" s="0" t="s">
        <v>21</v>
      </c>
      <c r="J893" s="0" t="s">
        <v>22</v>
      </c>
      <c r="K893" s="0" t="s">
        <v>89</v>
      </c>
      <c r="L893" s="0" t="str">
        <f aca="false">IFERROR(VLOOKUP(K893,'Supplier list'!B:C,2,0),"")</f>
        <v>บริษัท เฮเฟเล่ (ประเทศไทย) จำกัด</v>
      </c>
      <c r="M893" s="1" t="s">
        <v>24</v>
      </c>
      <c r="O893" s="2" t="n">
        <v>1350</v>
      </c>
    </row>
    <row r="894" customFormat="false" ht="16.4" hidden="false" customHeight="false" outlineLevel="0" collapsed="false">
      <c r="A894" s="0" t="s">
        <v>15</v>
      </c>
      <c r="B894" s="0" t="s">
        <v>2937</v>
      </c>
      <c r="C894" s="0" t="n">
        <v>114001</v>
      </c>
      <c r="D894" s="0" t="n">
        <v>114001</v>
      </c>
      <c r="E894" s="0" t="s">
        <v>2934</v>
      </c>
      <c r="F894" s="0" t="s">
        <v>18</v>
      </c>
      <c r="G894" s="0" t="s">
        <v>2938</v>
      </c>
      <c r="H894" s="0" t="s">
        <v>2939</v>
      </c>
      <c r="I894" s="0" t="s">
        <v>21</v>
      </c>
      <c r="J894" s="0" t="s">
        <v>22</v>
      </c>
      <c r="K894" s="0" t="s">
        <v>89</v>
      </c>
      <c r="L894" s="0" t="str">
        <f aca="false">IFERROR(VLOOKUP(K894,'Supplier list'!B:C,2,0),"")</f>
        <v>บริษัท เฮเฟเล่ (ประเทศไทย) จำกัด</v>
      </c>
      <c r="M894" s="1" t="s">
        <v>24</v>
      </c>
      <c r="O894" s="2" t="n">
        <v>1200</v>
      </c>
    </row>
    <row r="895" customFormat="false" ht="16.4" hidden="false" customHeight="false" outlineLevel="0" collapsed="false">
      <c r="A895" s="0" t="s">
        <v>15</v>
      </c>
      <c r="B895" s="0" t="s">
        <v>2940</v>
      </c>
      <c r="C895" s="0" t="n">
        <v>114001</v>
      </c>
      <c r="D895" s="0" t="n">
        <v>114001</v>
      </c>
      <c r="E895" s="0" t="s">
        <v>2934</v>
      </c>
      <c r="F895" s="0" t="s">
        <v>18</v>
      </c>
      <c r="G895" s="0" t="s">
        <v>2941</v>
      </c>
      <c r="H895" s="0" t="s">
        <v>2942</v>
      </c>
      <c r="I895" s="0" t="s">
        <v>21</v>
      </c>
      <c r="J895" s="0" t="s">
        <v>22</v>
      </c>
      <c r="K895" s="0" t="s">
        <v>89</v>
      </c>
      <c r="L895" s="0" t="str">
        <f aca="false">IFERROR(VLOOKUP(K895,'Supplier list'!B:C,2,0),"")</f>
        <v>บริษัท เฮเฟเล่ (ประเทศไทย) จำกัด</v>
      </c>
      <c r="M895" s="1" t="s">
        <v>24</v>
      </c>
      <c r="O895" s="2" t="n">
        <v>190</v>
      </c>
    </row>
    <row r="896" customFormat="false" ht="16.4" hidden="false" customHeight="false" outlineLevel="0" collapsed="false">
      <c r="A896" s="0" t="s">
        <v>15</v>
      </c>
      <c r="B896" s="0" t="s">
        <v>2943</v>
      </c>
      <c r="C896" s="0" t="n">
        <v>114001</v>
      </c>
      <c r="D896" s="0" t="n">
        <v>114001</v>
      </c>
      <c r="E896" s="0" t="s">
        <v>2934</v>
      </c>
      <c r="F896" s="0" t="s">
        <v>18</v>
      </c>
      <c r="G896" s="0" t="s">
        <v>2944</v>
      </c>
      <c r="H896" s="0" t="s">
        <v>2945</v>
      </c>
      <c r="I896" s="0" t="s">
        <v>21</v>
      </c>
      <c r="J896" s="0" t="s">
        <v>22</v>
      </c>
      <c r="K896" s="0" t="s">
        <v>89</v>
      </c>
      <c r="L896" s="0" t="str">
        <f aca="false">IFERROR(VLOOKUP(K896,'Supplier list'!B:C,2,0),"")</f>
        <v>บริษัท เฮเฟเล่ (ประเทศไทย) จำกัด</v>
      </c>
      <c r="M896" s="1" t="s">
        <v>24</v>
      </c>
      <c r="O896" s="2" t="n">
        <v>580</v>
      </c>
    </row>
    <row r="897" customFormat="false" ht="16.4" hidden="false" customHeight="false" outlineLevel="0" collapsed="false">
      <c r="A897" s="0" t="s">
        <v>15</v>
      </c>
      <c r="B897" s="0" t="s">
        <v>2946</v>
      </c>
      <c r="C897" s="0" t="n">
        <v>114001</v>
      </c>
      <c r="D897" s="0" t="n">
        <v>114001</v>
      </c>
      <c r="E897" s="0" t="s">
        <v>2934</v>
      </c>
      <c r="F897" s="0" t="s">
        <v>18</v>
      </c>
      <c r="G897" s="0" t="s">
        <v>2947</v>
      </c>
      <c r="H897" s="0" t="s">
        <v>2948</v>
      </c>
      <c r="I897" s="0" t="s">
        <v>21</v>
      </c>
      <c r="J897" s="0" t="s">
        <v>22</v>
      </c>
      <c r="K897" s="0" t="s">
        <v>89</v>
      </c>
      <c r="L897" s="0" t="str">
        <f aca="false">IFERROR(VLOOKUP(K897,'Supplier list'!B:C,2,0),"")</f>
        <v>บริษัท เฮเฟเล่ (ประเทศไทย) จำกัด</v>
      </c>
      <c r="M897" s="1" t="s">
        <v>24</v>
      </c>
      <c r="O897" s="2" t="n">
        <v>29</v>
      </c>
    </row>
    <row r="898" customFormat="false" ht="16.4" hidden="false" customHeight="false" outlineLevel="0" collapsed="false">
      <c r="A898" s="0" t="s">
        <v>15</v>
      </c>
      <c r="B898" s="0" t="s">
        <v>2949</v>
      </c>
      <c r="C898" s="0" t="n">
        <v>114001</v>
      </c>
      <c r="D898" s="0" t="n">
        <v>114001</v>
      </c>
      <c r="E898" s="0" t="s">
        <v>2934</v>
      </c>
      <c r="F898" s="0" t="s">
        <v>18</v>
      </c>
      <c r="G898" s="0" t="s">
        <v>2950</v>
      </c>
      <c r="H898" s="0" t="s">
        <v>2951</v>
      </c>
      <c r="I898" s="0" t="s">
        <v>21</v>
      </c>
      <c r="J898" s="0" t="s">
        <v>22</v>
      </c>
      <c r="K898" s="0" t="s">
        <v>89</v>
      </c>
      <c r="L898" s="0" t="str">
        <f aca="false">IFERROR(VLOOKUP(K898,'Supplier list'!B:C,2,0),"")</f>
        <v>บริษัท เฮเฟเล่ (ประเทศไทย) จำกัด</v>
      </c>
      <c r="M898" s="1" t="s">
        <v>24</v>
      </c>
      <c r="O898" s="2" t="n">
        <v>11500</v>
      </c>
    </row>
    <row r="899" customFormat="false" ht="16.4" hidden="false" customHeight="false" outlineLevel="0" collapsed="false">
      <c r="A899" s="0" t="s">
        <v>15</v>
      </c>
      <c r="B899" s="0" t="s">
        <v>2952</v>
      </c>
      <c r="C899" s="0" t="n">
        <v>114001</v>
      </c>
      <c r="D899" s="0" t="n">
        <v>114001</v>
      </c>
      <c r="E899" s="0" t="s">
        <v>1653</v>
      </c>
      <c r="F899" s="0" t="s">
        <v>18</v>
      </c>
      <c r="G899" s="0" t="s">
        <v>2953</v>
      </c>
      <c r="H899" s="0" t="s">
        <v>2954</v>
      </c>
      <c r="I899" s="0" t="s">
        <v>21</v>
      </c>
      <c r="J899" s="0" t="s">
        <v>22</v>
      </c>
      <c r="K899" s="0" t="s">
        <v>89</v>
      </c>
      <c r="L899" s="0" t="str">
        <f aca="false">IFERROR(VLOOKUP(K899,'Supplier list'!B:C,2,0),"")</f>
        <v>บริษัท เฮเฟเล่ (ประเทศไทย) จำกัด</v>
      </c>
      <c r="M899" s="1" t="s">
        <v>24</v>
      </c>
      <c r="O899" s="2" t="n">
        <v>24500</v>
      </c>
    </row>
    <row r="900" customFormat="false" ht="16.4" hidden="false" customHeight="false" outlineLevel="0" collapsed="false">
      <c r="A900" s="0" t="s">
        <v>15</v>
      </c>
      <c r="B900" s="0" t="s">
        <v>2955</v>
      </c>
      <c r="C900" s="0" t="n">
        <v>114001</v>
      </c>
      <c r="D900" s="0" t="n">
        <v>114001</v>
      </c>
      <c r="E900" s="0" t="s">
        <v>961</v>
      </c>
      <c r="F900" s="0" t="s">
        <v>18</v>
      </c>
      <c r="G900" s="0" t="s">
        <v>2956</v>
      </c>
      <c r="H900" s="0" t="s">
        <v>2957</v>
      </c>
      <c r="I900" s="0" t="s">
        <v>21</v>
      </c>
      <c r="J900" s="0" t="s">
        <v>22</v>
      </c>
      <c r="K900" s="0" t="s">
        <v>89</v>
      </c>
      <c r="L900" s="0" t="str">
        <f aca="false">IFERROR(VLOOKUP(K900,'Supplier list'!B:C,2,0),"")</f>
        <v>บริษัท เฮเฟเล่ (ประเทศไทย) จำกัด</v>
      </c>
      <c r="M900" s="1" t="s">
        <v>24</v>
      </c>
      <c r="O900" s="2" t="n">
        <v>140</v>
      </c>
    </row>
    <row r="901" customFormat="false" ht="16.4" hidden="false" customHeight="false" outlineLevel="0" collapsed="false">
      <c r="A901" s="0" t="s">
        <v>15</v>
      </c>
      <c r="B901" s="0" t="s">
        <v>2958</v>
      </c>
      <c r="C901" s="0" t="n">
        <v>114001</v>
      </c>
      <c r="D901" s="0" t="n">
        <v>114001</v>
      </c>
      <c r="E901" s="0" t="s">
        <v>1727</v>
      </c>
      <c r="F901" s="0" t="s">
        <v>18</v>
      </c>
      <c r="G901" s="0" t="s">
        <v>2959</v>
      </c>
      <c r="H901" s="0" t="s">
        <v>2960</v>
      </c>
      <c r="I901" s="0" t="s">
        <v>21</v>
      </c>
      <c r="J901" s="0" t="s">
        <v>22</v>
      </c>
      <c r="K901" s="0" t="s">
        <v>787</v>
      </c>
      <c r="L901" s="0" t="str">
        <f aca="false">IFERROR(VLOOKUP(K901,'Supplier list'!B:C,2,0),"")</f>
        <v>บริษัท ฟิวเจอร์เทค อินเตอร์มาร์เก็ตติ้ง จำกัด</v>
      </c>
      <c r="M901" s="1" t="s">
        <v>24</v>
      </c>
      <c r="O901" s="2" t="n">
        <v>230</v>
      </c>
    </row>
    <row r="902" customFormat="false" ht="16.4" hidden="false" customHeight="false" outlineLevel="0" collapsed="false">
      <c r="A902" s="0" t="s">
        <v>15</v>
      </c>
      <c r="B902" s="0" t="s">
        <v>2961</v>
      </c>
      <c r="C902" s="0" t="n">
        <v>114001</v>
      </c>
      <c r="D902" s="0" t="n">
        <v>114001</v>
      </c>
      <c r="E902" s="0" t="s">
        <v>1764</v>
      </c>
      <c r="F902" s="0" t="s">
        <v>18</v>
      </c>
      <c r="G902" s="0" t="s">
        <v>2962</v>
      </c>
      <c r="H902" s="0" t="s">
        <v>2963</v>
      </c>
      <c r="I902" s="0" t="s">
        <v>168</v>
      </c>
      <c r="J902" s="0" t="s">
        <v>169</v>
      </c>
      <c r="K902" s="0" t="s">
        <v>787</v>
      </c>
      <c r="L902" s="0" t="str">
        <f aca="false">IFERROR(VLOOKUP(K902,'Supplier list'!B:C,2,0),"")</f>
        <v>บริษัท ฟิวเจอร์เทค อินเตอร์มาร์เก็ตติ้ง จำกัด</v>
      </c>
      <c r="M902" s="1" t="s">
        <v>24</v>
      </c>
      <c r="O902" s="2" t="n">
        <v>420</v>
      </c>
    </row>
    <row r="903" customFormat="false" ht="16.4" hidden="false" customHeight="false" outlineLevel="0" collapsed="false">
      <c r="A903" s="0" t="s">
        <v>15</v>
      </c>
      <c r="B903" s="0" t="s">
        <v>2964</v>
      </c>
      <c r="C903" s="0" t="n">
        <v>114001</v>
      </c>
      <c r="D903" s="0" t="n">
        <v>114001</v>
      </c>
      <c r="E903" s="0" t="s">
        <v>1764</v>
      </c>
      <c r="F903" s="0" t="s">
        <v>18</v>
      </c>
      <c r="G903" s="0" t="s">
        <v>2965</v>
      </c>
      <c r="H903" s="0" t="s">
        <v>2966</v>
      </c>
      <c r="I903" s="0" t="s">
        <v>168</v>
      </c>
      <c r="J903" s="0" t="s">
        <v>169</v>
      </c>
      <c r="K903" s="0" t="s">
        <v>787</v>
      </c>
      <c r="L903" s="0" t="str">
        <f aca="false">IFERROR(VLOOKUP(K903,'Supplier list'!B:C,2,0),"")</f>
        <v>บริษัท ฟิวเจอร์เทค อินเตอร์มาร์เก็ตติ้ง จำกัด</v>
      </c>
      <c r="M903" s="1" t="s">
        <v>24</v>
      </c>
      <c r="O903" s="2" t="n">
        <v>630</v>
      </c>
    </row>
    <row r="904" customFormat="false" ht="16.4" hidden="false" customHeight="false" outlineLevel="0" collapsed="false">
      <c r="A904" s="0" t="s">
        <v>15</v>
      </c>
      <c r="B904" s="0" t="s">
        <v>2967</v>
      </c>
      <c r="C904" s="0" t="n">
        <v>114001</v>
      </c>
      <c r="D904" s="0" t="n">
        <v>114001</v>
      </c>
      <c r="E904" s="0" t="s">
        <v>1605</v>
      </c>
      <c r="F904" s="0" t="s">
        <v>18</v>
      </c>
      <c r="G904" s="0" t="s">
        <v>2968</v>
      </c>
      <c r="H904" s="0" t="s">
        <v>2969</v>
      </c>
      <c r="I904" s="0" t="s">
        <v>21</v>
      </c>
      <c r="J904" s="0" t="s">
        <v>22</v>
      </c>
      <c r="K904" s="0" t="s">
        <v>787</v>
      </c>
      <c r="L904" s="0" t="str">
        <f aca="false">IFERROR(VLOOKUP(K904,'Supplier list'!B:C,2,0),"")</f>
        <v>บริษัท ฟิวเจอร์เทค อินเตอร์มาร์เก็ตติ้ง จำกัด</v>
      </c>
      <c r="M904" s="1" t="s">
        <v>24</v>
      </c>
      <c r="O904" s="2" t="n">
        <v>2</v>
      </c>
    </row>
    <row r="905" customFormat="false" ht="16.4" hidden="false" customHeight="false" outlineLevel="0" collapsed="false">
      <c r="A905" s="0" t="s">
        <v>15</v>
      </c>
      <c r="B905" s="0" t="s">
        <v>2970</v>
      </c>
      <c r="C905" s="0" t="n">
        <v>114001</v>
      </c>
      <c r="D905" s="0" t="n">
        <v>114001</v>
      </c>
      <c r="E905" s="0" t="s">
        <v>1764</v>
      </c>
      <c r="F905" s="0" t="s">
        <v>18</v>
      </c>
      <c r="G905" s="0" t="s">
        <v>2971</v>
      </c>
      <c r="H905" s="0" t="s">
        <v>2972</v>
      </c>
      <c r="I905" s="0" t="s">
        <v>21</v>
      </c>
      <c r="J905" s="0" t="s">
        <v>22</v>
      </c>
      <c r="K905" s="0" t="s">
        <v>89</v>
      </c>
      <c r="L905" s="0" t="str">
        <f aca="false">IFERROR(VLOOKUP(K905,'Supplier list'!B:C,2,0),"")</f>
        <v>บริษัท เฮเฟเล่ (ประเทศไทย) จำกัด</v>
      </c>
      <c r="M905" s="1" t="s">
        <v>24</v>
      </c>
      <c r="O905" s="2" t="n">
        <v>270</v>
      </c>
    </row>
    <row r="906" customFormat="false" ht="16.4" hidden="false" customHeight="false" outlineLevel="0" collapsed="false">
      <c r="A906" s="0" t="s">
        <v>15</v>
      </c>
      <c r="B906" s="0" t="s">
        <v>2973</v>
      </c>
      <c r="C906" s="0" t="n">
        <v>114001</v>
      </c>
      <c r="D906" s="0" t="n">
        <v>114001</v>
      </c>
      <c r="E906" s="0" t="s">
        <v>1764</v>
      </c>
      <c r="F906" s="0" t="s">
        <v>18</v>
      </c>
      <c r="G906" s="0" t="s">
        <v>2974</v>
      </c>
      <c r="H906" s="0" t="s">
        <v>2975</v>
      </c>
      <c r="I906" s="0" t="s">
        <v>21</v>
      </c>
      <c r="J906" s="0" t="s">
        <v>22</v>
      </c>
      <c r="K906" s="0" t="s">
        <v>89</v>
      </c>
      <c r="L906" s="0" t="str">
        <f aca="false">IFERROR(VLOOKUP(K906,'Supplier list'!B:C,2,0),"")</f>
        <v>บริษัท เฮเฟเล่ (ประเทศไทย) จำกัด</v>
      </c>
      <c r="M906" s="1" t="s">
        <v>24</v>
      </c>
      <c r="O906" s="2" t="n">
        <v>1360</v>
      </c>
    </row>
    <row r="907" customFormat="false" ht="16.4" hidden="false" customHeight="false" outlineLevel="0" collapsed="false">
      <c r="A907" s="0" t="s">
        <v>15</v>
      </c>
      <c r="B907" s="0" t="s">
        <v>2976</v>
      </c>
      <c r="C907" s="0" t="n">
        <v>114001</v>
      </c>
      <c r="D907" s="0" t="n">
        <v>114001</v>
      </c>
      <c r="E907" s="0" t="s">
        <v>1764</v>
      </c>
      <c r="F907" s="0" t="s">
        <v>18</v>
      </c>
      <c r="G907" s="0" t="s">
        <v>2977</v>
      </c>
      <c r="H907" s="0" t="s">
        <v>2978</v>
      </c>
      <c r="I907" s="0" t="s">
        <v>21</v>
      </c>
      <c r="J907" s="0" t="s">
        <v>22</v>
      </c>
      <c r="K907" s="0" t="s">
        <v>89</v>
      </c>
      <c r="L907" s="0" t="str">
        <f aca="false">IFERROR(VLOOKUP(K907,'Supplier list'!B:C,2,0),"")</f>
        <v>บริษัท เฮเฟเล่ (ประเทศไทย) จำกัด</v>
      </c>
      <c r="M907" s="1" t="s">
        <v>24</v>
      </c>
      <c r="O907" s="2" t="n">
        <v>1210</v>
      </c>
    </row>
    <row r="908" customFormat="false" ht="16.4" hidden="false" customHeight="false" outlineLevel="0" collapsed="false">
      <c r="A908" s="0" t="s">
        <v>15</v>
      </c>
      <c r="B908" s="0" t="s">
        <v>2979</v>
      </c>
      <c r="C908" s="0" t="n">
        <v>114001</v>
      </c>
      <c r="D908" s="0" t="n">
        <v>114001</v>
      </c>
      <c r="E908" s="0" t="s">
        <v>1764</v>
      </c>
      <c r="F908" s="0" t="s">
        <v>18</v>
      </c>
      <c r="G908" s="0" t="s">
        <v>2980</v>
      </c>
      <c r="H908" s="0" t="s">
        <v>2981</v>
      </c>
      <c r="I908" s="0" t="s">
        <v>21</v>
      </c>
      <c r="J908" s="0" t="s">
        <v>22</v>
      </c>
      <c r="K908" s="0" t="s">
        <v>89</v>
      </c>
      <c r="L908" s="0" t="str">
        <f aca="false">IFERROR(VLOOKUP(K908,'Supplier list'!B:C,2,0),"")</f>
        <v>บริษัท เฮเฟเล่ (ประเทศไทย) จำกัด</v>
      </c>
      <c r="M908" s="1" t="s">
        <v>24</v>
      </c>
      <c r="O908" s="2" t="n">
        <v>1690</v>
      </c>
    </row>
    <row r="909" customFormat="false" ht="16.4" hidden="false" customHeight="false" outlineLevel="0" collapsed="false">
      <c r="A909" s="0" t="s">
        <v>15</v>
      </c>
      <c r="B909" s="0" t="s">
        <v>2982</v>
      </c>
      <c r="C909" s="0" t="n">
        <v>114001</v>
      </c>
      <c r="D909" s="0" t="n">
        <v>114001</v>
      </c>
      <c r="E909" s="0" t="s">
        <v>2983</v>
      </c>
      <c r="F909" s="0" t="s">
        <v>18</v>
      </c>
      <c r="G909" s="0" t="s">
        <v>2984</v>
      </c>
      <c r="H909" s="0" t="s">
        <v>2985</v>
      </c>
      <c r="I909" s="0" t="s">
        <v>21</v>
      </c>
      <c r="J909" s="0" t="s">
        <v>22</v>
      </c>
      <c r="K909" s="0" t="s">
        <v>89</v>
      </c>
      <c r="L909" s="0" t="str">
        <f aca="false">IFERROR(VLOOKUP(K909,'Supplier list'!B:C,2,0),"")</f>
        <v>บริษัท เฮเฟเล่ (ประเทศไทย) จำกัด</v>
      </c>
      <c r="M909" s="1" t="s">
        <v>24</v>
      </c>
      <c r="O909" s="2" t="n">
        <v>180</v>
      </c>
    </row>
    <row r="910" customFormat="false" ht="16.4" hidden="false" customHeight="false" outlineLevel="0" collapsed="false">
      <c r="A910" s="0" t="s">
        <v>15</v>
      </c>
      <c r="B910" s="0" t="s">
        <v>2986</v>
      </c>
      <c r="C910" s="0" t="n">
        <v>114001</v>
      </c>
      <c r="D910" s="0" t="n">
        <v>114001</v>
      </c>
      <c r="E910" s="0" t="s">
        <v>2983</v>
      </c>
      <c r="F910" s="0" t="s">
        <v>18</v>
      </c>
      <c r="G910" s="0" t="s">
        <v>2987</v>
      </c>
      <c r="H910" s="0" t="s">
        <v>2988</v>
      </c>
      <c r="I910" s="0" t="s">
        <v>21</v>
      </c>
      <c r="J910" s="0" t="s">
        <v>22</v>
      </c>
      <c r="K910" s="0" t="s">
        <v>89</v>
      </c>
      <c r="L910" s="0" t="str">
        <f aca="false">IFERROR(VLOOKUP(K910,'Supplier list'!B:C,2,0),"")</f>
        <v>บริษัท เฮเฟเล่ (ประเทศไทย) จำกัด</v>
      </c>
      <c r="M910" s="1" t="s">
        <v>24</v>
      </c>
      <c r="O910" s="2" t="n">
        <v>370</v>
      </c>
    </row>
    <row r="911" customFormat="false" ht="16.4" hidden="false" customHeight="false" outlineLevel="0" collapsed="false">
      <c r="A911" s="0" t="s">
        <v>15</v>
      </c>
      <c r="B911" s="0" t="s">
        <v>2989</v>
      </c>
      <c r="C911" s="0" t="n">
        <v>114001</v>
      </c>
      <c r="D911" s="0" t="n">
        <v>114001</v>
      </c>
      <c r="E911" s="0" t="s">
        <v>1653</v>
      </c>
      <c r="F911" s="0" t="s">
        <v>18</v>
      </c>
      <c r="G911" s="0" t="s">
        <v>2990</v>
      </c>
      <c r="H911" s="0" t="s">
        <v>2991</v>
      </c>
      <c r="I911" s="0" t="s">
        <v>124</v>
      </c>
      <c r="J911" s="0" t="s">
        <v>125</v>
      </c>
      <c r="K911" s="0" t="s">
        <v>89</v>
      </c>
      <c r="L911" s="0" t="str">
        <f aca="false">IFERROR(VLOOKUP(K911,'Supplier list'!B:C,2,0),"")</f>
        <v>บริษัท เฮเฟเล่ (ประเทศไทย) จำกัด</v>
      </c>
      <c r="M911" s="1" t="s">
        <v>24</v>
      </c>
      <c r="O911" s="2" t="n">
        <v>14673</v>
      </c>
    </row>
    <row r="912" customFormat="false" ht="16.4" hidden="false" customHeight="false" outlineLevel="0" collapsed="false">
      <c r="A912" s="0" t="s">
        <v>15</v>
      </c>
      <c r="B912" s="0" t="s">
        <v>2992</v>
      </c>
      <c r="C912" s="0" t="n">
        <v>114001</v>
      </c>
      <c r="D912" s="0" t="n">
        <v>114001</v>
      </c>
      <c r="E912" s="0" t="s">
        <v>1653</v>
      </c>
      <c r="F912" s="0" t="s">
        <v>18</v>
      </c>
      <c r="G912" s="0" t="s">
        <v>2993</v>
      </c>
      <c r="H912" s="0" t="s">
        <v>2994</v>
      </c>
      <c r="I912" s="0" t="s">
        <v>124</v>
      </c>
      <c r="J912" s="0" t="s">
        <v>125</v>
      </c>
      <c r="K912" s="0" t="s">
        <v>89</v>
      </c>
      <c r="L912" s="0" t="str">
        <f aca="false">IFERROR(VLOOKUP(K912,'Supplier list'!B:C,2,0),"")</f>
        <v>บริษัท เฮเฟเล่ (ประเทศไทย) จำกัด</v>
      </c>
      <c r="M912" s="1" t="s">
        <v>24</v>
      </c>
      <c r="O912" s="2" t="n">
        <v>14019</v>
      </c>
    </row>
    <row r="913" customFormat="false" ht="16.4" hidden="false" customHeight="false" outlineLevel="0" collapsed="false">
      <c r="A913" s="0" t="s">
        <v>15</v>
      </c>
      <c r="B913" s="0" t="s">
        <v>2995</v>
      </c>
      <c r="C913" s="0" t="n">
        <v>114001</v>
      </c>
      <c r="D913" s="0" t="n">
        <v>114001</v>
      </c>
      <c r="E913" s="0" t="s">
        <v>1653</v>
      </c>
      <c r="F913" s="0" t="s">
        <v>18</v>
      </c>
      <c r="G913" s="0" t="s">
        <v>2996</v>
      </c>
      <c r="H913" s="0" t="s">
        <v>2997</v>
      </c>
      <c r="I913" s="0" t="s">
        <v>124</v>
      </c>
      <c r="J913" s="0" t="s">
        <v>125</v>
      </c>
      <c r="K913" s="0" t="s">
        <v>89</v>
      </c>
      <c r="L913" s="0" t="str">
        <f aca="false">IFERROR(VLOOKUP(K913,'Supplier list'!B:C,2,0),"")</f>
        <v>บริษัท เฮเฟเล่ (ประเทศไทย) จำกัด</v>
      </c>
      <c r="M913" s="1" t="s">
        <v>24</v>
      </c>
      <c r="O913" s="2" t="n">
        <v>4900</v>
      </c>
    </row>
    <row r="914" customFormat="false" ht="16.4" hidden="false" customHeight="false" outlineLevel="0" collapsed="false">
      <c r="A914" s="0" t="s">
        <v>15</v>
      </c>
      <c r="B914" s="0" t="s">
        <v>2998</v>
      </c>
      <c r="C914" s="0" t="n">
        <v>114001</v>
      </c>
      <c r="D914" s="0" t="n">
        <v>114001</v>
      </c>
      <c r="E914" s="0" t="s">
        <v>1653</v>
      </c>
      <c r="F914" s="0" t="s">
        <v>18</v>
      </c>
      <c r="G914" s="0" t="s">
        <v>2999</v>
      </c>
      <c r="H914" s="0" t="s">
        <v>2845</v>
      </c>
      <c r="I914" s="0" t="s">
        <v>124</v>
      </c>
      <c r="J914" s="0" t="s">
        <v>125</v>
      </c>
      <c r="K914" s="0" t="s">
        <v>89</v>
      </c>
      <c r="L914" s="0" t="str">
        <f aca="false">IFERROR(VLOOKUP(K914,'Supplier list'!B:C,2,0),"")</f>
        <v>บริษัท เฮเฟเล่ (ประเทศไทย) จำกัด</v>
      </c>
      <c r="M914" s="1" t="s">
        <v>24</v>
      </c>
      <c r="O914" s="2" t="n">
        <v>7440</v>
      </c>
    </row>
    <row r="915" customFormat="false" ht="16.4" hidden="false" customHeight="false" outlineLevel="0" collapsed="false">
      <c r="A915" s="0" t="s">
        <v>15</v>
      </c>
      <c r="B915" s="0" t="s">
        <v>3000</v>
      </c>
      <c r="C915" s="0" t="n">
        <v>114001</v>
      </c>
      <c r="D915" s="0" t="n">
        <v>114001</v>
      </c>
      <c r="E915" s="0" t="s">
        <v>961</v>
      </c>
      <c r="F915" s="0" t="s">
        <v>18</v>
      </c>
      <c r="G915" s="0" t="s">
        <v>3001</v>
      </c>
      <c r="H915" s="0" t="s">
        <v>3002</v>
      </c>
      <c r="I915" s="0" t="s">
        <v>517</v>
      </c>
      <c r="J915" s="0" t="s">
        <v>518</v>
      </c>
      <c r="K915" s="0" t="s">
        <v>89</v>
      </c>
      <c r="L915" s="0" t="str">
        <f aca="false">IFERROR(VLOOKUP(K915,'Supplier list'!B:C,2,0),"")</f>
        <v>บริษัท เฮเฟเล่ (ประเทศไทย) จำกัด</v>
      </c>
      <c r="M915" s="1" t="s">
        <v>24</v>
      </c>
      <c r="O915" s="2" t="n">
        <v>3370</v>
      </c>
    </row>
    <row r="916" customFormat="false" ht="16.4" hidden="false" customHeight="false" outlineLevel="0" collapsed="false">
      <c r="A916" s="0" t="s">
        <v>15</v>
      </c>
      <c r="B916" s="0" t="s">
        <v>3003</v>
      </c>
      <c r="C916" s="0" t="n">
        <v>114001</v>
      </c>
      <c r="D916" s="0" t="n">
        <v>114001</v>
      </c>
      <c r="E916" s="0" t="s">
        <v>1653</v>
      </c>
      <c r="F916" s="0" t="s">
        <v>18</v>
      </c>
      <c r="G916" s="0" t="s">
        <v>3004</v>
      </c>
      <c r="H916" s="0" t="s">
        <v>2857</v>
      </c>
      <c r="I916" s="0" t="s">
        <v>21</v>
      </c>
      <c r="J916" s="0" t="s">
        <v>22</v>
      </c>
      <c r="K916" s="0" t="s">
        <v>89</v>
      </c>
      <c r="L916" s="0" t="str">
        <f aca="false">IFERROR(VLOOKUP(K916,'Supplier list'!B:C,2,0),"")</f>
        <v>บริษัท เฮเฟเล่ (ประเทศไทย) จำกัด</v>
      </c>
      <c r="M916" s="1" t="s">
        <v>24</v>
      </c>
      <c r="O916" s="2" t="n">
        <v>3700</v>
      </c>
    </row>
    <row r="917" customFormat="false" ht="16.4" hidden="false" customHeight="false" outlineLevel="0" collapsed="false">
      <c r="A917" s="0" t="s">
        <v>15</v>
      </c>
      <c r="B917" s="0" t="s">
        <v>3005</v>
      </c>
      <c r="C917" s="0" t="n">
        <v>114001</v>
      </c>
      <c r="D917" s="0" t="n">
        <v>114001</v>
      </c>
      <c r="E917" s="0" t="s">
        <v>1684</v>
      </c>
      <c r="F917" s="0" t="s">
        <v>18</v>
      </c>
      <c r="G917" s="0" t="s">
        <v>3006</v>
      </c>
      <c r="H917" s="0" t="s">
        <v>3007</v>
      </c>
      <c r="I917" s="0" t="s">
        <v>21</v>
      </c>
      <c r="J917" s="0" t="s">
        <v>22</v>
      </c>
      <c r="K917" s="0" t="s">
        <v>89</v>
      </c>
      <c r="L917" s="0" t="str">
        <f aca="false">IFERROR(VLOOKUP(K917,'Supplier list'!B:C,2,0),"")</f>
        <v>บริษัท เฮเฟเล่ (ประเทศไทย) จำกัด</v>
      </c>
      <c r="M917" s="1" t="s">
        <v>24</v>
      </c>
      <c r="O917" s="2" t="n">
        <v>636</v>
      </c>
    </row>
    <row r="918" customFormat="false" ht="16.4" hidden="false" customHeight="false" outlineLevel="0" collapsed="false">
      <c r="A918" s="0" t="s">
        <v>15</v>
      </c>
      <c r="B918" s="0" t="s">
        <v>3008</v>
      </c>
      <c r="C918" s="0" t="n">
        <v>114001</v>
      </c>
      <c r="D918" s="0" t="n">
        <v>114001</v>
      </c>
      <c r="E918" s="0" t="s">
        <v>1653</v>
      </c>
      <c r="F918" s="0" t="s">
        <v>18</v>
      </c>
      <c r="G918" s="0" t="s">
        <v>3009</v>
      </c>
      <c r="H918" s="0" t="s">
        <v>3010</v>
      </c>
      <c r="I918" s="0" t="s">
        <v>21</v>
      </c>
      <c r="J918" s="0" t="s">
        <v>22</v>
      </c>
      <c r="K918" s="0" t="s">
        <v>89</v>
      </c>
      <c r="L918" s="0" t="str">
        <f aca="false">IFERROR(VLOOKUP(K918,'Supplier list'!B:C,2,0),"")</f>
        <v>บริษัท เฮเฟเล่ (ประเทศไทย) จำกัด</v>
      </c>
      <c r="M918" s="1" t="s">
        <v>24</v>
      </c>
      <c r="O918" s="2" t="n">
        <v>1440</v>
      </c>
    </row>
    <row r="919" customFormat="false" ht="16.4" hidden="false" customHeight="false" outlineLevel="0" collapsed="false">
      <c r="A919" s="0" t="s">
        <v>15</v>
      </c>
      <c r="B919" s="0" t="s">
        <v>3011</v>
      </c>
      <c r="C919" s="0" t="n">
        <v>114001</v>
      </c>
      <c r="D919" s="0" t="n">
        <v>114001</v>
      </c>
      <c r="E919" s="0" t="s">
        <v>1605</v>
      </c>
      <c r="F919" s="0" t="s">
        <v>18</v>
      </c>
      <c r="G919" s="0" t="s">
        <v>3012</v>
      </c>
      <c r="H919" s="0" t="s">
        <v>3013</v>
      </c>
      <c r="I919" s="0" t="s">
        <v>21</v>
      </c>
      <c r="J919" s="0" t="s">
        <v>22</v>
      </c>
      <c r="K919" s="0" t="s">
        <v>89</v>
      </c>
      <c r="L919" s="0" t="str">
        <f aca="false">IFERROR(VLOOKUP(K919,'Supplier list'!B:C,2,0),"")</f>
        <v>บริษัท เฮเฟเล่ (ประเทศไทย) จำกัด</v>
      </c>
      <c r="M919" s="1" t="s">
        <v>24</v>
      </c>
      <c r="O919" s="2" t="n">
        <v>3000</v>
      </c>
    </row>
    <row r="920" customFormat="false" ht="16.4" hidden="false" customHeight="false" outlineLevel="0" collapsed="false">
      <c r="A920" s="0" t="s">
        <v>15</v>
      </c>
      <c r="B920" s="0" t="s">
        <v>3014</v>
      </c>
      <c r="C920" s="0" t="n">
        <v>114001</v>
      </c>
      <c r="D920" s="0" t="n">
        <v>114001</v>
      </c>
      <c r="E920" s="0" t="s">
        <v>1605</v>
      </c>
      <c r="F920" s="0" t="s">
        <v>18</v>
      </c>
      <c r="G920" s="0" t="s">
        <v>3015</v>
      </c>
      <c r="H920" s="0" t="s">
        <v>3016</v>
      </c>
      <c r="I920" s="0" t="s">
        <v>21</v>
      </c>
      <c r="J920" s="0" t="s">
        <v>22</v>
      </c>
      <c r="K920" s="0" t="s">
        <v>89</v>
      </c>
      <c r="L920" s="0" t="str">
        <f aca="false">IFERROR(VLOOKUP(K920,'Supplier list'!B:C,2,0),"")</f>
        <v>บริษัท เฮเฟเล่ (ประเทศไทย) จำกัด</v>
      </c>
      <c r="M920" s="1" t="s">
        <v>24</v>
      </c>
      <c r="O920" s="2" t="n">
        <v>580</v>
      </c>
    </row>
    <row r="921" customFormat="false" ht="16.4" hidden="false" customHeight="false" outlineLevel="0" collapsed="false">
      <c r="A921" s="0" t="s">
        <v>15</v>
      </c>
      <c r="B921" s="0" t="s">
        <v>3017</v>
      </c>
      <c r="C921" s="0" t="n">
        <v>114001</v>
      </c>
      <c r="D921" s="0" t="n">
        <v>114001</v>
      </c>
      <c r="E921" s="0" t="s">
        <v>1764</v>
      </c>
      <c r="F921" s="0" t="s">
        <v>18</v>
      </c>
      <c r="G921" s="0" t="s">
        <v>3018</v>
      </c>
      <c r="H921" s="0" t="s">
        <v>3019</v>
      </c>
      <c r="I921" s="0" t="s">
        <v>21</v>
      </c>
      <c r="J921" s="0" t="s">
        <v>22</v>
      </c>
      <c r="K921" s="0" t="s">
        <v>89</v>
      </c>
      <c r="L921" s="0" t="str">
        <f aca="false">IFERROR(VLOOKUP(K921,'Supplier list'!B:C,2,0),"")</f>
        <v>บริษัท เฮเฟเล่ (ประเทศไทย) จำกัด</v>
      </c>
      <c r="M921" s="1" t="s">
        <v>24</v>
      </c>
      <c r="O921" s="2" t="n">
        <v>79</v>
      </c>
    </row>
    <row r="922" customFormat="false" ht="16.4" hidden="false" customHeight="false" outlineLevel="0" collapsed="false">
      <c r="A922" s="0" t="s">
        <v>15</v>
      </c>
      <c r="B922" s="0" t="s">
        <v>3020</v>
      </c>
      <c r="C922" s="0" t="n">
        <v>114001</v>
      </c>
      <c r="D922" s="0" t="n">
        <v>114001</v>
      </c>
      <c r="E922" s="0" t="s">
        <v>1764</v>
      </c>
      <c r="F922" s="0" t="s">
        <v>18</v>
      </c>
      <c r="G922" s="0" t="s">
        <v>3021</v>
      </c>
      <c r="H922" s="0" t="s">
        <v>3022</v>
      </c>
      <c r="I922" s="0" t="s">
        <v>21</v>
      </c>
      <c r="J922" s="0" t="s">
        <v>22</v>
      </c>
      <c r="K922" s="0" t="s">
        <v>89</v>
      </c>
      <c r="L922" s="0" t="str">
        <f aca="false">IFERROR(VLOOKUP(K922,'Supplier list'!B:C,2,0),"")</f>
        <v>บริษัท เฮเฟเล่ (ประเทศไทย) จำกัด</v>
      </c>
      <c r="M922" s="1" t="s">
        <v>24</v>
      </c>
      <c r="O922" s="2" t="n">
        <v>78</v>
      </c>
    </row>
    <row r="923" customFormat="false" ht="16.4" hidden="false" customHeight="false" outlineLevel="0" collapsed="false">
      <c r="A923" s="0" t="s">
        <v>15</v>
      </c>
      <c r="B923" s="0" t="s">
        <v>3023</v>
      </c>
      <c r="C923" s="0" t="n">
        <v>114001</v>
      </c>
      <c r="D923" s="0" t="n">
        <v>114001</v>
      </c>
      <c r="E923" s="0" t="s">
        <v>1764</v>
      </c>
      <c r="F923" s="0" t="s">
        <v>18</v>
      </c>
      <c r="G923" s="0" t="s">
        <v>3024</v>
      </c>
      <c r="H923" s="0" t="s">
        <v>3025</v>
      </c>
      <c r="I923" s="0" t="s">
        <v>21</v>
      </c>
      <c r="J923" s="0" t="s">
        <v>22</v>
      </c>
      <c r="K923" s="0" t="s">
        <v>89</v>
      </c>
      <c r="L923" s="0" t="str">
        <f aca="false">IFERROR(VLOOKUP(K923,'Supplier list'!B:C,2,0),"")</f>
        <v>บริษัท เฮเฟเล่ (ประเทศไทย) จำกัด</v>
      </c>
      <c r="M923" s="1" t="s">
        <v>24</v>
      </c>
      <c r="O923" s="2" t="n">
        <v>78</v>
      </c>
    </row>
    <row r="924" customFormat="false" ht="16.4" hidden="false" customHeight="false" outlineLevel="0" collapsed="false">
      <c r="A924" s="0" t="s">
        <v>15</v>
      </c>
      <c r="B924" s="0" t="s">
        <v>3026</v>
      </c>
      <c r="C924" s="0" t="n">
        <v>114001</v>
      </c>
      <c r="D924" s="0" t="n">
        <v>114001</v>
      </c>
      <c r="E924" s="0" t="s">
        <v>1605</v>
      </c>
      <c r="F924" s="0" t="s">
        <v>18</v>
      </c>
      <c r="G924" s="0" t="s">
        <v>3027</v>
      </c>
      <c r="H924" s="0" t="s">
        <v>3028</v>
      </c>
      <c r="I924" s="0" t="s">
        <v>21</v>
      </c>
      <c r="J924" s="0" t="s">
        <v>22</v>
      </c>
      <c r="K924" s="0" t="s">
        <v>89</v>
      </c>
      <c r="L924" s="0" t="str">
        <f aca="false">IFERROR(VLOOKUP(K924,'Supplier list'!B:C,2,0),"")</f>
        <v>บริษัท เฮเฟเล่ (ประเทศไทย) จำกัด</v>
      </c>
      <c r="M924" s="1" t="s">
        <v>24</v>
      </c>
      <c r="O924" s="2" t="n">
        <v>67</v>
      </c>
    </row>
    <row r="925" customFormat="false" ht="16.4" hidden="false" customHeight="false" outlineLevel="0" collapsed="false">
      <c r="A925" s="0" t="s">
        <v>15</v>
      </c>
      <c r="B925" s="0" t="s">
        <v>3029</v>
      </c>
      <c r="C925" s="0" t="n">
        <v>114001</v>
      </c>
      <c r="D925" s="0" t="n">
        <v>114001</v>
      </c>
      <c r="E925" s="0" t="s">
        <v>1804</v>
      </c>
      <c r="F925" s="0" t="s">
        <v>18</v>
      </c>
      <c r="G925" s="0" t="s">
        <v>3030</v>
      </c>
      <c r="H925" s="0" t="s">
        <v>3031</v>
      </c>
      <c r="I925" s="0" t="s">
        <v>124</v>
      </c>
      <c r="J925" s="0" t="s">
        <v>125</v>
      </c>
      <c r="K925" s="0" t="s">
        <v>1725</v>
      </c>
      <c r="L925" s="0" t="str">
        <f aca="false">IFERROR(VLOOKUP(K925,'Supplier list'!B:C,2,0),"")</f>
        <v>บริษัท พรีซิชั่นไลน์ จำกัด</v>
      </c>
      <c r="M925" s="1" t="s">
        <v>24</v>
      </c>
      <c r="O925" s="2" t="n">
        <v>10900</v>
      </c>
    </row>
    <row r="926" customFormat="false" ht="16.4" hidden="false" customHeight="false" outlineLevel="0" collapsed="false">
      <c r="A926" s="0" t="s">
        <v>15</v>
      </c>
      <c r="B926" s="0" t="s">
        <v>3032</v>
      </c>
      <c r="C926" s="0" t="n">
        <v>114001</v>
      </c>
      <c r="D926" s="0" t="n">
        <v>114001</v>
      </c>
      <c r="E926" s="0" t="s">
        <v>1764</v>
      </c>
      <c r="F926" s="0" t="s">
        <v>18</v>
      </c>
      <c r="G926" s="0" t="s">
        <v>3033</v>
      </c>
      <c r="H926" s="0" t="s">
        <v>3034</v>
      </c>
      <c r="I926" s="0" t="s">
        <v>124</v>
      </c>
      <c r="J926" s="0" t="s">
        <v>125</v>
      </c>
      <c r="K926" s="0" t="s">
        <v>89</v>
      </c>
      <c r="L926" s="0" t="str">
        <f aca="false">IFERROR(VLOOKUP(K926,'Supplier list'!B:C,2,0),"")</f>
        <v>บริษัท เฮเฟเล่ (ประเทศไทย) จำกัด</v>
      </c>
      <c r="M926" s="1" t="s">
        <v>24</v>
      </c>
      <c r="O926" s="2" t="n">
        <v>95</v>
      </c>
    </row>
    <row r="927" customFormat="false" ht="16.4" hidden="false" customHeight="false" outlineLevel="0" collapsed="false">
      <c r="A927" s="0" t="s">
        <v>15</v>
      </c>
      <c r="B927" s="0" t="s">
        <v>3035</v>
      </c>
      <c r="C927" s="0" t="n">
        <v>114001</v>
      </c>
      <c r="D927" s="0" t="n">
        <v>114001</v>
      </c>
      <c r="E927" s="0" t="s">
        <v>874</v>
      </c>
      <c r="F927" s="0" t="s">
        <v>18</v>
      </c>
      <c r="G927" s="0" t="s">
        <v>3036</v>
      </c>
      <c r="H927" s="0" t="s">
        <v>3037</v>
      </c>
      <c r="I927" s="0" t="s">
        <v>124</v>
      </c>
      <c r="J927" s="0" t="s">
        <v>125</v>
      </c>
      <c r="K927" s="0" t="s">
        <v>89</v>
      </c>
      <c r="L927" s="0" t="str">
        <f aca="false">IFERROR(VLOOKUP(K927,'Supplier list'!B:C,2,0),"")</f>
        <v>บริษัท เฮเฟเล่ (ประเทศไทย) จำกัด</v>
      </c>
      <c r="M927" s="1" t="s">
        <v>24</v>
      </c>
      <c r="O927" s="2" t="n">
        <v>1300</v>
      </c>
    </row>
    <row r="928" customFormat="false" ht="16.4" hidden="false" customHeight="false" outlineLevel="0" collapsed="false">
      <c r="A928" s="0" t="s">
        <v>15</v>
      </c>
      <c r="B928" s="0" t="s">
        <v>3038</v>
      </c>
      <c r="C928" s="0" t="n">
        <v>114001</v>
      </c>
      <c r="D928" s="0" t="n">
        <v>114001</v>
      </c>
      <c r="E928" s="0" t="s">
        <v>2547</v>
      </c>
      <c r="F928" s="0" t="s">
        <v>18</v>
      </c>
      <c r="G928" s="0" t="s">
        <v>3039</v>
      </c>
      <c r="H928" s="0" t="s">
        <v>3040</v>
      </c>
      <c r="I928" s="0" t="s">
        <v>701</v>
      </c>
      <c r="J928" s="0" t="s">
        <v>22</v>
      </c>
      <c r="K928" s="0" t="s">
        <v>3041</v>
      </c>
      <c r="L928" s="0" t="str">
        <f aca="false">IFERROR(VLOOKUP(K928,'Supplier list'!B:C,2,0),"")</f>
        <v>บริษัท พร้อมธรรม แพ็คเก็จจิ้ง จำกัด</v>
      </c>
      <c r="M928" s="1" t="s">
        <v>24</v>
      </c>
      <c r="O928" s="2" t="n">
        <v>42</v>
      </c>
    </row>
    <row r="929" customFormat="false" ht="16.4" hidden="false" customHeight="false" outlineLevel="0" collapsed="false">
      <c r="A929" s="0" t="s">
        <v>15</v>
      </c>
      <c r="B929" s="0" t="s">
        <v>3042</v>
      </c>
      <c r="C929" s="0" t="n">
        <v>114001</v>
      </c>
      <c r="D929" s="0" t="n">
        <v>114001</v>
      </c>
      <c r="E929" s="0" t="s">
        <v>2547</v>
      </c>
      <c r="F929" s="0" t="s">
        <v>18</v>
      </c>
      <c r="G929" s="0" t="s">
        <v>3043</v>
      </c>
      <c r="H929" s="0" t="s">
        <v>3044</v>
      </c>
      <c r="I929" s="0" t="s">
        <v>701</v>
      </c>
      <c r="J929" s="0" t="s">
        <v>22</v>
      </c>
      <c r="K929" s="0" t="s">
        <v>3041</v>
      </c>
      <c r="L929" s="0" t="str">
        <f aca="false">IFERROR(VLOOKUP(K929,'Supplier list'!B:C,2,0),"")</f>
        <v>บริษัท พร้อมธรรม แพ็คเก็จจิ้ง จำกัด</v>
      </c>
      <c r="M929" s="1" t="s">
        <v>24</v>
      </c>
      <c r="O929" s="2" t="n">
        <v>53</v>
      </c>
    </row>
    <row r="930" customFormat="false" ht="16.4" hidden="false" customHeight="false" outlineLevel="0" collapsed="false">
      <c r="A930" s="0" t="s">
        <v>15</v>
      </c>
      <c r="B930" s="0" t="s">
        <v>3045</v>
      </c>
      <c r="C930" s="0" t="n">
        <v>114001</v>
      </c>
      <c r="D930" s="0" t="n">
        <v>114001</v>
      </c>
      <c r="E930" s="0" t="s">
        <v>2547</v>
      </c>
      <c r="F930" s="0" t="s">
        <v>18</v>
      </c>
      <c r="G930" s="0" t="s">
        <v>3046</v>
      </c>
      <c r="H930" s="0" t="s">
        <v>3047</v>
      </c>
      <c r="I930" s="0" t="s">
        <v>701</v>
      </c>
      <c r="J930" s="0" t="s">
        <v>22</v>
      </c>
      <c r="K930" s="0" t="s">
        <v>3041</v>
      </c>
      <c r="L930" s="0" t="str">
        <f aca="false">IFERROR(VLOOKUP(K930,'Supplier list'!B:C,2,0),"")</f>
        <v>บริษัท พร้อมธรรม แพ็คเก็จจิ้ง จำกัด</v>
      </c>
      <c r="M930" s="1" t="s">
        <v>24</v>
      </c>
      <c r="O930" s="2" t="n">
        <v>62.5</v>
      </c>
    </row>
    <row r="931" customFormat="false" ht="16.4" hidden="false" customHeight="false" outlineLevel="0" collapsed="false">
      <c r="A931" s="0" t="s">
        <v>15</v>
      </c>
      <c r="B931" s="0" t="s">
        <v>3048</v>
      </c>
      <c r="C931" s="0" t="n">
        <v>114001</v>
      </c>
      <c r="D931" s="0" t="n">
        <v>114001</v>
      </c>
      <c r="E931" s="0" t="s">
        <v>2185</v>
      </c>
      <c r="F931" s="0" t="s">
        <v>18</v>
      </c>
      <c r="G931" s="0" t="s">
        <v>3049</v>
      </c>
      <c r="H931" s="0" t="s">
        <v>2875</v>
      </c>
      <c r="I931" s="0" t="s">
        <v>701</v>
      </c>
      <c r="J931" s="0" t="s">
        <v>22</v>
      </c>
      <c r="K931" s="0" t="s">
        <v>89</v>
      </c>
      <c r="L931" s="0" t="str">
        <f aca="false">IFERROR(VLOOKUP(K931,'Supplier list'!B:C,2,0),"")</f>
        <v>บริษัท เฮเฟเล่ (ประเทศไทย) จำกัด</v>
      </c>
      <c r="M931" s="1" t="s">
        <v>24</v>
      </c>
      <c r="O931" s="2" t="n">
        <v>920</v>
      </c>
    </row>
    <row r="932" customFormat="false" ht="16.4" hidden="false" customHeight="false" outlineLevel="0" collapsed="false">
      <c r="A932" s="0" t="s">
        <v>15</v>
      </c>
      <c r="B932" s="0" t="s">
        <v>3050</v>
      </c>
      <c r="C932" s="0" t="n">
        <v>114001</v>
      </c>
      <c r="D932" s="0" t="n">
        <v>114001</v>
      </c>
      <c r="E932" s="0" t="s">
        <v>2185</v>
      </c>
      <c r="F932" s="0" t="s">
        <v>18</v>
      </c>
      <c r="G932" s="0" t="s">
        <v>3051</v>
      </c>
      <c r="H932" s="0" t="s">
        <v>2878</v>
      </c>
      <c r="I932" s="0" t="s">
        <v>701</v>
      </c>
      <c r="J932" s="0" t="s">
        <v>22</v>
      </c>
      <c r="K932" s="0" t="s">
        <v>89</v>
      </c>
      <c r="L932" s="0" t="str">
        <f aca="false">IFERROR(VLOOKUP(K932,'Supplier list'!B:C,2,0),"")</f>
        <v>บริษัท เฮเฟเล่ (ประเทศไทย) จำกัด</v>
      </c>
      <c r="M932" s="1" t="s">
        <v>24</v>
      </c>
      <c r="O932" s="2" t="n">
        <v>33</v>
      </c>
    </row>
    <row r="933" customFormat="false" ht="16.4" hidden="false" customHeight="false" outlineLevel="0" collapsed="false">
      <c r="A933" s="0" t="s">
        <v>15</v>
      </c>
      <c r="B933" s="0" t="s">
        <v>3052</v>
      </c>
      <c r="C933" s="0" t="n">
        <v>114001</v>
      </c>
      <c r="D933" s="0" t="n">
        <v>114001</v>
      </c>
      <c r="E933" s="0" t="s">
        <v>2185</v>
      </c>
      <c r="F933" s="0" t="s">
        <v>18</v>
      </c>
      <c r="G933" s="0" t="s">
        <v>3053</v>
      </c>
      <c r="H933" s="0" t="s">
        <v>2087</v>
      </c>
      <c r="I933" s="0" t="s">
        <v>701</v>
      </c>
      <c r="J933" s="0" t="s">
        <v>22</v>
      </c>
      <c r="K933" s="0" t="s">
        <v>89</v>
      </c>
      <c r="L933" s="0" t="str">
        <f aca="false">IFERROR(VLOOKUP(K933,'Supplier list'!B:C,2,0),"")</f>
        <v>บริษัท เฮเฟเล่ (ประเทศไทย) จำกัด</v>
      </c>
      <c r="M933" s="1" t="s">
        <v>24</v>
      </c>
      <c r="O933" s="2" t="n">
        <v>44</v>
      </c>
    </row>
    <row r="934" customFormat="false" ht="16.4" hidden="false" customHeight="false" outlineLevel="0" collapsed="false">
      <c r="A934" s="0" t="s">
        <v>15</v>
      </c>
      <c r="B934" s="0" t="s">
        <v>3054</v>
      </c>
      <c r="C934" s="0" t="n">
        <v>114001</v>
      </c>
      <c r="D934" s="0" t="n">
        <v>114001</v>
      </c>
      <c r="E934" s="0" t="s">
        <v>1612</v>
      </c>
      <c r="F934" s="0" t="s">
        <v>18</v>
      </c>
      <c r="G934" s="0" t="s">
        <v>3055</v>
      </c>
      <c r="H934" s="0" t="s">
        <v>2090</v>
      </c>
      <c r="I934" s="0" t="s">
        <v>701</v>
      </c>
      <c r="J934" s="0" t="s">
        <v>22</v>
      </c>
      <c r="K934" s="0" t="s">
        <v>89</v>
      </c>
      <c r="L934" s="0" t="str">
        <f aca="false">IFERROR(VLOOKUP(K934,'Supplier list'!B:C,2,0),"")</f>
        <v>บริษัท เฮเฟเล่ (ประเทศไทย) จำกัด</v>
      </c>
      <c r="M934" s="1" t="s">
        <v>24</v>
      </c>
      <c r="O934" s="2" t="n">
        <v>22</v>
      </c>
    </row>
    <row r="935" customFormat="false" ht="16.4" hidden="false" customHeight="false" outlineLevel="0" collapsed="false">
      <c r="A935" s="0" t="s">
        <v>15</v>
      </c>
      <c r="B935" s="0" t="s">
        <v>3056</v>
      </c>
      <c r="C935" s="0" t="n">
        <v>114001</v>
      </c>
      <c r="D935" s="0" t="n">
        <v>114001</v>
      </c>
      <c r="E935" s="0" t="s">
        <v>1605</v>
      </c>
      <c r="F935" s="0" t="s">
        <v>18</v>
      </c>
      <c r="G935" s="0" t="s">
        <v>3057</v>
      </c>
      <c r="H935" s="0" t="s">
        <v>3058</v>
      </c>
      <c r="I935" s="0" t="s">
        <v>21</v>
      </c>
      <c r="J935" s="0" t="s">
        <v>22</v>
      </c>
      <c r="K935" s="0" t="s">
        <v>1753</v>
      </c>
      <c r="L935" s="0" t="str">
        <f aca="false">IFERROR(VLOOKUP(K935,'Supplier list'!B:C,2,0),"")</f>
        <v>บริษัท ไอ.โอ.ดีไซน์ แอนด์ โฮม จำกัด</v>
      </c>
      <c r="M935" s="1" t="s">
        <v>24</v>
      </c>
      <c r="O935" s="2" t="n">
        <v>390</v>
      </c>
    </row>
    <row r="936" customFormat="false" ht="16.4" hidden="false" customHeight="false" outlineLevel="0" collapsed="false">
      <c r="A936" s="0" t="s">
        <v>15</v>
      </c>
      <c r="B936" s="0" t="s">
        <v>3059</v>
      </c>
      <c r="C936" s="0" t="n">
        <v>114001</v>
      </c>
      <c r="D936" s="0" t="n">
        <v>114001</v>
      </c>
      <c r="E936" s="0" t="s">
        <v>1684</v>
      </c>
      <c r="F936" s="0" t="s">
        <v>18</v>
      </c>
      <c r="G936" s="0" t="s">
        <v>3060</v>
      </c>
      <c r="H936" s="0" t="s">
        <v>3061</v>
      </c>
      <c r="I936" s="0" t="s">
        <v>21</v>
      </c>
      <c r="J936" s="0" t="s">
        <v>22</v>
      </c>
      <c r="K936" s="0" t="s">
        <v>89</v>
      </c>
      <c r="L936" s="0" t="str">
        <f aca="false">IFERROR(VLOOKUP(K936,'Supplier list'!B:C,2,0),"")</f>
        <v>บริษัท เฮเฟเล่ (ประเทศไทย) จำกัด</v>
      </c>
      <c r="M936" s="1" t="s">
        <v>1740</v>
      </c>
      <c r="N936" s="2" t="n">
        <v>1690</v>
      </c>
      <c r="O936" s="2" t="n">
        <v>750</v>
      </c>
    </row>
    <row r="937" customFormat="false" ht="16.4" hidden="false" customHeight="false" outlineLevel="0" collapsed="false">
      <c r="A937" s="0" t="s">
        <v>15</v>
      </c>
      <c r="B937" s="0" t="s">
        <v>3062</v>
      </c>
      <c r="C937" s="0" t="n">
        <v>114001</v>
      </c>
      <c r="D937" s="0" t="n">
        <v>114001</v>
      </c>
      <c r="E937" s="0" t="s">
        <v>2596</v>
      </c>
      <c r="F937" s="0" t="s">
        <v>18</v>
      </c>
      <c r="G937" s="0" t="s">
        <v>3063</v>
      </c>
      <c r="H937" s="0" t="s">
        <v>3064</v>
      </c>
      <c r="I937" s="0" t="s">
        <v>21</v>
      </c>
      <c r="J937" s="0" t="s">
        <v>22</v>
      </c>
      <c r="K937" s="0" t="s">
        <v>89</v>
      </c>
      <c r="L937" s="0" t="str">
        <f aca="false">IFERROR(VLOOKUP(K937,'Supplier list'!B:C,2,0),"")</f>
        <v>บริษัท เฮเฟเล่ (ประเทศไทย) จำกัด</v>
      </c>
      <c r="M937" s="1" t="s">
        <v>24</v>
      </c>
      <c r="O937" s="2" t="n">
        <v>66</v>
      </c>
    </row>
    <row r="938" customFormat="false" ht="16.4" hidden="false" customHeight="false" outlineLevel="0" collapsed="false">
      <c r="A938" s="0" t="s">
        <v>15</v>
      </c>
      <c r="B938" s="0" t="s">
        <v>3065</v>
      </c>
      <c r="C938" s="0" t="n">
        <v>114001</v>
      </c>
      <c r="D938" s="0" t="n">
        <v>114001</v>
      </c>
      <c r="E938" s="0" t="s">
        <v>1634</v>
      </c>
      <c r="F938" s="0" t="s">
        <v>18</v>
      </c>
      <c r="G938" s="0" t="s">
        <v>3066</v>
      </c>
      <c r="H938" s="0" t="s">
        <v>3067</v>
      </c>
      <c r="I938" s="0" t="s">
        <v>21</v>
      </c>
      <c r="J938" s="0" t="s">
        <v>22</v>
      </c>
      <c r="K938" s="0" t="s">
        <v>89</v>
      </c>
      <c r="L938" s="0" t="str">
        <f aca="false">IFERROR(VLOOKUP(K938,'Supplier list'!B:C,2,0),"")</f>
        <v>บริษัท เฮเฟเล่ (ประเทศไทย) จำกัด</v>
      </c>
      <c r="M938" s="1" t="s">
        <v>24</v>
      </c>
      <c r="O938" s="2" t="n">
        <v>954</v>
      </c>
    </row>
    <row r="939" customFormat="false" ht="16.4" hidden="false" customHeight="false" outlineLevel="0" collapsed="false">
      <c r="A939" s="0" t="s">
        <v>15</v>
      </c>
      <c r="B939" s="0" t="s">
        <v>3068</v>
      </c>
      <c r="C939" s="0" t="n">
        <v>114001</v>
      </c>
      <c r="D939" s="0" t="n">
        <v>114001</v>
      </c>
      <c r="E939" s="0" t="s">
        <v>874</v>
      </c>
      <c r="F939" s="0" t="s">
        <v>18</v>
      </c>
      <c r="G939" s="0" t="s">
        <v>3069</v>
      </c>
      <c r="H939" s="0" t="s">
        <v>3070</v>
      </c>
      <c r="I939" s="0" t="s">
        <v>21</v>
      </c>
      <c r="J939" s="0" t="s">
        <v>22</v>
      </c>
      <c r="K939" s="0" t="s">
        <v>89</v>
      </c>
      <c r="L939" s="0" t="str">
        <f aca="false">IFERROR(VLOOKUP(K939,'Supplier list'!B:C,2,0),"")</f>
        <v>บริษัท เฮเฟเล่ (ประเทศไทย) จำกัด</v>
      </c>
      <c r="M939" s="1" t="s">
        <v>24</v>
      </c>
      <c r="O939" s="2" t="n">
        <v>32500</v>
      </c>
    </row>
    <row r="940" customFormat="false" ht="16.4" hidden="false" customHeight="false" outlineLevel="0" collapsed="false">
      <c r="A940" s="0" t="s">
        <v>15</v>
      </c>
      <c r="B940" s="0" t="s">
        <v>3071</v>
      </c>
      <c r="C940" s="0" t="n">
        <v>114001</v>
      </c>
      <c r="D940" s="0" t="n">
        <v>114001</v>
      </c>
      <c r="E940" s="0" t="s">
        <v>1804</v>
      </c>
      <c r="F940" s="0" t="s">
        <v>18</v>
      </c>
      <c r="G940" s="0" t="s">
        <v>3072</v>
      </c>
      <c r="H940" s="0" t="s">
        <v>3073</v>
      </c>
      <c r="I940" s="0" t="s">
        <v>21</v>
      </c>
      <c r="J940" s="0" t="s">
        <v>22</v>
      </c>
      <c r="K940" s="0" t="s">
        <v>787</v>
      </c>
      <c r="L940" s="0" t="str">
        <f aca="false">IFERROR(VLOOKUP(K940,'Supplier list'!B:C,2,0),"")</f>
        <v>บริษัท ฟิวเจอร์เทค อินเตอร์มาร์เก็ตติ้ง จำกัด</v>
      </c>
      <c r="M940" s="1" t="s">
        <v>1740</v>
      </c>
      <c r="N940" s="2" t="n">
        <v>1790</v>
      </c>
      <c r="O940" s="2" t="n">
        <v>700</v>
      </c>
    </row>
    <row r="941" customFormat="false" ht="28.35" hidden="false" customHeight="false" outlineLevel="0" collapsed="false">
      <c r="A941" s="0" t="s">
        <v>15</v>
      </c>
      <c r="B941" s="0" t="s">
        <v>3074</v>
      </c>
      <c r="C941" s="0" t="n">
        <v>114001</v>
      </c>
      <c r="D941" s="0" t="n">
        <v>114001</v>
      </c>
      <c r="E941" s="0" t="s">
        <v>121</v>
      </c>
      <c r="F941" s="0" t="s">
        <v>18</v>
      </c>
      <c r="G941" s="0" t="s">
        <v>3075</v>
      </c>
      <c r="H941" s="0" t="s">
        <v>3076</v>
      </c>
      <c r="I941" s="0" t="s">
        <v>142</v>
      </c>
      <c r="J941" s="0" t="s">
        <v>143</v>
      </c>
      <c r="K941" s="6" t="s">
        <v>192</v>
      </c>
      <c r="L941" s="0" t="str">
        <f aca="false">IFERROR(VLOOKUP(K941,'Supplier list'!B:C,2,0),"")</f>
        <v/>
      </c>
      <c r="M941" s="1" t="s">
        <v>24</v>
      </c>
      <c r="O941" s="2" t="n">
        <v>210</v>
      </c>
    </row>
    <row r="942" customFormat="false" ht="16.4" hidden="false" customHeight="false" outlineLevel="0" collapsed="false">
      <c r="A942" s="0" t="s">
        <v>15</v>
      </c>
      <c r="B942" s="0" t="s">
        <v>3077</v>
      </c>
      <c r="C942" s="0" t="n">
        <v>114001</v>
      </c>
      <c r="D942" s="0" t="n">
        <v>114001</v>
      </c>
      <c r="E942" s="0" t="s">
        <v>1815</v>
      </c>
      <c r="F942" s="0" t="s">
        <v>18</v>
      </c>
      <c r="G942" s="0" t="s">
        <v>3078</v>
      </c>
      <c r="H942" s="0" t="s">
        <v>3079</v>
      </c>
      <c r="I942" s="0" t="s">
        <v>124</v>
      </c>
      <c r="J942" s="0" t="s">
        <v>125</v>
      </c>
      <c r="K942" s="0" t="s">
        <v>89</v>
      </c>
      <c r="L942" s="0" t="str">
        <f aca="false">IFERROR(VLOOKUP(K942,'Supplier list'!B:C,2,0),"")</f>
        <v>บริษัท เฮเฟเล่ (ประเทศไทย) จำกัด</v>
      </c>
      <c r="M942" s="1" t="s">
        <v>24</v>
      </c>
      <c r="O942" s="2" t="n">
        <v>1100</v>
      </c>
    </row>
    <row r="943" customFormat="false" ht="16.4" hidden="false" customHeight="false" outlineLevel="0" collapsed="false">
      <c r="A943" s="0" t="s">
        <v>15</v>
      </c>
      <c r="B943" s="0" t="s">
        <v>3080</v>
      </c>
      <c r="C943" s="0" t="n">
        <v>114001</v>
      </c>
      <c r="D943" s="0" t="n">
        <v>114001</v>
      </c>
      <c r="E943" s="0" t="s">
        <v>1653</v>
      </c>
      <c r="F943" s="0" t="s">
        <v>18</v>
      </c>
      <c r="G943" s="0" t="s">
        <v>3081</v>
      </c>
      <c r="H943" s="0" t="s">
        <v>3082</v>
      </c>
      <c r="I943" s="0" t="s">
        <v>124</v>
      </c>
      <c r="J943" s="0" t="s">
        <v>125</v>
      </c>
      <c r="K943" s="0" t="s">
        <v>1725</v>
      </c>
      <c r="L943" s="0" t="str">
        <f aca="false">IFERROR(VLOOKUP(K943,'Supplier list'!B:C,2,0),"")</f>
        <v>บริษัท พรีซิชั่นไลน์ จำกัด</v>
      </c>
      <c r="M943" s="1" t="s">
        <v>24</v>
      </c>
      <c r="O943" s="2" t="n">
        <v>8100</v>
      </c>
    </row>
    <row r="944" customFormat="false" ht="16.4" hidden="false" customHeight="false" outlineLevel="0" collapsed="false">
      <c r="A944" s="0" t="s">
        <v>15</v>
      </c>
      <c r="B944" s="0" t="s">
        <v>3083</v>
      </c>
      <c r="C944" s="0" t="n">
        <v>114001</v>
      </c>
      <c r="D944" s="0" t="n">
        <v>114001</v>
      </c>
      <c r="E944" s="0" t="s">
        <v>1764</v>
      </c>
      <c r="F944" s="0" t="s">
        <v>18</v>
      </c>
      <c r="G944" s="0" t="s">
        <v>3084</v>
      </c>
      <c r="H944" s="0" t="s">
        <v>3085</v>
      </c>
      <c r="I944" s="0" t="s">
        <v>124</v>
      </c>
      <c r="J944" s="0" t="s">
        <v>125</v>
      </c>
      <c r="K944" s="0" t="s">
        <v>89</v>
      </c>
      <c r="L944" s="0" t="str">
        <f aca="false">IFERROR(VLOOKUP(K944,'Supplier list'!B:C,2,0),"")</f>
        <v>บริษัท เฮเฟเล่ (ประเทศไทย) จำกัด</v>
      </c>
      <c r="M944" s="1" t="s">
        <v>24</v>
      </c>
      <c r="O944" s="2" t="n">
        <v>1250</v>
      </c>
    </row>
    <row r="945" customFormat="false" ht="16.4" hidden="false" customHeight="false" outlineLevel="0" collapsed="false">
      <c r="A945" s="0" t="s">
        <v>15</v>
      </c>
      <c r="B945" s="0" t="s">
        <v>3086</v>
      </c>
      <c r="C945" s="0" t="n">
        <v>114001</v>
      </c>
      <c r="D945" s="0" t="n">
        <v>114001</v>
      </c>
      <c r="E945" s="0" t="s">
        <v>1815</v>
      </c>
      <c r="F945" s="0" t="s">
        <v>18</v>
      </c>
      <c r="G945" s="0" t="s">
        <v>3087</v>
      </c>
      <c r="H945" s="0" t="s">
        <v>3088</v>
      </c>
      <c r="I945" s="0" t="s">
        <v>124</v>
      </c>
      <c r="J945" s="0" t="s">
        <v>125</v>
      </c>
      <c r="K945" s="0" t="s">
        <v>3089</v>
      </c>
      <c r="L945" s="0" t="str">
        <f aca="false">IFERROR(VLOOKUP(K945,'Supplier list'!B:C,2,0),"")</f>
        <v/>
      </c>
      <c r="M945" s="1" t="s">
        <v>24</v>
      </c>
      <c r="O945" s="2" t="n">
        <v>585</v>
      </c>
    </row>
    <row r="946" customFormat="false" ht="16.4" hidden="false" customHeight="false" outlineLevel="0" collapsed="false">
      <c r="A946" s="0" t="s">
        <v>15</v>
      </c>
      <c r="B946" s="0" t="s">
        <v>3090</v>
      </c>
      <c r="C946" s="0" t="n">
        <v>114001</v>
      </c>
      <c r="D946" s="0" t="n">
        <v>114001</v>
      </c>
      <c r="E946" s="0" t="s">
        <v>1815</v>
      </c>
      <c r="F946" s="0" t="s">
        <v>18</v>
      </c>
      <c r="G946" s="0" t="s">
        <v>3091</v>
      </c>
      <c r="H946" s="0" t="s">
        <v>3092</v>
      </c>
      <c r="I946" s="0" t="s">
        <v>124</v>
      </c>
      <c r="J946" s="0" t="s">
        <v>125</v>
      </c>
      <c r="K946" s="0" t="s">
        <v>787</v>
      </c>
      <c r="L946" s="0" t="str">
        <f aca="false">IFERROR(VLOOKUP(K946,'Supplier list'!B:C,2,0),"")</f>
        <v>บริษัท ฟิวเจอร์เทค อินเตอร์มาร์เก็ตติ้ง จำกัด</v>
      </c>
      <c r="M946" s="1" t="s">
        <v>24</v>
      </c>
      <c r="O946" s="2" t="n">
        <v>505</v>
      </c>
    </row>
    <row r="947" customFormat="false" ht="16.4" hidden="false" customHeight="false" outlineLevel="0" collapsed="false">
      <c r="A947" s="0" t="s">
        <v>15</v>
      </c>
      <c r="B947" s="0" t="s">
        <v>3093</v>
      </c>
      <c r="C947" s="0" t="n">
        <v>114001</v>
      </c>
      <c r="D947" s="0" t="n">
        <v>114001</v>
      </c>
      <c r="E947" s="0" t="s">
        <v>2596</v>
      </c>
      <c r="F947" s="0" t="s">
        <v>18</v>
      </c>
      <c r="G947" s="0" t="s">
        <v>3094</v>
      </c>
      <c r="H947" s="0" t="s">
        <v>3095</v>
      </c>
      <c r="I947" s="0" t="s">
        <v>124</v>
      </c>
      <c r="J947" s="0" t="s">
        <v>125</v>
      </c>
      <c r="K947" s="0" t="s">
        <v>89</v>
      </c>
      <c r="L947" s="0" t="str">
        <f aca="false">IFERROR(VLOOKUP(K947,'Supplier list'!B:C,2,0),"")</f>
        <v>บริษัท เฮเฟเล่ (ประเทศไทย) จำกัด</v>
      </c>
      <c r="M947" s="1" t="s">
        <v>24</v>
      </c>
      <c r="O947" s="2" t="n">
        <v>66</v>
      </c>
    </row>
    <row r="948" customFormat="false" ht="16.4" hidden="false" customHeight="false" outlineLevel="0" collapsed="false">
      <c r="A948" s="0" t="s">
        <v>15</v>
      </c>
      <c r="B948" s="0" t="s">
        <v>3096</v>
      </c>
      <c r="C948" s="0" t="n">
        <v>114001</v>
      </c>
      <c r="D948" s="0" t="n">
        <v>114001</v>
      </c>
      <c r="E948" s="0" t="s">
        <v>1653</v>
      </c>
      <c r="F948" s="0" t="s">
        <v>18</v>
      </c>
      <c r="G948" s="0" t="s">
        <v>3097</v>
      </c>
      <c r="H948" s="0" t="s">
        <v>3098</v>
      </c>
      <c r="I948" s="0" t="s">
        <v>124</v>
      </c>
      <c r="J948" s="0" t="s">
        <v>125</v>
      </c>
      <c r="K948" s="0" t="s">
        <v>89</v>
      </c>
      <c r="L948" s="0" t="str">
        <f aca="false">IFERROR(VLOOKUP(K948,'Supplier list'!B:C,2,0),"")</f>
        <v>บริษัท เฮเฟเล่ (ประเทศไทย) จำกัด</v>
      </c>
      <c r="M948" s="1" t="s">
        <v>24</v>
      </c>
      <c r="O948" s="2" t="n">
        <v>3400</v>
      </c>
    </row>
    <row r="949" customFormat="false" ht="16.4" hidden="false" customHeight="false" outlineLevel="0" collapsed="false">
      <c r="A949" s="0" t="s">
        <v>15</v>
      </c>
      <c r="B949" s="0" t="s">
        <v>3099</v>
      </c>
      <c r="C949" s="0" t="n">
        <v>114001</v>
      </c>
      <c r="D949" s="0" t="n">
        <v>114001</v>
      </c>
      <c r="E949" s="0" t="s">
        <v>1815</v>
      </c>
      <c r="F949" s="0" t="s">
        <v>18</v>
      </c>
      <c r="G949" s="0" t="s">
        <v>3100</v>
      </c>
      <c r="H949" s="0" t="s">
        <v>3101</v>
      </c>
      <c r="I949" s="0" t="s">
        <v>124</v>
      </c>
      <c r="J949" s="0" t="s">
        <v>125</v>
      </c>
      <c r="K949" s="0" t="s">
        <v>89</v>
      </c>
      <c r="L949" s="0" t="str">
        <f aca="false">IFERROR(VLOOKUP(K949,'Supplier list'!B:C,2,0),"")</f>
        <v>บริษัท เฮเฟเล่ (ประเทศไทย) จำกัด</v>
      </c>
      <c r="M949" s="1" t="s">
        <v>24</v>
      </c>
      <c r="O949" s="2" t="n">
        <v>540</v>
      </c>
    </row>
    <row r="950" customFormat="false" ht="16.4" hidden="false" customHeight="false" outlineLevel="0" collapsed="false">
      <c r="A950" s="0" t="s">
        <v>15</v>
      </c>
      <c r="B950" s="0" t="s">
        <v>3102</v>
      </c>
      <c r="C950" s="0" t="n">
        <v>114001</v>
      </c>
      <c r="D950" s="0" t="n">
        <v>114001</v>
      </c>
      <c r="E950" s="0" t="s">
        <v>1815</v>
      </c>
      <c r="F950" s="0" t="s">
        <v>18</v>
      </c>
      <c r="G950" s="0" t="s">
        <v>3103</v>
      </c>
      <c r="H950" s="0" t="s">
        <v>3079</v>
      </c>
      <c r="I950" s="0" t="s">
        <v>124</v>
      </c>
      <c r="J950" s="0" t="s">
        <v>125</v>
      </c>
      <c r="K950" s="0" t="s">
        <v>89</v>
      </c>
      <c r="L950" s="0" t="str">
        <f aca="false">IFERROR(VLOOKUP(K950,'Supplier list'!B:C,2,0),"")</f>
        <v>บริษัท เฮเฟเล่ (ประเทศไทย) จำกัด</v>
      </c>
      <c r="M950" s="1" t="s">
        <v>1740</v>
      </c>
      <c r="N950" s="2" t="n">
        <v>1900</v>
      </c>
      <c r="O950" s="2" t="n">
        <v>520</v>
      </c>
    </row>
    <row r="951" customFormat="false" ht="16.4" hidden="false" customHeight="false" outlineLevel="0" collapsed="false">
      <c r="A951" s="0" t="s">
        <v>15</v>
      </c>
      <c r="B951" s="0" t="s">
        <v>3104</v>
      </c>
      <c r="C951" s="0" t="n">
        <v>114001</v>
      </c>
      <c r="D951" s="0" t="n">
        <v>114001</v>
      </c>
      <c r="E951" s="0" t="s">
        <v>1764</v>
      </c>
      <c r="F951" s="0" t="s">
        <v>18</v>
      </c>
      <c r="G951" s="0" t="s">
        <v>3105</v>
      </c>
      <c r="H951" s="0" t="s">
        <v>3106</v>
      </c>
      <c r="I951" s="0" t="s">
        <v>124</v>
      </c>
      <c r="J951" s="0" t="s">
        <v>125</v>
      </c>
      <c r="K951" s="0" t="s">
        <v>89</v>
      </c>
      <c r="L951" s="0" t="str">
        <f aca="false">IFERROR(VLOOKUP(K951,'Supplier list'!B:C,2,0),"")</f>
        <v>บริษัท เฮเฟเล่ (ประเทศไทย) จำกัด</v>
      </c>
      <c r="M951" s="1" t="s">
        <v>24</v>
      </c>
      <c r="O951" s="2" t="n">
        <v>970</v>
      </c>
    </row>
    <row r="952" customFormat="false" ht="16.4" hidden="false" customHeight="false" outlineLevel="0" collapsed="false">
      <c r="A952" s="0" t="s">
        <v>15</v>
      </c>
      <c r="B952" s="0" t="s">
        <v>3107</v>
      </c>
      <c r="C952" s="0" t="n">
        <v>114001</v>
      </c>
      <c r="D952" s="0" t="n">
        <v>114001</v>
      </c>
      <c r="E952" s="0" t="s">
        <v>1815</v>
      </c>
      <c r="F952" s="0" t="s">
        <v>18</v>
      </c>
      <c r="G952" s="0" t="s">
        <v>3108</v>
      </c>
      <c r="H952" s="0" t="s">
        <v>3109</v>
      </c>
      <c r="I952" s="0" t="s">
        <v>124</v>
      </c>
      <c r="J952" s="0" t="s">
        <v>125</v>
      </c>
      <c r="K952" s="0" t="s">
        <v>787</v>
      </c>
      <c r="L952" s="0" t="str">
        <f aca="false">IFERROR(VLOOKUP(K952,'Supplier list'!B:C,2,0),"")</f>
        <v>บริษัท ฟิวเจอร์เทค อินเตอร์มาร์เก็ตติ้ง จำกัด</v>
      </c>
      <c r="M952" s="1" t="s">
        <v>24</v>
      </c>
      <c r="O952" s="2" t="n">
        <v>545</v>
      </c>
    </row>
    <row r="953" customFormat="false" ht="16.4" hidden="false" customHeight="false" outlineLevel="0" collapsed="false">
      <c r="A953" s="0" t="s">
        <v>15</v>
      </c>
      <c r="B953" s="0" t="s">
        <v>3110</v>
      </c>
      <c r="C953" s="0" t="n">
        <v>114001</v>
      </c>
      <c r="D953" s="0" t="n">
        <v>114001</v>
      </c>
      <c r="E953" s="0" t="s">
        <v>1764</v>
      </c>
      <c r="F953" s="0" t="s">
        <v>18</v>
      </c>
      <c r="G953" s="0" t="s">
        <v>3111</v>
      </c>
      <c r="H953" s="0" t="s">
        <v>3112</v>
      </c>
      <c r="I953" s="0" t="s">
        <v>124</v>
      </c>
      <c r="J953" s="0" t="s">
        <v>125</v>
      </c>
      <c r="K953" s="0" t="s">
        <v>787</v>
      </c>
      <c r="L953" s="0" t="str">
        <f aca="false">IFERROR(VLOOKUP(K953,'Supplier list'!B:C,2,0),"")</f>
        <v>บริษัท ฟิวเจอร์เทค อินเตอร์มาร์เก็ตติ้ง จำกัด</v>
      </c>
      <c r="M953" s="1" t="s">
        <v>24</v>
      </c>
      <c r="O953" s="2" t="n">
        <v>110</v>
      </c>
    </row>
    <row r="954" customFormat="false" ht="16.4" hidden="false" customHeight="false" outlineLevel="0" collapsed="false">
      <c r="A954" s="0" t="s">
        <v>15</v>
      </c>
      <c r="B954" s="0" t="s">
        <v>3113</v>
      </c>
      <c r="C954" s="0" t="n">
        <v>114001</v>
      </c>
      <c r="D954" s="0" t="n">
        <v>114001</v>
      </c>
      <c r="E954" s="0" t="s">
        <v>1764</v>
      </c>
      <c r="F954" s="0" t="s">
        <v>18</v>
      </c>
      <c r="G954" s="0" t="s">
        <v>3114</v>
      </c>
      <c r="H954" s="0" t="s">
        <v>3115</v>
      </c>
      <c r="I954" s="0" t="s">
        <v>124</v>
      </c>
      <c r="J954" s="0" t="s">
        <v>125</v>
      </c>
      <c r="K954" s="0" t="s">
        <v>787</v>
      </c>
      <c r="L954" s="0" t="str">
        <f aca="false">IFERROR(VLOOKUP(K954,'Supplier list'!B:C,2,0),"")</f>
        <v>บริษัท ฟิวเจอร์เทค อินเตอร์มาร์เก็ตติ้ง จำกัด</v>
      </c>
      <c r="M954" s="1" t="s">
        <v>24</v>
      </c>
      <c r="O954" s="2" t="n">
        <v>98</v>
      </c>
    </row>
    <row r="955" customFormat="false" ht="16.4" hidden="false" customHeight="false" outlineLevel="0" collapsed="false">
      <c r="A955" s="0" t="s">
        <v>15</v>
      </c>
      <c r="B955" s="0" t="s">
        <v>3116</v>
      </c>
      <c r="C955" s="0" t="n">
        <v>114001</v>
      </c>
      <c r="D955" s="0" t="n">
        <v>114001</v>
      </c>
      <c r="E955" s="0" t="s">
        <v>1764</v>
      </c>
      <c r="F955" s="0" t="s">
        <v>18</v>
      </c>
      <c r="G955" s="0" t="s">
        <v>3117</v>
      </c>
      <c r="H955" s="0" t="s">
        <v>3118</v>
      </c>
      <c r="I955" s="0" t="s">
        <v>124</v>
      </c>
      <c r="J955" s="0" t="s">
        <v>125</v>
      </c>
      <c r="K955" s="0" t="s">
        <v>787</v>
      </c>
      <c r="L955" s="0" t="str">
        <f aca="false">IFERROR(VLOOKUP(K955,'Supplier list'!B:C,2,0),"")</f>
        <v>บริษัท ฟิวเจอร์เทค อินเตอร์มาร์เก็ตติ้ง จำกัด</v>
      </c>
      <c r="M955" s="1" t="s">
        <v>24</v>
      </c>
      <c r="O955" s="2" t="n">
        <v>42</v>
      </c>
    </row>
    <row r="956" customFormat="false" ht="16.4" hidden="false" customHeight="false" outlineLevel="0" collapsed="false">
      <c r="A956" s="0" t="s">
        <v>15</v>
      </c>
      <c r="B956" s="0" t="s">
        <v>3119</v>
      </c>
      <c r="C956" s="0" t="n">
        <v>114001</v>
      </c>
      <c r="D956" s="0" t="n">
        <v>114001</v>
      </c>
      <c r="E956" s="0" t="s">
        <v>1764</v>
      </c>
      <c r="F956" s="0" t="s">
        <v>18</v>
      </c>
      <c r="G956" s="0" t="s">
        <v>3120</v>
      </c>
      <c r="H956" s="0" t="s">
        <v>3121</v>
      </c>
      <c r="I956" s="0" t="s">
        <v>124</v>
      </c>
      <c r="J956" s="0" t="s">
        <v>125</v>
      </c>
      <c r="K956" s="0" t="s">
        <v>89</v>
      </c>
      <c r="L956" s="0" t="str">
        <f aca="false">IFERROR(VLOOKUP(K956,'Supplier list'!B:C,2,0),"")</f>
        <v>บริษัท เฮเฟเล่ (ประเทศไทย) จำกัด</v>
      </c>
      <c r="M956" s="1" t="s">
        <v>24</v>
      </c>
      <c r="O956" s="2" t="n">
        <v>150</v>
      </c>
    </row>
    <row r="957" customFormat="false" ht="16.4" hidden="false" customHeight="false" outlineLevel="0" collapsed="false">
      <c r="A957" s="0" t="s">
        <v>15</v>
      </c>
      <c r="B957" s="0" t="s">
        <v>3122</v>
      </c>
      <c r="C957" s="0" t="n">
        <v>114001</v>
      </c>
      <c r="D957" s="0" t="n">
        <v>114001</v>
      </c>
      <c r="E957" s="0" t="s">
        <v>1764</v>
      </c>
      <c r="F957" s="0" t="s">
        <v>18</v>
      </c>
      <c r="G957" s="0" t="s">
        <v>3123</v>
      </c>
      <c r="H957" s="0" t="s">
        <v>3124</v>
      </c>
      <c r="I957" s="0" t="s">
        <v>21</v>
      </c>
      <c r="J957" s="0" t="s">
        <v>22</v>
      </c>
      <c r="K957" s="0" t="s">
        <v>89</v>
      </c>
      <c r="L957" s="0" t="str">
        <f aca="false">IFERROR(VLOOKUP(K957,'Supplier list'!B:C,2,0),"")</f>
        <v>บริษัท เฮเฟเล่ (ประเทศไทย) จำกัด</v>
      </c>
      <c r="M957" s="1" t="s">
        <v>24</v>
      </c>
      <c r="O957" s="2" t="n">
        <v>300</v>
      </c>
    </row>
    <row r="958" customFormat="false" ht="16.4" hidden="false" customHeight="false" outlineLevel="0" collapsed="false">
      <c r="A958" s="0" t="s">
        <v>15</v>
      </c>
      <c r="B958" s="0" t="s">
        <v>3125</v>
      </c>
      <c r="C958" s="0" t="n">
        <v>114001</v>
      </c>
      <c r="D958" s="0" t="n">
        <v>114001</v>
      </c>
      <c r="E958" s="0" t="s">
        <v>2035</v>
      </c>
      <c r="F958" s="0" t="s">
        <v>18</v>
      </c>
      <c r="G958" s="0" t="s">
        <v>3126</v>
      </c>
      <c r="H958" s="0" t="s">
        <v>3127</v>
      </c>
      <c r="I958" s="0" t="s">
        <v>21</v>
      </c>
      <c r="J958" s="0" t="s">
        <v>22</v>
      </c>
      <c r="K958" s="0" t="s">
        <v>89</v>
      </c>
      <c r="L958" s="0" t="str">
        <f aca="false">IFERROR(VLOOKUP(K958,'Supplier list'!B:C,2,0),"")</f>
        <v>บริษัท เฮเฟเล่ (ประเทศไทย) จำกัด</v>
      </c>
      <c r="M958" s="1" t="s">
        <v>24</v>
      </c>
      <c r="O958" s="2" t="n">
        <v>9990</v>
      </c>
    </row>
    <row r="959" customFormat="false" ht="16.4" hidden="false" customHeight="false" outlineLevel="0" collapsed="false">
      <c r="A959" s="0" t="s">
        <v>15</v>
      </c>
      <c r="B959" s="0" t="s">
        <v>3128</v>
      </c>
      <c r="C959" s="0" t="n">
        <v>114001</v>
      </c>
      <c r="D959" s="0" t="n">
        <v>114001</v>
      </c>
      <c r="E959" s="0" t="s">
        <v>2035</v>
      </c>
      <c r="F959" s="0" t="s">
        <v>18</v>
      </c>
      <c r="G959" s="0" t="s">
        <v>3129</v>
      </c>
      <c r="H959" s="0" t="s">
        <v>3130</v>
      </c>
      <c r="I959" s="0" t="s">
        <v>21</v>
      </c>
      <c r="J959" s="0" t="s">
        <v>22</v>
      </c>
      <c r="K959" s="0" t="s">
        <v>89</v>
      </c>
      <c r="L959" s="0" t="str">
        <f aca="false">IFERROR(VLOOKUP(K959,'Supplier list'!B:C,2,0),"")</f>
        <v>บริษัท เฮเฟเล่ (ประเทศไทย) จำกัด</v>
      </c>
      <c r="M959" s="1" t="s">
        <v>24</v>
      </c>
      <c r="O959" s="2" t="n">
        <v>8990</v>
      </c>
    </row>
    <row r="960" customFormat="false" ht="16.4" hidden="false" customHeight="false" outlineLevel="0" collapsed="false">
      <c r="A960" s="0" t="s">
        <v>15</v>
      </c>
      <c r="B960" s="0" t="s">
        <v>3131</v>
      </c>
      <c r="C960" s="0" t="n">
        <v>114001</v>
      </c>
      <c r="D960" s="0" t="n">
        <v>114001</v>
      </c>
      <c r="E960" s="0" t="s">
        <v>2035</v>
      </c>
      <c r="F960" s="0" t="s">
        <v>18</v>
      </c>
      <c r="G960" s="0" t="s">
        <v>3132</v>
      </c>
      <c r="H960" s="0" t="s">
        <v>3133</v>
      </c>
      <c r="I960" s="0" t="s">
        <v>21</v>
      </c>
      <c r="J960" s="0" t="s">
        <v>22</v>
      </c>
      <c r="K960" s="0" t="s">
        <v>89</v>
      </c>
      <c r="L960" s="0" t="str">
        <f aca="false">IFERROR(VLOOKUP(K960,'Supplier list'!B:C,2,0),"")</f>
        <v>บริษัท เฮเฟเล่ (ประเทศไทย) จำกัด</v>
      </c>
      <c r="M960" s="1" t="s">
        <v>24</v>
      </c>
      <c r="O960" s="2" t="n">
        <v>17900</v>
      </c>
    </row>
    <row r="961" customFormat="false" ht="16.4" hidden="false" customHeight="false" outlineLevel="0" collapsed="false">
      <c r="A961" s="0" t="s">
        <v>15</v>
      </c>
      <c r="B961" s="0" t="s">
        <v>3134</v>
      </c>
      <c r="C961" s="0" t="n">
        <v>114001</v>
      </c>
      <c r="D961" s="0" t="n">
        <v>114001</v>
      </c>
      <c r="E961" s="0" t="s">
        <v>874</v>
      </c>
      <c r="F961" s="0" t="s">
        <v>18</v>
      </c>
      <c r="G961" s="0" t="s">
        <v>3135</v>
      </c>
      <c r="H961" s="0" t="s">
        <v>3136</v>
      </c>
      <c r="I961" s="0" t="s">
        <v>21</v>
      </c>
      <c r="J961" s="0" t="s">
        <v>22</v>
      </c>
      <c r="K961" s="0" t="s">
        <v>89</v>
      </c>
      <c r="L961" s="0" t="str">
        <f aca="false">IFERROR(VLOOKUP(K961,'Supplier list'!B:C,2,0),"")</f>
        <v>บริษัท เฮเฟเล่ (ประเทศไทย) จำกัด</v>
      </c>
      <c r="M961" s="1" t="s">
        <v>24</v>
      </c>
      <c r="O961" s="2" t="n">
        <v>790</v>
      </c>
    </row>
    <row r="962" customFormat="false" ht="16.4" hidden="false" customHeight="false" outlineLevel="0" collapsed="false">
      <c r="A962" s="0" t="s">
        <v>15</v>
      </c>
      <c r="B962" s="0" t="s">
        <v>3137</v>
      </c>
      <c r="C962" s="0" t="n">
        <v>114001</v>
      </c>
      <c r="D962" s="0" t="n">
        <v>114001</v>
      </c>
      <c r="E962" s="0" t="s">
        <v>874</v>
      </c>
      <c r="F962" s="0" t="s">
        <v>18</v>
      </c>
      <c r="G962" s="0" t="s">
        <v>3138</v>
      </c>
      <c r="H962" s="0" t="s">
        <v>3139</v>
      </c>
      <c r="I962" s="0" t="s">
        <v>21</v>
      </c>
      <c r="J962" s="0" t="s">
        <v>22</v>
      </c>
      <c r="K962" s="0" t="s">
        <v>89</v>
      </c>
      <c r="L962" s="0" t="str">
        <f aca="false">IFERROR(VLOOKUP(K962,'Supplier list'!B:C,2,0),"")</f>
        <v>บริษัท เฮเฟเล่ (ประเทศไทย) จำกัด</v>
      </c>
      <c r="M962" s="1" t="s">
        <v>24</v>
      </c>
      <c r="O962" s="2" t="n">
        <v>2030</v>
      </c>
    </row>
    <row r="963" customFormat="false" ht="16.4" hidden="false" customHeight="false" outlineLevel="0" collapsed="false">
      <c r="A963" s="0" t="s">
        <v>15</v>
      </c>
      <c r="B963" s="0" t="s">
        <v>3140</v>
      </c>
      <c r="C963" s="0" t="n">
        <v>114001</v>
      </c>
      <c r="D963" s="0" t="n">
        <v>114001</v>
      </c>
      <c r="E963" s="0" t="s">
        <v>2035</v>
      </c>
      <c r="F963" s="0" t="s">
        <v>18</v>
      </c>
      <c r="G963" s="0" t="s">
        <v>3141</v>
      </c>
      <c r="H963" s="0" t="s">
        <v>3142</v>
      </c>
      <c r="I963" s="0" t="s">
        <v>21</v>
      </c>
      <c r="J963" s="0" t="s">
        <v>22</v>
      </c>
      <c r="K963" s="0" t="s">
        <v>3143</v>
      </c>
      <c r="L963" s="0" t="str">
        <f aca="false">IFERROR(VLOOKUP(K963,'Supplier list'!B:C,2,0),"")</f>
        <v>บริษัท ไฮเซ่นส์ อินเตอร์เนชั่นแนล(ประเทศไทย)จำกัด</v>
      </c>
      <c r="M963" s="1" t="s">
        <v>24</v>
      </c>
      <c r="O963" s="2" t="n">
        <v>8341.12</v>
      </c>
    </row>
    <row r="964" customFormat="false" ht="16.4" hidden="false" customHeight="false" outlineLevel="0" collapsed="false">
      <c r="A964" s="0" t="s">
        <v>15</v>
      </c>
      <c r="B964" s="0" t="s">
        <v>3144</v>
      </c>
      <c r="C964" s="0" t="n">
        <v>114001</v>
      </c>
      <c r="D964" s="0" t="n">
        <v>114001</v>
      </c>
      <c r="E964" s="0" t="s">
        <v>2035</v>
      </c>
      <c r="F964" s="0" t="s">
        <v>18</v>
      </c>
      <c r="G964" s="0" t="s">
        <v>3145</v>
      </c>
      <c r="H964" s="0" t="s">
        <v>3146</v>
      </c>
      <c r="I964" s="0" t="s">
        <v>124</v>
      </c>
      <c r="J964" s="0" t="s">
        <v>125</v>
      </c>
      <c r="K964" s="0" t="s">
        <v>3143</v>
      </c>
      <c r="L964" s="0" t="str">
        <f aca="false">IFERROR(VLOOKUP(K964,'Supplier list'!B:C,2,0),"")</f>
        <v>บริษัท ไฮเซ่นส์ อินเตอร์เนชั่นแนล(ประเทศไทย)จำกัด</v>
      </c>
      <c r="M964" s="1" t="s">
        <v>24</v>
      </c>
      <c r="O964" s="2" t="n">
        <v>13948.6</v>
      </c>
    </row>
    <row r="965" customFormat="false" ht="16.4" hidden="false" customHeight="false" outlineLevel="0" collapsed="false">
      <c r="A965" s="0" t="s">
        <v>15</v>
      </c>
      <c r="B965" s="0" t="s">
        <v>3147</v>
      </c>
      <c r="C965" s="0" t="n">
        <v>114001</v>
      </c>
      <c r="D965" s="0" t="n">
        <v>114001</v>
      </c>
      <c r="E965" s="0" t="s">
        <v>1653</v>
      </c>
      <c r="F965" s="0" t="s">
        <v>18</v>
      </c>
      <c r="G965" s="0" t="s">
        <v>3148</v>
      </c>
      <c r="H965" s="0" t="s">
        <v>3149</v>
      </c>
      <c r="I965" s="0" t="s">
        <v>124</v>
      </c>
      <c r="J965" s="0" t="s">
        <v>125</v>
      </c>
      <c r="K965" s="0" t="s">
        <v>89</v>
      </c>
      <c r="L965" s="0" t="str">
        <f aca="false">IFERROR(VLOOKUP(K965,'Supplier list'!B:C,2,0),"")</f>
        <v>บริษัท เฮเฟเล่ (ประเทศไทย) จำกัด</v>
      </c>
      <c r="M965" s="1" t="s">
        <v>24</v>
      </c>
      <c r="O965" s="2" t="n">
        <v>2100</v>
      </c>
    </row>
    <row r="966" customFormat="false" ht="16.4" hidden="false" customHeight="false" outlineLevel="0" collapsed="false">
      <c r="A966" s="0" t="s">
        <v>15</v>
      </c>
      <c r="B966" s="0" t="s">
        <v>3150</v>
      </c>
      <c r="C966" s="0" t="n">
        <v>114001</v>
      </c>
      <c r="D966" s="0" t="n">
        <v>114001</v>
      </c>
      <c r="E966" s="0" t="s">
        <v>1815</v>
      </c>
      <c r="F966" s="0" t="s">
        <v>18</v>
      </c>
      <c r="G966" s="0" t="s">
        <v>3151</v>
      </c>
      <c r="H966" s="0" t="s">
        <v>3152</v>
      </c>
      <c r="I966" s="0" t="s">
        <v>517</v>
      </c>
      <c r="J966" s="0" t="s">
        <v>518</v>
      </c>
      <c r="K966" s="0" t="s">
        <v>89</v>
      </c>
      <c r="L966" s="0" t="str">
        <f aca="false">IFERROR(VLOOKUP(K966,'Supplier list'!B:C,2,0),"")</f>
        <v>บริษัท เฮเฟเล่ (ประเทศไทย) จำกัด</v>
      </c>
      <c r="M966" s="1" t="s">
        <v>24</v>
      </c>
      <c r="O966" s="2" t="n">
        <v>1890</v>
      </c>
    </row>
    <row r="967" customFormat="false" ht="16.4" hidden="false" customHeight="false" outlineLevel="0" collapsed="false">
      <c r="A967" s="0" t="s">
        <v>15</v>
      </c>
      <c r="B967" s="0" t="s">
        <v>3153</v>
      </c>
      <c r="C967" s="0" t="n">
        <v>114001</v>
      </c>
      <c r="D967" s="0" t="n">
        <v>114001</v>
      </c>
      <c r="E967" s="0" t="s">
        <v>1970</v>
      </c>
      <c r="F967" s="0" t="s">
        <v>18</v>
      </c>
      <c r="G967" s="0" t="s">
        <v>3154</v>
      </c>
      <c r="H967" s="0" t="s">
        <v>3155</v>
      </c>
      <c r="I967" s="0" t="s">
        <v>168</v>
      </c>
      <c r="J967" s="0" t="s">
        <v>169</v>
      </c>
      <c r="L967" s="0" t="str">
        <f aca="false">IFERROR(VLOOKUP(K967,'Supplier list'!B:C,2,0),"")</f>
        <v/>
      </c>
      <c r="M967" s="1" t="s">
        <v>24</v>
      </c>
      <c r="O967" s="2" t="n">
        <v>0</v>
      </c>
    </row>
    <row r="968" customFormat="false" ht="16.4" hidden="false" customHeight="false" outlineLevel="0" collapsed="false">
      <c r="A968" s="0" t="s">
        <v>15</v>
      </c>
      <c r="B968" s="0" t="s">
        <v>3156</v>
      </c>
      <c r="C968" s="0" t="n">
        <v>114001</v>
      </c>
      <c r="D968" s="0" t="n">
        <v>114001</v>
      </c>
      <c r="E968" s="0" t="s">
        <v>1815</v>
      </c>
      <c r="F968" s="0" t="s">
        <v>18</v>
      </c>
      <c r="G968" s="0" t="s">
        <v>3157</v>
      </c>
      <c r="H968" s="0" t="s">
        <v>3158</v>
      </c>
      <c r="I968" s="0" t="s">
        <v>517</v>
      </c>
      <c r="J968" s="0" t="s">
        <v>518</v>
      </c>
      <c r="K968" s="0" t="s">
        <v>89</v>
      </c>
      <c r="L968" s="0" t="str">
        <f aca="false">IFERROR(VLOOKUP(K968,'Supplier list'!B:C,2,0),"")</f>
        <v>บริษัท เฮเฟเล่ (ประเทศไทย) จำกัด</v>
      </c>
      <c r="M968" s="1" t="s">
        <v>1740</v>
      </c>
      <c r="N968" s="2" t="n">
        <v>1700</v>
      </c>
      <c r="O968" s="2" t="n">
        <v>664</v>
      </c>
    </row>
    <row r="969" customFormat="false" ht="16.4" hidden="false" customHeight="false" outlineLevel="0" collapsed="false">
      <c r="A969" s="0" t="s">
        <v>15</v>
      </c>
      <c r="B969" s="0" t="s">
        <v>3159</v>
      </c>
      <c r="C969" s="0" t="n">
        <v>114001</v>
      </c>
      <c r="D969" s="0" t="n">
        <v>114001</v>
      </c>
      <c r="E969" s="0" t="s">
        <v>1815</v>
      </c>
      <c r="F969" s="0" t="s">
        <v>18</v>
      </c>
      <c r="G969" s="0" t="s">
        <v>3160</v>
      </c>
      <c r="H969" s="0" t="s">
        <v>3161</v>
      </c>
      <c r="I969" s="0" t="s">
        <v>517</v>
      </c>
      <c r="J969" s="0" t="s">
        <v>518</v>
      </c>
      <c r="K969" s="0" t="s">
        <v>89</v>
      </c>
      <c r="L969" s="0" t="str">
        <f aca="false">IFERROR(VLOOKUP(K969,'Supplier list'!B:C,2,0),"")</f>
        <v>บริษัท เฮเฟเล่ (ประเทศไทย) จำกัด</v>
      </c>
      <c r="M969" s="1" t="s">
        <v>24</v>
      </c>
      <c r="O969" s="2" t="n">
        <v>260</v>
      </c>
    </row>
    <row r="970" customFormat="false" ht="16.4" hidden="false" customHeight="false" outlineLevel="0" collapsed="false">
      <c r="A970" s="0" t="s">
        <v>15</v>
      </c>
      <c r="B970" s="0" t="s">
        <v>3162</v>
      </c>
      <c r="C970" s="0" t="n">
        <v>114001</v>
      </c>
      <c r="D970" s="0" t="n">
        <v>114001</v>
      </c>
      <c r="E970" s="0" t="s">
        <v>1815</v>
      </c>
      <c r="F970" s="0" t="s">
        <v>18</v>
      </c>
      <c r="G970" s="0" t="s">
        <v>3163</v>
      </c>
      <c r="H970" s="0" t="s">
        <v>3164</v>
      </c>
      <c r="I970" s="0" t="s">
        <v>124</v>
      </c>
      <c r="J970" s="0" t="s">
        <v>125</v>
      </c>
      <c r="K970" s="0" t="s">
        <v>89</v>
      </c>
      <c r="L970" s="0" t="str">
        <f aca="false">IFERROR(VLOOKUP(K970,'Supplier list'!B:C,2,0),"")</f>
        <v>บริษัท เฮเฟเล่ (ประเทศไทย) จำกัด</v>
      </c>
      <c r="M970" s="1" t="s">
        <v>1740</v>
      </c>
      <c r="N970" s="2" t="n">
        <v>2000</v>
      </c>
      <c r="O970" s="2" t="n">
        <v>520</v>
      </c>
    </row>
    <row r="971" customFormat="false" ht="16.4" hidden="false" customHeight="false" outlineLevel="0" collapsed="false">
      <c r="A971" s="0" t="s">
        <v>15</v>
      </c>
      <c r="B971" s="0" t="s">
        <v>3165</v>
      </c>
      <c r="C971" s="0" t="n">
        <v>114001</v>
      </c>
      <c r="D971" s="0" t="n">
        <v>114001</v>
      </c>
      <c r="E971" s="0" t="s">
        <v>961</v>
      </c>
      <c r="F971" s="0" t="s">
        <v>18</v>
      </c>
      <c r="G971" s="0" t="s">
        <v>3166</v>
      </c>
      <c r="H971" s="0" t="s">
        <v>3167</v>
      </c>
      <c r="I971" s="0" t="s">
        <v>124</v>
      </c>
      <c r="J971" s="0" t="s">
        <v>125</v>
      </c>
      <c r="K971" s="0" t="s">
        <v>89</v>
      </c>
      <c r="L971" s="0" t="str">
        <f aca="false">IFERROR(VLOOKUP(K971,'Supplier list'!B:C,2,0),"")</f>
        <v>บริษัท เฮเฟเล่ (ประเทศไทย) จำกัด</v>
      </c>
      <c r="M971" s="1" t="s">
        <v>24</v>
      </c>
      <c r="O971" s="2" t="n">
        <v>2140</v>
      </c>
    </row>
    <row r="972" customFormat="false" ht="16.4" hidden="false" customHeight="false" outlineLevel="0" collapsed="false">
      <c r="A972" s="0" t="s">
        <v>15</v>
      </c>
      <c r="B972" s="0" t="s">
        <v>3168</v>
      </c>
      <c r="C972" s="0" t="n">
        <v>114001</v>
      </c>
      <c r="D972" s="0" t="n">
        <v>114001</v>
      </c>
      <c r="E972" s="0" t="s">
        <v>1653</v>
      </c>
      <c r="F972" s="0" t="s">
        <v>18</v>
      </c>
      <c r="G972" s="0" t="s">
        <v>3169</v>
      </c>
      <c r="H972" s="0" t="s">
        <v>2156</v>
      </c>
      <c r="I972" s="0" t="s">
        <v>21</v>
      </c>
      <c r="J972" s="0" t="s">
        <v>22</v>
      </c>
      <c r="K972" s="0" t="s">
        <v>89</v>
      </c>
      <c r="L972" s="0" t="str">
        <f aca="false">IFERROR(VLOOKUP(K972,'Supplier list'!B:C,2,0),"")</f>
        <v>บริษัท เฮเฟเล่ (ประเทศไทย) จำกัด</v>
      </c>
      <c r="M972" s="1" t="s">
        <v>24</v>
      </c>
      <c r="O972" s="2" t="n">
        <v>2300</v>
      </c>
    </row>
    <row r="973" customFormat="false" ht="16.4" hidden="false" customHeight="false" outlineLevel="0" collapsed="false">
      <c r="A973" s="0" t="s">
        <v>15</v>
      </c>
      <c r="B973" s="0" t="s">
        <v>3170</v>
      </c>
      <c r="C973" s="0" t="n">
        <v>114001</v>
      </c>
      <c r="D973" s="0" t="n">
        <v>114001</v>
      </c>
      <c r="E973" s="0" t="s">
        <v>1605</v>
      </c>
      <c r="F973" s="0" t="s">
        <v>18</v>
      </c>
      <c r="G973" s="0" t="s">
        <v>3171</v>
      </c>
      <c r="H973" s="0" t="s">
        <v>3172</v>
      </c>
      <c r="I973" s="0" t="s">
        <v>21</v>
      </c>
      <c r="J973" s="0" t="s">
        <v>22</v>
      </c>
      <c r="K973" s="0" t="s">
        <v>1725</v>
      </c>
      <c r="L973" s="0" t="str">
        <f aca="false">IFERROR(VLOOKUP(K973,'Supplier list'!B:C,2,0),"")</f>
        <v>บริษัท พรีซิชั่นไลน์ จำกัด</v>
      </c>
      <c r="M973" s="1" t="s">
        <v>24</v>
      </c>
      <c r="O973" s="2" t="n">
        <v>176</v>
      </c>
    </row>
    <row r="974" customFormat="false" ht="16.4" hidden="false" customHeight="false" outlineLevel="0" collapsed="false">
      <c r="A974" s="0" t="s">
        <v>15</v>
      </c>
      <c r="B974" s="0" t="s">
        <v>3173</v>
      </c>
      <c r="C974" s="0" t="n">
        <v>114001</v>
      </c>
      <c r="D974" s="0" t="n">
        <v>114001</v>
      </c>
      <c r="E974" s="0" t="s">
        <v>1605</v>
      </c>
      <c r="F974" s="0" t="s">
        <v>18</v>
      </c>
      <c r="G974" s="0" t="s">
        <v>3174</v>
      </c>
      <c r="H974" s="0" t="s">
        <v>3175</v>
      </c>
      <c r="I974" s="0" t="s">
        <v>21</v>
      </c>
      <c r="J974" s="0" t="s">
        <v>22</v>
      </c>
      <c r="K974" s="0" t="s">
        <v>1725</v>
      </c>
      <c r="L974" s="0" t="str">
        <f aca="false">IFERROR(VLOOKUP(K974,'Supplier list'!B:C,2,0),"")</f>
        <v>บริษัท พรีซิชั่นไลน์ จำกัด</v>
      </c>
      <c r="M974" s="1" t="s">
        <v>24</v>
      </c>
      <c r="O974" s="2" t="n">
        <v>32</v>
      </c>
    </row>
    <row r="975" customFormat="false" ht="16.4" hidden="false" customHeight="false" outlineLevel="0" collapsed="false">
      <c r="A975" s="0" t="s">
        <v>15</v>
      </c>
      <c r="B975" s="0" t="s">
        <v>3176</v>
      </c>
      <c r="C975" s="0" t="n">
        <v>114001</v>
      </c>
      <c r="D975" s="0" t="n">
        <v>114001</v>
      </c>
      <c r="E975" s="0" t="s">
        <v>1605</v>
      </c>
      <c r="F975" s="0" t="s">
        <v>18</v>
      </c>
      <c r="G975" s="0" t="s">
        <v>3177</v>
      </c>
      <c r="H975" s="0" t="s">
        <v>3178</v>
      </c>
      <c r="I975" s="0" t="s">
        <v>21</v>
      </c>
      <c r="J975" s="0" t="s">
        <v>22</v>
      </c>
      <c r="K975" s="0" t="s">
        <v>1725</v>
      </c>
      <c r="L975" s="0" t="str">
        <f aca="false">IFERROR(VLOOKUP(K975,'Supplier list'!B:C,2,0),"")</f>
        <v>บริษัท พรีซิชั่นไลน์ จำกัด</v>
      </c>
      <c r="M975" s="1" t="s">
        <v>24</v>
      </c>
      <c r="O975" s="2" t="n">
        <v>32</v>
      </c>
    </row>
    <row r="976" customFormat="false" ht="16.4" hidden="false" customHeight="false" outlineLevel="0" collapsed="false">
      <c r="A976" s="0" t="s">
        <v>15</v>
      </c>
      <c r="B976" s="0" t="s">
        <v>3179</v>
      </c>
      <c r="C976" s="0" t="n">
        <v>114001</v>
      </c>
      <c r="D976" s="0" t="n">
        <v>114001</v>
      </c>
      <c r="E976" s="0" t="s">
        <v>961</v>
      </c>
      <c r="F976" s="0" t="s">
        <v>18</v>
      </c>
      <c r="G976" s="0" t="s">
        <v>3180</v>
      </c>
      <c r="H976" s="0" t="s">
        <v>3181</v>
      </c>
      <c r="I976" s="0" t="s">
        <v>21</v>
      </c>
      <c r="J976" s="0" t="s">
        <v>22</v>
      </c>
      <c r="K976" s="0" t="s">
        <v>89</v>
      </c>
      <c r="L976" s="0" t="str">
        <f aca="false">IFERROR(VLOOKUP(K976,'Supplier list'!B:C,2,0),"")</f>
        <v>บริษัท เฮเฟเล่ (ประเทศไทย) จำกัด</v>
      </c>
      <c r="M976" s="1" t="s">
        <v>24</v>
      </c>
      <c r="O976" s="2" t="n">
        <v>485</v>
      </c>
    </row>
    <row r="977" customFormat="false" ht="16.4" hidden="false" customHeight="false" outlineLevel="0" collapsed="false">
      <c r="A977" s="0" t="s">
        <v>15</v>
      </c>
      <c r="B977" s="0" t="s">
        <v>3182</v>
      </c>
      <c r="C977" s="0" t="n">
        <v>114001</v>
      </c>
      <c r="D977" s="0" t="n">
        <v>114001</v>
      </c>
      <c r="E977" s="0" t="s">
        <v>961</v>
      </c>
      <c r="F977" s="0" t="s">
        <v>18</v>
      </c>
      <c r="G977" s="0" t="s">
        <v>3183</v>
      </c>
      <c r="H977" s="0" t="s">
        <v>3184</v>
      </c>
      <c r="I977" s="0" t="s">
        <v>21</v>
      </c>
      <c r="J977" s="0" t="s">
        <v>22</v>
      </c>
      <c r="K977" s="0" t="s">
        <v>89</v>
      </c>
      <c r="L977" s="0" t="str">
        <f aca="false">IFERROR(VLOOKUP(K977,'Supplier list'!B:C,2,0),"")</f>
        <v>บริษัท เฮเฟเล่ (ประเทศไทย) จำกัด</v>
      </c>
      <c r="M977" s="1" t="s">
        <v>24</v>
      </c>
      <c r="O977" s="2" t="n">
        <v>70</v>
      </c>
    </row>
    <row r="978" customFormat="false" ht="16.4" hidden="false" customHeight="false" outlineLevel="0" collapsed="false">
      <c r="A978" s="0" t="s">
        <v>15</v>
      </c>
      <c r="B978" s="0" t="s">
        <v>3185</v>
      </c>
      <c r="C978" s="0" t="n">
        <v>114001</v>
      </c>
      <c r="D978" s="0" t="n">
        <v>114001</v>
      </c>
      <c r="E978" s="0" t="s">
        <v>961</v>
      </c>
      <c r="F978" s="0" t="s">
        <v>18</v>
      </c>
      <c r="G978" s="0" t="s">
        <v>3186</v>
      </c>
      <c r="H978" s="0" t="s">
        <v>3187</v>
      </c>
      <c r="I978" s="0" t="s">
        <v>21</v>
      </c>
      <c r="J978" s="0" t="s">
        <v>22</v>
      </c>
      <c r="K978" s="0" t="s">
        <v>89</v>
      </c>
      <c r="L978" s="0" t="str">
        <f aca="false">IFERROR(VLOOKUP(K978,'Supplier list'!B:C,2,0),"")</f>
        <v>บริษัท เฮเฟเล่ (ประเทศไทย) จำกัด</v>
      </c>
      <c r="M978" s="1" t="s">
        <v>24</v>
      </c>
      <c r="O978" s="2" t="n">
        <v>6</v>
      </c>
    </row>
    <row r="979" customFormat="false" ht="16.4" hidden="false" customHeight="false" outlineLevel="0" collapsed="false">
      <c r="A979" s="0" t="s">
        <v>15</v>
      </c>
      <c r="B979" s="0" t="s">
        <v>3188</v>
      </c>
      <c r="C979" s="0" t="n">
        <v>114001</v>
      </c>
      <c r="D979" s="0" t="n">
        <v>114001</v>
      </c>
      <c r="E979" s="0" t="s">
        <v>1653</v>
      </c>
      <c r="F979" s="0" t="s">
        <v>18</v>
      </c>
      <c r="G979" s="0" t="s">
        <v>3189</v>
      </c>
      <c r="H979" s="0" t="s">
        <v>3190</v>
      </c>
      <c r="I979" s="0" t="s">
        <v>124</v>
      </c>
      <c r="J979" s="0" t="s">
        <v>125</v>
      </c>
      <c r="K979" s="0" t="s">
        <v>787</v>
      </c>
      <c r="L979" s="0" t="str">
        <f aca="false">IFERROR(VLOOKUP(K979,'Supplier list'!B:C,2,0),"")</f>
        <v>บริษัท ฟิวเจอร์เทค อินเตอร์มาร์เก็ตติ้ง จำกัด</v>
      </c>
      <c r="M979" s="1" t="s">
        <v>24</v>
      </c>
      <c r="O979" s="2" t="n">
        <v>1500</v>
      </c>
    </row>
    <row r="980" customFormat="false" ht="16.4" hidden="false" customHeight="false" outlineLevel="0" collapsed="false">
      <c r="A980" s="0" t="s">
        <v>15</v>
      </c>
      <c r="B980" s="0" t="s">
        <v>3191</v>
      </c>
      <c r="C980" s="0" t="n">
        <v>114001</v>
      </c>
      <c r="D980" s="0" t="n">
        <v>114001</v>
      </c>
      <c r="E980" s="0" t="s">
        <v>1653</v>
      </c>
      <c r="F980" s="0" t="s">
        <v>18</v>
      </c>
      <c r="G980" s="0" t="s">
        <v>3192</v>
      </c>
      <c r="H980" s="0" t="s">
        <v>3193</v>
      </c>
      <c r="I980" s="0" t="s">
        <v>124</v>
      </c>
      <c r="J980" s="0" t="s">
        <v>125</v>
      </c>
      <c r="K980" s="0" t="s">
        <v>1725</v>
      </c>
      <c r="L980" s="0" t="str">
        <f aca="false">IFERROR(VLOOKUP(K980,'Supplier list'!B:C,2,0),"")</f>
        <v>บริษัท พรีซิชั่นไลน์ จำกัด</v>
      </c>
      <c r="M980" s="1" t="s">
        <v>24</v>
      </c>
      <c r="O980" s="2" t="n">
        <v>9400</v>
      </c>
    </row>
    <row r="981" customFormat="false" ht="16.4" hidden="false" customHeight="false" outlineLevel="0" collapsed="false">
      <c r="A981" s="0" t="s">
        <v>15</v>
      </c>
      <c r="B981" s="0" t="s">
        <v>3194</v>
      </c>
      <c r="C981" s="0" t="n">
        <v>114001</v>
      </c>
      <c r="D981" s="0" t="n">
        <v>114001</v>
      </c>
      <c r="E981" s="0" t="s">
        <v>1727</v>
      </c>
      <c r="F981" s="0" t="s">
        <v>18</v>
      </c>
      <c r="G981" s="0" t="s">
        <v>3195</v>
      </c>
      <c r="H981" s="0" t="s">
        <v>3196</v>
      </c>
      <c r="I981" s="0" t="s">
        <v>124</v>
      </c>
      <c r="J981" s="0" t="s">
        <v>125</v>
      </c>
      <c r="K981" s="0" t="s">
        <v>1725</v>
      </c>
      <c r="L981" s="0" t="str">
        <f aca="false">IFERROR(VLOOKUP(K981,'Supplier list'!B:C,2,0),"")</f>
        <v>บริษัท พรีซิชั่นไลน์ จำกัด</v>
      </c>
      <c r="M981" s="1" t="s">
        <v>24</v>
      </c>
      <c r="O981" s="2" t="n">
        <v>1970</v>
      </c>
    </row>
    <row r="982" customFormat="false" ht="16.4" hidden="false" customHeight="false" outlineLevel="0" collapsed="false">
      <c r="A982" s="0" t="s">
        <v>15</v>
      </c>
      <c r="B982" s="0" t="s">
        <v>3197</v>
      </c>
      <c r="C982" s="0" t="n">
        <v>114001</v>
      </c>
      <c r="D982" s="0" t="n">
        <v>114001</v>
      </c>
      <c r="E982" s="0" t="s">
        <v>1815</v>
      </c>
      <c r="F982" s="0" t="s">
        <v>18</v>
      </c>
      <c r="G982" s="0" t="s">
        <v>3198</v>
      </c>
      <c r="H982" s="0" t="s">
        <v>3199</v>
      </c>
      <c r="I982" s="0" t="s">
        <v>124</v>
      </c>
      <c r="J982" s="0" t="s">
        <v>125</v>
      </c>
      <c r="K982" s="0" t="s">
        <v>1725</v>
      </c>
      <c r="L982" s="0" t="str">
        <f aca="false">IFERROR(VLOOKUP(K982,'Supplier list'!B:C,2,0),"")</f>
        <v>บริษัท พรีซิชั่นไลน์ จำกัด</v>
      </c>
      <c r="M982" s="1" t="s">
        <v>24</v>
      </c>
      <c r="O982" s="2" t="n">
        <v>525</v>
      </c>
    </row>
    <row r="983" customFormat="false" ht="16.4" hidden="false" customHeight="false" outlineLevel="0" collapsed="false">
      <c r="A983" s="0" t="s">
        <v>15</v>
      </c>
      <c r="B983" s="0" t="s">
        <v>3200</v>
      </c>
      <c r="C983" s="0" t="n">
        <v>114001</v>
      </c>
      <c r="D983" s="0" t="n">
        <v>114001</v>
      </c>
      <c r="E983" s="0" t="s">
        <v>1815</v>
      </c>
      <c r="F983" s="0" t="s">
        <v>18</v>
      </c>
      <c r="G983" s="0" t="s">
        <v>3201</v>
      </c>
      <c r="H983" s="0" t="s">
        <v>3202</v>
      </c>
      <c r="I983" s="0" t="s">
        <v>124</v>
      </c>
      <c r="J983" s="0" t="s">
        <v>125</v>
      </c>
      <c r="K983" s="0" t="s">
        <v>1725</v>
      </c>
      <c r="L983" s="0" t="str">
        <f aca="false">IFERROR(VLOOKUP(K983,'Supplier list'!B:C,2,0),"")</f>
        <v>บริษัท พรีซิชั่นไลน์ จำกัด</v>
      </c>
      <c r="M983" s="1" t="s">
        <v>24</v>
      </c>
      <c r="O983" s="2" t="n">
        <v>565</v>
      </c>
    </row>
    <row r="984" customFormat="false" ht="16.4" hidden="false" customHeight="false" outlineLevel="0" collapsed="false">
      <c r="A984" s="0" t="s">
        <v>15</v>
      </c>
      <c r="B984" s="0" t="s">
        <v>3203</v>
      </c>
      <c r="C984" s="0" t="n">
        <v>114001</v>
      </c>
      <c r="D984" s="0" t="n">
        <v>114001</v>
      </c>
      <c r="E984" s="0" t="s">
        <v>1605</v>
      </c>
      <c r="F984" s="0" t="s">
        <v>18</v>
      </c>
      <c r="G984" s="0" t="s">
        <v>3204</v>
      </c>
      <c r="H984" s="0" t="s">
        <v>3205</v>
      </c>
      <c r="I984" s="0" t="s">
        <v>21</v>
      </c>
      <c r="J984" s="0" t="s">
        <v>22</v>
      </c>
      <c r="K984" s="0" t="s">
        <v>787</v>
      </c>
      <c r="L984" s="0" t="str">
        <f aca="false">IFERROR(VLOOKUP(K984,'Supplier list'!B:C,2,0),"")</f>
        <v>บริษัท ฟิวเจอร์เทค อินเตอร์มาร์เก็ตติ้ง จำกัด</v>
      </c>
      <c r="M984" s="1" t="s">
        <v>24</v>
      </c>
      <c r="O984" s="2" t="n">
        <v>10.5</v>
      </c>
    </row>
    <row r="985" customFormat="false" ht="16.4" hidden="false" customHeight="false" outlineLevel="0" collapsed="false">
      <c r="A985" s="0" t="s">
        <v>15</v>
      </c>
      <c r="B985" s="0" t="s">
        <v>3206</v>
      </c>
      <c r="C985" s="0" t="n">
        <v>114001</v>
      </c>
      <c r="D985" s="0" t="n">
        <v>114001</v>
      </c>
      <c r="E985" s="0" t="s">
        <v>1605</v>
      </c>
      <c r="F985" s="0" t="s">
        <v>18</v>
      </c>
      <c r="G985" s="0" t="s">
        <v>3207</v>
      </c>
      <c r="H985" s="0" t="s">
        <v>3208</v>
      </c>
      <c r="I985" s="0" t="s">
        <v>168</v>
      </c>
      <c r="J985" s="0" t="s">
        <v>169</v>
      </c>
      <c r="K985" s="0" t="s">
        <v>787</v>
      </c>
      <c r="L985" s="0" t="str">
        <f aca="false">IFERROR(VLOOKUP(K985,'Supplier list'!B:C,2,0),"")</f>
        <v>บริษัท ฟิวเจอร์เทค อินเตอร์มาร์เก็ตติ้ง จำกัด</v>
      </c>
      <c r="M985" s="1" t="s">
        <v>24</v>
      </c>
      <c r="O985" s="2" t="n">
        <v>420</v>
      </c>
    </row>
    <row r="986" customFormat="false" ht="16.4" hidden="false" customHeight="false" outlineLevel="0" collapsed="false">
      <c r="A986" s="0" t="s">
        <v>15</v>
      </c>
      <c r="B986" s="0" t="s">
        <v>3209</v>
      </c>
      <c r="C986" s="0" t="n">
        <v>114001</v>
      </c>
      <c r="D986" s="0" t="n">
        <v>114001</v>
      </c>
      <c r="E986" s="0" t="s">
        <v>1605</v>
      </c>
      <c r="F986" s="0" t="s">
        <v>18</v>
      </c>
      <c r="G986" s="0" t="s">
        <v>3210</v>
      </c>
      <c r="H986" s="0" t="s">
        <v>3211</v>
      </c>
      <c r="I986" s="0" t="s">
        <v>21</v>
      </c>
      <c r="J986" s="0" t="s">
        <v>22</v>
      </c>
      <c r="K986" s="0" t="s">
        <v>787</v>
      </c>
      <c r="L986" s="0" t="str">
        <f aca="false">IFERROR(VLOOKUP(K986,'Supplier list'!B:C,2,0),"")</f>
        <v>บริษัท ฟิวเจอร์เทค อินเตอร์มาร์เก็ตติ้ง จำกัด</v>
      </c>
      <c r="M986" s="1" t="s">
        <v>24</v>
      </c>
      <c r="O986" s="2" t="n">
        <v>21</v>
      </c>
    </row>
    <row r="987" customFormat="false" ht="16.4" hidden="false" customHeight="false" outlineLevel="0" collapsed="false">
      <c r="A987" s="0" t="s">
        <v>15</v>
      </c>
      <c r="B987" s="0" t="s">
        <v>3212</v>
      </c>
      <c r="C987" s="0" t="n">
        <v>114001</v>
      </c>
      <c r="D987" s="0" t="n">
        <v>114001</v>
      </c>
      <c r="E987" s="0" t="s">
        <v>2185</v>
      </c>
      <c r="F987" s="0" t="s">
        <v>18</v>
      </c>
      <c r="G987" s="0" t="s">
        <v>3213</v>
      </c>
      <c r="H987" s="0" t="s">
        <v>3214</v>
      </c>
      <c r="I987" s="0" t="s">
        <v>21</v>
      </c>
      <c r="J987" s="0" t="s">
        <v>22</v>
      </c>
      <c r="K987" s="0" t="s">
        <v>89</v>
      </c>
      <c r="L987" s="0" t="str">
        <f aca="false">IFERROR(VLOOKUP(K987,'Supplier list'!B:C,2,0),"")</f>
        <v>บริษัท เฮเฟเล่ (ประเทศไทย) จำกัด</v>
      </c>
      <c r="M987" s="1" t="s">
        <v>24</v>
      </c>
      <c r="O987" s="2" t="n">
        <v>655</v>
      </c>
    </row>
    <row r="988" customFormat="false" ht="16.4" hidden="false" customHeight="false" outlineLevel="0" collapsed="false">
      <c r="A988" s="0" t="s">
        <v>15</v>
      </c>
      <c r="B988" s="0" t="s">
        <v>3215</v>
      </c>
      <c r="C988" s="0" t="n">
        <v>114001</v>
      </c>
      <c r="D988" s="0" t="n">
        <v>114001</v>
      </c>
      <c r="E988" s="0" t="s">
        <v>1764</v>
      </c>
      <c r="F988" s="0" t="s">
        <v>18</v>
      </c>
      <c r="G988" s="0" t="s">
        <v>3216</v>
      </c>
      <c r="H988" s="0" t="s">
        <v>3217</v>
      </c>
      <c r="I988" s="0" t="s">
        <v>21</v>
      </c>
      <c r="J988" s="0" t="s">
        <v>22</v>
      </c>
      <c r="K988" s="0" t="s">
        <v>787</v>
      </c>
      <c r="L988" s="0" t="str">
        <f aca="false">IFERROR(VLOOKUP(K988,'Supplier list'!B:C,2,0),"")</f>
        <v>บริษัท ฟิวเจอร์เทค อินเตอร์มาร์เก็ตติ้ง จำกัด</v>
      </c>
      <c r="M988" s="1" t="s">
        <v>24</v>
      </c>
      <c r="O988" s="2" t="n">
        <v>60</v>
      </c>
    </row>
    <row r="989" customFormat="false" ht="16.4" hidden="false" customHeight="false" outlineLevel="0" collapsed="false">
      <c r="A989" s="0" t="s">
        <v>15</v>
      </c>
      <c r="B989" s="0" t="s">
        <v>3218</v>
      </c>
      <c r="C989" s="0" t="n">
        <v>114001</v>
      </c>
      <c r="D989" s="0" t="n">
        <v>114001</v>
      </c>
      <c r="E989" s="0" t="s">
        <v>1764</v>
      </c>
      <c r="F989" s="0" t="s">
        <v>18</v>
      </c>
      <c r="G989" s="0" t="s">
        <v>3219</v>
      </c>
      <c r="H989" s="0" t="s">
        <v>3220</v>
      </c>
      <c r="I989" s="0" t="s">
        <v>21</v>
      </c>
      <c r="J989" s="0" t="s">
        <v>22</v>
      </c>
      <c r="K989" s="0" t="s">
        <v>89</v>
      </c>
      <c r="L989" s="0" t="str">
        <f aca="false">IFERROR(VLOOKUP(K989,'Supplier list'!B:C,2,0),"")</f>
        <v>บริษัท เฮเฟเล่ (ประเทศไทย) จำกัด</v>
      </c>
      <c r="M989" s="1" t="s">
        <v>24</v>
      </c>
      <c r="O989" s="2" t="n">
        <v>460</v>
      </c>
    </row>
    <row r="990" customFormat="false" ht="16.4" hidden="false" customHeight="false" outlineLevel="0" collapsed="false">
      <c r="A990" s="0" t="s">
        <v>15</v>
      </c>
      <c r="B990" s="0" t="s">
        <v>3221</v>
      </c>
      <c r="C990" s="0" t="n">
        <v>114001</v>
      </c>
      <c r="D990" s="0" t="n">
        <v>114001</v>
      </c>
      <c r="E990" s="0" t="s">
        <v>1734</v>
      </c>
      <c r="F990" s="0" t="s">
        <v>18</v>
      </c>
      <c r="G990" s="0" t="s">
        <v>3222</v>
      </c>
      <c r="H990" s="0" t="s">
        <v>3223</v>
      </c>
      <c r="I990" s="0" t="s">
        <v>21</v>
      </c>
      <c r="J990" s="0" t="s">
        <v>22</v>
      </c>
      <c r="K990" s="0" t="s">
        <v>89</v>
      </c>
      <c r="L990" s="0" t="str">
        <f aca="false">IFERROR(VLOOKUP(K990,'Supplier list'!B:C,2,0),"")</f>
        <v>บริษัท เฮเฟเล่ (ประเทศไทย) จำกัด</v>
      </c>
      <c r="M990" s="1" t="s">
        <v>24</v>
      </c>
      <c r="O990" s="2" t="n">
        <v>720</v>
      </c>
    </row>
    <row r="991" customFormat="false" ht="16.4" hidden="false" customHeight="false" outlineLevel="0" collapsed="false">
      <c r="A991" s="0" t="s">
        <v>15</v>
      </c>
      <c r="B991" s="0" t="s">
        <v>3224</v>
      </c>
      <c r="C991" s="0" t="n">
        <v>114001</v>
      </c>
      <c r="D991" s="0" t="n">
        <v>114001</v>
      </c>
      <c r="E991" s="0" t="s">
        <v>1734</v>
      </c>
      <c r="F991" s="0" t="s">
        <v>18</v>
      </c>
      <c r="G991" s="0" t="s">
        <v>3225</v>
      </c>
      <c r="H991" s="0" t="s">
        <v>3226</v>
      </c>
      <c r="I991" s="0" t="s">
        <v>21</v>
      </c>
      <c r="J991" s="0" t="s">
        <v>22</v>
      </c>
      <c r="K991" s="0" t="s">
        <v>89</v>
      </c>
      <c r="L991" s="0" t="str">
        <f aca="false">IFERROR(VLOOKUP(K991,'Supplier list'!B:C,2,0),"")</f>
        <v>บริษัท เฮเฟเล่ (ประเทศไทย) จำกัด</v>
      </c>
      <c r="M991" s="1" t="s">
        <v>24</v>
      </c>
      <c r="O991" s="2" t="n">
        <v>160</v>
      </c>
    </row>
    <row r="992" customFormat="false" ht="16.4" hidden="false" customHeight="false" outlineLevel="0" collapsed="false">
      <c r="A992" s="0" t="s">
        <v>15</v>
      </c>
      <c r="B992" s="0" t="s">
        <v>3227</v>
      </c>
      <c r="C992" s="0" t="n">
        <v>114001</v>
      </c>
      <c r="D992" s="0" t="n">
        <v>114001</v>
      </c>
      <c r="E992" s="0" t="s">
        <v>1734</v>
      </c>
      <c r="F992" s="0" t="s">
        <v>18</v>
      </c>
      <c r="G992" s="0" t="s">
        <v>3228</v>
      </c>
      <c r="H992" s="0" t="s">
        <v>3229</v>
      </c>
      <c r="I992" s="0" t="s">
        <v>21</v>
      </c>
      <c r="J992" s="0" t="s">
        <v>22</v>
      </c>
      <c r="K992" s="0" t="s">
        <v>89</v>
      </c>
      <c r="L992" s="0" t="str">
        <f aca="false">IFERROR(VLOOKUP(K992,'Supplier list'!B:C,2,0),"")</f>
        <v>บริษัท เฮเฟเล่ (ประเทศไทย) จำกัด</v>
      </c>
      <c r="M992" s="1" t="s">
        <v>24</v>
      </c>
      <c r="O992" s="2" t="n">
        <v>170</v>
      </c>
    </row>
    <row r="993" customFormat="false" ht="16.4" hidden="false" customHeight="false" outlineLevel="0" collapsed="false">
      <c r="A993" s="0" t="s">
        <v>15</v>
      </c>
      <c r="B993" s="0" t="s">
        <v>3230</v>
      </c>
      <c r="C993" s="0" t="n">
        <v>114001</v>
      </c>
      <c r="D993" s="0" t="n">
        <v>114001</v>
      </c>
      <c r="E993" s="0" t="s">
        <v>1605</v>
      </c>
      <c r="F993" s="0" t="s">
        <v>18</v>
      </c>
      <c r="G993" s="0" t="s">
        <v>3231</v>
      </c>
      <c r="H993" s="0" t="s">
        <v>3232</v>
      </c>
      <c r="I993" s="0" t="s">
        <v>124</v>
      </c>
      <c r="J993" s="0" t="s">
        <v>125</v>
      </c>
      <c r="K993" s="0" t="s">
        <v>1725</v>
      </c>
      <c r="L993" s="0" t="str">
        <f aca="false">IFERROR(VLOOKUP(K993,'Supplier list'!B:C,2,0),"")</f>
        <v>บริษัท พรีซิชั่นไลน์ จำกัด</v>
      </c>
      <c r="M993" s="1" t="s">
        <v>1740</v>
      </c>
      <c r="N993" s="2" t="n">
        <v>20500</v>
      </c>
      <c r="O993" s="2" t="n">
        <v>15900</v>
      </c>
    </row>
    <row r="994" customFormat="false" ht="16.4" hidden="false" customHeight="false" outlineLevel="0" collapsed="false">
      <c r="A994" s="0" t="s">
        <v>15</v>
      </c>
      <c r="B994" s="0" t="s">
        <v>3233</v>
      </c>
      <c r="C994" s="0" t="n">
        <v>114001</v>
      </c>
      <c r="D994" s="0" t="n">
        <v>114001</v>
      </c>
      <c r="E994" s="0" t="s">
        <v>1804</v>
      </c>
      <c r="F994" s="0" t="s">
        <v>18</v>
      </c>
      <c r="G994" s="0" t="s">
        <v>3234</v>
      </c>
      <c r="H994" s="0" t="s">
        <v>3235</v>
      </c>
      <c r="I994" s="0" t="s">
        <v>124</v>
      </c>
      <c r="J994" s="0" t="s">
        <v>125</v>
      </c>
      <c r="K994" s="0" t="s">
        <v>787</v>
      </c>
      <c r="L994" s="0" t="str">
        <f aca="false">IFERROR(VLOOKUP(K994,'Supplier list'!B:C,2,0),"")</f>
        <v>บริษัท ฟิวเจอร์เทค อินเตอร์มาร์เก็ตติ้ง จำกัด</v>
      </c>
      <c r="M994" s="1" t="s">
        <v>24</v>
      </c>
      <c r="O994" s="2" t="n">
        <v>2100</v>
      </c>
    </row>
    <row r="995" customFormat="false" ht="16.4" hidden="false" customHeight="false" outlineLevel="0" collapsed="false">
      <c r="A995" s="0" t="s">
        <v>15</v>
      </c>
      <c r="B995" s="0" t="s">
        <v>3236</v>
      </c>
      <c r="C995" s="0" t="n">
        <v>114001</v>
      </c>
      <c r="D995" s="0" t="n">
        <v>114001</v>
      </c>
      <c r="E995" s="0" t="s">
        <v>1653</v>
      </c>
      <c r="F995" s="0" t="s">
        <v>18</v>
      </c>
      <c r="G995" s="0" t="s">
        <v>3237</v>
      </c>
      <c r="H995" s="0" t="s">
        <v>3238</v>
      </c>
      <c r="I995" s="0" t="s">
        <v>124</v>
      </c>
      <c r="J995" s="0" t="s">
        <v>125</v>
      </c>
      <c r="K995" s="0" t="s">
        <v>89</v>
      </c>
      <c r="L995" s="0" t="str">
        <f aca="false">IFERROR(VLOOKUP(K995,'Supplier list'!B:C,2,0),"")</f>
        <v>บริษัท เฮเฟเล่ (ประเทศไทย) จำกัด</v>
      </c>
      <c r="M995" s="1" t="s">
        <v>24</v>
      </c>
      <c r="O995" s="2" t="n">
        <v>2300</v>
      </c>
    </row>
    <row r="996" customFormat="false" ht="16.4" hidden="false" customHeight="false" outlineLevel="0" collapsed="false">
      <c r="A996" s="0" t="s">
        <v>15</v>
      </c>
      <c r="B996" s="0" t="s">
        <v>3239</v>
      </c>
      <c r="C996" s="0" t="n">
        <v>114001</v>
      </c>
      <c r="D996" s="0" t="n">
        <v>114001</v>
      </c>
      <c r="E996" s="0" t="s">
        <v>1684</v>
      </c>
      <c r="F996" s="0" t="s">
        <v>18</v>
      </c>
      <c r="G996" s="0" t="s">
        <v>3240</v>
      </c>
      <c r="H996" s="0" t="s">
        <v>3241</v>
      </c>
      <c r="I996" s="0" t="s">
        <v>396</v>
      </c>
      <c r="J996" s="0" t="s">
        <v>397</v>
      </c>
      <c r="K996" s="0" t="s">
        <v>89</v>
      </c>
      <c r="L996" s="0" t="str">
        <f aca="false">IFERROR(VLOOKUP(K996,'Supplier list'!B:C,2,0),"")</f>
        <v>บริษัท เฮเฟเล่ (ประเทศไทย) จำกัด</v>
      </c>
      <c r="M996" s="1" t="s">
        <v>1740</v>
      </c>
      <c r="N996" s="2" t="n">
        <v>1900</v>
      </c>
      <c r="O996" s="2" t="n">
        <f aca="false">3113/5</f>
        <v>622.6</v>
      </c>
    </row>
    <row r="997" customFormat="false" ht="16.4" hidden="false" customHeight="false" outlineLevel="0" collapsed="false">
      <c r="A997" s="0" t="s">
        <v>15</v>
      </c>
      <c r="B997" s="0" t="s">
        <v>3242</v>
      </c>
      <c r="C997" s="0" t="n">
        <v>114001</v>
      </c>
      <c r="D997" s="0" t="n">
        <v>114001</v>
      </c>
      <c r="E997" s="0" t="s">
        <v>1653</v>
      </c>
      <c r="F997" s="0" t="s">
        <v>18</v>
      </c>
      <c r="G997" s="0" t="s">
        <v>3243</v>
      </c>
      <c r="H997" s="0" t="s">
        <v>3244</v>
      </c>
      <c r="I997" s="0" t="s">
        <v>124</v>
      </c>
      <c r="J997" s="0" t="s">
        <v>125</v>
      </c>
      <c r="K997" s="0" t="s">
        <v>89</v>
      </c>
      <c r="L997" s="0" t="str">
        <f aca="false">IFERROR(VLOOKUP(K997,'Supplier list'!B:C,2,0),"")</f>
        <v>บริษัท เฮเฟเล่ (ประเทศไทย) จำกัด</v>
      </c>
      <c r="M997" s="1" t="s">
        <v>24</v>
      </c>
      <c r="O997" s="2" t="n">
        <v>1600</v>
      </c>
    </row>
    <row r="998" customFormat="false" ht="16.4" hidden="false" customHeight="false" outlineLevel="0" collapsed="false">
      <c r="A998" s="0" t="s">
        <v>15</v>
      </c>
      <c r="B998" s="0" t="s">
        <v>3245</v>
      </c>
      <c r="C998" s="0" t="n">
        <v>114001</v>
      </c>
      <c r="D998" s="0" t="n">
        <v>114001</v>
      </c>
      <c r="E998" s="0" t="s">
        <v>1653</v>
      </c>
      <c r="F998" s="0" t="s">
        <v>18</v>
      </c>
      <c r="G998" s="0" t="s">
        <v>3246</v>
      </c>
      <c r="H998" s="0" t="s">
        <v>3247</v>
      </c>
      <c r="I998" s="0" t="s">
        <v>124</v>
      </c>
      <c r="J998" s="0" t="s">
        <v>125</v>
      </c>
      <c r="K998" s="0" t="s">
        <v>89</v>
      </c>
      <c r="L998" s="0" t="str">
        <f aca="false">IFERROR(VLOOKUP(K998,'Supplier list'!B:C,2,0),"")</f>
        <v>บริษัท เฮเฟเล่ (ประเทศไทย) จำกัด</v>
      </c>
      <c r="M998" s="1" t="s">
        <v>24</v>
      </c>
      <c r="O998" s="2" t="n">
        <v>1700</v>
      </c>
    </row>
    <row r="999" customFormat="false" ht="16.4" hidden="false" customHeight="false" outlineLevel="0" collapsed="false">
      <c r="A999" s="0" t="s">
        <v>15</v>
      </c>
      <c r="B999" s="0" t="s">
        <v>3248</v>
      </c>
      <c r="C999" s="0" t="n">
        <v>114001</v>
      </c>
      <c r="D999" s="0" t="n">
        <v>114001</v>
      </c>
      <c r="E999" s="0" t="s">
        <v>961</v>
      </c>
      <c r="F999" s="0" t="s">
        <v>18</v>
      </c>
      <c r="G999" s="0" t="s">
        <v>3249</v>
      </c>
      <c r="H999" s="0" t="s">
        <v>3250</v>
      </c>
      <c r="I999" s="0" t="s">
        <v>124</v>
      </c>
      <c r="J999" s="0" t="s">
        <v>125</v>
      </c>
      <c r="K999" s="0" t="s">
        <v>89</v>
      </c>
      <c r="L999" s="0" t="str">
        <f aca="false">IFERROR(VLOOKUP(K999,'Supplier list'!B:C,2,0),"")</f>
        <v>บริษัท เฮเฟเล่ (ประเทศไทย) จำกัด</v>
      </c>
      <c r="M999" s="1" t="s">
        <v>24</v>
      </c>
      <c r="O999" s="2" t="n">
        <v>38</v>
      </c>
    </row>
    <row r="1000" customFormat="false" ht="16.4" hidden="false" customHeight="false" outlineLevel="0" collapsed="false">
      <c r="A1000" s="0" t="s">
        <v>15</v>
      </c>
      <c r="B1000" s="0" t="s">
        <v>3251</v>
      </c>
      <c r="C1000" s="0" t="n">
        <v>114001</v>
      </c>
      <c r="D1000" s="0" t="n">
        <v>114001</v>
      </c>
      <c r="E1000" s="0" t="s">
        <v>139</v>
      </c>
      <c r="F1000" s="0" t="s">
        <v>18</v>
      </c>
      <c r="G1000" s="0" t="s">
        <v>3252</v>
      </c>
      <c r="H1000" s="0" t="s">
        <v>3253</v>
      </c>
      <c r="I1000" s="0" t="s">
        <v>21</v>
      </c>
      <c r="J1000" s="0" t="s">
        <v>22</v>
      </c>
      <c r="K1000" s="0" t="s">
        <v>787</v>
      </c>
      <c r="L1000" s="0" t="str">
        <f aca="false">IFERROR(VLOOKUP(K1000,'Supplier list'!B:C,2,0),"")</f>
        <v>บริษัท ฟิวเจอร์เทค อินเตอร์มาร์เก็ตติ้ง จำกัด</v>
      </c>
      <c r="M1000" s="1" t="s">
        <v>24</v>
      </c>
      <c r="O1000" s="2" t="n">
        <v>10.5</v>
      </c>
    </row>
    <row r="1001" customFormat="false" ht="16.4" hidden="false" customHeight="false" outlineLevel="0" collapsed="false">
      <c r="A1001" s="0" t="s">
        <v>15</v>
      </c>
      <c r="B1001" s="0" t="s">
        <v>3254</v>
      </c>
      <c r="C1001" s="0" t="n">
        <v>114001</v>
      </c>
      <c r="D1001" s="0" t="n">
        <v>114001</v>
      </c>
      <c r="E1001" s="0" t="s">
        <v>961</v>
      </c>
      <c r="F1001" s="0" t="s">
        <v>18</v>
      </c>
      <c r="G1001" s="0" t="s">
        <v>3255</v>
      </c>
      <c r="H1001" s="0" t="s">
        <v>2334</v>
      </c>
      <c r="I1001" s="0" t="s">
        <v>21</v>
      </c>
      <c r="J1001" s="0" t="s">
        <v>22</v>
      </c>
      <c r="K1001" s="0" t="s">
        <v>89</v>
      </c>
      <c r="L1001" s="0" t="str">
        <f aca="false">IFERROR(VLOOKUP(K1001,'Supplier list'!B:C,2,0),"")</f>
        <v>บริษัท เฮเฟเล่ (ประเทศไทย) จำกัด</v>
      </c>
      <c r="M1001" s="1" t="s">
        <v>24</v>
      </c>
      <c r="O1001" s="2" t="n">
        <v>50</v>
      </c>
    </row>
    <row r="1002" customFormat="false" ht="16.4" hidden="false" customHeight="false" outlineLevel="0" collapsed="false">
      <c r="A1002" s="0" t="s">
        <v>15</v>
      </c>
      <c r="B1002" s="0" t="s">
        <v>3256</v>
      </c>
      <c r="C1002" s="0" t="n">
        <v>114001</v>
      </c>
      <c r="D1002" s="0" t="n">
        <v>114001</v>
      </c>
      <c r="E1002" s="0" t="s">
        <v>1605</v>
      </c>
      <c r="F1002" s="0" t="s">
        <v>18</v>
      </c>
      <c r="G1002" s="0" t="s">
        <v>3257</v>
      </c>
      <c r="H1002" s="0" t="s">
        <v>3258</v>
      </c>
      <c r="I1002" s="0" t="s">
        <v>124</v>
      </c>
      <c r="J1002" s="0" t="s">
        <v>125</v>
      </c>
      <c r="K1002" s="0" t="s">
        <v>89</v>
      </c>
      <c r="L1002" s="0" t="str">
        <f aca="false">IFERROR(VLOOKUP(K1002,'Supplier list'!B:C,2,0),"")</f>
        <v>บริษัท เฮเฟเล่ (ประเทศไทย) จำกัด</v>
      </c>
      <c r="M1002" s="1" t="s">
        <v>24</v>
      </c>
      <c r="O1002" s="2" t="n">
        <v>19</v>
      </c>
    </row>
    <row r="1003" customFormat="false" ht="16.4" hidden="false" customHeight="false" outlineLevel="0" collapsed="false">
      <c r="A1003" s="0" t="s">
        <v>15</v>
      </c>
      <c r="B1003" s="0" t="s">
        <v>3259</v>
      </c>
      <c r="C1003" s="0" t="n">
        <v>114001</v>
      </c>
      <c r="D1003" s="0" t="n">
        <v>114001</v>
      </c>
      <c r="E1003" s="0" t="s">
        <v>961</v>
      </c>
      <c r="F1003" s="0" t="s">
        <v>18</v>
      </c>
      <c r="G1003" s="0" t="s">
        <v>3260</v>
      </c>
      <c r="H1003" s="0" t="s">
        <v>3261</v>
      </c>
      <c r="I1003" s="0" t="s">
        <v>21</v>
      </c>
      <c r="J1003" s="0" t="s">
        <v>22</v>
      </c>
      <c r="K1003" s="0" t="s">
        <v>89</v>
      </c>
      <c r="L1003" s="0" t="str">
        <f aca="false">IFERROR(VLOOKUP(K1003,'Supplier list'!B:C,2,0),"")</f>
        <v>บริษัท เฮเฟเล่ (ประเทศไทย) จำกัด</v>
      </c>
      <c r="M1003" s="1" t="s">
        <v>24</v>
      </c>
      <c r="O1003" s="2" t="n">
        <v>299</v>
      </c>
    </row>
    <row r="1004" customFormat="false" ht="16.4" hidden="false" customHeight="false" outlineLevel="0" collapsed="false">
      <c r="A1004" s="0" t="s">
        <v>15</v>
      </c>
      <c r="B1004" s="0" t="s">
        <v>3262</v>
      </c>
      <c r="C1004" s="0" t="n">
        <v>114001</v>
      </c>
      <c r="D1004" s="0" t="n">
        <v>114001</v>
      </c>
      <c r="E1004" s="0" t="s">
        <v>961</v>
      </c>
      <c r="F1004" s="0" t="s">
        <v>18</v>
      </c>
      <c r="G1004" s="0" t="s">
        <v>3263</v>
      </c>
      <c r="H1004" s="0" t="s">
        <v>3264</v>
      </c>
      <c r="I1004" s="0" t="s">
        <v>21</v>
      </c>
      <c r="J1004" s="0" t="s">
        <v>22</v>
      </c>
      <c r="K1004" s="0" t="s">
        <v>89</v>
      </c>
      <c r="L1004" s="0" t="str">
        <f aca="false">IFERROR(VLOOKUP(K1004,'Supplier list'!B:C,2,0),"")</f>
        <v>บริษัท เฮเฟเล่ (ประเทศไทย) จำกัด</v>
      </c>
      <c r="M1004" s="1" t="s">
        <v>24</v>
      </c>
      <c r="O1004" s="2" t="n">
        <v>14</v>
      </c>
    </row>
    <row r="1005" customFormat="false" ht="16.4" hidden="false" customHeight="false" outlineLevel="0" collapsed="false">
      <c r="A1005" s="0" t="s">
        <v>15</v>
      </c>
      <c r="B1005" s="0" t="s">
        <v>3265</v>
      </c>
      <c r="C1005" s="0" t="n">
        <v>114001</v>
      </c>
      <c r="D1005" s="0" t="n">
        <v>114001</v>
      </c>
      <c r="E1005" s="0" t="s">
        <v>1605</v>
      </c>
      <c r="F1005" s="0" t="s">
        <v>18</v>
      </c>
      <c r="G1005" s="0" t="s">
        <v>3266</v>
      </c>
      <c r="H1005" s="0" t="s">
        <v>3267</v>
      </c>
      <c r="I1005" s="0" t="s">
        <v>21</v>
      </c>
      <c r="J1005" s="0" t="s">
        <v>22</v>
      </c>
      <c r="K1005" s="0" t="s">
        <v>787</v>
      </c>
      <c r="L1005" s="0" t="str">
        <f aca="false">IFERROR(VLOOKUP(K1005,'Supplier list'!B:C,2,0),"")</f>
        <v>บริษัท ฟิวเจอร์เทค อินเตอร์มาร์เก็ตติ้ง จำกัด</v>
      </c>
      <c r="M1005" s="1" t="s">
        <v>24</v>
      </c>
      <c r="O1005" s="2" t="n">
        <v>7</v>
      </c>
    </row>
    <row r="1006" customFormat="false" ht="16.4" hidden="false" customHeight="false" outlineLevel="0" collapsed="false">
      <c r="A1006" s="0" t="s">
        <v>15</v>
      </c>
      <c r="B1006" s="0" t="s">
        <v>3268</v>
      </c>
      <c r="C1006" s="0" t="n">
        <v>114001</v>
      </c>
      <c r="D1006" s="0" t="n">
        <v>114001</v>
      </c>
      <c r="E1006" s="0" t="s">
        <v>1605</v>
      </c>
      <c r="F1006" s="0" t="s">
        <v>18</v>
      </c>
      <c r="G1006" s="0" t="s">
        <v>3269</v>
      </c>
      <c r="H1006" s="0" t="s">
        <v>3270</v>
      </c>
      <c r="I1006" s="0" t="s">
        <v>21</v>
      </c>
      <c r="J1006" s="0" t="s">
        <v>22</v>
      </c>
      <c r="K1006" s="0" t="s">
        <v>787</v>
      </c>
      <c r="L1006" s="0" t="str">
        <f aca="false">IFERROR(VLOOKUP(K1006,'Supplier list'!B:C,2,0),"")</f>
        <v>บริษัท ฟิวเจอร์เทค อินเตอร์มาร์เก็ตติ้ง จำกัด</v>
      </c>
      <c r="M1006" s="1" t="s">
        <v>24</v>
      </c>
      <c r="O1006" s="2" t="n">
        <v>62</v>
      </c>
    </row>
    <row r="1007" customFormat="false" ht="16.4" hidden="false" customHeight="false" outlineLevel="0" collapsed="false">
      <c r="A1007" s="0" t="s">
        <v>15</v>
      </c>
      <c r="B1007" s="0" t="s">
        <v>3271</v>
      </c>
      <c r="C1007" s="0" t="n">
        <v>114001</v>
      </c>
      <c r="D1007" s="0" t="n">
        <v>114001</v>
      </c>
      <c r="E1007" s="0" t="s">
        <v>1605</v>
      </c>
      <c r="F1007" s="0" t="s">
        <v>18</v>
      </c>
      <c r="G1007" s="0" t="s">
        <v>3272</v>
      </c>
      <c r="H1007" s="0" t="s">
        <v>3273</v>
      </c>
      <c r="I1007" s="0" t="s">
        <v>21</v>
      </c>
      <c r="J1007" s="0" t="s">
        <v>22</v>
      </c>
      <c r="K1007" s="0" t="s">
        <v>787</v>
      </c>
      <c r="L1007" s="0" t="str">
        <f aca="false">IFERROR(VLOOKUP(K1007,'Supplier list'!B:C,2,0),"")</f>
        <v>บริษัท ฟิวเจอร์เทค อินเตอร์มาร์เก็ตติ้ง จำกัด</v>
      </c>
      <c r="M1007" s="1" t="s">
        <v>24</v>
      </c>
      <c r="O1007" s="2" t="n">
        <v>1.5</v>
      </c>
    </row>
    <row r="1008" customFormat="false" ht="16.4" hidden="false" customHeight="false" outlineLevel="0" collapsed="false">
      <c r="A1008" s="0" t="s">
        <v>15</v>
      </c>
      <c r="B1008" s="0" t="s">
        <v>3274</v>
      </c>
      <c r="C1008" s="0" t="n">
        <v>114001</v>
      </c>
      <c r="D1008" s="0" t="n">
        <v>114001</v>
      </c>
      <c r="E1008" s="0" t="s">
        <v>961</v>
      </c>
      <c r="F1008" s="0" t="s">
        <v>18</v>
      </c>
      <c r="G1008" s="0" t="s">
        <v>3275</v>
      </c>
      <c r="H1008" s="0" t="s">
        <v>3276</v>
      </c>
      <c r="I1008" s="0" t="s">
        <v>21</v>
      </c>
      <c r="J1008" s="0" t="s">
        <v>22</v>
      </c>
      <c r="K1008" s="0" t="s">
        <v>89</v>
      </c>
      <c r="L1008" s="0" t="str">
        <f aca="false">IFERROR(VLOOKUP(K1008,'Supplier list'!B:C,2,0),"")</f>
        <v>บริษัท เฮเฟเล่ (ประเทศไทย) จำกัด</v>
      </c>
      <c r="M1008" s="1" t="s">
        <v>24</v>
      </c>
      <c r="O1008" s="2" t="n">
        <v>39</v>
      </c>
    </row>
    <row r="1009" customFormat="false" ht="16.4" hidden="false" customHeight="false" outlineLevel="0" collapsed="false">
      <c r="A1009" s="0" t="s">
        <v>15</v>
      </c>
      <c r="B1009" s="0" t="s">
        <v>3277</v>
      </c>
      <c r="C1009" s="0" t="n">
        <v>114001</v>
      </c>
      <c r="D1009" s="0" t="n">
        <v>114001</v>
      </c>
      <c r="E1009" s="0" t="s">
        <v>1605</v>
      </c>
      <c r="F1009" s="0" t="s">
        <v>18</v>
      </c>
      <c r="G1009" s="0" t="s">
        <v>3278</v>
      </c>
      <c r="H1009" s="0" t="s">
        <v>3279</v>
      </c>
      <c r="I1009" s="0" t="s">
        <v>21</v>
      </c>
      <c r="J1009" s="0" t="s">
        <v>22</v>
      </c>
      <c r="K1009" s="0" t="s">
        <v>1725</v>
      </c>
      <c r="L1009" s="0" t="str">
        <f aca="false">IFERROR(VLOOKUP(K1009,'Supplier list'!B:C,2,0),"")</f>
        <v>บริษัท พรีซิชั่นไลน์ จำกัด</v>
      </c>
      <c r="M1009" s="1" t="s">
        <v>24</v>
      </c>
      <c r="O1009" s="2" t="n">
        <v>5.1</v>
      </c>
    </row>
    <row r="1010" customFormat="false" ht="16.4" hidden="false" customHeight="false" outlineLevel="0" collapsed="false">
      <c r="A1010" s="0" t="s">
        <v>15</v>
      </c>
      <c r="B1010" s="0" t="s">
        <v>3280</v>
      </c>
      <c r="C1010" s="0" t="n">
        <v>114001</v>
      </c>
      <c r="D1010" s="0" t="n">
        <v>114001</v>
      </c>
      <c r="E1010" s="0" t="s">
        <v>1605</v>
      </c>
      <c r="F1010" s="0" t="s">
        <v>18</v>
      </c>
      <c r="G1010" s="0" t="s">
        <v>3281</v>
      </c>
      <c r="H1010" s="0" t="s">
        <v>3282</v>
      </c>
      <c r="I1010" s="0" t="s">
        <v>21</v>
      </c>
      <c r="J1010" s="0" t="s">
        <v>22</v>
      </c>
      <c r="K1010" s="0" t="s">
        <v>1725</v>
      </c>
      <c r="L1010" s="0" t="str">
        <f aca="false">IFERROR(VLOOKUP(K1010,'Supplier list'!B:C,2,0),"")</f>
        <v>บริษัท พรีซิชั่นไลน์ จำกัด</v>
      </c>
      <c r="M1010" s="1" t="s">
        <v>24</v>
      </c>
      <c r="O1010" s="2" t="n">
        <v>3.85</v>
      </c>
    </row>
    <row r="1011" customFormat="false" ht="16.4" hidden="false" customHeight="false" outlineLevel="0" collapsed="false">
      <c r="A1011" s="0" t="s">
        <v>15</v>
      </c>
      <c r="B1011" s="0" t="s">
        <v>3283</v>
      </c>
      <c r="C1011" s="0" t="n">
        <v>114001</v>
      </c>
      <c r="D1011" s="0" t="n">
        <v>114001</v>
      </c>
      <c r="E1011" s="0" t="s">
        <v>1734</v>
      </c>
      <c r="F1011" s="0" t="s">
        <v>18</v>
      </c>
      <c r="G1011" s="0" t="s">
        <v>3284</v>
      </c>
      <c r="H1011" s="0" t="s">
        <v>2176</v>
      </c>
      <c r="I1011" s="0" t="s">
        <v>21</v>
      </c>
      <c r="J1011" s="0" t="s">
        <v>22</v>
      </c>
      <c r="K1011" s="0" t="s">
        <v>89</v>
      </c>
      <c r="L1011" s="0" t="str">
        <f aca="false">IFERROR(VLOOKUP(K1011,'Supplier list'!B:C,2,0),"")</f>
        <v>บริษัท เฮเฟเล่ (ประเทศไทย) จำกัด</v>
      </c>
      <c r="M1011" s="1" t="s">
        <v>24</v>
      </c>
      <c r="O1011" s="2" t="n">
        <v>206</v>
      </c>
    </row>
    <row r="1012" customFormat="false" ht="16.4" hidden="false" customHeight="false" outlineLevel="0" collapsed="false">
      <c r="A1012" s="0" t="s">
        <v>15</v>
      </c>
      <c r="B1012" s="0" t="s">
        <v>3285</v>
      </c>
      <c r="C1012" s="0" t="n">
        <v>114001</v>
      </c>
      <c r="D1012" s="0" t="n">
        <v>114001</v>
      </c>
      <c r="E1012" s="0" t="s">
        <v>3286</v>
      </c>
      <c r="F1012" s="0" t="s">
        <v>18</v>
      </c>
      <c r="G1012" s="0" t="s">
        <v>3287</v>
      </c>
      <c r="H1012" s="0" t="s">
        <v>3288</v>
      </c>
      <c r="I1012" s="0" t="s">
        <v>21</v>
      </c>
      <c r="J1012" s="0" t="s">
        <v>22</v>
      </c>
      <c r="K1012" s="0" t="s">
        <v>89</v>
      </c>
      <c r="L1012" s="0" t="str">
        <f aca="false">IFERROR(VLOOKUP(K1012,'Supplier list'!B:C,2,0),"")</f>
        <v>บริษัท เฮเฟเล่ (ประเทศไทย) จำกัด</v>
      </c>
      <c r="M1012" s="1" t="s">
        <v>24</v>
      </c>
      <c r="O1012" s="2" t="n">
        <v>7900</v>
      </c>
    </row>
    <row r="1013" customFormat="false" ht="16.4" hidden="false" customHeight="false" outlineLevel="0" collapsed="false">
      <c r="A1013" s="0" t="s">
        <v>15</v>
      </c>
      <c r="B1013" s="0" t="s">
        <v>3289</v>
      </c>
      <c r="C1013" s="0" t="n">
        <v>114001</v>
      </c>
      <c r="D1013" s="0" t="n">
        <v>114001</v>
      </c>
      <c r="E1013" s="0" t="s">
        <v>581</v>
      </c>
      <c r="F1013" s="0" t="s">
        <v>18</v>
      </c>
      <c r="G1013" s="0" t="s">
        <v>3290</v>
      </c>
      <c r="H1013" s="0" t="s">
        <v>3291</v>
      </c>
      <c r="I1013" s="0" t="s">
        <v>21</v>
      </c>
      <c r="J1013" s="0" t="s">
        <v>22</v>
      </c>
      <c r="K1013" s="0" t="s">
        <v>56</v>
      </c>
      <c r="L1013" s="0" t="str">
        <f aca="false">IFERROR(VLOOKUP(K1013,'Supplier list'!B:C,2,0),"")</f>
        <v>CO.,LTD QINGDAO NEW LIBERTY INT'L TRADING CO.LTD.</v>
      </c>
      <c r="M1013" s="1" t="s">
        <v>24</v>
      </c>
      <c r="O1013" s="2" t="n">
        <v>80</v>
      </c>
    </row>
    <row r="1014" customFormat="false" ht="16.4" hidden="false" customHeight="false" outlineLevel="0" collapsed="false">
      <c r="A1014" s="0" t="s">
        <v>15</v>
      </c>
      <c r="B1014" s="0" t="s">
        <v>3292</v>
      </c>
      <c r="C1014" s="0" t="n">
        <v>114001</v>
      </c>
      <c r="D1014" s="0" t="n">
        <v>114001</v>
      </c>
      <c r="E1014" s="0" t="s">
        <v>2596</v>
      </c>
      <c r="F1014" s="0" t="s">
        <v>18</v>
      </c>
      <c r="G1014" s="0" t="s">
        <v>3293</v>
      </c>
      <c r="H1014" s="0" t="s">
        <v>3294</v>
      </c>
      <c r="I1014" s="0" t="s">
        <v>21</v>
      </c>
      <c r="J1014" s="0" t="s">
        <v>22</v>
      </c>
      <c r="K1014" s="0" t="s">
        <v>89</v>
      </c>
      <c r="L1014" s="0" t="str">
        <f aca="false">IFERROR(VLOOKUP(K1014,'Supplier list'!B:C,2,0),"")</f>
        <v>บริษัท เฮเฟเล่ (ประเทศไทย) จำกัด</v>
      </c>
      <c r="M1014" s="1" t="s">
        <v>1740</v>
      </c>
      <c r="N1014" s="2" t="n">
        <v>1690</v>
      </c>
      <c r="O1014" s="2" t="n">
        <v>795</v>
      </c>
    </row>
    <row r="1015" customFormat="false" ht="16.4" hidden="false" customHeight="false" outlineLevel="0" collapsed="false">
      <c r="A1015" s="0" t="s">
        <v>15</v>
      </c>
      <c r="B1015" s="0" t="s">
        <v>3295</v>
      </c>
      <c r="C1015" s="0" t="n">
        <v>114001</v>
      </c>
      <c r="D1015" s="0" t="n">
        <v>114001</v>
      </c>
      <c r="E1015" s="0" t="s">
        <v>2596</v>
      </c>
      <c r="F1015" s="0" t="s">
        <v>18</v>
      </c>
      <c r="G1015" s="0" t="s">
        <v>3296</v>
      </c>
      <c r="H1015" s="0" t="s">
        <v>3297</v>
      </c>
      <c r="I1015" s="0" t="s">
        <v>21</v>
      </c>
      <c r="J1015" s="0" t="s">
        <v>22</v>
      </c>
      <c r="K1015" s="0" t="s">
        <v>89</v>
      </c>
      <c r="L1015" s="0" t="str">
        <f aca="false">IFERROR(VLOOKUP(K1015,'Supplier list'!B:C,2,0),"")</f>
        <v>บริษัท เฮเฟเล่ (ประเทศไทย) จำกัด</v>
      </c>
      <c r="M1015" s="1" t="s">
        <v>24</v>
      </c>
      <c r="O1015" s="2" t="n">
        <v>85</v>
      </c>
    </row>
    <row r="1016" customFormat="false" ht="16.4" hidden="false" customHeight="false" outlineLevel="0" collapsed="false">
      <c r="A1016" s="0" t="s">
        <v>15</v>
      </c>
      <c r="B1016" s="0" t="s">
        <v>3298</v>
      </c>
      <c r="C1016" s="0" t="n">
        <v>114001</v>
      </c>
      <c r="D1016" s="0" t="n">
        <v>114001</v>
      </c>
      <c r="E1016" s="0" t="s">
        <v>1653</v>
      </c>
      <c r="F1016" s="0" t="s">
        <v>18</v>
      </c>
      <c r="G1016" s="0" t="s">
        <v>3299</v>
      </c>
      <c r="H1016" s="0" t="s">
        <v>3300</v>
      </c>
      <c r="I1016" s="0" t="s">
        <v>124</v>
      </c>
      <c r="J1016" s="0" t="s">
        <v>125</v>
      </c>
      <c r="K1016" s="0" t="s">
        <v>89</v>
      </c>
      <c r="L1016" s="0" t="str">
        <f aca="false">IFERROR(VLOOKUP(K1016,'Supplier list'!B:C,2,0),"")</f>
        <v>บริษัท เฮเฟเล่ (ประเทศไทย) จำกัด</v>
      </c>
      <c r="M1016" s="1" t="s">
        <v>24</v>
      </c>
      <c r="O1016" s="2" t="n">
        <v>3300</v>
      </c>
    </row>
    <row r="1017" customFormat="false" ht="16.4" hidden="false" customHeight="false" outlineLevel="0" collapsed="false">
      <c r="A1017" s="0" t="s">
        <v>15</v>
      </c>
      <c r="B1017" s="0" t="s">
        <v>3301</v>
      </c>
      <c r="C1017" s="0" t="n">
        <v>114001</v>
      </c>
      <c r="D1017" s="0" t="n">
        <v>114001</v>
      </c>
      <c r="E1017" s="0" t="s">
        <v>1653</v>
      </c>
      <c r="F1017" s="0" t="s">
        <v>18</v>
      </c>
      <c r="G1017" s="0" t="s">
        <v>3302</v>
      </c>
      <c r="H1017" s="0" t="s">
        <v>3303</v>
      </c>
      <c r="I1017" s="0" t="s">
        <v>124</v>
      </c>
      <c r="J1017" s="0" t="s">
        <v>125</v>
      </c>
      <c r="K1017" s="0" t="s">
        <v>89</v>
      </c>
      <c r="L1017" s="0" t="str">
        <f aca="false">IFERROR(VLOOKUP(K1017,'Supplier list'!B:C,2,0),"")</f>
        <v>บริษัท เฮเฟเล่ (ประเทศไทย) จำกัด</v>
      </c>
      <c r="M1017" s="1" t="s">
        <v>24</v>
      </c>
      <c r="O1017" s="2" t="n">
        <v>980</v>
      </c>
    </row>
    <row r="1018" customFormat="false" ht="16.4" hidden="false" customHeight="false" outlineLevel="0" collapsed="false">
      <c r="A1018" s="0" t="s">
        <v>15</v>
      </c>
      <c r="B1018" s="0" t="s">
        <v>3304</v>
      </c>
      <c r="C1018" s="0" t="n">
        <v>114001</v>
      </c>
      <c r="D1018" s="0" t="n">
        <v>114001</v>
      </c>
      <c r="E1018" s="0" t="s">
        <v>1605</v>
      </c>
      <c r="F1018" s="0" t="s">
        <v>18</v>
      </c>
      <c r="G1018" s="0" t="s">
        <v>3305</v>
      </c>
      <c r="H1018" s="0" t="s">
        <v>3306</v>
      </c>
      <c r="I1018" s="0" t="s">
        <v>21</v>
      </c>
      <c r="J1018" s="0" t="s">
        <v>22</v>
      </c>
      <c r="K1018" s="0" t="s">
        <v>787</v>
      </c>
      <c r="L1018" s="0" t="str">
        <f aca="false">IFERROR(VLOOKUP(K1018,'Supplier list'!B:C,2,0),"")</f>
        <v>บริษัท ฟิวเจอร์เทค อินเตอร์มาร์เก็ตติ้ง จำกัด</v>
      </c>
      <c r="M1018" s="1" t="s">
        <v>24</v>
      </c>
      <c r="O1018" s="2" t="n">
        <v>225</v>
      </c>
    </row>
    <row r="1019" customFormat="false" ht="16.4" hidden="false" customHeight="false" outlineLevel="0" collapsed="false">
      <c r="A1019" s="0" t="s">
        <v>15</v>
      </c>
      <c r="B1019" s="0" t="s">
        <v>3307</v>
      </c>
      <c r="C1019" s="0" t="n">
        <v>114001</v>
      </c>
      <c r="D1019" s="0" t="n">
        <v>114001</v>
      </c>
      <c r="E1019" s="0" t="s">
        <v>1815</v>
      </c>
      <c r="F1019" s="0" t="s">
        <v>18</v>
      </c>
      <c r="G1019" s="0" t="s">
        <v>3308</v>
      </c>
      <c r="H1019" s="0" t="s">
        <v>3309</v>
      </c>
      <c r="I1019" s="0" t="s">
        <v>517</v>
      </c>
      <c r="J1019" s="0" t="s">
        <v>518</v>
      </c>
      <c r="K1019" s="0" t="s">
        <v>89</v>
      </c>
      <c r="L1019" s="0" t="str">
        <f aca="false">IFERROR(VLOOKUP(K1019,'Supplier list'!B:C,2,0),"")</f>
        <v>บริษัท เฮเฟเล่ (ประเทศไทย) จำกัด</v>
      </c>
      <c r="M1019" s="1" t="s">
        <v>24</v>
      </c>
      <c r="O1019" s="2" t="n">
        <v>660</v>
      </c>
    </row>
    <row r="1020" customFormat="false" ht="16.4" hidden="false" customHeight="false" outlineLevel="0" collapsed="false">
      <c r="A1020" s="0" t="s">
        <v>15</v>
      </c>
      <c r="B1020" s="0" t="s">
        <v>3310</v>
      </c>
      <c r="C1020" s="0" t="n">
        <v>114001</v>
      </c>
      <c r="D1020" s="0" t="n">
        <v>114001</v>
      </c>
      <c r="E1020" s="0" t="s">
        <v>1764</v>
      </c>
      <c r="F1020" s="0" t="s">
        <v>18</v>
      </c>
      <c r="G1020" s="0" t="s">
        <v>3311</v>
      </c>
      <c r="H1020" s="0" t="s">
        <v>3312</v>
      </c>
      <c r="I1020" s="0" t="s">
        <v>168</v>
      </c>
      <c r="J1020" s="0" t="s">
        <v>169</v>
      </c>
      <c r="K1020" s="0" t="s">
        <v>89</v>
      </c>
      <c r="L1020" s="0" t="str">
        <f aca="false">IFERROR(VLOOKUP(K1020,'Supplier list'!B:C,2,0),"")</f>
        <v>บริษัท เฮเฟเล่ (ประเทศไทย) จำกัด</v>
      </c>
      <c r="M1020" s="1" t="s">
        <v>24</v>
      </c>
      <c r="O1020" s="2" t="n">
        <v>970</v>
      </c>
    </row>
    <row r="1021" customFormat="false" ht="16.4" hidden="false" customHeight="false" outlineLevel="0" collapsed="false">
      <c r="A1021" s="0" t="s">
        <v>15</v>
      </c>
      <c r="B1021" s="0" t="s">
        <v>3313</v>
      </c>
      <c r="C1021" s="0" t="n">
        <v>114001</v>
      </c>
      <c r="D1021" s="0" t="n">
        <v>114001</v>
      </c>
      <c r="E1021" s="0" t="s">
        <v>1764</v>
      </c>
      <c r="F1021" s="0" t="s">
        <v>18</v>
      </c>
      <c r="G1021" s="0" t="s">
        <v>3314</v>
      </c>
      <c r="H1021" s="0" t="s">
        <v>3315</v>
      </c>
      <c r="I1021" s="0" t="s">
        <v>21</v>
      </c>
      <c r="J1021" s="0" t="s">
        <v>22</v>
      </c>
      <c r="K1021" s="0" t="s">
        <v>787</v>
      </c>
      <c r="L1021" s="0" t="str">
        <f aca="false">IFERROR(VLOOKUP(K1021,'Supplier list'!B:C,2,0),"")</f>
        <v>บริษัท ฟิวเจอร์เทค อินเตอร์มาร์เก็ตติ้ง จำกัด</v>
      </c>
      <c r="M1021" s="1" t="s">
        <v>24</v>
      </c>
      <c r="O1021" s="2" t="n">
        <v>35</v>
      </c>
    </row>
    <row r="1022" customFormat="false" ht="16.4" hidden="false" customHeight="false" outlineLevel="0" collapsed="false">
      <c r="A1022" s="0" t="s">
        <v>15</v>
      </c>
      <c r="B1022" s="0" t="s">
        <v>3316</v>
      </c>
      <c r="C1022" s="0" t="n">
        <v>114001</v>
      </c>
      <c r="D1022" s="0" t="n">
        <v>114001</v>
      </c>
      <c r="E1022" s="0" t="s">
        <v>1605</v>
      </c>
      <c r="F1022" s="0" t="s">
        <v>18</v>
      </c>
      <c r="G1022" s="0" t="s">
        <v>3317</v>
      </c>
      <c r="H1022" s="0" t="s">
        <v>3318</v>
      </c>
      <c r="I1022" s="0" t="s">
        <v>21</v>
      </c>
      <c r="J1022" s="0" t="s">
        <v>22</v>
      </c>
      <c r="K1022" s="0" t="s">
        <v>787</v>
      </c>
      <c r="L1022" s="0" t="str">
        <f aca="false">IFERROR(VLOOKUP(K1022,'Supplier list'!B:C,2,0),"")</f>
        <v>บริษัท ฟิวเจอร์เทค อินเตอร์มาร์เก็ตติ้ง จำกัด</v>
      </c>
      <c r="M1022" s="1" t="s">
        <v>24</v>
      </c>
      <c r="O1022" s="2" t="n">
        <v>60</v>
      </c>
    </row>
    <row r="1023" customFormat="false" ht="16.4" hidden="false" customHeight="false" outlineLevel="0" collapsed="false">
      <c r="A1023" s="0" t="s">
        <v>15</v>
      </c>
      <c r="B1023" s="0" t="s">
        <v>3319</v>
      </c>
      <c r="C1023" s="0" t="n">
        <v>114001</v>
      </c>
      <c r="D1023" s="0" t="n">
        <v>114001</v>
      </c>
      <c r="E1023" s="0" t="s">
        <v>1605</v>
      </c>
      <c r="F1023" s="0" t="s">
        <v>18</v>
      </c>
      <c r="G1023" s="0" t="s">
        <v>3320</v>
      </c>
      <c r="H1023" s="0" t="s">
        <v>3321</v>
      </c>
      <c r="I1023" s="0" t="s">
        <v>21</v>
      </c>
      <c r="J1023" s="0" t="s">
        <v>22</v>
      </c>
      <c r="K1023" s="0" t="s">
        <v>3322</v>
      </c>
      <c r="L1023" s="0" t="str">
        <f aca="false">IFERROR(VLOOKUP(K1023,'Supplier list'!B:C,2,0),"")</f>
        <v>บริษัท แพนสยาม เมนูแฟคเจอริ่ง จำกัด</v>
      </c>
      <c r="M1023" s="1" t="s">
        <v>24</v>
      </c>
      <c r="O1023" s="2" t="n">
        <v>0.95</v>
      </c>
    </row>
    <row r="1024" customFormat="false" ht="16.4" hidden="false" customHeight="false" outlineLevel="0" collapsed="false">
      <c r="A1024" s="0" t="s">
        <v>15</v>
      </c>
      <c r="B1024" s="0" t="s">
        <v>3323</v>
      </c>
      <c r="C1024" s="0" t="n">
        <v>114001</v>
      </c>
      <c r="D1024" s="0" t="n">
        <v>114001</v>
      </c>
      <c r="E1024" s="0" t="s">
        <v>1605</v>
      </c>
      <c r="F1024" s="0" t="s">
        <v>18</v>
      </c>
      <c r="G1024" s="0" t="s">
        <v>3324</v>
      </c>
      <c r="H1024" s="0" t="s">
        <v>3325</v>
      </c>
      <c r="I1024" s="0" t="s">
        <v>21</v>
      </c>
      <c r="J1024" s="0" t="s">
        <v>22</v>
      </c>
      <c r="K1024" s="0" t="s">
        <v>3322</v>
      </c>
      <c r="L1024" s="0" t="str">
        <f aca="false">IFERROR(VLOOKUP(K1024,'Supplier list'!B:C,2,0),"")</f>
        <v>บริษัท แพนสยาม เมนูแฟคเจอริ่ง จำกัด</v>
      </c>
      <c r="M1024" s="1" t="s">
        <v>24</v>
      </c>
      <c r="O1024" s="2" t="n">
        <v>0.75</v>
      </c>
    </row>
    <row r="1025" customFormat="false" ht="16.4" hidden="false" customHeight="false" outlineLevel="0" collapsed="false">
      <c r="A1025" s="0" t="s">
        <v>15</v>
      </c>
      <c r="B1025" s="0" t="s">
        <v>3326</v>
      </c>
      <c r="C1025" s="0" t="n">
        <v>114001</v>
      </c>
      <c r="D1025" s="0" t="n">
        <v>114001</v>
      </c>
      <c r="E1025" s="0" t="s">
        <v>1764</v>
      </c>
      <c r="F1025" s="0" t="s">
        <v>18</v>
      </c>
      <c r="G1025" s="0" t="s">
        <v>3327</v>
      </c>
      <c r="H1025" s="0" t="s">
        <v>3328</v>
      </c>
      <c r="I1025" s="0" t="s">
        <v>21</v>
      </c>
      <c r="J1025" s="0" t="s">
        <v>22</v>
      </c>
      <c r="K1025" s="0" t="s">
        <v>89</v>
      </c>
      <c r="L1025" s="0" t="str">
        <f aca="false">IFERROR(VLOOKUP(K1025,'Supplier list'!B:C,2,0),"")</f>
        <v>บริษัท เฮเฟเล่ (ประเทศไทย) จำกัด</v>
      </c>
      <c r="M1025" s="1" t="s">
        <v>24</v>
      </c>
      <c r="O1025" s="2" t="n">
        <v>1620</v>
      </c>
    </row>
    <row r="1026" customFormat="false" ht="16.4" hidden="false" customHeight="false" outlineLevel="0" collapsed="false">
      <c r="A1026" s="0" t="s">
        <v>15</v>
      </c>
      <c r="B1026" s="0" t="s">
        <v>3329</v>
      </c>
      <c r="C1026" s="0" t="n">
        <v>114001</v>
      </c>
      <c r="D1026" s="0" t="n">
        <v>114001</v>
      </c>
      <c r="E1026" s="0" t="s">
        <v>1764</v>
      </c>
      <c r="F1026" s="0" t="s">
        <v>18</v>
      </c>
      <c r="G1026" s="0" t="s">
        <v>3330</v>
      </c>
      <c r="H1026" s="0" t="s">
        <v>3331</v>
      </c>
      <c r="I1026" s="0" t="s">
        <v>21</v>
      </c>
      <c r="J1026" s="0" t="s">
        <v>22</v>
      </c>
      <c r="K1026" s="0" t="s">
        <v>89</v>
      </c>
      <c r="L1026" s="0" t="str">
        <f aca="false">IFERROR(VLOOKUP(K1026,'Supplier list'!B:C,2,0),"")</f>
        <v>บริษัท เฮเฟเล่ (ประเทศไทย) จำกัด</v>
      </c>
      <c r="M1026" s="1" t="s">
        <v>24</v>
      </c>
      <c r="O1026" s="2" t="n">
        <v>1110</v>
      </c>
    </row>
    <row r="1027" customFormat="false" ht="16.4" hidden="false" customHeight="false" outlineLevel="0" collapsed="false">
      <c r="A1027" s="0" t="s">
        <v>15</v>
      </c>
      <c r="B1027" s="0" t="s">
        <v>3332</v>
      </c>
      <c r="C1027" s="0" t="n">
        <v>114001</v>
      </c>
      <c r="D1027" s="0" t="n">
        <v>114001</v>
      </c>
      <c r="E1027" s="0" t="s">
        <v>1764</v>
      </c>
      <c r="F1027" s="0" t="s">
        <v>18</v>
      </c>
      <c r="G1027" s="0" t="s">
        <v>3333</v>
      </c>
      <c r="H1027" s="0" t="s">
        <v>3334</v>
      </c>
      <c r="I1027" s="0" t="s">
        <v>21</v>
      </c>
      <c r="J1027" s="0" t="s">
        <v>22</v>
      </c>
      <c r="K1027" s="0" t="s">
        <v>89</v>
      </c>
      <c r="L1027" s="0" t="str">
        <f aca="false">IFERROR(VLOOKUP(K1027,'Supplier list'!B:C,2,0),"")</f>
        <v>บริษัท เฮเฟเล่ (ประเทศไทย) จำกัด</v>
      </c>
      <c r="M1027" s="1" t="s">
        <v>24</v>
      </c>
      <c r="O1027" s="2" t="n">
        <v>187</v>
      </c>
    </row>
    <row r="1028" customFormat="false" ht="16.4" hidden="false" customHeight="false" outlineLevel="0" collapsed="false">
      <c r="A1028" s="0" t="s">
        <v>15</v>
      </c>
      <c r="B1028" s="0" t="s">
        <v>3335</v>
      </c>
      <c r="C1028" s="0" t="n">
        <v>114001</v>
      </c>
      <c r="D1028" s="0" t="n">
        <v>114001</v>
      </c>
      <c r="E1028" s="0" t="s">
        <v>3336</v>
      </c>
      <c r="F1028" s="0" t="s">
        <v>18</v>
      </c>
      <c r="G1028" s="0" t="s">
        <v>3337</v>
      </c>
      <c r="H1028" s="0" t="s">
        <v>3338</v>
      </c>
      <c r="I1028" s="0" t="s">
        <v>21</v>
      </c>
      <c r="J1028" s="0" t="s">
        <v>22</v>
      </c>
      <c r="K1028" s="0" t="s">
        <v>787</v>
      </c>
      <c r="L1028" s="0" t="str">
        <f aca="false">IFERROR(VLOOKUP(K1028,'Supplier list'!B:C,2,0),"")</f>
        <v>บริษัท ฟิวเจอร์เทค อินเตอร์มาร์เก็ตติ้ง จำกัด</v>
      </c>
      <c r="M1028" s="1" t="s">
        <v>24</v>
      </c>
      <c r="O1028" s="2" t="n">
        <v>38.5</v>
      </c>
    </row>
    <row r="1029" customFormat="false" ht="16.4" hidden="false" customHeight="false" outlineLevel="0" collapsed="false">
      <c r="A1029" s="0" t="s">
        <v>15</v>
      </c>
      <c r="B1029" s="0" t="s">
        <v>3339</v>
      </c>
      <c r="C1029" s="0" t="n">
        <v>114001</v>
      </c>
      <c r="D1029" s="0" t="n">
        <v>114001</v>
      </c>
      <c r="E1029" s="0" t="s">
        <v>2035</v>
      </c>
      <c r="F1029" s="0" t="s">
        <v>18</v>
      </c>
      <c r="G1029" s="0" t="s">
        <v>3340</v>
      </c>
      <c r="H1029" s="0" t="s">
        <v>3341</v>
      </c>
      <c r="I1029" s="0" t="s">
        <v>21</v>
      </c>
      <c r="J1029" s="0" t="s">
        <v>22</v>
      </c>
      <c r="K1029" s="0" t="s">
        <v>89</v>
      </c>
      <c r="L1029" s="0" t="str">
        <f aca="false">IFERROR(VLOOKUP(K1029,'Supplier list'!B:C,2,0),"")</f>
        <v>บริษัท เฮเฟเล่ (ประเทศไทย) จำกัด</v>
      </c>
      <c r="M1029" s="1" t="s">
        <v>24</v>
      </c>
      <c r="O1029" s="2" t="n">
        <v>19439</v>
      </c>
    </row>
    <row r="1030" customFormat="false" ht="16.4" hidden="false" customHeight="false" outlineLevel="0" collapsed="false">
      <c r="A1030" s="0" t="s">
        <v>15</v>
      </c>
      <c r="B1030" s="0" t="s">
        <v>3342</v>
      </c>
      <c r="C1030" s="0" t="n">
        <v>114001</v>
      </c>
      <c r="D1030" s="0" t="n">
        <v>114001</v>
      </c>
      <c r="E1030" s="0" t="s">
        <v>1815</v>
      </c>
      <c r="F1030" s="0" t="s">
        <v>18</v>
      </c>
      <c r="G1030" s="0" t="s">
        <v>3343</v>
      </c>
      <c r="H1030" s="0" t="s">
        <v>3344</v>
      </c>
      <c r="I1030" s="0" t="s">
        <v>124</v>
      </c>
      <c r="J1030" s="0" t="s">
        <v>125</v>
      </c>
      <c r="K1030" s="0" t="s">
        <v>89</v>
      </c>
      <c r="L1030" s="0" t="str">
        <f aca="false">IFERROR(VLOOKUP(K1030,'Supplier list'!B:C,2,0),"")</f>
        <v>บริษัท เฮเฟเล่ (ประเทศไทย) จำกัด</v>
      </c>
      <c r="M1030" s="1" t="s">
        <v>24</v>
      </c>
      <c r="O1030" s="2" t="n">
        <v>630</v>
      </c>
    </row>
    <row r="1031" customFormat="false" ht="16.4" hidden="false" customHeight="false" outlineLevel="0" collapsed="false">
      <c r="A1031" s="0" t="s">
        <v>15</v>
      </c>
      <c r="B1031" s="0" t="s">
        <v>3345</v>
      </c>
      <c r="C1031" s="0" t="n">
        <v>114001</v>
      </c>
      <c r="D1031" s="0" t="n">
        <v>114001</v>
      </c>
      <c r="E1031" s="0" t="s">
        <v>3346</v>
      </c>
      <c r="F1031" s="0" t="s">
        <v>18</v>
      </c>
      <c r="G1031" s="0" t="s">
        <v>3347</v>
      </c>
      <c r="H1031" s="0" t="s">
        <v>3288</v>
      </c>
      <c r="I1031" s="0" t="s">
        <v>21</v>
      </c>
      <c r="J1031" s="0" t="s">
        <v>22</v>
      </c>
      <c r="K1031" s="0" t="s">
        <v>89</v>
      </c>
      <c r="L1031" s="0" t="str">
        <f aca="false">IFERROR(VLOOKUP(K1031,'Supplier list'!B:C,2,0),"")</f>
        <v>บริษัท เฮเฟเล่ (ประเทศไทย) จำกัด</v>
      </c>
      <c r="M1031" s="1" t="s">
        <v>24</v>
      </c>
      <c r="O1031" s="2" t="n">
        <v>7943</v>
      </c>
    </row>
    <row r="1032" customFormat="false" ht="16.4" hidden="false" customHeight="false" outlineLevel="0" collapsed="false">
      <c r="A1032" s="0" t="s">
        <v>15</v>
      </c>
      <c r="B1032" s="0" t="s">
        <v>3348</v>
      </c>
      <c r="C1032" s="0" t="n">
        <v>114001</v>
      </c>
      <c r="D1032" s="0" t="n">
        <v>114001</v>
      </c>
      <c r="E1032" s="0" t="s">
        <v>1653</v>
      </c>
      <c r="F1032" s="0" t="s">
        <v>18</v>
      </c>
      <c r="G1032" s="0" t="s">
        <v>3349</v>
      </c>
      <c r="H1032" s="0" t="s">
        <v>3350</v>
      </c>
      <c r="I1032" s="0" t="s">
        <v>124</v>
      </c>
      <c r="J1032" s="0" t="s">
        <v>125</v>
      </c>
      <c r="K1032" s="0" t="s">
        <v>89</v>
      </c>
      <c r="L1032" s="0" t="str">
        <f aca="false">IFERROR(VLOOKUP(K1032,'Supplier list'!B:C,2,0),"")</f>
        <v>บริษัท เฮเฟเล่ (ประเทศไทย) จำกัด</v>
      </c>
      <c r="M1032" s="1" t="s">
        <v>24</v>
      </c>
      <c r="O1032" s="2" t="n">
        <v>16750</v>
      </c>
    </row>
    <row r="1033" customFormat="false" ht="16.4" hidden="false" customHeight="false" outlineLevel="0" collapsed="false">
      <c r="A1033" s="0" t="s">
        <v>15</v>
      </c>
      <c r="B1033" s="0" t="s">
        <v>3351</v>
      </c>
      <c r="C1033" s="0" t="n">
        <v>114001</v>
      </c>
      <c r="D1033" s="0" t="n">
        <v>114001</v>
      </c>
      <c r="E1033" s="0" t="s">
        <v>1653</v>
      </c>
      <c r="F1033" s="0" t="s">
        <v>18</v>
      </c>
      <c r="G1033" s="0" t="s">
        <v>3352</v>
      </c>
      <c r="H1033" s="0" t="s">
        <v>3353</v>
      </c>
      <c r="I1033" s="0" t="s">
        <v>124</v>
      </c>
      <c r="J1033" s="0" t="s">
        <v>125</v>
      </c>
      <c r="K1033" s="0" t="s">
        <v>89</v>
      </c>
      <c r="L1033" s="0" t="str">
        <f aca="false">IFERROR(VLOOKUP(K1033,'Supplier list'!B:C,2,0),"")</f>
        <v>บริษัท เฮเฟเล่ (ประเทศไทย) จำกัด</v>
      </c>
      <c r="M1033" s="1" t="s">
        <v>24</v>
      </c>
      <c r="O1033" s="2" t="n">
        <v>2411</v>
      </c>
    </row>
    <row r="1034" customFormat="false" ht="16.4" hidden="false" customHeight="false" outlineLevel="0" collapsed="false">
      <c r="A1034" s="0" t="s">
        <v>15</v>
      </c>
      <c r="B1034" s="0" t="s">
        <v>3354</v>
      </c>
      <c r="C1034" s="0" t="n">
        <v>114001</v>
      </c>
      <c r="D1034" s="0" t="n">
        <v>114001</v>
      </c>
      <c r="E1034" s="0" t="s">
        <v>874</v>
      </c>
      <c r="F1034" s="0" t="s">
        <v>18</v>
      </c>
      <c r="G1034" s="0" t="s">
        <v>3355</v>
      </c>
      <c r="H1034" s="0" t="s">
        <v>3356</v>
      </c>
      <c r="I1034" s="0" t="s">
        <v>21</v>
      </c>
      <c r="J1034" s="0" t="s">
        <v>22</v>
      </c>
      <c r="K1034" s="0" t="s">
        <v>89</v>
      </c>
      <c r="L1034" s="0" t="str">
        <f aca="false">IFERROR(VLOOKUP(K1034,'Supplier list'!B:C,2,0),"")</f>
        <v>บริษัท เฮเฟเล่ (ประเทศไทย) จำกัด</v>
      </c>
      <c r="M1034" s="1" t="s">
        <v>24</v>
      </c>
      <c r="O1034" s="2" t="n">
        <v>975</v>
      </c>
    </row>
    <row r="1035" customFormat="false" ht="16.4" hidden="false" customHeight="false" outlineLevel="0" collapsed="false">
      <c r="A1035" s="0" t="s">
        <v>15</v>
      </c>
      <c r="B1035" s="0" t="s">
        <v>3357</v>
      </c>
      <c r="C1035" s="0" t="n">
        <v>114001</v>
      </c>
      <c r="D1035" s="0" t="n">
        <v>114001</v>
      </c>
      <c r="E1035" s="0" t="s">
        <v>874</v>
      </c>
      <c r="F1035" s="0" t="s">
        <v>18</v>
      </c>
      <c r="G1035" s="0" t="s">
        <v>3358</v>
      </c>
      <c r="H1035" s="0" t="s">
        <v>3359</v>
      </c>
      <c r="I1035" s="0" t="s">
        <v>21</v>
      </c>
      <c r="J1035" s="0" t="s">
        <v>22</v>
      </c>
      <c r="K1035" s="0" t="s">
        <v>89</v>
      </c>
      <c r="L1035" s="0" t="str">
        <f aca="false">IFERROR(VLOOKUP(K1035,'Supplier list'!B:C,2,0),"")</f>
        <v>บริษัท เฮเฟเล่ (ประเทศไทย) จำกัด</v>
      </c>
      <c r="M1035" s="1" t="s">
        <v>24</v>
      </c>
      <c r="O1035" s="2" t="n">
        <v>1870</v>
      </c>
    </row>
    <row r="1036" customFormat="false" ht="16.4" hidden="false" customHeight="false" outlineLevel="0" collapsed="false">
      <c r="A1036" s="0" t="s">
        <v>15</v>
      </c>
      <c r="B1036" s="0" t="s">
        <v>3360</v>
      </c>
      <c r="C1036" s="0" t="n">
        <v>114001</v>
      </c>
      <c r="D1036" s="0" t="n">
        <v>114001</v>
      </c>
      <c r="E1036" s="0" t="s">
        <v>2085</v>
      </c>
      <c r="F1036" s="0" t="s">
        <v>18</v>
      </c>
      <c r="G1036" s="0" t="s">
        <v>3361</v>
      </c>
      <c r="H1036" s="0" t="s">
        <v>2087</v>
      </c>
      <c r="I1036" s="0" t="s">
        <v>517</v>
      </c>
      <c r="J1036" s="0" t="s">
        <v>518</v>
      </c>
      <c r="K1036" s="0" t="s">
        <v>89</v>
      </c>
      <c r="L1036" s="0" t="str">
        <f aca="false">IFERROR(VLOOKUP(K1036,'Supplier list'!B:C,2,0),"")</f>
        <v>บริษัท เฮเฟเล่ (ประเทศไทย) จำกัด</v>
      </c>
      <c r="M1036" s="1" t="s">
        <v>24</v>
      </c>
      <c r="O1036" s="2" t="n">
        <v>46</v>
      </c>
    </row>
    <row r="1037" customFormat="false" ht="16.4" hidden="false" customHeight="false" outlineLevel="0" collapsed="false">
      <c r="A1037" s="0" t="s">
        <v>15</v>
      </c>
      <c r="B1037" s="0" t="s">
        <v>3362</v>
      </c>
      <c r="C1037" s="0" t="n">
        <v>114001</v>
      </c>
      <c r="D1037" s="0" t="n">
        <v>114001</v>
      </c>
      <c r="E1037" s="0" t="s">
        <v>1612</v>
      </c>
      <c r="F1037" s="0" t="s">
        <v>18</v>
      </c>
      <c r="G1037" s="0" t="s">
        <v>3363</v>
      </c>
      <c r="H1037" s="0" t="s">
        <v>2090</v>
      </c>
      <c r="I1037" s="0" t="s">
        <v>517</v>
      </c>
      <c r="J1037" s="0" t="s">
        <v>518</v>
      </c>
      <c r="K1037" s="0" t="s">
        <v>89</v>
      </c>
      <c r="L1037" s="0" t="str">
        <f aca="false">IFERROR(VLOOKUP(K1037,'Supplier list'!B:C,2,0),"")</f>
        <v>บริษัท เฮเฟเล่ (ประเทศไทย) จำกัด</v>
      </c>
      <c r="M1037" s="1" t="s">
        <v>24</v>
      </c>
      <c r="O1037" s="2" t="n">
        <v>46</v>
      </c>
    </row>
    <row r="1038" customFormat="false" ht="16.4" hidden="false" customHeight="false" outlineLevel="0" collapsed="false">
      <c r="A1038" s="0" t="s">
        <v>15</v>
      </c>
      <c r="B1038" s="0" t="s">
        <v>3364</v>
      </c>
      <c r="C1038" s="0" t="n">
        <v>114001</v>
      </c>
      <c r="D1038" s="0" t="n">
        <v>114001</v>
      </c>
      <c r="E1038" s="0" t="s">
        <v>3365</v>
      </c>
      <c r="F1038" s="0" t="s">
        <v>18</v>
      </c>
      <c r="G1038" s="0" t="s">
        <v>3366</v>
      </c>
      <c r="H1038" s="0" t="s">
        <v>3367</v>
      </c>
      <c r="I1038" s="0" t="s">
        <v>124</v>
      </c>
      <c r="J1038" s="0" t="s">
        <v>125</v>
      </c>
      <c r="K1038" s="0" t="s">
        <v>89</v>
      </c>
      <c r="L1038" s="0" t="str">
        <f aca="false">IFERROR(VLOOKUP(K1038,'Supplier list'!B:C,2,0),"")</f>
        <v>บริษัท เฮเฟเล่ (ประเทศไทย) จำกัด</v>
      </c>
      <c r="M1038" s="1" t="s">
        <v>24</v>
      </c>
      <c r="O1038" s="2" t="n">
        <v>243</v>
      </c>
    </row>
    <row r="1039" customFormat="false" ht="16.4" hidden="false" customHeight="false" outlineLevel="0" collapsed="false">
      <c r="A1039" s="0" t="s">
        <v>15</v>
      </c>
      <c r="B1039" s="0" t="s">
        <v>3368</v>
      </c>
      <c r="C1039" s="0" t="n">
        <v>114001</v>
      </c>
      <c r="D1039" s="0" t="n">
        <v>114001</v>
      </c>
      <c r="E1039" s="0" t="s">
        <v>1653</v>
      </c>
      <c r="F1039" s="0" t="s">
        <v>18</v>
      </c>
      <c r="G1039" s="0" t="s">
        <v>3369</v>
      </c>
      <c r="H1039" s="0" t="s">
        <v>3370</v>
      </c>
      <c r="I1039" s="0" t="s">
        <v>124</v>
      </c>
      <c r="J1039" s="0" t="s">
        <v>125</v>
      </c>
      <c r="K1039" s="0" t="s">
        <v>89</v>
      </c>
      <c r="L1039" s="0" t="str">
        <f aca="false">IFERROR(VLOOKUP(K1039,'Supplier list'!B:C,2,0),"")</f>
        <v>บริษัท เฮเฟเล่ (ประเทศไทย) จำกัด</v>
      </c>
      <c r="M1039" s="1" t="s">
        <v>24</v>
      </c>
      <c r="O1039" s="2" t="n">
        <v>1400</v>
      </c>
    </row>
    <row r="1040" customFormat="false" ht="16.4" hidden="false" customHeight="false" outlineLevel="0" collapsed="false">
      <c r="A1040" s="0" t="s">
        <v>15</v>
      </c>
      <c r="B1040" s="0" t="s">
        <v>3371</v>
      </c>
      <c r="C1040" s="0" t="n">
        <v>114001</v>
      </c>
      <c r="D1040" s="0" t="n">
        <v>114001</v>
      </c>
      <c r="E1040" s="0" t="s">
        <v>1653</v>
      </c>
      <c r="F1040" s="0" t="s">
        <v>18</v>
      </c>
      <c r="G1040" s="0" t="s">
        <v>3372</v>
      </c>
      <c r="H1040" s="0" t="s">
        <v>3373</v>
      </c>
      <c r="I1040" s="0" t="s">
        <v>124</v>
      </c>
      <c r="J1040" s="0" t="s">
        <v>125</v>
      </c>
      <c r="K1040" s="0" t="s">
        <v>89</v>
      </c>
      <c r="L1040" s="0" t="str">
        <f aca="false">IFERROR(VLOOKUP(K1040,'Supplier list'!B:C,2,0),"")</f>
        <v>บริษัท เฮเฟเล่ (ประเทศไทย) จำกัด</v>
      </c>
      <c r="M1040" s="1" t="s">
        <v>24</v>
      </c>
      <c r="O1040" s="2" t="n">
        <v>2800</v>
      </c>
    </row>
    <row r="1041" customFormat="false" ht="16.4" hidden="false" customHeight="false" outlineLevel="0" collapsed="false">
      <c r="A1041" s="0" t="s">
        <v>15</v>
      </c>
      <c r="B1041" s="0" t="s">
        <v>3374</v>
      </c>
      <c r="C1041" s="0" t="n">
        <v>114001</v>
      </c>
      <c r="D1041" s="0" t="n">
        <v>114001</v>
      </c>
      <c r="E1041" s="0" t="s">
        <v>1653</v>
      </c>
      <c r="F1041" s="0" t="s">
        <v>18</v>
      </c>
      <c r="G1041" s="0" t="s">
        <v>3375</v>
      </c>
      <c r="H1041" s="0" t="s">
        <v>2644</v>
      </c>
      <c r="I1041" s="0" t="s">
        <v>124</v>
      </c>
      <c r="J1041" s="0" t="s">
        <v>125</v>
      </c>
      <c r="K1041" s="0" t="s">
        <v>89</v>
      </c>
      <c r="L1041" s="0" t="str">
        <f aca="false">IFERROR(VLOOKUP(K1041,'Supplier list'!B:C,2,0),"")</f>
        <v>บริษัท เฮเฟเล่ (ประเทศไทย) จำกัด</v>
      </c>
      <c r="M1041" s="1" t="s">
        <v>1740</v>
      </c>
      <c r="N1041" s="2" t="n">
        <v>6500</v>
      </c>
      <c r="O1041" s="2" t="n">
        <v>3200</v>
      </c>
    </row>
    <row r="1042" customFormat="false" ht="16.4" hidden="false" customHeight="false" outlineLevel="0" collapsed="false">
      <c r="A1042" s="0" t="s">
        <v>15</v>
      </c>
      <c r="B1042" s="0" t="s">
        <v>3376</v>
      </c>
      <c r="C1042" s="0" t="n">
        <v>114001</v>
      </c>
      <c r="D1042" s="0" t="n">
        <v>114001</v>
      </c>
      <c r="E1042" s="0" t="s">
        <v>961</v>
      </c>
      <c r="F1042" s="0" t="s">
        <v>18</v>
      </c>
      <c r="G1042" s="0" t="s">
        <v>3377</v>
      </c>
      <c r="H1042" s="0" t="s">
        <v>3378</v>
      </c>
      <c r="I1042" s="0" t="s">
        <v>124</v>
      </c>
      <c r="J1042" s="0" t="s">
        <v>125</v>
      </c>
      <c r="K1042" s="0" t="s">
        <v>89</v>
      </c>
      <c r="L1042" s="0" t="str">
        <f aca="false">IFERROR(VLOOKUP(K1042,'Supplier list'!B:C,2,0),"")</f>
        <v>บริษัท เฮเฟเล่ (ประเทศไทย) จำกัด</v>
      </c>
      <c r="M1042" s="1" t="s">
        <v>24</v>
      </c>
      <c r="O1042" s="2" t="n">
        <v>6589</v>
      </c>
    </row>
    <row r="1043" customFormat="false" ht="16.4" hidden="false" customHeight="false" outlineLevel="0" collapsed="false">
      <c r="A1043" s="0" t="s">
        <v>15</v>
      </c>
      <c r="B1043" s="0" t="s">
        <v>3379</v>
      </c>
      <c r="C1043" s="0" t="n">
        <v>114001</v>
      </c>
      <c r="D1043" s="0" t="n">
        <v>114001</v>
      </c>
      <c r="E1043" s="0" t="s">
        <v>1653</v>
      </c>
      <c r="F1043" s="0" t="s">
        <v>18</v>
      </c>
      <c r="G1043" s="0" t="s">
        <v>3380</v>
      </c>
      <c r="H1043" s="0" t="s">
        <v>3381</v>
      </c>
      <c r="I1043" s="0" t="s">
        <v>124</v>
      </c>
      <c r="J1043" s="0" t="s">
        <v>125</v>
      </c>
      <c r="K1043" s="0" t="s">
        <v>1725</v>
      </c>
      <c r="L1043" s="0" t="str">
        <f aca="false">IFERROR(VLOOKUP(K1043,'Supplier list'!B:C,2,0),"")</f>
        <v>บริษัท พรีซิชั่นไลน์ จำกัด</v>
      </c>
      <c r="M1043" s="1" t="s">
        <v>24</v>
      </c>
      <c r="O1043" s="2" t="n">
        <v>0</v>
      </c>
    </row>
    <row r="1044" customFormat="false" ht="16.4" hidden="false" customHeight="false" outlineLevel="0" collapsed="false">
      <c r="A1044" s="0" t="s">
        <v>15</v>
      </c>
      <c r="B1044" s="0" t="s">
        <v>3382</v>
      </c>
      <c r="C1044" s="0" t="n">
        <v>114001</v>
      </c>
      <c r="D1044" s="0" t="n">
        <v>114001</v>
      </c>
      <c r="E1044" s="0" t="s">
        <v>1653</v>
      </c>
      <c r="F1044" s="0" t="s">
        <v>18</v>
      </c>
      <c r="G1044" s="0" t="s">
        <v>3383</v>
      </c>
      <c r="H1044" s="0" t="s">
        <v>2159</v>
      </c>
      <c r="I1044" s="0" t="s">
        <v>124</v>
      </c>
      <c r="J1044" s="0" t="s">
        <v>125</v>
      </c>
      <c r="K1044" s="0" t="s">
        <v>89</v>
      </c>
      <c r="L1044" s="0" t="str">
        <f aca="false">IFERROR(VLOOKUP(K1044,'Supplier list'!B:C,2,0),"")</f>
        <v>บริษัท เฮเฟเล่ (ประเทศไทย) จำกัด</v>
      </c>
      <c r="M1044" s="1" t="s">
        <v>1740</v>
      </c>
      <c r="N1044" s="2" t="n">
        <v>5900</v>
      </c>
      <c r="O1044" s="2" t="n">
        <v>2500</v>
      </c>
    </row>
    <row r="1045" customFormat="false" ht="16.4" hidden="false" customHeight="false" outlineLevel="0" collapsed="false">
      <c r="A1045" s="0" t="s">
        <v>15</v>
      </c>
      <c r="B1045" s="0" t="s">
        <v>3384</v>
      </c>
      <c r="C1045" s="0" t="n">
        <v>114001</v>
      </c>
      <c r="D1045" s="0" t="n">
        <v>114001</v>
      </c>
      <c r="E1045" s="0" t="s">
        <v>1815</v>
      </c>
      <c r="F1045" s="0" t="s">
        <v>18</v>
      </c>
      <c r="G1045" s="0" t="s">
        <v>3385</v>
      </c>
      <c r="H1045" s="0" t="s">
        <v>3386</v>
      </c>
      <c r="I1045" s="0" t="s">
        <v>517</v>
      </c>
      <c r="J1045" s="0" t="s">
        <v>518</v>
      </c>
      <c r="K1045" s="0" t="s">
        <v>89</v>
      </c>
      <c r="L1045" s="0" t="str">
        <f aca="false">IFERROR(VLOOKUP(K1045,'Supplier list'!B:C,2,0),"")</f>
        <v>บริษัท เฮเฟเล่ (ประเทศไทย) จำกัด</v>
      </c>
      <c r="M1045" s="1" t="s">
        <v>24</v>
      </c>
      <c r="O1045" s="2" t="n">
        <v>551</v>
      </c>
    </row>
    <row r="1046" customFormat="false" ht="16.4" hidden="false" customHeight="false" outlineLevel="0" collapsed="false">
      <c r="A1046" s="0" t="s">
        <v>15</v>
      </c>
      <c r="B1046" s="0" t="s">
        <v>3387</v>
      </c>
      <c r="C1046" s="0" t="n">
        <v>114001</v>
      </c>
      <c r="D1046" s="0" t="n">
        <v>114001</v>
      </c>
      <c r="E1046" s="0" t="s">
        <v>961</v>
      </c>
      <c r="F1046" s="0" t="s">
        <v>18</v>
      </c>
      <c r="G1046" s="0" t="s">
        <v>3388</v>
      </c>
      <c r="H1046" s="0" t="s">
        <v>3389</v>
      </c>
      <c r="I1046" s="0" t="s">
        <v>21</v>
      </c>
      <c r="J1046" s="0" t="s">
        <v>22</v>
      </c>
      <c r="K1046" s="0" t="s">
        <v>89</v>
      </c>
      <c r="L1046" s="0" t="str">
        <f aca="false">IFERROR(VLOOKUP(K1046,'Supplier list'!B:C,2,0),"")</f>
        <v>บริษัท เฮเฟเล่ (ประเทศไทย) จำกัด</v>
      </c>
      <c r="M1046" s="1" t="s">
        <v>24</v>
      </c>
      <c r="O1046" s="2" t="n">
        <v>8</v>
      </c>
    </row>
    <row r="1047" customFormat="false" ht="16.4" hidden="false" customHeight="false" outlineLevel="0" collapsed="false">
      <c r="A1047" s="0" t="s">
        <v>15</v>
      </c>
      <c r="B1047" s="0" t="s">
        <v>3390</v>
      </c>
      <c r="C1047" s="0" t="n">
        <v>114001</v>
      </c>
      <c r="D1047" s="0" t="n">
        <v>114001</v>
      </c>
      <c r="E1047" s="0" t="s">
        <v>2185</v>
      </c>
      <c r="F1047" s="0" t="s">
        <v>18</v>
      </c>
      <c r="G1047" s="0" t="s">
        <v>3391</v>
      </c>
      <c r="H1047" s="0" t="s">
        <v>3392</v>
      </c>
      <c r="I1047" s="0" t="s">
        <v>21</v>
      </c>
      <c r="J1047" s="0" t="s">
        <v>22</v>
      </c>
      <c r="K1047" s="0" t="s">
        <v>89</v>
      </c>
      <c r="L1047" s="0" t="str">
        <f aca="false">IFERROR(VLOOKUP(K1047,'Supplier list'!B:C,2,0),"")</f>
        <v>บริษัท เฮเฟเล่ (ประเทศไทย) จำกัด</v>
      </c>
      <c r="M1047" s="1" t="s">
        <v>24</v>
      </c>
      <c r="O1047" s="2" t="n">
        <v>672</v>
      </c>
    </row>
    <row r="1048" customFormat="false" ht="16.4" hidden="false" customHeight="false" outlineLevel="0" collapsed="false">
      <c r="A1048" s="0" t="s">
        <v>15</v>
      </c>
      <c r="B1048" s="0" t="s">
        <v>3393</v>
      </c>
      <c r="C1048" s="0" t="n">
        <v>114001</v>
      </c>
      <c r="D1048" s="0" t="n">
        <v>114001</v>
      </c>
      <c r="E1048" s="0" t="s">
        <v>1815</v>
      </c>
      <c r="F1048" s="0" t="s">
        <v>18</v>
      </c>
      <c r="G1048" s="0" t="s">
        <v>3394</v>
      </c>
      <c r="H1048" s="0" t="s">
        <v>3395</v>
      </c>
      <c r="I1048" s="0" t="s">
        <v>517</v>
      </c>
      <c r="J1048" s="0" t="s">
        <v>518</v>
      </c>
      <c r="K1048" s="0" t="s">
        <v>89</v>
      </c>
      <c r="L1048" s="0" t="str">
        <f aca="false">IFERROR(VLOOKUP(K1048,'Supplier list'!B:C,2,0),"")</f>
        <v>บริษัท เฮเฟเล่ (ประเทศไทย) จำกัด</v>
      </c>
      <c r="M1048" s="1" t="s">
        <v>24</v>
      </c>
      <c r="O1048" s="2" t="n">
        <v>588</v>
      </c>
    </row>
    <row r="1049" customFormat="false" ht="16.4" hidden="false" customHeight="false" outlineLevel="0" collapsed="false">
      <c r="A1049" s="0" t="s">
        <v>15</v>
      </c>
      <c r="B1049" s="0" t="s">
        <v>3396</v>
      </c>
      <c r="C1049" s="0" t="n">
        <v>114001</v>
      </c>
      <c r="D1049" s="0" t="n">
        <v>114001</v>
      </c>
      <c r="E1049" s="0" t="s">
        <v>2547</v>
      </c>
      <c r="F1049" s="0" t="s">
        <v>18</v>
      </c>
      <c r="G1049" s="0" t="s">
        <v>3397</v>
      </c>
      <c r="H1049" s="0" t="s">
        <v>3398</v>
      </c>
      <c r="I1049" s="0" t="s">
        <v>21</v>
      </c>
      <c r="J1049" s="0" t="s">
        <v>22</v>
      </c>
      <c r="K1049" s="0" t="s">
        <v>606</v>
      </c>
      <c r="L1049" s="0" t="str">
        <f aca="false">IFERROR(VLOOKUP(K1049,'Supplier list'!B:C,2,0),"")</f>
        <v/>
      </c>
      <c r="M1049" s="1" t="s">
        <v>24</v>
      </c>
      <c r="O1049" s="2" t="n">
        <v>68</v>
      </c>
    </row>
    <row r="1050" customFormat="false" ht="16.4" hidden="false" customHeight="false" outlineLevel="0" collapsed="false">
      <c r="A1050" s="0" t="s">
        <v>15</v>
      </c>
      <c r="B1050" s="0" t="s">
        <v>3399</v>
      </c>
      <c r="C1050" s="0" t="n">
        <v>114001</v>
      </c>
      <c r="D1050" s="0" t="n">
        <v>114001</v>
      </c>
      <c r="E1050" s="0" t="s">
        <v>2547</v>
      </c>
      <c r="F1050" s="0" t="s">
        <v>18</v>
      </c>
      <c r="G1050" s="0" t="s">
        <v>3400</v>
      </c>
      <c r="H1050" s="0" t="s">
        <v>3401</v>
      </c>
      <c r="I1050" s="0" t="s">
        <v>21</v>
      </c>
      <c r="J1050" s="0" t="s">
        <v>22</v>
      </c>
      <c r="K1050" s="0" t="s">
        <v>606</v>
      </c>
      <c r="L1050" s="0" t="str">
        <f aca="false">IFERROR(VLOOKUP(K1050,'Supplier list'!B:C,2,0),"")</f>
        <v/>
      </c>
      <c r="M1050" s="1" t="s">
        <v>24</v>
      </c>
      <c r="O1050" s="2" t="n">
        <v>50</v>
      </c>
    </row>
    <row r="1051" customFormat="false" ht="16.4" hidden="false" customHeight="false" outlineLevel="0" collapsed="false">
      <c r="A1051" s="0" t="s">
        <v>15</v>
      </c>
      <c r="B1051" s="0" t="s">
        <v>3402</v>
      </c>
      <c r="C1051" s="0" t="n">
        <v>114001</v>
      </c>
      <c r="D1051" s="0" t="n">
        <v>114001</v>
      </c>
      <c r="E1051" s="0" t="s">
        <v>2547</v>
      </c>
      <c r="F1051" s="0" t="s">
        <v>18</v>
      </c>
      <c r="G1051" s="0" t="s">
        <v>3403</v>
      </c>
      <c r="H1051" s="0" t="s">
        <v>3404</v>
      </c>
      <c r="I1051" s="0" t="s">
        <v>21</v>
      </c>
      <c r="J1051" s="0" t="s">
        <v>22</v>
      </c>
      <c r="K1051" s="0" t="s">
        <v>606</v>
      </c>
      <c r="L1051" s="0" t="str">
        <f aca="false">IFERROR(VLOOKUP(K1051,'Supplier list'!B:C,2,0),"")</f>
        <v/>
      </c>
      <c r="M1051" s="1" t="s">
        <v>24</v>
      </c>
      <c r="O1051" s="2" t="n">
        <v>39</v>
      </c>
    </row>
    <row r="1052" customFormat="false" ht="16.4" hidden="false" customHeight="false" outlineLevel="0" collapsed="false">
      <c r="A1052" s="0" t="s">
        <v>15</v>
      </c>
      <c r="B1052" s="0" t="s">
        <v>3405</v>
      </c>
      <c r="C1052" s="0" t="n">
        <v>114001</v>
      </c>
      <c r="D1052" s="0" t="n">
        <v>114001</v>
      </c>
      <c r="E1052" s="0" t="s">
        <v>1815</v>
      </c>
      <c r="F1052" s="0" t="s">
        <v>18</v>
      </c>
      <c r="G1052" s="0" t="s">
        <v>3406</v>
      </c>
      <c r="H1052" s="0" t="s">
        <v>3407</v>
      </c>
      <c r="I1052" s="0" t="s">
        <v>124</v>
      </c>
      <c r="J1052" s="0" t="s">
        <v>125</v>
      </c>
      <c r="K1052" s="0" t="s">
        <v>89</v>
      </c>
      <c r="L1052" s="0" t="str">
        <f aca="false">IFERROR(VLOOKUP(K1052,'Supplier list'!B:C,2,0),"")</f>
        <v>บริษัท เฮเฟเล่ (ประเทศไทย) จำกัด</v>
      </c>
      <c r="M1052" s="1" t="s">
        <v>24</v>
      </c>
      <c r="O1052" s="2" t="n">
        <v>2897</v>
      </c>
    </row>
    <row r="1053" customFormat="false" ht="16.4" hidden="false" customHeight="false" outlineLevel="0" collapsed="false">
      <c r="A1053" s="0" t="s">
        <v>15</v>
      </c>
      <c r="B1053" s="0" t="s">
        <v>3408</v>
      </c>
      <c r="C1053" s="0" t="n">
        <v>114001</v>
      </c>
      <c r="D1053" s="0" t="n">
        <v>114001</v>
      </c>
      <c r="E1053" s="0" t="s">
        <v>1653</v>
      </c>
      <c r="F1053" s="0" t="s">
        <v>18</v>
      </c>
      <c r="G1053" s="0" t="s">
        <v>3409</v>
      </c>
      <c r="H1053" s="0" t="s">
        <v>3410</v>
      </c>
      <c r="I1053" s="0" t="s">
        <v>124</v>
      </c>
      <c r="J1053" s="0" t="s">
        <v>125</v>
      </c>
      <c r="K1053" s="0" t="s">
        <v>89</v>
      </c>
      <c r="L1053" s="0" t="str">
        <f aca="false">IFERROR(VLOOKUP(K1053,'Supplier list'!B:C,2,0),"")</f>
        <v>บริษัท เฮเฟเล่ (ประเทศไทย) จำกัด</v>
      </c>
      <c r="M1053" s="1" t="s">
        <v>24</v>
      </c>
      <c r="O1053" s="2" t="n">
        <v>42056</v>
      </c>
    </row>
    <row r="1054" customFormat="false" ht="16.4" hidden="false" customHeight="false" outlineLevel="0" collapsed="false">
      <c r="A1054" s="0" t="s">
        <v>15</v>
      </c>
      <c r="B1054" s="0" t="s">
        <v>3411</v>
      </c>
      <c r="C1054" s="0" t="n">
        <v>114001</v>
      </c>
      <c r="D1054" s="0" t="n">
        <v>114001</v>
      </c>
      <c r="E1054" s="0" t="s">
        <v>1764</v>
      </c>
      <c r="F1054" s="0" t="s">
        <v>18</v>
      </c>
      <c r="G1054" s="0" t="s">
        <v>3412</v>
      </c>
      <c r="H1054" s="0" t="s">
        <v>3413</v>
      </c>
      <c r="I1054" s="0" t="s">
        <v>21</v>
      </c>
      <c r="J1054" s="0" t="s">
        <v>22</v>
      </c>
      <c r="K1054" s="0" t="s">
        <v>787</v>
      </c>
      <c r="L1054" s="0" t="str">
        <f aca="false">IFERROR(VLOOKUP(K1054,'Supplier list'!B:C,2,0),"")</f>
        <v>บริษัท ฟิวเจอร์เทค อินเตอร์มาร์เก็ตติ้ง จำกัด</v>
      </c>
      <c r="M1054" s="1" t="s">
        <v>24</v>
      </c>
      <c r="O1054" s="2" t="n">
        <v>42</v>
      </c>
    </row>
    <row r="1055" customFormat="false" ht="16.4" hidden="false" customHeight="false" outlineLevel="0" collapsed="false">
      <c r="A1055" s="0" t="s">
        <v>15</v>
      </c>
      <c r="B1055" s="0" t="s">
        <v>3414</v>
      </c>
      <c r="C1055" s="0" t="n">
        <v>114001</v>
      </c>
      <c r="D1055" s="0" t="n">
        <v>114001</v>
      </c>
      <c r="E1055" s="0" t="s">
        <v>1764</v>
      </c>
      <c r="F1055" s="0" t="s">
        <v>18</v>
      </c>
      <c r="G1055" s="0" t="s">
        <v>3415</v>
      </c>
      <c r="H1055" s="0" t="s">
        <v>3416</v>
      </c>
      <c r="I1055" s="0" t="s">
        <v>21</v>
      </c>
      <c r="J1055" s="0" t="s">
        <v>22</v>
      </c>
      <c r="K1055" s="0" t="s">
        <v>787</v>
      </c>
      <c r="L1055" s="0" t="str">
        <f aca="false">IFERROR(VLOOKUP(K1055,'Supplier list'!B:C,2,0),"")</f>
        <v>บริษัท ฟิวเจอร์เทค อินเตอร์มาร์เก็ตติ้ง จำกัด</v>
      </c>
      <c r="M1055" s="1" t="s">
        <v>24</v>
      </c>
      <c r="O1055" s="2" t="n">
        <v>56</v>
      </c>
    </row>
    <row r="1056" customFormat="false" ht="16.4" hidden="false" customHeight="false" outlineLevel="0" collapsed="false">
      <c r="A1056" s="0" t="s">
        <v>15</v>
      </c>
      <c r="B1056" s="0" t="s">
        <v>3417</v>
      </c>
      <c r="C1056" s="0" t="n">
        <v>114001</v>
      </c>
      <c r="D1056" s="0" t="n">
        <v>114001</v>
      </c>
      <c r="E1056" s="0" t="s">
        <v>1764</v>
      </c>
      <c r="F1056" s="0" t="s">
        <v>18</v>
      </c>
      <c r="G1056" s="0" t="s">
        <v>3418</v>
      </c>
      <c r="H1056" s="0" t="s">
        <v>3419</v>
      </c>
      <c r="I1056" s="0" t="s">
        <v>21</v>
      </c>
      <c r="J1056" s="0" t="s">
        <v>22</v>
      </c>
      <c r="K1056" s="0" t="s">
        <v>787</v>
      </c>
      <c r="L1056" s="0" t="str">
        <f aca="false">IFERROR(VLOOKUP(K1056,'Supplier list'!B:C,2,0),"")</f>
        <v>บริษัท ฟิวเจอร์เทค อินเตอร์มาร์เก็ตติ้ง จำกัด</v>
      </c>
      <c r="M1056" s="1" t="s">
        <v>24</v>
      </c>
      <c r="O1056" s="2" t="n">
        <v>77</v>
      </c>
    </row>
    <row r="1057" customFormat="false" ht="16.4" hidden="false" customHeight="false" outlineLevel="0" collapsed="false">
      <c r="A1057" s="0" t="s">
        <v>15</v>
      </c>
      <c r="B1057" s="0" t="s">
        <v>3420</v>
      </c>
      <c r="C1057" s="0" t="n">
        <v>114001</v>
      </c>
      <c r="D1057" s="0" t="n">
        <v>114001</v>
      </c>
      <c r="E1057" s="0" t="s">
        <v>1653</v>
      </c>
      <c r="F1057" s="0" t="s">
        <v>18</v>
      </c>
      <c r="G1057" s="0" t="s">
        <v>3421</v>
      </c>
      <c r="H1057" s="0" t="s">
        <v>3422</v>
      </c>
      <c r="I1057" s="0" t="s">
        <v>124</v>
      </c>
      <c r="J1057" s="0" t="s">
        <v>125</v>
      </c>
      <c r="K1057" s="0" t="s">
        <v>89</v>
      </c>
      <c r="L1057" s="0" t="str">
        <f aca="false">IFERROR(VLOOKUP(K1057,'Supplier list'!B:C,2,0),"")</f>
        <v>บริษัท เฮเฟเล่ (ประเทศไทย) จำกัด</v>
      </c>
      <c r="M1057" s="1" t="s">
        <v>24</v>
      </c>
      <c r="O1057" s="2" t="n">
        <v>17757</v>
      </c>
    </row>
    <row r="1058" customFormat="false" ht="16.4" hidden="false" customHeight="false" outlineLevel="0" collapsed="false">
      <c r="A1058" s="0" t="s">
        <v>15</v>
      </c>
      <c r="B1058" s="0" t="s">
        <v>3423</v>
      </c>
      <c r="C1058" s="0" t="n">
        <v>114001</v>
      </c>
      <c r="D1058" s="0" t="n">
        <v>114001</v>
      </c>
      <c r="E1058" s="0" t="s">
        <v>874</v>
      </c>
      <c r="F1058" s="0" t="s">
        <v>18</v>
      </c>
      <c r="G1058" s="0" t="s">
        <v>3424</v>
      </c>
      <c r="H1058" s="0" t="s">
        <v>3425</v>
      </c>
      <c r="I1058" s="0" t="s">
        <v>21</v>
      </c>
      <c r="J1058" s="0" t="s">
        <v>22</v>
      </c>
      <c r="K1058" s="0" t="s">
        <v>89</v>
      </c>
      <c r="L1058" s="0" t="str">
        <f aca="false">IFERROR(VLOOKUP(K1058,'Supplier list'!B:C,2,0),"")</f>
        <v>บริษัท เฮเฟเล่ (ประเทศไทย) จำกัด</v>
      </c>
      <c r="M1058" s="1" t="s">
        <v>24</v>
      </c>
      <c r="O1058" s="2" t="n">
        <v>6356</v>
      </c>
    </row>
    <row r="1059" customFormat="false" ht="16.4" hidden="false" customHeight="false" outlineLevel="0" collapsed="false">
      <c r="A1059" s="0" t="s">
        <v>15</v>
      </c>
      <c r="B1059" s="0" t="s">
        <v>3426</v>
      </c>
      <c r="C1059" s="0" t="n">
        <v>114001</v>
      </c>
      <c r="D1059" s="0" t="n">
        <v>114001</v>
      </c>
      <c r="E1059" s="0" t="s">
        <v>1653</v>
      </c>
      <c r="F1059" s="0" t="s">
        <v>18</v>
      </c>
      <c r="G1059" s="0" t="s">
        <v>3427</v>
      </c>
      <c r="H1059" s="0" t="s">
        <v>3428</v>
      </c>
      <c r="I1059" s="0" t="s">
        <v>21</v>
      </c>
      <c r="J1059" s="0" t="s">
        <v>22</v>
      </c>
      <c r="K1059" s="0" t="s">
        <v>89</v>
      </c>
      <c r="L1059" s="0" t="str">
        <f aca="false">IFERROR(VLOOKUP(K1059,'Supplier list'!B:C,2,0),"")</f>
        <v>บริษัท เฮเฟเล่ (ประเทศไทย) จำกัด</v>
      </c>
      <c r="M1059" s="1" t="s">
        <v>24</v>
      </c>
      <c r="O1059" s="2" t="n">
        <v>4112</v>
      </c>
    </row>
    <row r="1060" customFormat="false" ht="16.4" hidden="false" customHeight="false" outlineLevel="0" collapsed="false">
      <c r="A1060" s="0" t="s">
        <v>15</v>
      </c>
      <c r="B1060" s="0" t="s">
        <v>3429</v>
      </c>
      <c r="C1060" s="0" t="n">
        <v>114001</v>
      </c>
      <c r="D1060" s="0" t="n">
        <v>114001</v>
      </c>
      <c r="E1060" s="0" t="s">
        <v>1727</v>
      </c>
      <c r="F1060" s="0" t="s">
        <v>18</v>
      </c>
      <c r="G1060" s="0" t="s">
        <v>3430</v>
      </c>
      <c r="H1060" s="0" t="s">
        <v>3431</v>
      </c>
      <c r="I1060" s="0" t="s">
        <v>21</v>
      </c>
      <c r="J1060" s="0" t="s">
        <v>22</v>
      </c>
      <c r="K1060" s="0" t="s">
        <v>787</v>
      </c>
      <c r="L1060" s="0" t="str">
        <f aca="false">IFERROR(VLOOKUP(K1060,'Supplier list'!B:C,2,0),"")</f>
        <v>บริษัท ฟิวเจอร์เทค อินเตอร์มาร์เก็ตติ้ง จำกัด</v>
      </c>
      <c r="M1060" s="1" t="s">
        <v>24</v>
      </c>
      <c r="O1060" s="2" t="n">
        <v>140</v>
      </c>
    </row>
    <row r="1061" customFormat="false" ht="16.4" hidden="false" customHeight="false" outlineLevel="0" collapsed="false">
      <c r="A1061" s="0" t="s">
        <v>15</v>
      </c>
      <c r="B1061" s="0" t="s">
        <v>3432</v>
      </c>
      <c r="C1061" s="0" t="n">
        <v>114001</v>
      </c>
      <c r="D1061" s="0" t="n">
        <v>114001</v>
      </c>
      <c r="E1061" s="0" t="s">
        <v>1764</v>
      </c>
      <c r="F1061" s="0" t="s">
        <v>18</v>
      </c>
      <c r="G1061" s="0" t="s">
        <v>3433</v>
      </c>
      <c r="H1061" s="0" t="s">
        <v>3434</v>
      </c>
      <c r="I1061" s="0" t="s">
        <v>21</v>
      </c>
      <c r="J1061" s="0" t="s">
        <v>22</v>
      </c>
      <c r="K1061" s="0" t="s">
        <v>787</v>
      </c>
      <c r="L1061" s="0" t="str">
        <f aca="false">IFERROR(VLOOKUP(K1061,'Supplier list'!B:C,2,0),"")</f>
        <v>บริษัท ฟิวเจอร์เทค อินเตอร์มาร์เก็ตติ้ง จำกัด</v>
      </c>
      <c r="M1061" s="1" t="s">
        <v>24</v>
      </c>
      <c r="O1061" s="2" t="n">
        <v>38.5</v>
      </c>
    </row>
    <row r="1062" customFormat="false" ht="16.4" hidden="false" customHeight="false" outlineLevel="0" collapsed="false">
      <c r="A1062" s="0" t="s">
        <v>15</v>
      </c>
      <c r="B1062" s="0" t="s">
        <v>3435</v>
      </c>
      <c r="C1062" s="0" t="n">
        <v>114001</v>
      </c>
      <c r="D1062" s="0" t="n">
        <v>114001</v>
      </c>
      <c r="E1062" s="0" t="s">
        <v>1764</v>
      </c>
      <c r="F1062" s="0" t="s">
        <v>18</v>
      </c>
      <c r="G1062" s="0" t="s">
        <v>3436</v>
      </c>
      <c r="H1062" s="0" t="s">
        <v>3437</v>
      </c>
      <c r="I1062" s="0" t="s">
        <v>21</v>
      </c>
      <c r="J1062" s="0" t="s">
        <v>22</v>
      </c>
      <c r="K1062" s="0" t="s">
        <v>787</v>
      </c>
      <c r="L1062" s="0" t="str">
        <f aca="false">IFERROR(VLOOKUP(K1062,'Supplier list'!B:C,2,0),"")</f>
        <v>บริษัท ฟิวเจอร์เทค อินเตอร์มาร์เก็ตติ้ง จำกัด</v>
      </c>
      <c r="M1062" s="1" t="s">
        <v>1740</v>
      </c>
      <c r="N1062" s="2" t="n">
        <v>200</v>
      </c>
      <c r="O1062" s="2" t="n">
        <v>58.5</v>
      </c>
    </row>
    <row r="1063" customFormat="false" ht="16.4" hidden="false" customHeight="false" outlineLevel="0" collapsed="false">
      <c r="A1063" s="0" t="s">
        <v>15</v>
      </c>
      <c r="B1063" s="0" t="s">
        <v>3438</v>
      </c>
      <c r="C1063" s="0" t="n">
        <v>114001</v>
      </c>
      <c r="D1063" s="0" t="n">
        <v>114001</v>
      </c>
      <c r="E1063" s="0" t="s">
        <v>1764</v>
      </c>
      <c r="F1063" s="0" t="s">
        <v>18</v>
      </c>
      <c r="G1063" s="0" t="s">
        <v>3439</v>
      </c>
      <c r="H1063" s="0" t="s">
        <v>3440</v>
      </c>
      <c r="I1063" s="0" t="s">
        <v>21</v>
      </c>
      <c r="J1063" s="0" t="s">
        <v>22</v>
      </c>
      <c r="K1063" s="0" t="s">
        <v>787</v>
      </c>
      <c r="L1063" s="0" t="str">
        <f aca="false">IFERROR(VLOOKUP(K1063,'Supplier list'!B:C,2,0),"")</f>
        <v>บริษัท ฟิวเจอร์เทค อินเตอร์มาร์เก็ตติ้ง จำกัด</v>
      </c>
      <c r="M1063" s="1" t="s">
        <v>24</v>
      </c>
      <c r="O1063" s="2" t="n">
        <v>70</v>
      </c>
    </row>
    <row r="1064" customFormat="false" ht="16.4" hidden="false" customHeight="false" outlineLevel="0" collapsed="false">
      <c r="A1064" s="0" t="s">
        <v>15</v>
      </c>
      <c r="B1064" s="0" t="s">
        <v>3441</v>
      </c>
      <c r="C1064" s="0" t="n">
        <v>114001</v>
      </c>
      <c r="D1064" s="0" t="n">
        <v>114001</v>
      </c>
      <c r="E1064" s="0" t="s">
        <v>197</v>
      </c>
      <c r="F1064" s="0" t="s">
        <v>18</v>
      </c>
      <c r="G1064" s="0" t="s">
        <v>3442</v>
      </c>
      <c r="H1064" s="0" t="s">
        <v>3288</v>
      </c>
      <c r="I1064" s="0" t="s">
        <v>21</v>
      </c>
      <c r="J1064" s="0" t="s">
        <v>22</v>
      </c>
      <c r="K1064" s="0" t="s">
        <v>89</v>
      </c>
      <c r="L1064" s="0" t="str">
        <f aca="false">IFERROR(VLOOKUP(K1064,'Supplier list'!B:C,2,0),"")</f>
        <v>บริษัท เฮเฟเล่ (ประเทศไทย) จำกัด</v>
      </c>
      <c r="M1064" s="1" t="s">
        <v>24</v>
      </c>
      <c r="O1064" s="2" t="n">
        <v>8318</v>
      </c>
    </row>
    <row r="1065" customFormat="false" ht="16.4" hidden="false" customHeight="false" outlineLevel="0" collapsed="false">
      <c r="A1065" s="0" t="s">
        <v>15</v>
      </c>
      <c r="B1065" s="0" t="s">
        <v>3443</v>
      </c>
      <c r="C1065" s="0" t="n">
        <v>114001</v>
      </c>
      <c r="D1065" s="0" t="n">
        <v>114001</v>
      </c>
      <c r="E1065" s="0" t="s">
        <v>197</v>
      </c>
      <c r="F1065" s="0" t="s">
        <v>18</v>
      </c>
      <c r="G1065" s="0" t="s">
        <v>3444</v>
      </c>
      <c r="H1065" s="0" t="s">
        <v>3445</v>
      </c>
      <c r="I1065" s="0" t="s">
        <v>21</v>
      </c>
      <c r="J1065" s="0" t="s">
        <v>22</v>
      </c>
      <c r="K1065" s="0" t="s">
        <v>787</v>
      </c>
      <c r="L1065" s="0" t="str">
        <f aca="false">IFERROR(VLOOKUP(K1065,'Supplier list'!B:C,2,0),"")</f>
        <v>บริษัท ฟิวเจอร์เทค อินเตอร์มาร์เก็ตติ้ง จำกัด</v>
      </c>
      <c r="M1065" s="1" t="s">
        <v>24</v>
      </c>
      <c r="O1065" s="2" t="n">
        <v>1050</v>
      </c>
    </row>
    <row r="1066" customFormat="false" ht="16.4" hidden="false" customHeight="false" outlineLevel="0" collapsed="false">
      <c r="A1066" s="0" t="s">
        <v>15</v>
      </c>
      <c r="B1066" s="0" t="s">
        <v>3446</v>
      </c>
      <c r="C1066" s="0" t="n">
        <v>114001</v>
      </c>
      <c r="D1066" s="0" t="n">
        <v>114001</v>
      </c>
      <c r="E1066" s="0" t="s">
        <v>1653</v>
      </c>
      <c r="F1066" s="0" t="s">
        <v>18</v>
      </c>
      <c r="G1066" s="0" t="s">
        <v>3447</v>
      </c>
      <c r="H1066" s="0" t="s">
        <v>3448</v>
      </c>
      <c r="I1066" s="0" t="s">
        <v>124</v>
      </c>
      <c r="J1066" s="0" t="s">
        <v>125</v>
      </c>
      <c r="K1066" s="0" t="s">
        <v>1725</v>
      </c>
      <c r="L1066" s="0" t="str">
        <f aca="false">IFERROR(VLOOKUP(K1066,'Supplier list'!B:C,2,0),"")</f>
        <v>บริษัท พรีซิชั่นไลน์ จำกัด</v>
      </c>
      <c r="M1066" s="1" t="s">
        <v>24</v>
      </c>
      <c r="O1066" s="2" t="n">
        <v>4850</v>
      </c>
    </row>
    <row r="1067" customFormat="false" ht="16.4" hidden="false" customHeight="false" outlineLevel="0" collapsed="false">
      <c r="A1067" s="0" t="s">
        <v>15</v>
      </c>
      <c r="B1067" s="0" t="s">
        <v>3449</v>
      </c>
      <c r="C1067" s="0" t="n">
        <v>114001</v>
      </c>
      <c r="D1067" s="0" t="n">
        <v>114001</v>
      </c>
      <c r="E1067" s="0" t="s">
        <v>1653</v>
      </c>
      <c r="F1067" s="0" t="s">
        <v>18</v>
      </c>
      <c r="G1067" s="0" t="s">
        <v>3450</v>
      </c>
      <c r="H1067" s="0" t="s">
        <v>3451</v>
      </c>
      <c r="I1067" s="0" t="s">
        <v>124</v>
      </c>
      <c r="J1067" s="0" t="s">
        <v>125</v>
      </c>
      <c r="K1067" s="0" t="s">
        <v>1725</v>
      </c>
      <c r="L1067" s="0" t="str">
        <f aca="false">IFERROR(VLOOKUP(K1067,'Supplier list'!B:C,2,0),"")</f>
        <v>บริษัท พรีซิชั่นไลน์ จำกัด</v>
      </c>
      <c r="M1067" s="1" t="s">
        <v>24</v>
      </c>
      <c r="O1067" s="2" t="n">
        <v>0</v>
      </c>
    </row>
    <row r="1068" customFormat="false" ht="16.4" hidden="false" customHeight="false" outlineLevel="0" collapsed="false">
      <c r="A1068" s="0" t="s">
        <v>15</v>
      </c>
      <c r="B1068" s="0" t="s">
        <v>3452</v>
      </c>
      <c r="C1068" s="0" t="n">
        <v>114001</v>
      </c>
      <c r="D1068" s="0" t="n">
        <v>114001</v>
      </c>
      <c r="E1068" s="0" t="s">
        <v>1653</v>
      </c>
      <c r="F1068" s="0" t="s">
        <v>18</v>
      </c>
      <c r="G1068" s="0" t="s">
        <v>3453</v>
      </c>
      <c r="H1068" s="0" t="s">
        <v>3454</v>
      </c>
      <c r="I1068" s="0" t="s">
        <v>124</v>
      </c>
      <c r="J1068" s="0" t="s">
        <v>125</v>
      </c>
      <c r="K1068" s="0" t="s">
        <v>1725</v>
      </c>
      <c r="L1068" s="0" t="str">
        <f aca="false">IFERROR(VLOOKUP(K1068,'Supplier list'!B:C,2,0),"")</f>
        <v>บริษัท พรีซิชั่นไลน์ จำกัด</v>
      </c>
      <c r="M1068" s="1" t="s">
        <v>1740</v>
      </c>
      <c r="N1068" s="2" t="n">
        <v>22500</v>
      </c>
      <c r="O1068" s="2" t="n">
        <v>19600</v>
      </c>
    </row>
    <row r="1069" customFormat="false" ht="16.4" hidden="false" customHeight="false" outlineLevel="0" collapsed="false">
      <c r="A1069" s="0" t="s">
        <v>15</v>
      </c>
      <c r="B1069" s="0" t="s">
        <v>3455</v>
      </c>
      <c r="C1069" s="0" t="n">
        <v>114001</v>
      </c>
      <c r="D1069" s="0" t="n">
        <v>114001</v>
      </c>
      <c r="E1069" s="0" t="s">
        <v>1653</v>
      </c>
      <c r="F1069" s="0" t="s">
        <v>18</v>
      </c>
      <c r="G1069" s="0" t="s">
        <v>3456</v>
      </c>
      <c r="H1069" s="0" t="s">
        <v>3457</v>
      </c>
      <c r="I1069" s="0" t="s">
        <v>21</v>
      </c>
      <c r="J1069" s="0" t="s">
        <v>22</v>
      </c>
      <c r="K1069" s="0" t="s">
        <v>89</v>
      </c>
      <c r="L1069" s="0" t="str">
        <f aca="false">IFERROR(VLOOKUP(K1069,'Supplier list'!B:C,2,0),"")</f>
        <v>บริษัท เฮเฟเล่ (ประเทศไทย) จำกัด</v>
      </c>
      <c r="M1069" s="1" t="s">
        <v>24</v>
      </c>
      <c r="O1069" s="2" t="n">
        <v>13084</v>
      </c>
    </row>
    <row r="1070" customFormat="false" ht="16.4" hidden="false" customHeight="false" outlineLevel="0" collapsed="false">
      <c r="A1070" s="0" t="s">
        <v>15</v>
      </c>
      <c r="B1070" s="0" t="s">
        <v>3458</v>
      </c>
      <c r="C1070" s="0" t="n">
        <v>114001</v>
      </c>
      <c r="D1070" s="0" t="n">
        <v>114001</v>
      </c>
      <c r="E1070" s="0" t="s">
        <v>1764</v>
      </c>
      <c r="F1070" s="0" t="s">
        <v>18</v>
      </c>
      <c r="G1070" s="0" t="s">
        <v>3459</v>
      </c>
      <c r="H1070" s="0" t="s">
        <v>3460</v>
      </c>
      <c r="I1070" s="0" t="s">
        <v>21</v>
      </c>
      <c r="J1070" s="0" t="s">
        <v>22</v>
      </c>
      <c r="K1070" s="0" t="s">
        <v>787</v>
      </c>
      <c r="L1070" s="0" t="str">
        <f aca="false">IFERROR(VLOOKUP(K1070,'Supplier list'!B:C,2,0),"")</f>
        <v>บริษัท ฟิวเจอร์เทค อินเตอร์มาร์เก็ตติ้ง จำกัด</v>
      </c>
      <c r="M1070" s="1" t="s">
        <v>24</v>
      </c>
      <c r="O1070" s="2" t="n">
        <v>56</v>
      </c>
    </row>
    <row r="1071" customFormat="false" ht="16.4" hidden="false" customHeight="false" outlineLevel="0" collapsed="false">
      <c r="A1071" s="0" t="s">
        <v>15</v>
      </c>
      <c r="B1071" s="0" t="s">
        <v>3461</v>
      </c>
      <c r="C1071" s="0" t="n">
        <v>114001</v>
      </c>
      <c r="D1071" s="0" t="n">
        <v>114001</v>
      </c>
      <c r="E1071" s="0" t="s">
        <v>1764</v>
      </c>
      <c r="F1071" s="0" t="s">
        <v>18</v>
      </c>
      <c r="G1071" s="0" t="s">
        <v>3462</v>
      </c>
      <c r="H1071" s="0" t="s">
        <v>3463</v>
      </c>
      <c r="I1071" s="0" t="s">
        <v>21</v>
      </c>
      <c r="J1071" s="0" t="s">
        <v>22</v>
      </c>
      <c r="K1071" s="0" t="s">
        <v>787</v>
      </c>
      <c r="L1071" s="0" t="str">
        <f aca="false">IFERROR(VLOOKUP(K1071,'Supplier list'!B:C,2,0),"")</f>
        <v>บริษัท ฟิวเจอร์เทค อินเตอร์มาร์เก็ตติ้ง จำกัด</v>
      </c>
      <c r="M1071" s="1" t="s">
        <v>24</v>
      </c>
      <c r="O1071" s="2" t="n">
        <v>49</v>
      </c>
    </row>
    <row r="1072" customFormat="false" ht="16.4" hidden="false" customHeight="false" outlineLevel="0" collapsed="false">
      <c r="A1072" s="0" t="s">
        <v>15</v>
      </c>
      <c r="B1072" s="0" t="s">
        <v>3464</v>
      </c>
      <c r="C1072" s="0" t="n">
        <v>114001</v>
      </c>
      <c r="D1072" s="0" t="n">
        <v>114001</v>
      </c>
      <c r="E1072" s="0" t="s">
        <v>1764</v>
      </c>
      <c r="F1072" s="0" t="s">
        <v>18</v>
      </c>
      <c r="G1072" s="0" t="s">
        <v>3465</v>
      </c>
      <c r="H1072" s="0" t="s">
        <v>3466</v>
      </c>
      <c r="I1072" s="0" t="s">
        <v>21</v>
      </c>
      <c r="J1072" s="0" t="s">
        <v>22</v>
      </c>
      <c r="K1072" s="0" t="s">
        <v>787</v>
      </c>
      <c r="L1072" s="0" t="str">
        <f aca="false">IFERROR(VLOOKUP(K1072,'Supplier list'!B:C,2,0),"")</f>
        <v>บริษัท ฟิวเจอร์เทค อินเตอร์มาร์เก็ตติ้ง จำกัด</v>
      </c>
      <c r="M1072" s="1" t="s">
        <v>1740</v>
      </c>
      <c r="N1072" s="2" t="n">
        <v>150</v>
      </c>
      <c r="O1072" s="2" t="n">
        <v>38.5</v>
      </c>
    </row>
    <row r="1073" customFormat="false" ht="16.4" hidden="false" customHeight="false" outlineLevel="0" collapsed="false">
      <c r="A1073" s="0" t="s">
        <v>15</v>
      </c>
      <c r="B1073" s="0" t="s">
        <v>3467</v>
      </c>
      <c r="C1073" s="0" t="n">
        <v>114001</v>
      </c>
      <c r="D1073" s="0" t="n">
        <v>114001</v>
      </c>
      <c r="E1073" s="0" t="s">
        <v>1764</v>
      </c>
      <c r="F1073" s="0" t="s">
        <v>18</v>
      </c>
      <c r="G1073" s="0" t="s">
        <v>3468</v>
      </c>
      <c r="H1073" s="0" t="s">
        <v>3469</v>
      </c>
      <c r="I1073" s="0" t="s">
        <v>21</v>
      </c>
      <c r="J1073" s="0" t="s">
        <v>22</v>
      </c>
      <c r="K1073" s="0" t="s">
        <v>787</v>
      </c>
      <c r="L1073" s="0" t="str">
        <f aca="false">IFERROR(VLOOKUP(K1073,'Supplier list'!B:C,2,0),"")</f>
        <v>บริษัท ฟิวเจอร์เทค อินเตอร์มาร์เก็ตติ้ง จำกัด</v>
      </c>
      <c r="M1073" s="1" t="s">
        <v>24</v>
      </c>
      <c r="O1073" s="2" t="n">
        <v>70</v>
      </c>
    </row>
    <row r="1074" customFormat="false" ht="16.4" hidden="false" customHeight="false" outlineLevel="0" collapsed="false">
      <c r="A1074" s="0" t="s">
        <v>15</v>
      </c>
      <c r="B1074" s="0" t="s">
        <v>3470</v>
      </c>
      <c r="C1074" s="0" t="n">
        <v>114001</v>
      </c>
      <c r="D1074" s="0" t="n">
        <v>114001</v>
      </c>
      <c r="E1074" s="0" t="s">
        <v>874</v>
      </c>
      <c r="F1074" s="0" t="s">
        <v>18</v>
      </c>
      <c r="G1074" s="0" t="s">
        <v>3471</v>
      </c>
      <c r="H1074" s="0" t="s">
        <v>3472</v>
      </c>
      <c r="I1074" s="0" t="s">
        <v>21</v>
      </c>
      <c r="J1074" s="0" t="s">
        <v>22</v>
      </c>
      <c r="K1074" s="0" t="s">
        <v>89</v>
      </c>
      <c r="L1074" s="0" t="str">
        <f aca="false">IFERROR(VLOOKUP(K1074,'Supplier list'!B:C,2,0),"")</f>
        <v>บริษัท เฮเฟเล่ (ประเทศไทย) จำกัด</v>
      </c>
      <c r="M1074" s="1" t="s">
        <v>24</v>
      </c>
      <c r="O1074" s="2" t="n">
        <v>1350</v>
      </c>
    </row>
    <row r="1075" customFormat="false" ht="16.4" hidden="false" customHeight="false" outlineLevel="0" collapsed="false">
      <c r="A1075" s="0" t="s">
        <v>15</v>
      </c>
      <c r="B1075" s="0" t="s">
        <v>3473</v>
      </c>
      <c r="C1075" s="0" t="n">
        <v>114001</v>
      </c>
      <c r="D1075" s="0" t="n">
        <v>114001</v>
      </c>
      <c r="E1075" s="0" t="s">
        <v>1653</v>
      </c>
      <c r="F1075" s="0" t="s">
        <v>18</v>
      </c>
      <c r="G1075" s="0" t="s">
        <v>3474</v>
      </c>
      <c r="H1075" s="0" t="s">
        <v>3475</v>
      </c>
      <c r="I1075" s="0" t="s">
        <v>124</v>
      </c>
      <c r="J1075" s="0" t="s">
        <v>125</v>
      </c>
      <c r="K1075" s="0" t="s">
        <v>89</v>
      </c>
      <c r="L1075" s="0" t="str">
        <f aca="false">IFERROR(VLOOKUP(K1075,'Supplier list'!B:C,2,0),"")</f>
        <v>บริษัท เฮเฟเล่ (ประเทศไทย) จำกัด</v>
      </c>
      <c r="M1075" s="1" t="s">
        <v>24</v>
      </c>
      <c r="O1075" s="2" t="n">
        <v>6600</v>
      </c>
    </row>
    <row r="1076" customFormat="false" ht="16.4" hidden="false" customHeight="false" outlineLevel="0" collapsed="false">
      <c r="A1076" s="0" t="s">
        <v>15</v>
      </c>
      <c r="B1076" s="0" t="s">
        <v>3476</v>
      </c>
      <c r="C1076" s="0" t="n">
        <v>114001</v>
      </c>
      <c r="D1076" s="0" t="n">
        <v>114001</v>
      </c>
      <c r="E1076" s="0" t="s">
        <v>1605</v>
      </c>
      <c r="F1076" s="0" t="s">
        <v>18</v>
      </c>
      <c r="G1076" s="0" t="s">
        <v>3477</v>
      </c>
      <c r="H1076" s="0" t="s">
        <v>3478</v>
      </c>
      <c r="I1076" s="0" t="s">
        <v>21</v>
      </c>
      <c r="J1076" s="0" t="s">
        <v>22</v>
      </c>
      <c r="K1076" s="0" t="s">
        <v>1725</v>
      </c>
      <c r="L1076" s="0" t="str">
        <f aca="false">IFERROR(VLOOKUP(K1076,'Supplier list'!B:C,2,0),"")</f>
        <v>บริษัท พรีซิชั่นไลน์ จำกัด</v>
      </c>
      <c r="M1076" s="1" t="s">
        <v>24</v>
      </c>
      <c r="O1076" s="2" t="n">
        <v>5.1</v>
      </c>
    </row>
    <row r="1077" customFormat="false" ht="16.4" hidden="false" customHeight="false" outlineLevel="0" collapsed="false">
      <c r="A1077" s="0" t="s">
        <v>15</v>
      </c>
      <c r="B1077" s="0" t="s">
        <v>3479</v>
      </c>
      <c r="C1077" s="0" t="n">
        <v>114001</v>
      </c>
      <c r="D1077" s="0" t="n">
        <v>114001</v>
      </c>
      <c r="E1077" s="0" t="s">
        <v>1764</v>
      </c>
      <c r="F1077" s="0" t="s">
        <v>18</v>
      </c>
      <c r="G1077" s="0" t="s">
        <v>3480</v>
      </c>
      <c r="H1077" s="0" t="s">
        <v>3481</v>
      </c>
      <c r="I1077" s="0" t="s">
        <v>21</v>
      </c>
      <c r="J1077" s="0" t="s">
        <v>22</v>
      </c>
      <c r="K1077" s="0" t="s">
        <v>787</v>
      </c>
      <c r="L1077" s="0" t="str">
        <f aca="false">IFERROR(VLOOKUP(K1077,'Supplier list'!B:C,2,0),"")</f>
        <v>บริษัท ฟิวเจอร์เทค อินเตอร์มาร์เก็ตติ้ง จำกัด</v>
      </c>
      <c r="M1077" s="1" t="s">
        <v>24</v>
      </c>
      <c r="O1077" s="2" t="n">
        <v>28</v>
      </c>
    </row>
    <row r="1078" customFormat="false" ht="16.4" hidden="false" customHeight="false" outlineLevel="0" collapsed="false">
      <c r="A1078" s="0" t="s">
        <v>15</v>
      </c>
      <c r="B1078" s="0" t="s">
        <v>3482</v>
      </c>
      <c r="C1078" s="0" t="n">
        <v>114001</v>
      </c>
      <c r="D1078" s="0" t="n">
        <v>114001</v>
      </c>
      <c r="E1078" s="0" t="s">
        <v>961</v>
      </c>
      <c r="F1078" s="0" t="s">
        <v>18</v>
      </c>
      <c r="G1078" s="0" t="s">
        <v>3483</v>
      </c>
      <c r="H1078" s="0" t="s">
        <v>3484</v>
      </c>
      <c r="I1078" s="0" t="s">
        <v>517</v>
      </c>
      <c r="J1078" s="0" t="s">
        <v>518</v>
      </c>
      <c r="K1078" s="0" t="s">
        <v>89</v>
      </c>
      <c r="L1078" s="0" t="str">
        <f aca="false">IFERROR(VLOOKUP(K1078,'Supplier list'!B:C,2,0),"")</f>
        <v>บริษัท เฮเฟเล่ (ประเทศไทย) จำกัด</v>
      </c>
      <c r="M1078" s="1" t="s">
        <v>24</v>
      </c>
      <c r="O1078" s="2" t="n">
        <v>233</v>
      </c>
    </row>
    <row r="1079" customFormat="false" ht="16.4" hidden="false" customHeight="false" outlineLevel="0" collapsed="false">
      <c r="A1079" s="0" t="s">
        <v>15</v>
      </c>
      <c r="B1079" s="0" t="s">
        <v>3485</v>
      </c>
      <c r="C1079" s="0" t="n">
        <v>114001</v>
      </c>
      <c r="D1079" s="0" t="n">
        <v>114001</v>
      </c>
      <c r="E1079" s="0" t="s">
        <v>1815</v>
      </c>
      <c r="F1079" s="0" t="s">
        <v>18</v>
      </c>
      <c r="G1079" s="0" t="s">
        <v>3486</v>
      </c>
      <c r="H1079" s="0" t="s">
        <v>3487</v>
      </c>
      <c r="I1079" s="0" t="s">
        <v>124</v>
      </c>
      <c r="J1079" s="0" t="s">
        <v>125</v>
      </c>
      <c r="K1079" s="0" t="s">
        <v>2065</v>
      </c>
      <c r="L1079" s="0" t="str">
        <f aca="false">IFERROR(VLOOKUP(K1079,'Supplier list'!B:C,2,0),"")</f>
        <v>บริษัท บลู อินเตอร์เนชั่นแนล จำกัด</v>
      </c>
      <c r="M1079" s="1" t="s">
        <v>24</v>
      </c>
      <c r="O1079" s="2" t="n">
        <v>2028</v>
      </c>
    </row>
    <row r="1080" customFormat="false" ht="16.4" hidden="false" customHeight="false" outlineLevel="0" collapsed="false">
      <c r="A1080" s="0" t="s">
        <v>15</v>
      </c>
      <c r="B1080" s="0" t="s">
        <v>3488</v>
      </c>
      <c r="C1080" s="0" t="n">
        <v>114001</v>
      </c>
      <c r="D1080" s="0" t="n">
        <v>114001</v>
      </c>
      <c r="E1080" s="0" t="s">
        <v>961</v>
      </c>
      <c r="F1080" s="0" t="s">
        <v>18</v>
      </c>
      <c r="G1080" s="0" t="s">
        <v>3489</v>
      </c>
      <c r="H1080" s="0" t="s">
        <v>3490</v>
      </c>
      <c r="I1080" s="0" t="s">
        <v>124</v>
      </c>
      <c r="J1080" s="0" t="s">
        <v>125</v>
      </c>
      <c r="K1080" s="0" t="s">
        <v>2065</v>
      </c>
      <c r="L1080" s="0" t="str">
        <f aca="false">IFERROR(VLOOKUP(K1080,'Supplier list'!B:C,2,0),"")</f>
        <v>บริษัท บลู อินเตอร์เนชั่นแนล จำกัด</v>
      </c>
      <c r="M1080" s="1" t="s">
        <v>24</v>
      </c>
      <c r="O1080" s="2" t="n">
        <v>145</v>
      </c>
    </row>
    <row r="1081" customFormat="false" ht="16.4" hidden="false" customHeight="false" outlineLevel="0" collapsed="false">
      <c r="A1081" s="0" t="s">
        <v>15</v>
      </c>
      <c r="B1081" s="0" t="s">
        <v>3491</v>
      </c>
      <c r="C1081" s="0" t="n">
        <v>114001</v>
      </c>
      <c r="D1081" s="0" t="n">
        <v>114001</v>
      </c>
      <c r="E1081" s="0" t="s">
        <v>1815</v>
      </c>
      <c r="F1081" s="0" t="s">
        <v>18</v>
      </c>
      <c r="G1081" s="0" t="s">
        <v>3492</v>
      </c>
      <c r="H1081" s="0" t="s">
        <v>3493</v>
      </c>
      <c r="I1081" s="0" t="s">
        <v>517</v>
      </c>
      <c r="J1081" s="0" t="s">
        <v>518</v>
      </c>
      <c r="K1081" s="0" t="s">
        <v>89</v>
      </c>
      <c r="L1081" s="0" t="str">
        <f aca="false">IFERROR(VLOOKUP(K1081,'Supplier list'!B:C,2,0),"")</f>
        <v>บริษัท เฮเฟเล่ (ประเทศไทย) จำกัด</v>
      </c>
      <c r="M1081" s="1" t="s">
        <v>24</v>
      </c>
      <c r="O1081" s="2" t="n">
        <v>430</v>
      </c>
    </row>
    <row r="1082" customFormat="false" ht="16.4" hidden="false" customHeight="false" outlineLevel="0" collapsed="false">
      <c r="A1082" s="0" t="s">
        <v>15</v>
      </c>
      <c r="B1082" s="0" t="s">
        <v>3494</v>
      </c>
      <c r="C1082" s="0" t="n">
        <v>114001</v>
      </c>
      <c r="D1082" s="0" t="n">
        <v>114001</v>
      </c>
      <c r="E1082" s="0" t="s">
        <v>1764</v>
      </c>
      <c r="F1082" s="0" t="s">
        <v>18</v>
      </c>
      <c r="G1082" s="0" t="s">
        <v>3495</v>
      </c>
      <c r="H1082" s="0" t="s">
        <v>3496</v>
      </c>
      <c r="I1082" s="0" t="s">
        <v>21</v>
      </c>
      <c r="J1082" s="0" t="s">
        <v>22</v>
      </c>
      <c r="K1082" s="0" t="s">
        <v>787</v>
      </c>
      <c r="L1082" s="0" t="str">
        <f aca="false">IFERROR(VLOOKUP(K1082,'Supplier list'!B:C,2,0),"")</f>
        <v>บริษัท ฟิวเจอร์เทค อินเตอร์มาร์เก็ตติ้ง จำกัด</v>
      </c>
      <c r="M1082" s="1" t="s">
        <v>24</v>
      </c>
      <c r="O1082" s="2" t="n">
        <v>66.5</v>
      </c>
    </row>
    <row r="1083" customFormat="false" ht="16.4" hidden="false" customHeight="false" outlineLevel="0" collapsed="false">
      <c r="A1083" s="0" t="s">
        <v>15</v>
      </c>
      <c r="B1083" s="0" t="s">
        <v>3497</v>
      </c>
      <c r="C1083" s="0" t="n">
        <v>114001</v>
      </c>
      <c r="D1083" s="0" t="n">
        <v>114001</v>
      </c>
      <c r="E1083" s="0" t="s">
        <v>1815</v>
      </c>
      <c r="F1083" s="0" t="s">
        <v>18</v>
      </c>
      <c r="G1083" s="0" t="s">
        <v>3498</v>
      </c>
      <c r="H1083" s="0" t="s">
        <v>3499</v>
      </c>
      <c r="I1083" s="0" t="s">
        <v>517</v>
      </c>
      <c r="J1083" s="0" t="s">
        <v>518</v>
      </c>
      <c r="K1083" s="0" t="s">
        <v>89</v>
      </c>
      <c r="L1083" s="0" t="str">
        <f aca="false">IFERROR(VLOOKUP(K1083,'Supplier list'!B:C,2,0),"")</f>
        <v>บริษัท เฮเฟเล่ (ประเทศไทย) จำกัด</v>
      </c>
      <c r="M1083" s="1" t="s">
        <v>24</v>
      </c>
      <c r="O1083" s="2" t="n">
        <v>560</v>
      </c>
    </row>
    <row r="1084" customFormat="false" ht="16.4" hidden="false" customHeight="false" outlineLevel="0" collapsed="false">
      <c r="A1084" s="0" t="s">
        <v>15</v>
      </c>
      <c r="B1084" s="0" t="s">
        <v>3500</v>
      </c>
      <c r="C1084" s="0" t="n">
        <v>114001</v>
      </c>
      <c r="D1084" s="0" t="n">
        <v>114001</v>
      </c>
      <c r="E1084" s="0" t="s">
        <v>1815</v>
      </c>
      <c r="F1084" s="0" t="s">
        <v>18</v>
      </c>
      <c r="G1084" s="0" t="s">
        <v>3501</v>
      </c>
      <c r="H1084" s="0" t="s">
        <v>3502</v>
      </c>
      <c r="I1084" s="0" t="s">
        <v>124</v>
      </c>
      <c r="J1084" s="0" t="s">
        <v>125</v>
      </c>
      <c r="K1084" s="0" t="s">
        <v>1725</v>
      </c>
      <c r="L1084" s="0" t="str">
        <f aca="false">IFERROR(VLOOKUP(K1084,'Supplier list'!B:C,2,0),"")</f>
        <v>บริษัท พรีซิชั่นไลน์ จำกัด</v>
      </c>
      <c r="M1084" s="1" t="s">
        <v>24</v>
      </c>
      <c r="O1084" s="2" t="n">
        <v>1115</v>
      </c>
    </row>
    <row r="1085" customFormat="false" ht="16.4" hidden="false" customHeight="false" outlineLevel="0" collapsed="false">
      <c r="A1085" s="0" t="s">
        <v>15</v>
      </c>
      <c r="B1085" s="0" t="s">
        <v>3503</v>
      </c>
      <c r="C1085" s="0" t="n">
        <v>114001</v>
      </c>
      <c r="D1085" s="0" t="n">
        <v>114001</v>
      </c>
      <c r="E1085" s="0" t="s">
        <v>1764</v>
      </c>
      <c r="F1085" s="0" t="s">
        <v>18</v>
      </c>
      <c r="G1085" s="0" t="s">
        <v>3504</v>
      </c>
      <c r="H1085" s="0" t="s">
        <v>3505</v>
      </c>
      <c r="I1085" s="0" t="s">
        <v>21</v>
      </c>
      <c r="J1085" s="0" t="s">
        <v>22</v>
      </c>
      <c r="K1085" s="0" t="s">
        <v>787</v>
      </c>
      <c r="L1085" s="0" t="str">
        <f aca="false">IFERROR(VLOOKUP(K1085,'Supplier list'!B:C,2,0),"")</f>
        <v>บริษัท ฟิวเจอร์เทค อินเตอร์มาร์เก็ตติ้ง จำกัด</v>
      </c>
      <c r="M1085" s="1" t="s">
        <v>24</v>
      </c>
      <c r="O1085" s="2" t="n">
        <v>56.5</v>
      </c>
    </row>
    <row r="1086" customFormat="false" ht="16.4" hidden="false" customHeight="false" outlineLevel="0" collapsed="false">
      <c r="A1086" s="0" t="s">
        <v>15</v>
      </c>
      <c r="B1086" s="0" t="s">
        <v>3506</v>
      </c>
      <c r="C1086" s="0" t="n">
        <v>114001</v>
      </c>
      <c r="D1086" s="0" t="n">
        <v>114001</v>
      </c>
      <c r="E1086" s="0" t="s">
        <v>1601</v>
      </c>
      <c r="F1086" s="0" t="s">
        <v>18</v>
      </c>
      <c r="G1086" s="0" t="s">
        <v>3507</v>
      </c>
      <c r="H1086" s="0" t="s">
        <v>3508</v>
      </c>
      <c r="I1086" s="0" t="s">
        <v>168</v>
      </c>
      <c r="J1086" s="0" t="s">
        <v>169</v>
      </c>
      <c r="K1086" s="0" t="s">
        <v>787</v>
      </c>
      <c r="L1086" s="0" t="str">
        <f aca="false">IFERROR(VLOOKUP(K1086,'Supplier list'!B:C,2,0),"")</f>
        <v>บริษัท ฟิวเจอร์เทค อินเตอร์มาร์เก็ตติ้ง จำกัด</v>
      </c>
      <c r="M1086" s="1" t="s">
        <v>24</v>
      </c>
      <c r="O1086" s="2" t="n">
        <v>490</v>
      </c>
    </row>
    <row r="1087" customFormat="false" ht="16.4" hidden="false" customHeight="false" outlineLevel="0" collapsed="false">
      <c r="A1087" s="0" t="s">
        <v>15</v>
      </c>
      <c r="B1087" s="0" t="s">
        <v>3509</v>
      </c>
      <c r="C1087" s="0" t="n">
        <v>114001</v>
      </c>
      <c r="D1087" s="0" t="n">
        <v>114001</v>
      </c>
      <c r="E1087" s="0" t="s">
        <v>1764</v>
      </c>
      <c r="F1087" s="0" t="s">
        <v>18</v>
      </c>
      <c r="G1087" s="0" t="s">
        <v>3510</v>
      </c>
      <c r="H1087" s="0" t="s">
        <v>3511</v>
      </c>
      <c r="I1087" s="0" t="s">
        <v>21</v>
      </c>
      <c r="J1087" s="0" t="s">
        <v>22</v>
      </c>
      <c r="K1087" s="0" t="s">
        <v>787</v>
      </c>
      <c r="L1087" s="0" t="str">
        <f aca="false">IFERROR(VLOOKUP(K1087,'Supplier list'!B:C,2,0),"")</f>
        <v>บริษัท ฟิวเจอร์เทค อินเตอร์มาร์เก็ตติ้ง จำกัด</v>
      </c>
      <c r="M1087" s="1" t="s">
        <v>24</v>
      </c>
      <c r="O1087" s="2" t="n">
        <v>10</v>
      </c>
    </row>
    <row r="1088" customFormat="false" ht="16.4" hidden="false" customHeight="false" outlineLevel="0" collapsed="false">
      <c r="A1088" s="0" t="s">
        <v>15</v>
      </c>
      <c r="B1088" s="0" t="s">
        <v>3512</v>
      </c>
      <c r="C1088" s="0" t="n">
        <v>114001</v>
      </c>
      <c r="D1088" s="0" t="n">
        <v>114001</v>
      </c>
      <c r="E1088" s="0" t="s">
        <v>1764</v>
      </c>
      <c r="F1088" s="0" t="s">
        <v>18</v>
      </c>
      <c r="G1088" s="0" t="s">
        <v>3513</v>
      </c>
      <c r="H1088" s="0" t="s">
        <v>3514</v>
      </c>
      <c r="I1088" s="0" t="s">
        <v>21</v>
      </c>
      <c r="J1088" s="0" t="s">
        <v>22</v>
      </c>
      <c r="K1088" s="0" t="s">
        <v>787</v>
      </c>
      <c r="L1088" s="0" t="str">
        <f aca="false">IFERROR(VLOOKUP(K1088,'Supplier list'!B:C,2,0),"")</f>
        <v>บริษัท ฟิวเจอร์เทค อินเตอร์มาร์เก็ตติ้ง จำกัด</v>
      </c>
      <c r="M1088" s="1" t="s">
        <v>24</v>
      </c>
      <c r="O1088" s="2" t="n">
        <v>45</v>
      </c>
    </row>
    <row r="1089" customFormat="false" ht="16.4" hidden="false" customHeight="false" outlineLevel="0" collapsed="false">
      <c r="A1089" s="0" t="s">
        <v>15</v>
      </c>
      <c r="B1089" s="0" t="s">
        <v>3515</v>
      </c>
      <c r="C1089" s="0" t="n">
        <v>114001</v>
      </c>
      <c r="D1089" s="0" t="n">
        <v>114001</v>
      </c>
      <c r="E1089" s="0" t="s">
        <v>961</v>
      </c>
      <c r="F1089" s="0" t="s">
        <v>18</v>
      </c>
      <c r="G1089" s="0" t="s">
        <v>3516</v>
      </c>
      <c r="H1089" s="0" t="s">
        <v>3517</v>
      </c>
      <c r="I1089" s="0" t="s">
        <v>21</v>
      </c>
      <c r="J1089" s="0" t="s">
        <v>22</v>
      </c>
      <c r="K1089" s="0" t="s">
        <v>567</v>
      </c>
      <c r="L1089" s="0" t="str">
        <f aca="false">IFERROR(VLOOKUP(K1089,'Supplier list'!B:C,2,0),"")</f>
        <v>บริษัท ไทย เมก้าแคบ จำกัด</v>
      </c>
      <c r="M1089" s="1" t="s">
        <v>24</v>
      </c>
      <c r="O1089" s="2" t="n">
        <v>43.69</v>
      </c>
    </row>
    <row r="1090" customFormat="false" ht="16.4" hidden="false" customHeight="false" outlineLevel="0" collapsed="false">
      <c r="A1090" s="0" t="s">
        <v>15</v>
      </c>
      <c r="B1090" s="0" t="s">
        <v>3518</v>
      </c>
      <c r="C1090" s="0" t="n">
        <v>114001</v>
      </c>
      <c r="D1090" s="0" t="n">
        <v>114001</v>
      </c>
      <c r="E1090" s="0" t="s">
        <v>961</v>
      </c>
      <c r="F1090" s="0" t="s">
        <v>18</v>
      </c>
      <c r="G1090" s="0" t="s">
        <v>3519</v>
      </c>
      <c r="H1090" s="0" t="s">
        <v>3520</v>
      </c>
      <c r="I1090" s="0" t="s">
        <v>21</v>
      </c>
      <c r="J1090" s="0" t="s">
        <v>22</v>
      </c>
      <c r="K1090" s="0" t="s">
        <v>567</v>
      </c>
      <c r="L1090" s="0" t="str">
        <f aca="false">IFERROR(VLOOKUP(K1090,'Supplier list'!B:C,2,0),"")</f>
        <v>บริษัท ไทย เมก้าแคบ จำกัด</v>
      </c>
      <c r="M1090" s="1" t="s">
        <v>24</v>
      </c>
      <c r="O1090" s="2" t="n">
        <v>28.19</v>
      </c>
    </row>
    <row r="1091" customFormat="false" ht="16.4" hidden="false" customHeight="false" outlineLevel="0" collapsed="false">
      <c r="A1091" s="0" t="s">
        <v>15</v>
      </c>
      <c r="B1091" s="0" t="s">
        <v>3521</v>
      </c>
      <c r="C1091" s="0" t="n">
        <v>114001</v>
      </c>
      <c r="D1091" s="0" t="n">
        <v>114001</v>
      </c>
      <c r="E1091" s="0" t="s">
        <v>1764</v>
      </c>
      <c r="F1091" s="0" t="s">
        <v>18</v>
      </c>
      <c r="G1091" s="0" t="s">
        <v>3522</v>
      </c>
      <c r="H1091" s="0" t="s">
        <v>3523</v>
      </c>
      <c r="I1091" s="0" t="s">
        <v>21</v>
      </c>
      <c r="J1091" s="0" t="s">
        <v>22</v>
      </c>
      <c r="K1091" s="0" t="s">
        <v>787</v>
      </c>
      <c r="L1091" s="0" t="str">
        <f aca="false">IFERROR(VLOOKUP(K1091,'Supplier list'!B:C,2,0),"")</f>
        <v>บริษัท ฟิวเจอร์เทค อินเตอร์มาร์เก็ตติ้ง จำกัด</v>
      </c>
      <c r="M1091" s="1" t="s">
        <v>1740</v>
      </c>
      <c r="N1091" s="2" t="n">
        <v>190</v>
      </c>
      <c r="O1091" s="2" t="n">
        <v>48.75</v>
      </c>
    </row>
    <row r="1092" customFormat="false" ht="16.4" hidden="false" customHeight="false" outlineLevel="0" collapsed="false">
      <c r="A1092" s="0" t="s">
        <v>15</v>
      </c>
      <c r="B1092" s="0" t="s">
        <v>3524</v>
      </c>
      <c r="C1092" s="0" t="n">
        <v>114001</v>
      </c>
      <c r="D1092" s="0" t="n">
        <v>114001</v>
      </c>
      <c r="E1092" s="0" t="s">
        <v>1764</v>
      </c>
      <c r="F1092" s="0" t="s">
        <v>18</v>
      </c>
      <c r="G1092" s="0" t="s">
        <v>3525</v>
      </c>
      <c r="H1092" s="0" t="s">
        <v>3526</v>
      </c>
      <c r="I1092" s="0" t="s">
        <v>21</v>
      </c>
      <c r="J1092" s="0" t="s">
        <v>22</v>
      </c>
      <c r="K1092" s="0" t="s">
        <v>787</v>
      </c>
      <c r="L1092" s="0" t="str">
        <f aca="false">IFERROR(VLOOKUP(K1092,'Supplier list'!B:C,2,0),"")</f>
        <v>บริษัท ฟิวเจอร์เทค อินเตอร์มาร์เก็ตติ้ง จำกัด</v>
      </c>
      <c r="M1092" s="1" t="s">
        <v>24</v>
      </c>
      <c r="O1092" s="2" t="n">
        <v>84</v>
      </c>
    </row>
    <row r="1093" customFormat="false" ht="16.4" hidden="false" customHeight="false" outlineLevel="0" collapsed="false">
      <c r="A1093" s="0" t="s">
        <v>15</v>
      </c>
      <c r="B1093" s="0" t="s">
        <v>3527</v>
      </c>
      <c r="C1093" s="0" t="n">
        <v>114001</v>
      </c>
      <c r="D1093" s="0" t="n">
        <v>114001</v>
      </c>
      <c r="E1093" s="0" t="s">
        <v>1727</v>
      </c>
      <c r="F1093" s="0" t="s">
        <v>18</v>
      </c>
      <c r="G1093" s="0" t="s">
        <v>3528</v>
      </c>
      <c r="H1093" s="0" t="s">
        <v>3529</v>
      </c>
      <c r="I1093" s="0" t="s">
        <v>21</v>
      </c>
      <c r="J1093" s="0" t="s">
        <v>22</v>
      </c>
      <c r="K1093" s="0" t="s">
        <v>89</v>
      </c>
      <c r="L1093" s="0" t="str">
        <f aca="false">IFERROR(VLOOKUP(K1093,'Supplier list'!B:C,2,0),"")</f>
        <v>บริษัท เฮเฟเล่ (ประเทศไทย) จำกัด</v>
      </c>
      <c r="M1093" s="1" t="s">
        <v>24</v>
      </c>
      <c r="O1093" s="2" t="n">
        <v>1429</v>
      </c>
    </row>
    <row r="1094" customFormat="false" ht="16.4" hidden="false" customHeight="false" outlineLevel="0" collapsed="false">
      <c r="A1094" s="0" t="s">
        <v>15</v>
      </c>
      <c r="B1094" s="0" t="s">
        <v>3530</v>
      </c>
      <c r="C1094" s="0" t="n">
        <v>114001</v>
      </c>
      <c r="D1094" s="0" t="n">
        <v>114001</v>
      </c>
      <c r="E1094" s="0" t="s">
        <v>1727</v>
      </c>
      <c r="F1094" s="0" t="s">
        <v>18</v>
      </c>
      <c r="G1094" s="0" t="s">
        <v>3531</v>
      </c>
      <c r="H1094" s="0" t="s">
        <v>3532</v>
      </c>
      <c r="I1094" s="0" t="s">
        <v>21</v>
      </c>
      <c r="J1094" s="0" t="s">
        <v>22</v>
      </c>
      <c r="K1094" s="0" t="s">
        <v>89</v>
      </c>
      <c r="L1094" s="0" t="str">
        <f aca="false">IFERROR(VLOOKUP(K1094,'Supplier list'!B:C,2,0),"")</f>
        <v>บริษัท เฮเฟเล่ (ประเทศไทย) จำกัด</v>
      </c>
      <c r="M1094" s="1" t="s">
        <v>24</v>
      </c>
      <c r="O1094" s="2" t="n">
        <v>537</v>
      </c>
    </row>
    <row r="1095" customFormat="false" ht="16.4" hidden="false" customHeight="false" outlineLevel="0" collapsed="false">
      <c r="A1095" s="0" t="s">
        <v>15</v>
      </c>
      <c r="B1095" s="0" t="s">
        <v>3533</v>
      </c>
      <c r="C1095" s="0" t="n">
        <v>114001</v>
      </c>
      <c r="D1095" s="0" t="n">
        <v>114001</v>
      </c>
      <c r="E1095" s="0" t="s">
        <v>1653</v>
      </c>
      <c r="F1095" s="0" t="s">
        <v>18</v>
      </c>
      <c r="G1095" s="0" t="s">
        <v>3534</v>
      </c>
      <c r="H1095" s="0" t="s">
        <v>3535</v>
      </c>
      <c r="I1095" s="0" t="s">
        <v>21</v>
      </c>
      <c r="J1095" s="0" t="s">
        <v>22</v>
      </c>
      <c r="K1095" s="0" t="s">
        <v>89</v>
      </c>
      <c r="L1095" s="0" t="str">
        <f aca="false">IFERROR(VLOOKUP(K1095,'Supplier list'!B:C,2,0),"")</f>
        <v>บริษัท เฮเฟเล่ (ประเทศไทย) จำกัด</v>
      </c>
      <c r="M1095" s="1" t="s">
        <v>24</v>
      </c>
      <c r="O1095" s="2" t="n">
        <v>2300</v>
      </c>
    </row>
    <row r="1096" customFormat="false" ht="16.4" hidden="false" customHeight="false" outlineLevel="0" collapsed="false">
      <c r="A1096" s="0" t="s">
        <v>15</v>
      </c>
      <c r="B1096" s="0" t="s">
        <v>3536</v>
      </c>
      <c r="C1096" s="0" t="n">
        <v>114001</v>
      </c>
      <c r="D1096" s="0" t="n">
        <v>114001</v>
      </c>
      <c r="E1096" s="0" t="s">
        <v>1764</v>
      </c>
      <c r="F1096" s="0" t="s">
        <v>18</v>
      </c>
      <c r="G1096" s="0" t="s">
        <v>3537</v>
      </c>
      <c r="H1096" s="0" t="s">
        <v>3538</v>
      </c>
      <c r="I1096" s="0" t="s">
        <v>21</v>
      </c>
      <c r="J1096" s="0" t="s">
        <v>22</v>
      </c>
      <c r="K1096" s="0" t="s">
        <v>787</v>
      </c>
      <c r="L1096" s="0" t="str">
        <f aca="false">IFERROR(VLOOKUP(K1096,'Supplier list'!B:C,2,0),"")</f>
        <v>บริษัท ฟิวเจอร์เทค อินเตอร์มาร์เก็ตติ้ง จำกัด</v>
      </c>
      <c r="M1096" s="1" t="s">
        <v>24</v>
      </c>
      <c r="O1096" s="2" t="n">
        <v>49</v>
      </c>
    </row>
    <row r="1097" customFormat="false" ht="16.4" hidden="false" customHeight="false" outlineLevel="0" collapsed="false">
      <c r="A1097" s="0" t="s">
        <v>15</v>
      </c>
      <c r="B1097" s="0" t="s">
        <v>3539</v>
      </c>
      <c r="C1097" s="0" t="n">
        <v>114001</v>
      </c>
      <c r="D1097" s="0" t="n">
        <v>114001</v>
      </c>
      <c r="E1097" s="0" t="s">
        <v>2056</v>
      </c>
      <c r="F1097" s="0" t="s">
        <v>18</v>
      </c>
      <c r="G1097" s="0" t="s">
        <v>3540</v>
      </c>
      <c r="H1097" s="0" t="s">
        <v>3541</v>
      </c>
      <c r="I1097" s="0" t="s">
        <v>21</v>
      </c>
      <c r="J1097" s="0" t="s">
        <v>22</v>
      </c>
      <c r="K1097" s="0" t="s">
        <v>787</v>
      </c>
      <c r="L1097" s="0" t="str">
        <f aca="false">IFERROR(VLOOKUP(K1097,'Supplier list'!B:C,2,0),"")</f>
        <v>บริษัท ฟิวเจอร์เทค อินเตอร์มาร์เก็ตติ้ง จำกัด</v>
      </c>
      <c r="M1097" s="1" t="s">
        <v>24</v>
      </c>
      <c r="O1097" s="2" t="n">
        <v>70</v>
      </c>
    </row>
    <row r="1098" customFormat="false" ht="16.4" hidden="false" customHeight="false" outlineLevel="0" collapsed="false">
      <c r="A1098" s="0" t="s">
        <v>15</v>
      </c>
      <c r="B1098" s="0" t="s">
        <v>3542</v>
      </c>
      <c r="C1098" s="0" t="n">
        <v>114001</v>
      </c>
      <c r="D1098" s="0" t="n">
        <v>114001</v>
      </c>
      <c r="E1098" s="0" t="s">
        <v>1653</v>
      </c>
      <c r="F1098" s="0" t="s">
        <v>18</v>
      </c>
      <c r="G1098" s="0" t="s">
        <v>3543</v>
      </c>
      <c r="H1098" s="0" t="s">
        <v>3544</v>
      </c>
      <c r="I1098" s="0" t="s">
        <v>124</v>
      </c>
      <c r="J1098" s="0" t="s">
        <v>125</v>
      </c>
      <c r="K1098" s="0" t="s">
        <v>89</v>
      </c>
      <c r="L1098" s="0" t="str">
        <f aca="false">IFERROR(VLOOKUP(K1098,'Supplier list'!B:C,2,0),"")</f>
        <v>บริษัท เฮเฟเล่ (ประเทศไทย) จำกัด</v>
      </c>
      <c r="M1098" s="1" t="s">
        <v>1740</v>
      </c>
      <c r="N1098" s="2" t="n">
        <v>22500</v>
      </c>
      <c r="O1098" s="2" t="n">
        <v>12500</v>
      </c>
    </row>
    <row r="1099" customFormat="false" ht="16.4" hidden="false" customHeight="false" outlineLevel="0" collapsed="false">
      <c r="A1099" s="0" t="s">
        <v>15</v>
      </c>
      <c r="B1099" s="0" t="s">
        <v>3545</v>
      </c>
      <c r="C1099" s="0" t="n">
        <v>114001</v>
      </c>
      <c r="D1099" s="0" t="n">
        <v>114001</v>
      </c>
      <c r="E1099" s="0" t="s">
        <v>1764</v>
      </c>
      <c r="F1099" s="0" t="s">
        <v>18</v>
      </c>
      <c r="G1099" s="0" t="s">
        <v>3546</v>
      </c>
      <c r="H1099" s="0" t="s">
        <v>3547</v>
      </c>
      <c r="I1099" s="0" t="s">
        <v>21</v>
      </c>
      <c r="J1099" s="0" t="s">
        <v>22</v>
      </c>
      <c r="K1099" s="0" t="s">
        <v>787</v>
      </c>
      <c r="L1099" s="0" t="str">
        <f aca="false">IFERROR(VLOOKUP(K1099,'Supplier list'!B:C,2,0),"")</f>
        <v>บริษัท ฟิวเจอร์เทค อินเตอร์มาร์เก็ตติ้ง จำกัด</v>
      </c>
      <c r="M1099" s="1" t="s">
        <v>24</v>
      </c>
      <c r="O1099" s="2" t="n">
        <v>31.5</v>
      </c>
    </row>
    <row r="1100" customFormat="false" ht="16.4" hidden="false" customHeight="false" outlineLevel="0" collapsed="false">
      <c r="A1100" s="0" t="s">
        <v>15</v>
      </c>
      <c r="B1100" s="0" t="s">
        <v>3548</v>
      </c>
      <c r="C1100" s="0" t="n">
        <v>114001</v>
      </c>
      <c r="D1100" s="0" t="n">
        <v>114001</v>
      </c>
      <c r="E1100" s="0" t="s">
        <v>1764</v>
      </c>
      <c r="F1100" s="0" t="s">
        <v>18</v>
      </c>
      <c r="G1100" s="0" t="s">
        <v>3549</v>
      </c>
      <c r="H1100" s="0" t="s">
        <v>3550</v>
      </c>
      <c r="I1100" s="0" t="s">
        <v>21</v>
      </c>
      <c r="J1100" s="0" t="s">
        <v>22</v>
      </c>
      <c r="K1100" s="0" t="s">
        <v>787</v>
      </c>
      <c r="L1100" s="0" t="str">
        <f aca="false">IFERROR(VLOOKUP(K1100,'Supplier list'!B:C,2,0),"")</f>
        <v>บริษัท ฟิวเจอร์เทค อินเตอร์มาร์เก็ตติ้ง จำกัด</v>
      </c>
      <c r="M1100" s="1" t="s">
        <v>24</v>
      </c>
      <c r="O1100" s="2" t="n">
        <v>66.5</v>
      </c>
    </row>
    <row r="1101" customFormat="false" ht="16.4" hidden="false" customHeight="false" outlineLevel="0" collapsed="false">
      <c r="A1101" s="0" t="s">
        <v>15</v>
      </c>
      <c r="B1101" s="0" t="s">
        <v>3551</v>
      </c>
      <c r="C1101" s="0" t="n">
        <v>114001</v>
      </c>
      <c r="D1101" s="0" t="n">
        <v>114001</v>
      </c>
      <c r="E1101" s="0" t="s">
        <v>961</v>
      </c>
      <c r="F1101" s="0" t="s">
        <v>18</v>
      </c>
      <c r="G1101" s="0" t="s">
        <v>3552</v>
      </c>
      <c r="H1101" s="0" t="s">
        <v>3553</v>
      </c>
      <c r="I1101" s="0" t="s">
        <v>124</v>
      </c>
      <c r="J1101" s="0" t="s">
        <v>125</v>
      </c>
      <c r="K1101" s="0" t="s">
        <v>89</v>
      </c>
      <c r="L1101" s="0" t="str">
        <f aca="false">IFERROR(VLOOKUP(K1101,'Supplier list'!B:C,2,0),"")</f>
        <v>บริษัท เฮเฟเล่ (ประเทศไทย) จำกัด</v>
      </c>
      <c r="M1101" s="1" t="s">
        <v>24</v>
      </c>
      <c r="O1101" s="2" t="n">
        <v>4205</v>
      </c>
    </row>
    <row r="1102" customFormat="false" ht="16.4" hidden="false" customHeight="false" outlineLevel="0" collapsed="false">
      <c r="A1102" s="0" t="s">
        <v>15</v>
      </c>
      <c r="B1102" s="0" t="s">
        <v>3554</v>
      </c>
      <c r="C1102" s="0" t="n">
        <v>114001</v>
      </c>
      <c r="D1102" s="0" t="n">
        <v>114001</v>
      </c>
      <c r="E1102" s="0" t="s">
        <v>1605</v>
      </c>
      <c r="F1102" s="0" t="s">
        <v>18</v>
      </c>
      <c r="G1102" s="0" t="s">
        <v>3555</v>
      </c>
      <c r="H1102" s="0" t="s">
        <v>3556</v>
      </c>
      <c r="I1102" s="0" t="s">
        <v>168</v>
      </c>
      <c r="J1102" s="0" t="s">
        <v>169</v>
      </c>
      <c r="K1102" s="0" t="s">
        <v>1753</v>
      </c>
      <c r="L1102" s="0" t="str">
        <f aca="false">IFERROR(VLOOKUP(K1102,'Supplier list'!B:C,2,0),"")</f>
        <v>บริษัท ไอ.โอ.ดีไซน์ แอนด์ โฮม จำกัด</v>
      </c>
      <c r="M1102" s="1" t="s">
        <v>24</v>
      </c>
      <c r="O1102" s="2" t="n">
        <v>203</v>
      </c>
    </row>
    <row r="1103" customFormat="false" ht="16.4" hidden="false" customHeight="false" outlineLevel="0" collapsed="false">
      <c r="A1103" s="0" t="s">
        <v>15</v>
      </c>
      <c r="B1103" s="0" t="s">
        <v>3557</v>
      </c>
      <c r="C1103" s="0" t="n">
        <v>114001</v>
      </c>
      <c r="D1103" s="0" t="n">
        <v>114001</v>
      </c>
      <c r="E1103" s="0" t="s">
        <v>3558</v>
      </c>
      <c r="F1103" s="0" t="s">
        <v>18</v>
      </c>
      <c r="G1103" s="0" t="s">
        <v>3559</v>
      </c>
      <c r="H1103" s="0" t="s">
        <v>3560</v>
      </c>
      <c r="I1103" s="0" t="s">
        <v>168</v>
      </c>
      <c r="J1103" s="0" t="s">
        <v>169</v>
      </c>
      <c r="K1103" s="0" t="s">
        <v>787</v>
      </c>
      <c r="L1103" s="0" t="str">
        <f aca="false">IFERROR(VLOOKUP(K1103,'Supplier list'!B:C,2,0),"")</f>
        <v>บริษัท ฟิวเจอร์เทค อินเตอร์มาร์เก็ตติ้ง จำกัด</v>
      </c>
      <c r="M1103" s="1" t="s">
        <v>24</v>
      </c>
      <c r="O1103" s="2" t="n">
        <v>300</v>
      </c>
    </row>
    <row r="1104" customFormat="false" ht="16.4" hidden="false" customHeight="false" outlineLevel="0" collapsed="false">
      <c r="A1104" s="0" t="s">
        <v>15</v>
      </c>
      <c r="B1104" s="0" t="s">
        <v>3561</v>
      </c>
      <c r="C1104" s="0" t="n">
        <v>114001</v>
      </c>
      <c r="D1104" s="0" t="n">
        <v>114001</v>
      </c>
      <c r="E1104" s="0" t="s">
        <v>1815</v>
      </c>
      <c r="F1104" s="0" t="s">
        <v>18</v>
      </c>
      <c r="G1104" s="0" t="s">
        <v>3562</v>
      </c>
      <c r="H1104" s="0" t="s">
        <v>3563</v>
      </c>
      <c r="I1104" s="0" t="s">
        <v>124</v>
      </c>
      <c r="J1104" s="0" t="s">
        <v>125</v>
      </c>
      <c r="K1104" s="0" t="s">
        <v>2065</v>
      </c>
      <c r="L1104" s="0" t="str">
        <f aca="false">IFERROR(VLOOKUP(K1104,'Supplier list'!B:C,2,0),"")</f>
        <v>บริษัท บลู อินเตอร์เนชั่นแนล จำกัด</v>
      </c>
      <c r="M1104" s="1" t="s">
        <v>24</v>
      </c>
      <c r="O1104" s="2" t="n">
        <v>460</v>
      </c>
    </row>
    <row r="1105" customFormat="false" ht="16.4" hidden="false" customHeight="false" outlineLevel="0" collapsed="false">
      <c r="A1105" s="0" t="s">
        <v>15</v>
      </c>
      <c r="B1105" s="0" t="s">
        <v>3564</v>
      </c>
      <c r="C1105" s="0" t="n">
        <v>114001</v>
      </c>
      <c r="D1105" s="0" t="n">
        <v>114001</v>
      </c>
      <c r="E1105" s="0" t="s">
        <v>1815</v>
      </c>
      <c r="F1105" s="0" t="s">
        <v>18</v>
      </c>
      <c r="G1105" s="0" t="s">
        <v>3565</v>
      </c>
      <c r="H1105" s="0" t="s">
        <v>3566</v>
      </c>
      <c r="I1105" s="0" t="s">
        <v>124</v>
      </c>
      <c r="J1105" s="0" t="s">
        <v>125</v>
      </c>
      <c r="K1105" s="0" t="s">
        <v>2065</v>
      </c>
      <c r="L1105" s="0" t="str">
        <f aca="false">IFERROR(VLOOKUP(K1105,'Supplier list'!B:C,2,0),"")</f>
        <v>บริษัท บลู อินเตอร์เนชั่นแนล จำกัด</v>
      </c>
      <c r="M1105" s="1" t="s">
        <v>24</v>
      </c>
      <c r="O1105" s="2" t="n">
        <v>289</v>
      </c>
    </row>
    <row r="1106" customFormat="false" ht="16.4" hidden="false" customHeight="false" outlineLevel="0" collapsed="false">
      <c r="A1106" s="0" t="s">
        <v>15</v>
      </c>
      <c r="B1106" s="0" t="s">
        <v>3567</v>
      </c>
      <c r="C1106" s="0" t="n">
        <v>114001</v>
      </c>
      <c r="D1106" s="0" t="n">
        <v>114001</v>
      </c>
      <c r="E1106" s="0" t="s">
        <v>267</v>
      </c>
      <c r="F1106" s="0" t="s">
        <v>18</v>
      </c>
      <c r="G1106" s="0" t="s">
        <v>3568</v>
      </c>
      <c r="H1106" s="0" t="s">
        <v>3569</v>
      </c>
      <c r="I1106" s="0" t="s">
        <v>124</v>
      </c>
      <c r="J1106" s="0" t="s">
        <v>125</v>
      </c>
      <c r="K1106" s="0" t="s">
        <v>2065</v>
      </c>
      <c r="L1106" s="0" t="str">
        <f aca="false">IFERROR(VLOOKUP(K1106,'Supplier list'!B:C,2,0),"")</f>
        <v>บริษัท บลู อินเตอร์เนชั่นแนล จำกัด</v>
      </c>
      <c r="M1106" s="1" t="s">
        <v>24</v>
      </c>
      <c r="O1106" s="2" t="n">
        <v>240</v>
      </c>
    </row>
    <row r="1107" customFormat="false" ht="16.4" hidden="false" customHeight="false" outlineLevel="0" collapsed="false">
      <c r="A1107" s="0" t="s">
        <v>15</v>
      </c>
      <c r="B1107" s="0" t="s">
        <v>3570</v>
      </c>
      <c r="C1107" s="0" t="n">
        <v>114001</v>
      </c>
      <c r="D1107" s="0" t="n">
        <v>114001</v>
      </c>
      <c r="E1107" s="0" t="s">
        <v>1815</v>
      </c>
      <c r="F1107" s="0" t="s">
        <v>18</v>
      </c>
      <c r="G1107" s="0" t="s">
        <v>3571</v>
      </c>
      <c r="H1107" s="0" t="s">
        <v>3572</v>
      </c>
      <c r="I1107" s="0" t="s">
        <v>124</v>
      </c>
      <c r="J1107" s="0" t="s">
        <v>125</v>
      </c>
      <c r="K1107" s="0" t="s">
        <v>1725</v>
      </c>
      <c r="L1107" s="0" t="str">
        <f aca="false">IFERROR(VLOOKUP(K1107,'Supplier list'!B:C,2,0),"")</f>
        <v>บริษัท พรีซิชั่นไลน์ จำกัด</v>
      </c>
      <c r="M1107" s="1" t="s">
        <v>24</v>
      </c>
      <c r="O1107" s="2" t="n">
        <v>1160</v>
      </c>
    </row>
    <row r="1108" customFormat="false" ht="16.4" hidden="false" customHeight="false" outlineLevel="0" collapsed="false">
      <c r="A1108" s="0" t="s">
        <v>15</v>
      </c>
      <c r="B1108" s="0" t="s">
        <v>3573</v>
      </c>
      <c r="C1108" s="0" t="n">
        <v>114001</v>
      </c>
      <c r="D1108" s="0" t="n">
        <v>114001</v>
      </c>
      <c r="E1108" s="0" t="s">
        <v>961</v>
      </c>
      <c r="F1108" s="0" t="s">
        <v>18</v>
      </c>
      <c r="G1108" s="0" t="s">
        <v>3574</v>
      </c>
      <c r="H1108" s="0" t="s">
        <v>3575</v>
      </c>
      <c r="I1108" s="0" t="s">
        <v>124</v>
      </c>
      <c r="J1108" s="0" t="s">
        <v>125</v>
      </c>
      <c r="K1108" s="0" t="s">
        <v>89</v>
      </c>
      <c r="L1108" s="0" t="str">
        <f aca="false">IFERROR(VLOOKUP(K1108,'Supplier list'!B:C,2,0),"")</f>
        <v>บริษัท เฮเฟเล่ (ประเทศไทย) จำกัด</v>
      </c>
      <c r="M1108" s="1" t="s">
        <v>24</v>
      </c>
      <c r="O1108" s="2" t="n">
        <v>359</v>
      </c>
    </row>
    <row r="1109" customFormat="false" ht="16.4" hidden="false" customHeight="false" outlineLevel="0" collapsed="false">
      <c r="A1109" s="0" t="s">
        <v>15</v>
      </c>
      <c r="B1109" s="0" t="s">
        <v>3576</v>
      </c>
      <c r="C1109" s="0" t="n">
        <v>114001</v>
      </c>
      <c r="D1109" s="0" t="n">
        <v>114001</v>
      </c>
      <c r="E1109" s="0" t="s">
        <v>961</v>
      </c>
      <c r="F1109" s="0" t="s">
        <v>18</v>
      </c>
      <c r="G1109" s="0" t="s">
        <v>3577</v>
      </c>
      <c r="H1109" s="0" t="s">
        <v>3578</v>
      </c>
      <c r="I1109" s="0" t="s">
        <v>124</v>
      </c>
      <c r="J1109" s="0" t="s">
        <v>125</v>
      </c>
      <c r="K1109" s="0" t="s">
        <v>787</v>
      </c>
      <c r="L1109" s="0" t="str">
        <f aca="false">IFERROR(VLOOKUP(K1109,'Supplier list'!B:C,2,0),"")</f>
        <v>บริษัท ฟิวเจอร์เทค อินเตอร์มาร์เก็ตติ้ง จำกัด</v>
      </c>
      <c r="M1109" s="1" t="s">
        <v>24</v>
      </c>
      <c r="O1109" s="2" t="n">
        <v>840</v>
      </c>
    </row>
    <row r="1110" customFormat="false" ht="16.4" hidden="false" customHeight="false" outlineLevel="0" collapsed="false">
      <c r="A1110" s="0" t="s">
        <v>15</v>
      </c>
      <c r="B1110" s="0" t="s">
        <v>3579</v>
      </c>
      <c r="C1110" s="0" t="n">
        <v>114001</v>
      </c>
      <c r="D1110" s="0" t="n">
        <v>114001</v>
      </c>
      <c r="E1110" s="0" t="s">
        <v>1653</v>
      </c>
      <c r="F1110" s="0" t="s">
        <v>18</v>
      </c>
      <c r="G1110" s="0" t="s">
        <v>3580</v>
      </c>
      <c r="H1110" s="0" t="s">
        <v>3581</v>
      </c>
      <c r="I1110" s="0" t="s">
        <v>124</v>
      </c>
      <c r="J1110" s="0" t="s">
        <v>125</v>
      </c>
      <c r="K1110" s="0" t="s">
        <v>1725</v>
      </c>
      <c r="L1110" s="0" t="str">
        <f aca="false">IFERROR(VLOOKUP(K1110,'Supplier list'!B:C,2,0),"")</f>
        <v>บริษัท พรีซิชั่นไลน์ จำกัด</v>
      </c>
      <c r="M1110" s="1" t="s">
        <v>24</v>
      </c>
      <c r="O1110" s="2" t="n">
        <v>24400</v>
      </c>
    </row>
    <row r="1111" customFormat="false" ht="16.4" hidden="false" customHeight="false" outlineLevel="0" collapsed="false">
      <c r="A1111" s="0" t="s">
        <v>15</v>
      </c>
      <c r="B1111" s="0" t="s">
        <v>3582</v>
      </c>
      <c r="C1111" s="0" t="n">
        <v>114001</v>
      </c>
      <c r="D1111" s="0" t="n">
        <v>114001</v>
      </c>
      <c r="E1111" s="0" t="s">
        <v>1764</v>
      </c>
      <c r="F1111" s="0" t="s">
        <v>18</v>
      </c>
      <c r="G1111" s="0" t="s">
        <v>3583</v>
      </c>
      <c r="H1111" s="0" t="s">
        <v>3584</v>
      </c>
      <c r="I1111" s="0" t="s">
        <v>21</v>
      </c>
      <c r="J1111" s="0" t="s">
        <v>22</v>
      </c>
      <c r="K1111" s="0" t="s">
        <v>787</v>
      </c>
      <c r="L1111" s="0" t="str">
        <f aca="false">IFERROR(VLOOKUP(K1111,'Supplier list'!B:C,2,0),"")</f>
        <v>บริษัท ฟิวเจอร์เทค อินเตอร์มาร์เก็ตติ้ง จำกัด</v>
      </c>
      <c r="M1111" s="1" t="s">
        <v>24</v>
      </c>
      <c r="O1111" s="2" t="n">
        <v>63</v>
      </c>
    </row>
    <row r="1112" customFormat="false" ht="16.4" hidden="false" customHeight="false" outlineLevel="0" collapsed="false">
      <c r="A1112" s="0" t="s">
        <v>15</v>
      </c>
      <c r="B1112" s="0" t="s">
        <v>3585</v>
      </c>
      <c r="C1112" s="0" t="n">
        <v>114001</v>
      </c>
      <c r="D1112" s="0" t="n">
        <v>114001</v>
      </c>
      <c r="E1112" s="0" t="s">
        <v>1653</v>
      </c>
      <c r="F1112" s="0" t="s">
        <v>18</v>
      </c>
      <c r="G1112" s="0" t="s">
        <v>3586</v>
      </c>
      <c r="H1112" s="0" t="s">
        <v>2845</v>
      </c>
      <c r="I1112" s="0" t="s">
        <v>124</v>
      </c>
      <c r="J1112" s="0" t="s">
        <v>125</v>
      </c>
      <c r="K1112" s="0" t="s">
        <v>89</v>
      </c>
      <c r="L1112" s="0" t="str">
        <f aca="false">IFERROR(VLOOKUP(K1112,'Supplier list'!B:C,2,0),"")</f>
        <v>บริษัท เฮเฟเล่ (ประเทศไทย) จำกัด</v>
      </c>
      <c r="M1112" s="1" t="s">
        <v>24</v>
      </c>
      <c r="O1112" s="2" t="n">
        <v>6200</v>
      </c>
    </row>
    <row r="1113" customFormat="false" ht="16.4" hidden="false" customHeight="false" outlineLevel="0" collapsed="false">
      <c r="A1113" s="0" t="s">
        <v>15</v>
      </c>
      <c r="B1113" s="0" t="s">
        <v>3587</v>
      </c>
      <c r="C1113" s="0" t="n">
        <v>114001</v>
      </c>
      <c r="D1113" s="0" t="n">
        <v>114001</v>
      </c>
      <c r="E1113" s="0" t="s">
        <v>1653</v>
      </c>
      <c r="F1113" s="0" t="s">
        <v>18</v>
      </c>
      <c r="G1113" s="0" t="s">
        <v>3588</v>
      </c>
      <c r="H1113" s="0" t="s">
        <v>3475</v>
      </c>
      <c r="I1113" s="0" t="s">
        <v>124</v>
      </c>
      <c r="J1113" s="0" t="s">
        <v>125</v>
      </c>
      <c r="K1113" s="0" t="s">
        <v>89</v>
      </c>
      <c r="L1113" s="0" t="str">
        <f aca="false">IFERROR(VLOOKUP(K1113,'Supplier list'!B:C,2,0),"")</f>
        <v>บริษัท เฮเฟเล่ (ประเทศไทย) จำกัด</v>
      </c>
      <c r="M1113" s="1" t="s">
        <v>24</v>
      </c>
      <c r="O1113" s="2" t="n">
        <v>6600</v>
      </c>
    </row>
    <row r="1114" customFormat="false" ht="16.4" hidden="false" customHeight="false" outlineLevel="0" collapsed="false">
      <c r="A1114" s="0" t="s">
        <v>15</v>
      </c>
      <c r="B1114" s="0" t="s">
        <v>3589</v>
      </c>
      <c r="C1114" s="0" t="n">
        <v>114001</v>
      </c>
      <c r="D1114" s="0" t="n">
        <v>114001</v>
      </c>
      <c r="E1114" s="0" t="s">
        <v>1653</v>
      </c>
      <c r="F1114" s="0" t="s">
        <v>18</v>
      </c>
      <c r="G1114" s="0" t="s">
        <v>3590</v>
      </c>
      <c r="H1114" s="0" t="s">
        <v>2997</v>
      </c>
      <c r="I1114" s="0" t="s">
        <v>124</v>
      </c>
      <c r="J1114" s="0" t="s">
        <v>125</v>
      </c>
      <c r="K1114" s="0" t="s">
        <v>89</v>
      </c>
      <c r="L1114" s="0" t="str">
        <f aca="false">IFERROR(VLOOKUP(K1114,'Supplier list'!B:C,2,0),"")</f>
        <v>บริษัท เฮเฟเล่ (ประเทศไทย) จำกัด</v>
      </c>
      <c r="M1114" s="1" t="s">
        <v>24</v>
      </c>
      <c r="O1114" s="2" t="n">
        <v>6900</v>
      </c>
    </row>
    <row r="1115" customFormat="false" ht="16.4" hidden="false" customHeight="false" outlineLevel="0" collapsed="false">
      <c r="A1115" s="0" t="s">
        <v>15</v>
      </c>
      <c r="B1115" s="0" t="s">
        <v>3591</v>
      </c>
      <c r="C1115" s="0" t="n">
        <v>114001</v>
      </c>
      <c r="D1115" s="0" t="n">
        <v>114001</v>
      </c>
      <c r="E1115" s="0" t="s">
        <v>1653</v>
      </c>
      <c r="F1115" s="0" t="s">
        <v>18</v>
      </c>
      <c r="G1115" s="0" t="s">
        <v>3592</v>
      </c>
      <c r="H1115" s="0" t="s">
        <v>2842</v>
      </c>
      <c r="I1115" s="0" t="s">
        <v>124</v>
      </c>
      <c r="J1115" s="0" t="s">
        <v>125</v>
      </c>
      <c r="K1115" s="0" t="s">
        <v>89</v>
      </c>
      <c r="L1115" s="0" t="str">
        <f aca="false">IFERROR(VLOOKUP(K1115,'Supplier list'!B:C,2,0),"")</f>
        <v>บริษัท เฮเฟเล่ (ประเทศไทย) จำกัด</v>
      </c>
      <c r="M1115" s="1" t="s">
        <v>24</v>
      </c>
      <c r="O1115" s="2" t="n">
        <v>3000</v>
      </c>
    </row>
    <row r="1116" customFormat="false" ht="16.4" hidden="false" customHeight="false" outlineLevel="0" collapsed="false">
      <c r="A1116" s="0" t="s">
        <v>15</v>
      </c>
      <c r="B1116" s="0" t="s">
        <v>3593</v>
      </c>
      <c r="C1116" s="0" t="n">
        <v>114001</v>
      </c>
      <c r="D1116" s="0" t="n">
        <v>114001</v>
      </c>
      <c r="E1116" s="0" t="s">
        <v>1653</v>
      </c>
      <c r="F1116" s="0" t="s">
        <v>18</v>
      </c>
      <c r="G1116" s="0" t="s">
        <v>3594</v>
      </c>
      <c r="H1116" s="0" t="s">
        <v>3595</v>
      </c>
      <c r="I1116" s="0" t="s">
        <v>124</v>
      </c>
      <c r="J1116" s="0" t="s">
        <v>125</v>
      </c>
      <c r="K1116" s="0" t="s">
        <v>89</v>
      </c>
      <c r="L1116" s="0" t="str">
        <f aca="false">IFERROR(VLOOKUP(K1116,'Supplier list'!B:C,2,0),"")</f>
        <v>บริษัท เฮเฟเล่ (ประเทศไทย) จำกัด</v>
      </c>
      <c r="M1116" s="1" t="s">
        <v>1740</v>
      </c>
      <c r="N1116" s="2" t="n">
        <v>5500</v>
      </c>
      <c r="O1116" s="2" t="n">
        <v>2700</v>
      </c>
    </row>
    <row r="1117" customFormat="false" ht="16.4" hidden="false" customHeight="false" outlineLevel="0" collapsed="false">
      <c r="A1117" s="0" t="s">
        <v>15</v>
      </c>
      <c r="B1117" s="0" t="s">
        <v>3596</v>
      </c>
      <c r="C1117" s="0" t="n">
        <v>114001</v>
      </c>
      <c r="D1117" s="0" t="n">
        <v>114001</v>
      </c>
      <c r="E1117" s="0" t="s">
        <v>1653</v>
      </c>
      <c r="F1117" s="0" t="s">
        <v>18</v>
      </c>
      <c r="G1117" s="0" t="s">
        <v>3597</v>
      </c>
      <c r="H1117" s="0" t="s">
        <v>3598</v>
      </c>
      <c r="I1117" s="0" t="s">
        <v>124</v>
      </c>
      <c r="J1117" s="0" t="s">
        <v>125</v>
      </c>
      <c r="K1117" s="0" t="s">
        <v>89</v>
      </c>
      <c r="L1117" s="0" t="str">
        <f aca="false">IFERROR(VLOOKUP(K1117,'Supplier list'!B:C,2,0),"")</f>
        <v>บริษัท เฮเฟเล่ (ประเทศไทย) จำกัด</v>
      </c>
      <c r="M1117" s="1" t="s">
        <v>24</v>
      </c>
      <c r="O1117" s="2" t="n">
        <v>2500</v>
      </c>
    </row>
    <row r="1118" customFormat="false" ht="16.4" hidden="false" customHeight="false" outlineLevel="0" collapsed="false">
      <c r="A1118" s="0" t="s">
        <v>15</v>
      </c>
      <c r="B1118" s="0" t="s">
        <v>3599</v>
      </c>
      <c r="C1118" s="0" t="n">
        <v>114001</v>
      </c>
      <c r="D1118" s="0" t="n">
        <v>114001</v>
      </c>
      <c r="E1118" s="0" t="s">
        <v>961</v>
      </c>
      <c r="F1118" s="0" t="s">
        <v>18</v>
      </c>
      <c r="G1118" s="0" t="s">
        <v>3600</v>
      </c>
      <c r="H1118" s="0" t="s">
        <v>3601</v>
      </c>
      <c r="I1118" s="0" t="s">
        <v>21</v>
      </c>
      <c r="J1118" s="0" t="s">
        <v>22</v>
      </c>
      <c r="K1118" s="0" t="s">
        <v>89</v>
      </c>
      <c r="L1118" s="0" t="str">
        <f aca="false">IFERROR(VLOOKUP(K1118,'Supplier list'!B:C,2,0),"")</f>
        <v>บริษัท เฮเฟเล่ (ประเทศไทย) จำกัด</v>
      </c>
      <c r="M1118" s="1" t="s">
        <v>24</v>
      </c>
      <c r="O1118" s="2" t="n">
        <v>420</v>
      </c>
    </row>
    <row r="1119" customFormat="false" ht="16.4" hidden="false" customHeight="false" outlineLevel="0" collapsed="false">
      <c r="A1119" s="0" t="s">
        <v>15</v>
      </c>
      <c r="B1119" s="0" t="s">
        <v>3602</v>
      </c>
      <c r="C1119" s="0" t="n">
        <v>114001</v>
      </c>
      <c r="D1119" s="0" t="n">
        <v>114001</v>
      </c>
      <c r="E1119" s="0" t="s">
        <v>2596</v>
      </c>
      <c r="F1119" s="0" t="s">
        <v>18</v>
      </c>
      <c r="G1119" s="0" t="s">
        <v>3603</v>
      </c>
      <c r="H1119" s="0" t="s">
        <v>3604</v>
      </c>
      <c r="I1119" s="0" t="s">
        <v>21</v>
      </c>
      <c r="J1119" s="0" t="s">
        <v>22</v>
      </c>
      <c r="K1119" s="0" t="s">
        <v>89</v>
      </c>
      <c r="L1119" s="0" t="str">
        <f aca="false">IFERROR(VLOOKUP(K1119,'Supplier list'!B:C,2,0),"")</f>
        <v>บริษัท เฮเฟเล่ (ประเทศไทย) จำกัด</v>
      </c>
      <c r="M1119" s="1" t="s">
        <v>24</v>
      </c>
      <c r="O1119" s="2" t="n">
        <v>504</v>
      </c>
    </row>
    <row r="1120" customFormat="false" ht="16.4" hidden="false" customHeight="false" outlineLevel="0" collapsed="false">
      <c r="A1120" s="0" t="s">
        <v>15</v>
      </c>
      <c r="B1120" s="0" t="s">
        <v>3605</v>
      </c>
      <c r="C1120" s="0" t="n">
        <v>114001</v>
      </c>
      <c r="D1120" s="0" t="n">
        <v>114001</v>
      </c>
      <c r="E1120" s="0" t="s">
        <v>2596</v>
      </c>
      <c r="F1120" s="0" t="s">
        <v>18</v>
      </c>
      <c r="G1120" s="0" t="s">
        <v>3606</v>
      </c>
      <c r="H1120" s="0" t="s">
        <v>3607</v>
      </c>
      <c r="I1120" s="0" t="s">
        <v>21</v>
      </c>
      <c r="J1120" s="0" t="s">
        <v>22</v>
      </c>
      <c r="K1120" s="0" t="s">
        <v>89</v>
      </c>
      <c r="L1120" s="0" t="str">
        <f aca="false">IFERROR(VLOOKUP(K1120,'Supplier list'!B:C,2,0),"")</f>
        <v>บริษัท เฮเฟเล่ (ประเทศไทย) จำกัด</v>
      </c>
      <c r="M1120" s="1" t="s">
        <v>24</v>
      </c>
      <c r="O1120" s="2" t="n">
        <v>70</v>
      </c>
    </row>
    <row r="1121" customFormat="false" ht="16.4" hidden="false" customHeight="false" outlineLevel="0" collapsed="false">
      <c r="A1121" s="0" t="s">
        <v>15</v>
      </c>
      <c r="B1121" s="0" t="s">
        <v>3608</v>
      </c>
      <c r="C1121" s="0" t="n">
        <v>114001</v>
      </c>
      <c r="D1121" s="0" t="n">
        <v>114001</v>
      </c>
      <c r="E1121" s="0" t="s">
        <v>1605</v>
      </c>
      <c r="F1121" s="0" t="s">
        <v>18</v>
      </c>
      <c r="G1121" s="0" t="s">
        <v>3609</v>
      </c>
      <c r="H1121" s="0" t="s">
        <v>3610</v>
      </c>
      <c r="I1121" s="0" t="s">
        <v>21</v>
      </c>
      <c r="J1121" s="0" t="s">
        <v>22</v>
      </c>
      <c r="K1121" s="0" t="s">
        <v>56</v>
      </c>
      <c r="L1121" s="0" t="str">
        <f aca="false">IFERROR(VLOOKUP(K1121,'Supplier list'!B:C,2,0),"")</f>
        <v>CO.,LTD QINGDAO NEW LIBERTY INT'L TRADING CO.LTD.</v>
      </c>
      <c r="M1121" s="1" t="s">
        <v>24</v>
      </c>
      <c r="O1121" s="2" t="n">
        <v>7</v>
      </c>
    </row>
    <row r="1122" customFormat="false" ht="16.4" hidden="false" customHeight="false" outlineLevel="0" collapsed="false">
      <c r="A1122" s="0" t="s">
        <v>15</v>
      </c>
      <c r="B1122" s="0" t="s">
        <v>3611</v>
      </c>
      <c r="C1122" s="0" t="n">
        <v>114001</v>
      </c>
      <c r="D1122" s="0" t="n">
        <v>114001</v>
      </c>
      <c r="E1122" s="0" t="s">
        <v>1605</v>
      </c>
      <c r="F1122" s="0" t="s">
        <v>18</v>
      </c>
      <c r="G1122" s="0" t="s">
        <v>3612</v>
      </c>
      <c r="H1122" s="0" t="s">
        <v>3613</v>
      </c>
      <c r="I1122" s="0" t="s">
        <v>21</v>
      </c>
      <c r="J1122" s="0" t="s">
        <v>22</v>
      </c>
      <c r="L1122" s="0" t="str">
        <f aca="false">IFERROR(VLOOKUP(K1122,'Supplier list'!B:C,2,0),"")</f>
        <v/>
      </c>
      <c r="M1122" s="1" t="s">
        <v>24</v>
      </c>
      <c r="O1122" s="2" t="n">
        <v>0</v>
      </c>
    </row>
    <row r="1123" customFormat="false" ht="16.4" hidden="false" customHeight="false" outlineLevel="0" collapsed="false">
      <c r="A1123" s="0" t="s">
        <v>15</v>
      </c>
      <c r="B1123" s="0" t="s">
        <v>3614</v>
      </c>
      <c r="C1123" s="0" t="n">
        <v>114001</v>
      </c>
      <c r="D1123" s="0" t="n">
        <v>114001</v>
      </c>
      <c r="E1123" s="0" t="s">
        <v>1605</v>
      </c>
      <c r="F1123" s="0" t="s">
        <v>18</v>
      </c>
      <c r="G1123" s="0" t="s">
        <v>3615</v>
      </c>
      <c r="H1123" s="0" t="s">
        <v>3616</v>
      </c>
      <c r="I1123" s="0" t="s">
        <v>21</v>
      </c>
      <c r="J1123" s="0" t="s">
        <v>22</v>
      </c>
      <c r="L1123" s="0" t="str">
        <f aca="false">IFERROR(VLOOKUP(K1123,'Supplier list'!B:C,2,0),"")</f>
        <v/>
      </c>
      <c r="M1123" s="1" t="s">
        <v>24</v>
      </c>
      <c r="O1123" s="2" t="n">
        <v>0</v>
      </c>
    </row>
    <row r="1124" customFormat="false" ht="16.4" hidden="false" customHeight="false" outlineLevel="0" collapsed="false">
      <c r="A1124" s="0" t="s">
        <v>15</v>
      </c>
      <c r="B1124" s="0" t="s">
        <v>3617</v>
      </c>
      <c r="C1124" s="0" t="n">
        <v>114001</v>
      </c>
      <c r="D1124" s="0" t="n">
        <v>114001</v>
      </c>
      <c r="E1124" s="0" t="s">
        <v>1605</v>
      </c>
      <c r="F1124" s="0" t="s">
        <v>18</v>
      </c>
      <c r="G1124" s="0" t="s">
        <v>3618</v>
      </c>
      <c r="H1124" s="0" t="s">
        <v>3619</v>
      </c>
      <c r="I1124" s="0" t="s">
        <v>21</v>
      </c>
      <c r="J1124" s="0" t="s">
        <v>22</v>
      </c>
      <c r="L1124" s="0" t="str">
        <f aca="false">IFERROR(VLOOKUP(K1124,'Supplier list'!B:C,2,0),"")</f>
        <v/>
      </c>
      <c r="M1124" s="1" t="s">
        <v>24</v>
      </c>
      <c r="O1124" s="2" t="n">
        <v>0</v>
      </c>
    </row>
    <row r="1125" customFormat="false" ht="16.4" hidden="false" customHeight="false" outlineLevel="0" collapsed="false">
      <c r="A1125" s="0" t="s">
        <v>15</v>
      </c>
      <c r="B1125" s="0" t="s">
        <v>3620</v>
      </c>
      <c r="C1125" s="0" t="n">
        <v>114001</v>
      </c>
      <c r="D1125" s="0" t="n">
        <v>114001</v>
      </c>
      <c r="E1125" s="0" t="s">
        <v>1605</v>
      </c>
      <c r="F1125" s="0" t="s">
        <v>18</v>
      </c>
      <c r="G1125" s="0" t="s">
        <v>3621</v>
      </c>
      <c r="H1125" s="0" t="s">
        <v>3622</v>
      </c>
      <c r="I1125" s="0" t="s">
        <v>21</v>
      </c>
      <c r="J1125" s="0" t="s">
        <v>22</v>
      </c>
      <c r="L1125" s="0" t="str">
        <f aca="false">IFERROR(VLOOKUP(K1125,'Supplier list'!B:C,2,0),"")</f>
        <v/>
      </c>
      <c r="M1125" s="1" t="s">
        <v>24</v>
      </c>
      <c r="O1125" s="2" t="n">
        <v>0</v>
      </c>
    </row>
    <row r="1126" customFormat="false" ht="16.4" hidden="false" customHeight="false" outlineLevel="0" collapsed="false">
      <c r="A1126" s="0" t="s">
        <v>15</v>
      </c>
      <c r="B1126" s="0" t="s">
        <v>3623</v>
      </c>
      <c r="C1126" s="0" t="n">
        <v>114001</v>
      </c>
      <c r="D1126" s="0" t="n">
        <v>114001</v>
      </c>
      <c r="E1126" s="0" t="s">
        <v>961</v>
      </c>
      <c r="F1126" s="0" t="s">
        <v>18</v>
      </c>
      <c r="G1126" s="0" t="s">
        <v>3624</v>
      </c>
      <c r="H1126" s="0" t="s">
        <v>3625</v>
      </c>
      <c r="I1126" s="0" t="s">
        <v>124</v>
      </c>
      <c r="J1126" s="0" t="s">
        <v>125</v>
      </c>
      <c r="K1126" s="0" t="s">
        <v>89</v>
      </c>
      <c r="L1126" s="0" t="str">
        <f aca="false">IFERROR(VLOOKUP(K1126,'Supplier list'!B:C,2,0),"")</f>
        <v>บริษัท เฮเฟเล่ (ประเทศไทย) จำกัด</v>
      </c>
      <c r="M1126" s="1" t="s">
        <v>24</v>
      </c>
      <c r="O1126" s="2" t="n">
        <v>1364</v>
      </c>
    </row>
    <row r="1127" customFormat="false" ht="16.4" hidden="false" customHeight="false" outlineLevel="0" collapsed="false">
      <c r="A1127" s="0" t="s">
        <v>15</v>
      </c>
      <c r="B1127" s="0" t="s">
        <v>3626</v>
      </c>
      <c r="C1127" s="0" t="n">
        <v>114001</v>
      </c>
      <c r="D1127" s="0" t="n">
        <v>114001</v>
      </c>
      <c r="E1127" s="0" t="s">
        <v>3627</v>
      </c>
      <c r="F1127" s="0" t="s">
        <v>18</v>
      </c>
      <c r="G1127" s="0" t="s">
        <v>3628</v>
      </c>
      <c r="H1127" s="0" t="s">
        <v>3628</v>
      </c>
      <c r="I1127" s="0" t="s">
        <v>21</v>
      </c>
      <c r="J1127" s="0" t="s">
        <v>22</v>
      </c>
      <c r="K1127" s="0" t="s">
        <v>3629</v>
      </c>
      <c r="L1127" s="0" t="str">
        <f aca="false">IFERROR(VLOOKUP(K1127,'Supplier list'!B:C,2,0),"")</f>
        <v>บริษัท เตก้า (ประเทศไทย) จำกัด</v>
      </c>
      <c r="M1127" s="1" t="s">
        <v>1740</v>
      </c>
      <c r="O1127" s="2" t="n">
        <v>11000</v>
      </c>
    </row>
    <row r="1128" customFormat="false" ht="16.4" hidden="false" customHeight="false" outlineLevel="0" collapsed="false">
      <c r="A1128" s="0" t="s">
        <v>15</v>
      </c>
      <c r="B1128" s="0" t="s">
        <v>3630</v>
      </c>
      <c r="C1128" s="0" t="n">
        <v>114001</v>
      </c>
      <c r="D1128" s="0" t="n">
        <v>114001</v>
      </c>
      <c r="E1128" s="0" t="s">
        <v>3627</v>
      </c>
      <c r="F1128" s="0" t="s">
        <v>18</v>
      </c>
      <c r="G1128" s="0" t="s">
        <v>3631</v>
      </c>
      <c r="H1128" s="0" t="s">
        <v>3631</v>
      </c>
      <c r="I1128" s="0" t="s">
        <v>21</v>
      </c>
      <c r="J1128" s="0" t="s">
        <v>22</v>
      </c>
      <c r="K1128" s="0" t="s">
        <v>3629</v>
      </c>
      <c r="L1128" s="0" t="str">
        <f aca="false">IFERROR(VLOOKUP(K1128,'Supplier list'!B:C,2,0),"")</f>
        <v>บริษัท เตก้า (ประเทศไทย) จำกัด</v>
      </c>
      <c r="M1128" s="1" t="s">
        <v>1740</v>
      </c>
      <c r="O1128" s="2" t="n">
        <v>14600</v>
      </c>
    </row>
    <row r="1129" customFormat="false" ht="16.4" hidden="false" customHeight="false" outlineLevel="0" collapsed="false">
      <c r="A1129" s="0" t="s">
        <v>15</v>
      </c>
      <c r="B1129" s="0" t="s">
        <v>3632</v>
      </c>
      <c r="C1129" s="0" t="n">
        <v>114001</v>
      </c>
      <c r="D1129" s="0" t="n">
        <v>114001</v>
      </c>
      <c r="E1129" s="0" t="s">
        <v>3627</v>
      </c>
      <c r="F1129" s="0" t="s">
        <v>18</v>
      </c>
      <c r="G1129" s="0" t="s">
        <v>3633</v>
      </c>
      <c r="H1129" s="0" t="s">
        <v>3633</v>
      </c>
      <c r="I1129" s="0" t="s">
        <v>21</v>
      </c>
      <c r="J1129" s="0" t="s">
        <v>22</v>
      </c>
      <c r="K1129" s="0" t="s">
        <v>3629</v>
      </c>
      <c r="L1129" s="0" t="str">
        <f aca="false">IFERROR(VLOOKUP(K1129,'Supplier list'!B:C,2,0),"")</f>
        <v>บริษัท เตก้า (ประเทศไทย) จำกัด</v>
      </c>
      <c r="M1129" s="1" t="s">
        <v>1740</v>
      </c>
      <c r="O1129" s="2" t="n">
        <v>14925</v>
      </c>
    </row>
    <row r="1130" customFormat="false" ht="16.4" hidden="false" customHeight="false" outlineLevel="0" collapsed="false">
      <c r="A1130" s="0" t="s">
        <v>15</v>
      </c>
      <c r="B1130" s="0" t="s">
        <v>3634</v>
      </c>
      <c r="C1130" s="0" t="n">
        <v>114001</v>
      </c>
      <c r="D1130" s="0" t="n">
        <v>114001</v>
      </c>
      <c r="E1130" s="0" t="s">
        <v>3627</v>
      </c>
      <c r="F1130" s="0" t="s">
        <v>18</v>
      </c>
      <c r="G1130" s="0" t="s">
        <v>3635</v>
      </c>
      <c r="H1130" s="0" t="s">
        <v>3635</v>
      </c>
      <c r="I1130" s="0" t="s">
        <v>21</v>
      </c>
      <c r="J1130" s="0" t="s">
        <v>22</v>
      </c>
      <c r="K1130" s="0" t="s">
        <v>3629</v>
      </c>
      <c r="L1130" s="0" t="str">
        <f aca="false">IFERROR(VLOOKUP(K1130,'Supplier list'!B:C,2,0),"")</f>
        <v>บริษัท เตก้า (ประเทศไทย) จำกัด</v>
      </c>
      <c r="M1130" s="1" t="s">
        <v>1740</v>
      </c>
      <c r="O1130" s="2" t="n">
        <v>19000</v>
      </c>
    </row>
    <row r="1131" customFormat="false" ht="16.4" hidden="false" customHeight="false" outlineLevel="0" collapsed="false">
      <c r="A1131" s="0" t="s">
        <v>15</v>
      </c>
      <c r="B1131" s="0" t="s">
        <v>3636</v>
      </c>
      <c r="C1131" s="0" t="n">
        <v>114001</v>
      </c>
      <c r="D1131" s="0" t="n">
        <v>114001</v>
      </c>
      <c r="E1131" s="0" t="s">
        <v>3627</v>
      </c>
      <c r="F1131" s="0" t="s">
        <v>18</v>
      </c>
      <c r="G1131" s="0" t="s">
        <v>3637</v>
      </c>
      <c r="H1131" s="0" t="s">
        <v>3637</v>
      </c>
      <c r="I1131" s="0" t="s">
        <v>21</v>
      </c>
      <c r="J1131" s="0" t="s">
        <v>22</v>
      </c>
      <c r="K1131" s="0" t="s">
        <v>3629</v>
      </c>
      <c r="L1131" s="0" t="str">
        <f aca="false">IFERROR(VLOOKUP(K1131,'Supplier list'!B:C,2,0),"")</f>
        <v>บริษัท เตก้า (ประเทศไทย) จำกัด</v>
      </c>
      <c r="M1131" s="1" t="s">
        <v>1740</v>
      </c>
      <c r="O1131" s="2" t="n">
        <v>33600</v>
      </c>
    </row>
    <row r="1132" customFormat="false" ht="16.4" hidden="false" customHeight="false" outlineLevel="0" collapsed="false">
      <c r="A1132" s="0" t="s">
        <v>15</v>
      </c>
      <c r="B1132" s="0" t="s">
        <v>3638</v>
      </c>
      <c r="C1132" s="0" t="n">
        <v>114001</v>
      </c>
      <c r="D1132" s="0" t="n">
        <v>114001</v>
      </c>
      <c r="E1132" s="0" t="s">
        <v>3627</v>
      </c>
      <c r="F1132" s="0" t="s">
        <v>18</v>
      </c>
      <c r="G1132" s="0" t="s">
        <v>3639</v>
      </c>
      <c r="H1132" s="0" t="s">
        <v>3639</v>
      </c>
      <c r="I1132" s="0" t="s">
        <v>21</v>
      </c>
      <c r="J1132" s="0" t="s">
        <v>22</v>
      </c>
      <c r="K1132" s="0" t="s">
        <v>3629</v>
      </c>
      <c r="L1132" s="0" t="str">
        <f aca="false">IFERROR(VLOOKUP(K1132,'Supplier list'!B:C,2,0),"")</f>
        <v>บริษัท เตก้า (ประเทศไทย) จำกัด</v>
      </c>
      <c r="M1132" s="1" t="s">
        <v>1740</v>
      </c>
      <c r="O1132" s="2" t="n">
        <v>24675</v>
      </c>
    </row>
    <row r="1133" customFormat="false" ht="16.4" hidden="false" customHeight="false" outlineLevel="0" collapsed="false">
      <c r="A1133" s="0" t="s">
        <v>15</v>
      </c>
      <c r="B1133" s="0" t="s">
        <v>3640</v>
      </c>
      <c r="C1133" s="0" t="n">
        <v>114001</v>
      </c>
      <c r="D1133" s="0" t="n">
        <v>114001</v>
      </c>
      <c r="E1133" s="0" t="s">
        <v>1328</v>
      </c>
      <c r="F1133" s="0" t="s">
        <v>18</v>
      </c>
      <c r="G1133" s="0" t="s">
        <v>3641</v>
      </c>
      <c r="H1133" s="0" t="s">
        <v>3641</v>
      </c>
      <c r="I1133" s="0" t="s">
        <v>21</v>
      </c>
      <c r="J1133" s="0" t="s">
        <v>22</v>
      </c>
      <c r="K1133" s="0" t="s">
        <v>3629</v>
      </c>
      <c r="L1133" s="0" t="str">
        <f aca="false">IFERROR(VLOOKUP(K1133,'Supplier list'!B:C,2,0),"")</f>
        <v>บริษัท เตก้า (ประเทศไทย) จำกัด</v>
      </c>
      <c r="M1133" s="1" t="s">
        <v>24</v>
      </c>
      <c r="O1133" s="2" t="n">
        <v>18000</v>
      </c>
    </row>
    <row r="1134" customFormat="false" ht="16.4" hidden="false" customHeight="false" outlineLevel="0" collapsed="false">
      <c r="A1134" s="0" t="s">
        <v>15</v>
      </c>
      <c r="B1134" s="0" t="s">
        <v>3642</v>
      </c>
      <c r="C1134" s="0" t="n">
        <v>114001</v>
      </c>
      <c r="D1134" s="0" t="n">
        <v>114001</v>
      </c>
      <c r="E1134" s="0" t="s">
        <v>874</v>
      </c>
      <c r="F1134" s="0" t="s">
        <v>18</v>
      </c>
      <c r="G1134" s="0" t="s">
        <v>3643</v>
      </c>
      <c r="H1134" s="0" t="s">
        <v>3643</v>
      </c>
      <c r="I1134" s="0" t="s">
        <v>21</v>
      </c>
      <c r="J1134" s="0" t="s">
        <v>22</v>
      </c>
      <c r="K1134" s="0" t="s">
        <v>3629</v>
      </c>
      <c r="L1134" s="0" t="str">
        <f aca="false">IFERROR(VLOOKUP(K1134,'Supplier list'!B:C,2,0),"")</f>
        <v>บริษัท เตก้า (ประเทศไทย) จำกัด</v>
      </c>
      <c r="M1134" s="1" t="s">
        <v>24</v>
      </c>
      <c r="O1134" s="2" t="n">
        <v>3600</v>
      </c>
    </row>
    <row r="1135" customFormat="false" ht="16.4" hidden="false" customHeight="false" outlineLevel="0" collapsed="false">
      <c r="A1135" s="0" t="s">
        <v>15</v>
      </c>
      <c r="B1135" s="0" t="s">
        <v>3644</v>
      </c>
      <c r="C1135" s="0" t="n">
        <v>114001</v>
      </c>
      <c r="D1135" s="0" t="n">
        <v>114001</v>
      </c>
      <c r="E1135" s="0" t="s">
        <v>1328</v>
      </c>
      <c r="F1135" s="0" t="s">
        <v>18</v>
      </c>
      <c r="G1135" s="0" t="s">
        <v>3645</v>
      </c>
      <c r="H1135" s="0" t="s">
        <v>3646</v>
      </c>
      <c r="I1135" s="0" t="s">
        <v>21</v>
      </c>
      <c r="J1135" s="0" t="s">
        <v>22</v>
      </c>
      <c r="K1135" s="0" t="s">
        <v>89</v>
      </c>
      <c r="L1135" s="0" t="str">
        <f aca="false">IFERROR(VLOOKUP(K1135,'Supplier list'!B:C,2,0),"")</f>
        <v>บริษัท เฮเฟเล่ (ประเทศไทย) จำกัด</v>
      </c>
      <c r="M1135" s="1" t="s">
        <v>24</v>
      </c>
      <c r="O1135" s="2" t="n">
        <v>6400</v>
      </c>
    </row>
    <row r="1136" customFormat="false" ht="16.4" hidden="false" customHeight="false" outlineLevel="0" collapsed="false">
      <c r="A1136" s="0" t="s">
        <v>15</v>
      </c>
      <c r="B1136" s="0" t="s">
        <v>3647</v>
      </c>
      <c r="C1136" s="0" t="n">
        <v>114001</v>
      </c>
      <c r="D1136" s="0" t="n">
        <v>114001</v>
      </c>
      <c r="E1136" s="0" t="s">
        <v>1653</v>
      </c>
      <c r="F1136" s="0" t="s">
        <v>18</v>
      </c>
      <c r="G1136" s="0" t="s">
        <v>3648</v>
      </c>
      <c r="H1136" s="0" t="s">
        <v>3649</v>
      </c>
      <c r="I1136" s="0" t="s">
        <v>124</v>
      </c>
      <c r="J1136" s="0" t="s">
        <v>125</v>
      </c>
      <c r="K1136" s="0" t="s">
        <v>89</v>
      </c>
      <c r="L1136" s="0" t="str">
        <f aca="false">IFERROR(VLOOKUP(K1136,'Supplier list'!B:C,2,0),"")</f>
        <v>บริษัท เฮเฟเล่ (ประเทศไทย) จำกัด</v>
      </c>
      <c r="M1136" s="1" t="s">
        <v>24</v>
      </c>
      <c r="O1136" s="2" t="n">
        <v>2300</v>
      </c>
    </row>
    <row r="1137" customFormat="false" ht="16.4" hidden="false" customHeight="false" outlineLevel="0" collapsed="false">
      <c r="A1137" s="0" t="s">
        <v>15</v>
      </c>
      <c r="B1137" s="0" t="s">
        <v>3650</v>
      </c>
      <c r="C1137" s="0" t="n">
        <v>114001</v>
      </c>
      <c r="D1137" s="0" t="n">
        <v>114001</v>
      </c>
      <c r="E1137" s="0" t="s">
        <v>1764</v>
      </c>
      <c r="F1137" s="0" t="s">
        <v>18</v>
      </c>
      <c r="G1137" s="0" t="s">
        <v>3651</v>
      </c>
      <c r="H1137" s="0" t="s">
        <v>3652</v>
      </c>
      <c r="I1137" s="0" t="s">
        <v>21</v>
      </c>
      <c r="J1137" s="0" t="s">
        <v>22</v>
      </c>
      <c r="K1137" s="0" t="s">
        <v>787</v>
      </c>
      <c r="L1137" s="0" t="str">
        <f aca="false">IFERROR(VLOOKUP(K1137,'Supplier list'!B:C,2,0),"")</f>
        <v>บริษัท ฟิวเจอร์เทค อินเตอร์มาร์เก็ตติ้ง จำกัด</v>
      </c>
      <c r="M1137" s="1" t="s">
        <v>1740</v>
      </c>
      <c r="N1137" s="2" t="n">
        <v>590</v>
      </c>
      <c r="O1137" s="2" t="n">
        <v>65</v>
      </c>
    </row>
    <row r="1138" customFormat="false" ht="16.4" hidden="false" customHeight="false" outlineLevel="0" collapsed="false">
      <c r="A1138" s="0" t="s">
        <v>15</v>
      </c>
      <c r="B1138" s="0" t="s">
        <v>3653</v>
      </c>
      <c r="C1138" s="0" t="n">
        <v>114001</v>
      </c>
      <c r="D1138" s="0" t="n">
        <v>114001</v>
      </c>
      <c r="E1138" s="0" t="s">
        <v>1727</v>
      </c>
      <c r="F1138" s="0" t="s">
        <v>18</v>
      </c>
      <c r="G1138" s="0" t="s">
        <v>3654</v>
      </c>
      <c r="H1138" s="0" t="s">
        <v>3655</v>
      </c>
      <c r="I1138" s="0" t="s">
        <v>21</v>
      </c>
      <c r="J1138" s="0" t="s">
        <v>22</v>
      </c>
      <c r="K1138" s="0" t="s">
        <v>787</v>
      </c>
      <c r="L1138" s="0" t="str">
        <f aca="false">IFERROR(VLOOKUP(K1138,'Supplier list'!B:C,2,0),"")</f>
        <v>บริษัท ฟิวเจอร์เทค อินเตอร์มาร์เก็ตติ้ง จำกัด</v>
      </c>
      <c r="M1138" s="1" t="s">
        <v>24</v>
      </c>
      <c r="O1138" s="2" t="n">
        <v>245</v>
      </c>
    </row>
    <row r="1139" customFormat="false" ht="16.4" hidden="false" customHeight="false" outlineLevel="0" collapsed="false">
      <c r="A1139" s="0" t="s">
        <v>15</v>
      </c>
      <c r="B1139" s="0" t="s">
        <v>3656</v>
      </c>
      <c r="C1139" s="0" t="n">
        <v>114001</v>
      </c>
      <c r="D1139" s="0" t="n">
        <v>114001</v>
      </c>
      <c r="E1139" s="0" t="s">
        <v>1634</v>
      </c>
      <c r="F1139" s="0" t="s">
        <v>18</v>
      </c>
      <c r="G1139" s="0" t="s">
        <v>3657</v>
      </c>
      <c r="H1139" s="0" t="s">
        <v>3658</v>
      </c>
      <c r="I1139" s="0" t="s">
        <v>21</v>
      </c>
      <c r="J1139" s="0" t="s">
        <v>22</v>
      </c>
      <c r="K1139" s="0" t="s">
        <v>89</v>
      </c>
      <c r="L1139" s="0" t="str">
        <f aca="false">IFERROR(VLOOKUP(K1139,'Supplier list'!B:C,2,0),"")</f>
        <v>บริษัท เฮเฟเล่ (ประเทศไทย) จำกัด</v>
      </c>
      <c r="M1139" s="1" t="s">
        <v>24</v>
      </c>
      <c r="O1139" s="2" t="n">
        <v>1214</v>
      </c>
    </row>
    <row r="1140" customFormat="false" ht="16.4" hidden="false" customHeight="false" outlineLevel="0" collapsed="false">
      <c r="A1140" s="0" t="s">
        <v>15</v>
      </c>
      <c r="B1140" s="0" t="s">
        <v>3659</v>
      </c>
      <c r="C1140" s="0" t="n">
        <v>114001</v>
      </c>
      <c r="D1140" s="0" t="n">
        <v>114001</v>
      </c>
      <c r="E1140" s="0" t="s">
        <v>1815</v>
      </c>
      <c r="F1140" s="0" t="s">
        <v>18</v>
      </c>
      <c r="G1140" s="0" t="s">
        <v>3660</v>
      </c>
      <c r="H1140" s="0" t="s">
        <v>3661</v>
      </c>
      <c r="I1140" s="0" t="s">
        <v>396</v>
      </c>
      <c r="J1140" s="0" t="s">
        <v>397</v>
      </c>
      <c r="K1140" s="0" t="s">
        <v>89</v>
      </c>
      <c r="L1140" s="0" t="str">
        <f aca="false">IFERROR(VLOOKUP(K1140,'Supplier list'!B:C,2,0),"")</f>
        <v>บริษัท เฮเฟเล่ (ประเทศไทย) จำกัด</v>
      </c>
      <c r="M1140" s="1" t="s">
        <v>24</v>
      </c>
      <c r="O1140" s="2" t="n">
        <v>803</v>
      </c>
    </row>
    <row r="1141" customFormat="false" ht="16.4" hidden="false" customHeight="false" outlineLevel="0" collapsed="false">
      <c r="A1141" s="0" t="s">
        <v>15</v>
      </c>
      <c r="B1141" s="0" t="s">
        <v>3662</v>
      </c>
      <c r="C1141" s="0" t="n">
        <v>114001</v>
      </c>
      <c r="D1141" s="0" t="n">
        <v>114001</v>
      </c>
      <c r="E1141" s="0" t="s">
        <v>1815</v>
      </c>
      <c r="F1141" s="0" t="s">
        <v>18</v>
      </c>
      <c r="G1141" s="0" t="s">
        <v>3663</v>
      </c>
      <c r="H1141" s="0" t="s">
        <v>3664</v>
      </c>
      <c r="I1141" s="0" t="s">
        <v>396</v>
      </c>
      <c r="J1141" s="0" t="s">
        <v>397</v>
      </c>
      <c r="K1141" s="0" t="s">
        <v>89</v>
      </c>
      <c r="L1141" s="0" t="str">
        <f aca="false">IFERROR(VLOOKUP(K1141,'Supplier list'!B:C,2,0),"")</f>
        <v>บริษัท เฮเฟเล่ (ประเทศไทย) จำกัด</v>
      </c>
      <c r="M1141" s="1" t="s">
        <v>24</v>
      </c>
      <c r="O1141" s="2" t="n">
        <v>495</v>
      </c>
    </row>
    <row r="1142" customFormat="false" ht="16.4" hidden="false" customHeight="false" outlineLevel="0" collapsed="false">
      <c r="A1142" s="0" t="s">
        <v>15</v>
      </c>
      <c r="B1142" s="0" t="s">
        <v>3665</v>
      </c>
      <c r="C1142" s="0" t="n">
        <v>114001</v>
      </c>
      <c r="D1142" s="0" t="n">
        <v>114001</v>
      </c>
      <c r="E1142" s="0" t="s">
        <v>1764</v>
      </c>
      <c r="F1142" s="0" t="s">
        <v>18</v>
      </c>
      <c r="G1142" s="0" t="s">
        <v>3666</v>
      </c>
      <c r="H1142" s="0" t="s">
        <v>3667</v>
      </c>
      <c r="I1142" s="0" t="s">
        <v>21</v>
      </c>
      <c r="J1142" s="0" t="s">
        <v>22</v>
      </c>
      <c r="K1142" s="0" t="s">
        <v>787</v>
      </c>
      <c r="L1142" s="0" t="str">
        <f aca="false">IFERROR(VLOOKUP(K1142,'Supplier list'!B:C,2,0),"")</f>
        <v>บริษัท ฟิวเจอร์เทค อินเตอร์มาร์เก็ตติ้ง จำกัด</v>
      </c>
      <c r="M1142" s="1" t="s">
        <v>24</v>
      </c>
      <c r="O1142" s="2" t="n">
        <v>275</v>
      </c>
    </row>
    <row r="1143" customFormat="false" ht="16.4" hidden="false" customHeight="false" outlineLevel="0" collapsed="false">
      <c r="A1143" s="0" t="s">
        <v>15</v>
      </c>
      <c r="B1143" s="0" t="s">
        <v>3668</v>
      </c>
      <c r="C1143" s="0" t="n">
        <v>114001</v>
      </c>
      <c r="D1143" s="0" t="n">
        <v>114001</v>
      </c>
      <c r="E1143" s="0" t="s">
        <v>267</v>
      </c>
      <c r="F1143" s="0" t="s">
        <v>18</v>
      </c>
      <c r="G1143" s="0" t="s">
        <v>3669</v>
      </c>
      <c r="H1143" s="0" t="s">
        <v>3670</v>
      </c>
      <c r="I1143" s="0" t="s">
        <v>21</v>
      </c>
      <c r="J1143" s="0" t="s">
        <v>22</v>
      </c>
      <c r="K1143" s="0" t="s">
        <v>1725</v>
      </c>
      <c r="L1143" s="0" t="str">
        <f aca="false">IFERROR(VLOOKUP(K1143,'Supplier list'!B:C,2,0),"")</f>
        <v>บริษัท พรีซิชั่นไลน์ จำกัด</v>
      </c>
      <c r="M1143" s="1" t="s">
        <v>24</v>
      </c>
      <c r="O1143" s="2" t="n">
        <v>260</v>
      </c>
    </row>
    <row r="1144" customFormat="false" ht="16.4" hidden="false" customHeight="false" outlineLevel="0" collapsed="false">
      <c r="A1144" s="0" t="s">
        <v>15</v>
      </c>
      <c r="B1144" s="0" t="s">
        <v>3671</v>
      </c>
      <c r="C1144" s="0" t="n">
        <v>114001</v>
      </c>
      <c r="D1144" s="0" t="n">
        <v>114001</v>
      </c>
      <c r="E1144" s="0" t="s">
        <v>1727</v>
      </c>
      <c r="F1144" s="0" t="s">
        <v>18</v>
      </c>
      <c r="G1144" s="0" t="s">
        <v>3672</v>
      </c>
      <c r="H1144" s="0" t="s">
        <v>3673</v>
      </c>
      <c r="I1144" s="0" t="s">
        <v>124</v>
      </c>
      <c r="J1144" s="0" t="s">
        <v>125</v>
      </c>
      <c r="K1144" s="0" t="s">
        <v>1725</v>
      </c>
      <c r="L1144" s="0" t="str">
        <f aca="false">IFERROR(VLOOKUP(K1144,'Supplier list'!B:C,2,0),"")</f>
        <v>บริษัท พรีซิชั่นไลน์ จำกัด</v>
      </c>
      <c r="M1144" s="1" t="s">
        <v>24</v>
      </c>
      <c r="O1144" s="2" t="n">
        <v>5750</v>
      </c>
    </row>
    <row r="1145" customFormat="false" ht="16.4" hidden="false" customHeight="false" outlineLevel="0" collapsed="false">
      <c r="A1145" s="0" t="s">
        <v>15</v>
      </c>
      <c r="B1145" s="0" t="s">
        <v>3674</v>
      </c>
      <c r="C1145" s="0" t="n">
        <v>114001</v>
      </c>
      <c r="D1145" s="0" t="n">
        <v>114001</v>
      </c>
      <c r="E1145" s="0" t="s">
        <v>1653</v>
      </c>
      <c r="F1145" s="0" t="s">
        <v>18</v>
      </c>
      <c r="G1145" s="0" t="s">
        <v>3675</v>
      </c>
      <c r="H1145" s="0" t="s">
        <v>3676</v>
      </c>
      <c r="I1145" s="0" t="s">
        <v>21</v>
      </c>
      <c r="J1145" s="0" t="s">
        <v>22</v>
      </c>
      <c r="K1145" s="0" t="s">
        <v>89</v>
      </c>
      <c r="L1145" s="0" t="str">
        <f aca="false">IFERROR(VLOOKUP(K1145,'Supplier list'!B:C,2,0),"")</f>
        <v>บริษัท เฮเฟเล่ (ประเทศไทย) จำกัด</v>
      </c>
      <c r="M1145" s="1" t="s">
        <v>24</v>
      </c>
      <c r="O1145" s="2" t="n">
        <v>485</v>
      </c>
    </row>
    <row r="1146" customFormat="false" ht="16.4" hidden="false" customHeight="false" outlineLevel="0" collapsed="false">
      <c r="A1146" s="0" t="s">
        <v>15</v>
      </c>
      <c r="B1146" s="0" t="s">
        <v>3677</v>
      </c>
      <c r="C1146" s="0" t="n">
        <v>114001</v>
      </c>
      <c r="D1146" s="0" t="n">
        <v>114001</v>
      </c>
      <c r="E1146" s="0" t="s">
        <v>3678</v>
      </c>
      <c r="F1146" s="0" t="s">
        <v>18</v>
      </c>
      <c r="G1146" s="0" t="s">
        <v>3679</v>
      </c>
      <c r="H1146" s="0" t="s">
        <v>3680</v>
      </c>
      <c r="I1146" s="0" t="s">
        <v>168</v>
      </c>
      <c r="J1146" s="0" t="s">
        <v>169</v>
      </c>
      <c r="K1146" s="0" t="s">
        <v>787</v>
      </c>
      <c r="L1146" s="0" t="str">
        <f aca="false">IFERROR(VLOOKUP(K1146,'Supplier list'!B:C,2,0),"")</f>
        <v>บริษัท ฟิวเจอร์เทค อินเตอร์มาร์เก็ตติ้ง จำกัด</v>
      </c>
      <c r="M1146" s="1" t="s">
        <v>24</v>
      </c>
      <c r="O1146" s="2" t="n">
        <v>600</v>
      </c>
    </row>
    <row r="1147" customFormat="false" ht="16.4" hidden="false" customHeight="false" outlineLevel="0" collapsed="false">
      <c r="A1147" s="0" t="s">
        <v>15</v>
      </c>
      <c r="B1147" s="0" t="s">
        <v>3681</v>
      </c>
      <c r="C1147" s="0" t="n">
        <v>114001</v>
      </c>
      <c r="D1147" s="0" t="n">
        <v>114001</v>
      </c>
      <c r="E1147" s="0" t="s">
        <v>3678</v>
      </c>
      <c r="F1147" s="0" t="s">
        <v>18</v>
      </c>
      <c r="G1147" s="0" t="s">
        <v>3682</v>
      </c>
      <c r="H1147" s="0" t="s">
        <v>3683</v>
      </c>
      <c r="I1147" s="0" t="s">
        <v>168</v>
      </c>
      <c r="J1147" s="0" t="s">
        <v>169</v>
      </c>
      <c r="K1147" s="0" t="s">
        <v>787</v>
      </c>
      <c r="L1147" s="0" t="str">
        <f aca="false">IFERROR(VLOOKUP(K1147,'Supplier list'!B:C,2,0),"")</f>
        <v>บริษัท ฟิวเจอร์เทค อินเตอร์มาร์เก็ตติ้ง จำกัด</v>
      </c>
      <c r="M1147" s="1" t="s">
        <v>24</v>
      </c>
      <c r="O1147" s="2" t="n">
        <v>900</v>
      </c>
    </row>
    <row r="1148" customFormat="false" ht="16.4" hidden="false" customHeight="false" outlineLevel="0" collapsed="false">
      <c r="A1148" s="0" t="s">
        <v>15</v>
      </c>
      <c r="B1148" s="0" t="s">
        <v>3684</v>
      </c>
      <c r="C1148" s="0" t="n">
        <v>114001</v>
      </c>
      <c r="D1148" s="0" t="n">
        <v>114001</v>
      </c>
      <c r="E1148" s="0" t="s">
        <v>1653</v>
      </c>
      <c r="F1148" s="0" t="s">
        <v>18</v>
      </c>
      <c r="G1148" s="0" t="s">
        <v>3685</v>
      </c>
      <c r="H1148" s="0" t="s">
        <v>3686</v>
      </c>
      <c r="I1148" s="0" t="s">
        <v>21</v>
      </c>
      <c r="J1148" s="0" t="s">
        <v>22</v>
      </c>
      <c r="L1148" s="0" t="str">
        <f aca="false">IFERROR(VLOOKUP(K1148,'Supplier list'!B:C,2,0),"")</f>
        <v/>
      </c>
      <c r="M1148" s="1" t="s">
        <v>1740</v>
      </c>
      <c r="N1148" s="2" t="n">
        <v>5500</v>
      </c>
      <c r="O1148" s="2" t="n">
        <v>0</v>
      </c>
    </row>
    <row r="1149" customFormat="false" ht="16.4" hidden="false" customHeight="false" outlineLevel="0" collapsed="false">
      <c r="A1149" s="0" t="s">
        <v>15</v>
      </c>
      <c r="B1149" s="0" t="s">
        <v>3687</v>
      </c>
      <c r="C1149" s="0" t="n">
        <v>114001</v>
      </c>
      <c r="D1149" s="0" t="n">
        <v>114001</v>
      </c>
      <c r="E1149" s="0" t="s">
        <v>1653</v>
      </c>
      <c r="F1149" s="0" t="s">
        <v>18</v>
      </c>
      <c r="G1149" s="0" t="s">
        <v>3688</v>
      </c>
      <c r="H1149" s="0" t="s">
        <v>3689</v>
      </c>
      <c r="I1149" s="0" t="s">
        <v>21</v>
      </c>
      <c r="J1149" s="0" t="s">
        <v>22</v>
      </c>
      <c r="L1149" s="0" t="str">
        <f aca="false">IFERROR(VLOOKUP(K1149,'Supplier list'!B:C,2,0),"")</f>
        <v/>
      </c>
      <c r="M1149" s="1" t="s">
        <v>1740</v>
      </c>
      <c r="N1149" s="2" t="n">
        <v>4900</v>
      </c>
      <c r="O1149" s="2" t="n">
        <v>0</v>
      </c>
    </row>
    <row r="1150" customFormat="false" ht="16.4" hidden="false" customHeight="false" outlineLevel="0" collapsed="false">
      <c r="A1150" s="0" t="s">
        <v>15</v>
      </c>
      <c r="B1150" s="0" t="s">
        <v>3690</v>
      </c>
      <c r="C1150" s="0" t="n">
        <v>114001</v>
      </c>
      <c r="D1150" s="0" t="n">
        <v>114001</v>
      </c>
      <c r="E1150" s="0" t="s">
        <v>1727</v>
      </c>
      <c r="F1150" s="0" t="s">
        <v>18</v>
      </c>
      <c r="G1150" s="0" t="s">
        <v>3691</v>
      </c>
      <c r="H1150" s="0" t="s">
        <v>3692</v>
      </c>
      <c r="I1150" s="0" t="s">
        <v>21</v>
      </c>
      <c r="J1150" s="0" t="s">
        <v>22</v>
      </c>
      <c r="L1150" s="0" t="str">
        <f aca="false">IFERROR(VLOOKUP(K1150,'Supplier list'!B:C,2,0),"")</f>
        <v/>
      </c>
      <c r="M1150" s="1" t="s">
        <v>1740</v>
      </c>
      <c r="N1150" s="2" t="n">
        <v>4900</v>
      </c>
      <c r="O1150" s="2" t="n">
        <v>0</v>
      </c>
    </row>
    <row r="1151" customFormat="false" ht="16.4" hidden="false" customHeight="false" outlineLevel="0" collapsed="false">
      <c r="A1151" s="0" t="s">
        <v>15</v>
      </c>
      <c r="B1151" s="0" t="s">
        <v>3693</v>
      </c>
      <c r="C1151" s="0" t="n">
        <v>114001</v>
      </c>
      <c r="D1151" s="0" t="n">
        <v>114001</v>
      </c>
      <c r="E1151" s="0" t="s">
        <v>1653</v>
      </c>
      <c r="F1151" s="0" t="s">
        <v>18</v>
      </c>
      <c r="G1151" s="0" t="s">
        <v>3694</v>
      </c>
      <c r="H1151" s="0" t="s">
        <v>3695</v>
      </c>
      <c r="I1151" s="0" t="s">
        <v>21</v>
      </c>
      <c r="J1151" s="0" t="s">
        <v>22</v>
      </c>
      <c r="L1151" s="0" t="str">
        <f aca="false">IFERROR(VLOOKUP(K1151,'Supplier list'!B:C,2,0),"")</f>
        <v/>
      </c>
      <c r="M1151" s="1" t="s">
        <v>1740</v>
      </c>
      <c r="N1151" s="2" t="n">
        <v>3900</v>
      </c>
      <c r="O1151" s="2" t="n">
        <v>0</v>
      </c>
    </row>
    <row r="1152" customFormat="false" ht="16.4" hidden="false" customHeight="false" outlineLevel="0" collapsed="false">
      <c r="A1152" s="0" t="s">
        <v>15</v>
      </c>
      <c r="B1152" s="0" t="s">
        <v>3696</v>
      </c>
      <c r="C1152" s="0" t="n">
        <v>114001</v>
      </c>
      <c r="D1152" s="0" t="n">
        <v>114001</v>
      </c>
      <c r="E1152" s="0" t="s">
        <v>1653</v>
      </c>
      <c r="F1152" s="0" t="s">
        <v>18</v>
      </c>
      <c r="G1152" s="0" t="s">
        <v>3697</v>
      </c>
      <c r="H1152" s="0" t="s">
        <v>3698</v>
      </c>
      <c r="I1152" s="0" t="s">
        <v>21</v>
      </c>
      <c r="J1152" s="0" t="s">
        <v>22</v>
      </c>
      <c r="L1152" s="0" t="str">
        <f aca="false">IFERROR(VLOOKUP(K1152,'Supplier list'!B:C,2,0),"")</f>
        <v/>
      </c>
      <c r="M1152" s="1" t="s">
        <v>1740</v>
      </c>
      <c r="N1152" s="2" t="n">
        <v>3500</v>
      </c>
      <c r="O1152" s="2" t="n">
        <v>0</v>
      </c>
    </row>
    <row r="1153" customFormat="false" ht="16.4" hidden="false" customHeight="false" outlineLevel="0" collapsed="false">
      <c r="A1153" s="0" t="s">
        <v>15</v>
      </c>
      <c r="B1153" s="0" t="s">
        <v>3699</v>
      </c>
      <c r="C1153" s="0" t="n">
        <v>114001</v>
      </c>
      <c r="D1153" s="0" t="n">
        <v>114001</v>
      </c>
      <c r="E1153" s="0" t="s">
        <v>1653</v>
      </c>
      <c r="F1153" s="0" t="s">
        <v>18</v>
      </c>
      <c r="G1153" s="0" t="s">
        <v>3700</v>
      </c>
      <c r="H1153" s="0" t="s">
        <v>3701</v>
      </c>
      <c r="I1153" s="0" t="s">
        <v>21</v>
      </c>
      <c r="J1153" s="0" t="s">
        <v>22</v>
      </c>
      <c r="L1153" s="0" t="str">
        <f aca="false">IFERROR(VLOOKUP(K1153,'Supplier list'!B:C,2,0),"")</f>
        <v/>
      </c>
      <c r="M1153" s="1" t="s">
        <v>1740</v>
      </c>
      <c r="N1153" s="2" t="n">
        <v>4500</v>
      </c>
      <c r="O1153" s="2" t="n">
        <v>0</v>
      </c>
    </row>
    <row r="1154" customFormat="false" ht="16.4" hidden="false" customHeight="false" outlineLevel="0" collapsed="false">
      <c r="A1154" s="0" t="s">
        <v>15</v>
      </c>
      <c r="B1154" s="0" t="s">
        <v>3702</v>
      </c>
      <c r="C1154" s="0" t="n">
        <v>114001</v>
      </c>
      <c r="D1154" s="0" t="n">
        <v>114001</v>
      </c>
      <c r="E1154" s="0" t="s">
        <v>1653</v>
      </c>
      <c r="F1154" s="0" t="s">
        <v>18</v>
      </c>
      <c r="G1154" s="0" t="s">
        <v>3703</v>
      </c>
      <c r="H1154" s="0" t="s">
        <v>3704</v>
      </c>
      <c r="I1154" s="0" t="s">
        <v>21</v>
      </c>
      <c r="J1154" s="0" t="s">
        <v>22</v>
      </c>
      <c r="K1154" s="0" t="s">
        <v>56</v>
      </c>
      <c r="L1154" s="0" t="str">
        <f aca="false">IFERROR(VLOOKUP(K1154,'Supplier list'!B:C,2,0),"")</f>
        <v>CO.,LTD QINGDAO NEW LIBERTY INT'L TRADING CO.LTD.</v>
      </c>
      <c r="M1154" s="1" t="s">
        <v>1740</v>
      </c>
      <c r="N1154" s="2" t="n">
        <v>10900</v>
      </c>
      <c r="O1154" s="2" t="n">
        <v>0</v>
      </c>
    </row>
    <row r="1155" customFormat="false" ht="16.4" hidden="false" customHeight="false" outlineLevel="0" collapsed="false">
      <c r="A1155" s="0" t="s">
        <v>15</v>
      </c>
      <c r="B1155" s="0" t="s">
        <v>3705</v>
      </c>
      <c r="C1155" s="0" t="n">
        <v>114001</v>
      </c>
      <c r="D1155" s="0" t="n">
        <v>114001</v>
      </c>
      <c r="E1155" s="0" t="s">
        <v>1653</v>
      </c>
      <c r="F1155" s="0" t="s">
        <v>18</v>
      </c>
      <c r="G1155" s="0" t="s">
        <v>3706</v>
      </c>
      <c r="H1155" s="0" t="s">
        <v>3707</v>
      </c>
      <c r="I1155" s="0" t="s">
        <v>21</v>
      </c>
      <c r="J1155" s="0" t="s">
        <v>22</v>
      </c>
      <c r="L1155" s="0" t="str">
        <f aca="false">IFERROR(VLOOKUP(K1155,'Supplier list'!B:C,2,0),"")</f>
        <v/>
      </c>
      <c r="M1155" s="1" t="s">
        <v>24</v>
      </c>
      <c r="O1155" s="2" t="n">
        <v>0</v>
      </c>
    </row>
    <row r="1156" customFormat="false" ht="16.4" hidden="false" customHeight="false" outlineLevel="0" collapsed="false">
      <c r="A1156" s="0" t="s">
        <v>15</v>
      </c>
      <c r="B1156" s="0" t="s">
        <v>3708</v>
      </c>
      <c r="C1156" s="0" t="n">
        <v>114001</v>
      </c>
      <c r="D1156" s="0" t="n">
        <v>114001</v>
      </c>
      <c r="E1156" s="0" t="s">
        <v>1653</v>
      </c>
      <c r="F1156" s="0" t="s">
        <v>18</v>
      </c>
      <c r="G1156" s="0" t="s">
        <v>3709</v>
      </c>
      <c r="H1156" s="0" t="s">
        <v>3710</v>
      </c>
      <c r="I1156" s="0" t="s">
        <v>21</v>
      </c>
      <c r="J1156" s="0" t="s">
        <v>22</v>
      </c>
      <c r="L1156" s="0" t="str">
        <f aca="false">IFERROR(VLOOKUP(K1156,'Supplier list'!B:C,2,0),"")</f>
        <v/>
      </c>
      <c r="M1156" s="1" t="s">
        <v>24</v>
      </c>
      <c r="O1156" s="2" t="n">
        <v>0</v>
      </c>
    </row>
    <row r="1157" customFormat="false" ht="16.4" hidden="false" customHeight="false" outlineLevel="0" collapsed="false">
      <c r="A1157" s="0" t="s">
        <v>15</v>
      </c>
      <c r="B1157" s="0" t="s">
        <v>3711</v>
      </c>
      <c r="C1157" s="0" t="n">
        <v>114001</v>
      </c>
      <c r="D1157" s="0" t="n">
        <v>114001</v>
      </c>
      <c r="E1157" s="0" t="s">
        <v>1764</v>
      </c>
      <c r="F1157" s="0" t="s">
        <v>18</v>
      </c>
      <c r="G1157" s="0" t="s">
        <v>3712</v>
      </c>
      <c r="H1157" s="0" t="s">
        <v>3713</v>
      </c>
      <c r="I1157" s="0" t="s">
        <v>21</v>
      </c>
      <c r="J1157" s="0" t="s">
        <v>22</v>
      </c>
      <c r="K1157" s="0" t="s">
        <v>787</v>
      </c>
      <c r="L1157" s="0" t="str">
        <f aca="false">IFERROR(VLOOKUP(K1157,'Supplier list'!B:C,2,0),"")</f>
        <v>บริษัท ฟิวเจอร์เทค อินเตอร์มาร์เก็ตติ้ง จำกัด</v>
      </c>
      <c r="M1157" s="1" t="s">
        <v>1740</v>
      </c>
      <c r="N1157" s="2" t="n">
        <v>150</v>
      </c>
      <c r="O1157" s="2" t="n">
        <v>38.5</v>
      </c>
    </row>
    <row r="1158" customFormat="false" ht="16.4" hidden="false" customHeight="false" outlineLevel="0" collapsed="false">
      <c r="A1158" s="0" t="s">
        <v>15</v>
      </c>
      <c r="B1158" s="0" t="s">
        <v>3714</v>
      </c>
      <c r="C1158" s="0" t="n">
        <v>114001</v>
      </c>
      <c r="D1158" s="0" t="n">
        <v>114001</v>
      </c>
      <c r="E1158" s="0" t="s">
        <v>1764</v>
      </c>
      <c r="F1158" s="0" t="s">
        <v>18</v>
      </c>
      <c r="G1158" s="0" t="s">
        <v>3715</v>
      </c>
      <c r="H1158" s="0" t="s">
        <v>3716</v>
      </c>
      <c r="I1158" s="0" t="s">
        <v>21</v>
      </c>
      <c r="J1158" s="0" t="s">
        <v>22</v>
      </c>
      <c r="K1158" s="0" t="s">
        <v>787</v>
      </c>
      <c r="L1158" s="0" t="str">
        <f aca="false">IFERROR(VLOOKUP(K1158,'Supplier list'!B:C,2,0),"")</f>
        <v>บริษัท ฟิวเจอร์เทค อินเตอร์มาร์เก็ตติ้ง จำกัด</v>
      </c>
      <c r="M1158" s="1" t="s">
        <v>24</v>
      </c>
      <c r="O1158" s="2" t="n">
        <v>84</v>
      </c>
    </row>
    <row r="1159" customFormat="false" ht="16.4" hidden="false" customHeight="false" outlineLevel="0" collapsed="false">
      <c r="A1159" s="0" t="s">
        <v>15</v>
      </c>
      <c r="B1159" s="0" t="s">
        <v>3717</v>
      </c>
      <c r="C1159" s="0" t="n">
        <v>114001</v>
      </c>
      <c r="D1159" s="0" t="n">
        <v>114001</v>
      </c>
      <c r="E1159" s="0" t="s">
        <v>961</v>
      </c>
      <c r="F1159" s="0" t="s">
        <v>18</v>
      </c>
      <c r="G1159" s="0" t="s">
        <v>3718</v>
      </c>
      <c r="H1159" s="0" t="s">
        <v>3553</v>
      </c>
      <c r="I1159" s="0" t="s">
        <v>124</v>
      </c>
      <c r="J1159" s="0" t="s">
        <v>125</v>
      </c>
      <c r="K1159" s="0" t="s">
        <v>89</v>
      </c>
      <c r="L1159" s="0" t="str">
        <f aca="false">IFERROR(VLOOKUP(K1159,'Supplier list'!B:C,2,0),"")</f>
        <v>บริษัท เฮเฟเล่ (ประเทศไทย) จำกัด</v>
      </c>
      <c r="M1159" s="1" t="s">
        <v>24</v>
      </c>
      <c r="O1159" s="2" t="n">
        <v>4206</v>
      </c>
    </row>
    <row r="1160" customFormat="false" ht="16.4" hidden="false" customHeight="false" outlineLevel="0" collapsed="false">
      <c r="A1160" s="0" t="s">
        <v>15</v>
      </c>
      <c r="B1160" s="0" t="s">
        <v>3719</v>
      </c>
      <c r="C1160" s="0" t="n">
        <v>114001</v>
      </c>
      <c r="D1160" s="0" t="n">
        <v>114001</v>
      </c>
      <c r="E1160" s="0" t="s">
        <v>1653</v>
      </c>
      <c r="F1160" s="0" t="s">
        <v>18</v>
      </c>
      <c r="G1160" s="0" t="s">
        <v>3720</v>
      </c>
      <c r="H1160" s="0" t="s">
        <v>3721</v>
      </c>
      <c r="I1160" s="0" t="s">
        <v>21</v>
      </c>
      <c r="J1160" s="0" t="s">
        <v>22</v>
      </c>
      <c r="K1160" s="0" t="s">
        <v>89</v>
      </c>
      <c r="L1160" s="0" t="str">
        <f aca="false">IFERROR(VLOOKUP(K1160,'Supplier list'!B:C,2,0),"")</f>
        <v>บริษัท เฮเฟเล่ (ประเทศไทย) จำกัด</v>
      </c>
      <c r="M1160" s="1" t="s">
        <v>24</v>
      </c>
      <c r="O1160" s="2" t="n">
        <v>3500</v>
      </c>
    </row>
    <row r="1161" customFormat="false" ht="16.4" hidden="false" customHeight="false" outlineLevel="0" collapsed="false">
      <c r="A1161" s="0" t="s">
        <v>15</v>
      </c>
      <c r="B1161" s="0" t="s">
        <v>3722</v>
      </c>
      <c r="C1161" s="0" t="n">
        <v>114001</v>
      </c>
      <c r="D1161" s="0" t="n">
        <v>114001</v>
      </c>
      <c r="E1161" s="0" t="s">
        <v>1653</v>
      </c>
      <c r="F1161" s="0" t="s">
        <v>18</v>
      </c>
      <c r="G1161" s="0" t="s">
        <v>3723</v>
      </c>
      <c r="H1161" s="0" t="s">
        <v>3724</v>
      </c>
      <c r="I1161" s="0" t="s">
        <v>21</v>
      </c>
      <c r="J1161" s="0" t="s">
        <v>22</v>
      </c>
      <c r="K1161" s="0" t="s">
        <v>89</v>
      </c>
      <c r="L1161" s="0" t="str">
        <f aca="false">IFERROR(VLOOKUP(K1161,'Supplier list'!B:C,2,0),"")</f>
        <v>บริษัท เฮเฟเล่ (ประเทศไทย) จำกัด</v>
      </c>
      <c r="M1161" s="1" t="s">
        <v>24</v>
      </c>
      <c r="O1161" s="2" t="n">
        <v>5074</v>
      </c>
    </row>
    <row r="1162" customFormat="false" ht="16.4" hidden="false" customHeight="false" outlineLevel="0" collapsed="false">
      <c r="A1162" s="0" t="s">
        <v>15</v>
      </c>
      <c r="B1162" s="0" t="s">
        <v>3725</v>
      </c>
      <c r="C1162" s="0" t="n">
        <v>114001</v>
      </c>
      <c r="D1162" s="0" t="n">
        <v>114001</v>
      </c>
      <c r="E1162" s="0" t="s">
        <v>1653</v>
      </c>
      <c r="F1162" s="0" t="s">
        <v>18</v>
      </c>
      <c r="G1162" s="0" t="s">
        <v>3726</v>
      </c>
      <c r="H1162" s="0" t="s">
        <v>3727</v>
      </c>
      <c r="I1162" s="0" t="s">
        <v>124</v>
      </c>
      <c r="J1162" s="0" t="s">
        <v>125</v>
      </c>
      <c r="K1162" s="0" t="s">
        <v>1725</v>
      </c>
      <c r="L1162" s="0" t="str">
        <f aca="false">IFERROR(VLOOKUP(K1162,'Supplier list'!B:C,2,0),"")</f>
        <v>บริษัท พรีซิชั่นไลน์ จำกัด</v>
      </c>
      <c r="M1162" s="1" t="s">
        <v>24</v>
      </c>
      <c r="O1162" s="2" t="n">
        <v>41300</v>
      </c>
    </row>
    <row r="1163" customFormat="false" ht="16.4" hidden="false" customHeight="false" outlineLevel="0" collapsed="false">
      <c r="A1163" s="0" t="s">
        <v>15</v>
      </c>
      <c r="B1163" s="0" t="s">
        <v>3728</v>
      </c>
      <c r="C1163" s="0" t="n">
        <v>114001</v>
      </c>
      <c r="D1163" s="0" t="n">
        <v>114001</v>
      </c>
      <c r="E1163" s="0" t="s">
        <v>2171</v>
      </c>
      <c r="F1163" s="0" t="s">
        <v>18</v>
      </c>
      <c r="G1163" s="0" t="s">
        <v>3729</v>
      </c>
      <c r="H1163" s="0" t="s">
        <v>3730</v>
      </c>
      <c r="I1163" s="0" t="s">
        <v>124</v>
      </c>
      <c r="J1163" s="0" t="s">
        <v>125</v>
      </c>
      <c r="K1163" s="0" t="s">
        <v>787</v>
      </c>
      <c r="L1163" s="0" t="str">
        <f aca="false">IFERROR(VLOOKUP(K1163,'Supplier list'!B:C,2,0),"")</f>
        <v>บริษัท ฟิวเจอร์เทค อินเตอร์มาร์เก็ตติ้ง จำกัด</v>
      </c>
      <c r="M1163" s="1" t="s">
        <v>24</v>
      </c>
      <c r="O1163" s="2" t="n">
        <v>90</v>
      </c>
    </row>
    <row r="1164" customFormat="false" ht="16.4" hidden="false" customHeight="false" outlineLevel="0" collapsed="false">
      <c r="A1164" s="0" t="s">
        <v>15</v>
      </c>
      <c r="B1164" s="0" t="s">
        <v>3731</v>
      </c>
      <c r="C1164" s="0" t="n">
        <v>114001</v>
      </c>
      <c r="D1164" s="0" t="n">
        <v>114001</v>
      </c>
      <c r="E1164" s="0" t="s">
        <v>2171</v>
      </c>
      <c r="F1164" s="0" t="s">
        <v>18</v>
      </c>
      <c r="G1164" s="0" t="s">
        <v>3732</v>
      </c>
      <c r="H1164" s="0" t="s">
        <v>3733</v>
      </c>
      <c r="I1164" s="0" t="s">
        <v>21</v>
      </c>
      <c r="J1164" s="0" t="s">
        <v>22</v>
      </c>
      <c r="K1164" s="0" t="s">
        <v>787</v>
      </c>
      <c r="L1164" s="0" t="str">
        <f aca="false">IFERROR(VLOOKUP(K1164,'Supplier list'!B:C,2,0),"")</f>
        <v>บริษัท ฟิวเจอร์เทค อินเตอร์มาร์เก็ตติ้ง จำกัด</v>
      </c>
      <c r="M1164" s="1" t="s">
        <v>24</v>
      </c>
      <c r="O1164" s="2" t="n">
        <v>35</v>
      </c>
    </row>
    <row r="1165" customFormat="false" ht="16.4" hidden="false" customHeight="false" outlineLevel="0" collapsed="false">
      <c r="A1165" s="0" t="s">
        <v>15</v>
      </c>
      <c r="B1165" s="0" t="s">
        <v>3734</v>
      </c>
      <c r="C1165" s="0" t="n">
        <v>114001</v>
      </c>
      <c r="D1165" s="0" t="n">
        <v>114001</v>
      </c>
      <c r="E1165" s="0" t="s">
        <v>1764</v>
      </c>
      <c r="F1165" s="0" t="s">
        <v>18</v>
      </c>
      <c r="G1165" s="0" t="s">
        <v>3735</v>
      </c>
      <c r="H1165" s="0" t="s">
        <v>3736</v>
      </c>
      <c r="I1165" s="0" t="s">
        <v>21</v>
      </c>
      <c r="J1165" s="0" t="s">
        <v>22</v>
      </c>
      <c r="K1165" s="0" t="s">
        <v>787</v>
      </c>
      <c r="L1165" s="0" t="str">
        <f aca="false">IFERROR(VLOOKUP(K1165,'Supplier list'!B:C,2,0),"")</f>
        <v>บริษัท ฟิวเจอร์เทค อินเตอร์มาร์เก็ตติ้ง จำกัด</v>
      </c>
      <c r="M1165" s="1" t="s">
        <v>24</v>
      </c>
      <c r="O1165" s="2" t="n">
        <v>180</v>
      </c>
    </row>
    <row r="1166" customFormat="false" ht="16.4" hidden="false" customHeight="false" outlineLevel="0" collapsed="false">
      <c r="A1166" s="0" t="s">
        <v>15</v>
      </c>
      <c r="B1166" s="0" t="s">
        <v>3737</v>
      </c>
      <c r="C1166" s="0" t="n">
        <v>114001</v>
      </c>
      <c r="D1166" s="0" t="n">
        <v>114001</v>
      </c>
      <c r="E1166" s="0" t="s">
        <v>1605</v>
      </c>
      <c r="F1166" s="0" t="s">
        <v>18</v>
      </c>
      <c r="G1166" s="0" t="s">
        <v>3738</v>
      </c>
      <c r="H1166" s="0" t="s">
        <v>3739</v>
      </c>
      <c r="I1166" s="0" t="s">
        <v>1696</v>
      </c>
      <c r="J1166" s="0" t="s">
        <v>1697</v>
      </c>
      <c r="L1166" s="0" t="str">
        <f aca="false">IFERROR(VLOOKUP(K1166,'Supplier list'!B:C,2,0),"")</f>
        <v/>
      </c>
      <c r="M1166" s="1" t="s">
        <v>24</v>
      </c>
      <c r="O1166" s="2" t="n">
        <v>0</v>
      </c>
    </row>
    <row r="1167" customFormat="false" ht="16.4" hidden="false" customHeight="false" outlineLevel="0" collapsed="false">
      <c r="A1167" s="0" t="s">
        <v>15</v>
      </c>
      <c r="B1167" s="0" t="s">
        <v>3740</v>
      </c>
      <c r="C1167" s="0" t="n">
        <v>114001</v>
      </c>
      <c r="D1167" s="0" t="n">
        <v>114001</v>
      </c>
      <c r="E1167" s="0" t="s">
        <v>1653</v>
      </c>
      <c r="F1167" s="0" t="s">
        <v>18</v>
      </c>
      <c r="G1167" s="0" t="s">
        <v>3741</v>
      </c>
      <c r="H1167" s="0" t="s">
        <v>2568</v>
      </c>
      <c r="I1167" s="0" t="s">
        <v>124</v>
      </c>
      <c r="J1167" s="0" t="s">
        <v>125</v>
      </c>
      <c r="K1167" s="0" t="s">
        <v>89</v>
      </c>
      <c r="L1167" s="0" t="str">
        <f aca="false">IFERROR(VLOOKUP(K1167,'Supplier list'!B:C,2,0),"")</f>
        <v>บริษัท เฮเฟเล่ (ประเทศไทย) จำกัด</v>
      </c>
      <c r="M1167" s="1" t="s">
        <v>24</v>
      </c>
      <c r="O1167" s="2" t="n">
        <v>23300</v>
      </c>
    </row>
    <row r="1168" customFormat="false" ht="16.4" hidden="false" customHeight="false" outlineLevel="0" collapsed="false">
      <c r="A1168" s="0" t="s">
        <v>15</v>
      </c>
      <c r="B1168" s="0" t="s">
        <v>3742</v>
      </c>
      <c r="C1168" s="0" t="n">
        <v>114001</v>
      </c>
      <c r="D1168" s="0" t="n">
        <v>114001</v>
      </c>
      <c r="E1168" s="0" t="s">
        <v>961</v>
      </c>
      <c r="F1168" s="0" t="s">
        <v>18</v>
      </c>
      <c r="G1168" s="0" t="s">
        <v>3743</v>
      </c>
      <c r="H1168" s="0" t="s">
        <v>3744</v>
      </c>
      <c r="I1168" s="0" t="s">
        <v>21</v>
      </c>
      <c r="J1168" s="0" t="s">
        <v>22</v>
      </c>
      <c r="K1168" s="0" t="s">
        <v>89</v>
      </c>
      <c r="L1168" s="0" t="str">
        <f aca="false">IFERROR(VLOOKUP(K1168,'Supplier list'!B:C,2,0),"")</f>
        <v>บริษัท เฮเฟเล่ (ประเทศไทย) จำกัด</v>
      </c>
      <c r="M1168" s="1" t="s">
        <v>24</v>
      </c>
      <c r="O1168" s="2" t="n">
        <v>654</v>
      </c>
    </row>
    <row r="1169" customFormat="false" ht="16.4" hidden="false" customHeight="false" outlineLevel="0" collapsed="false">
      <c r="A1169" s="0" t="s">
        <v>15</v>
      </c>
      <c r="B1169" s="0" t="s">
        <v>3745</v>
      </c>
      <c r="C1169" s="0" t="n">
        <v>114001</v>
      </c>
      <c r="D1169" s="0" t="n">
        <v>114001</v>
      </c>
      <c r="E1169" s="0" t="s">
        <v>1764</v>
      </c>
      <c r="F1169" s="0" t="s">
        <v>18</v>
      </c>
      <c r="G1169" s="0" t="s">
        <v>3746</v>
      </c>
      <c r="H1169" s="0" t="s">
        <v>3747</v>
      </c>
      <c r="I1169" s="0" t="s">
        <v>21</v>
      </c>
      <c r="J1169" s="0" t="s">
        <v>22</v>
      </c>
      <c r="K1169" s="0" t="s">
        <v>787</v>
      </c>
      <c r="L1169" s="0" t="str">
        <f aca="false">IFERROR(VLOOKUP(K1169,'Supplier list'!B:C,2,0),"")</f>
        <v>บริษัท ฟิวเจอร์เทค อินเตอร์มาร์เก็ตติ้ง จำกัด</v>
      </c>
      <c r="M1169" s="1" t="s">
        <v>24</v>
      </c>
      <c r="O1169" s="2" t="n">
        <v>20</v>
      </c>
    </row>
    <row r="1170" customFormat="false" ht="16.4" hidden="false" customHeight="false" outlineLevel="0" collapsed="false">
      <c r="A1170" s="0" t="s">
        <v>15</v>
      </c>
      <c r="B1170" s="0" t="s">
        <v>3748</v>
      </c>
      <c r="C1170" s="0" t="n">
        <v>114001</v>
      </c>
      <c r="D1170" s="0" t="n">
        <v>114001</v>
      </c>
      <c r="E1170" s="0" t="s">
        <v>1764</v>
      </c>
      <c r="F1170" s="0" t="s">
        <v>18</v>
      </c>
      <c r="G1170" s="0" t="s">
        <v>3749</v>
      </c>
      <c r="H1170" s="0" t="s">
        <v>3750</v>
      </c>
      <c r="I1170" s="0" t="s">
        <v>168</v>
      </c>
      <c r="J1170" s="0" t="s">
        <v>169</v>
      </c>
      <c r="K1170" s="0" t="s">
        <v>1753</v>
      </c>
      <c r="L1170" s="0" t="str">
        <f aca="false">IFERROR(VLOOKUP(K1170,'Supplier list'!B:C,2,0),"")</f>
        <v>บริษัท ไอ.โอ.ดีไซน์ แอนด์ โฮม จำกัด</v>
      </c>
      <c r="M1170" s="1" t="s">
        <v>24</v>
      </c>
      <c r="O1170" s="2" t="n">
        <v>720</v>
      </c>
    </row>
    <row r="1171" customFormat="false" ht="16.4" hidden="false" customHeight="false" outlineLevel="0" collapsed="false">
      <c r="A1171" s="0" t="s">
        <v>15</v>
      </c>
      <c r="B1171" s="0" t="s">
        <v>3751</v>
      </c>
      <c r="C1171" s="0" t="n">
        <v>114001</v>
      </c>
      <c r="D1171" s="0" t="n">
        <v>114001</v>
      </c>
      <c r="E1171" s="0" t="s">
        <v>1764</v>
      </c>
      <c r="F1171" s="0" t="s">
        <v>18</v>
      </c>
      <c r="G1171" s="0" t="s">
        <v>3752</v>
      </c>
      <c r="H1171" s="0" t="s">
        <v>3753</v>
      </c>
      <c r="I1171" s="0" t="s">
        <v>21</v>
      </c>
      <c r="J1171" s="0" t="s">
        <v>22</v>
      </c>
      <c r="K1171" s="0" t="s">
        <v>787</v>
      </c>
      <c r="L1171" s="0" t="str">
        <f aca="false">IFERROR(VLOOKUP(K1171,'Supplier list'!B:C,2,0),"")</f>
        <v>บริษัท ฟิวเจอร์เทค อินเตอร์มาร์เก็ตติ้ง จำกัด</v>
      </c>
      <c r="M1171" s="1" t="s">
        <v>24</v>
      </c>
      <c r="O1171" s="2" t="n">
        <v>560</v>
      </c>
    </row>
    <row r="1172" customFormat="false" ht="16.4" hidden="false" customHeight="false" outlineLevel="0" collapsed="false">
      <c r="A1172" s="0" t="s">
        <v>15</v>
      </c>
      <c r="B1172" s="0" t="s">
        <v>3754</v>
      </c>
      <c r="C1172" s="0" t="n">
        <v>114001</v>
      </c>
      <c r="D1172" s="0" t="n">
        <v>114001</v>
      </c>
      <c r="E1172" s="0" t="s">
        <v>2363</v>
      </c>
      <c r="F1172" s="0" t="s">
        <v>18</v>
      </c>
      <c r="G1172" s="0" t="s">
        <v>3755</v>
      </c>
      <c r="H1172" s="0" t="s">
        <v>3756</v>
      </c>
      <c r="I1172" s="0" t="s">
        <v>21</v>
      </c>
      <c r="J1172" s="0" t="s">
        <v>22</v>
      </c>
      <c r="K1172" s="0" t="s">
        <v>787</v>
      </c>
      <c r="L1172" s="0" t="str">
        <f aca="false">IFERROR(VLOOKUP(K1172,'Supplier list'!B:C,2,0),"")</f>
        <v>บริษัท ฟิวเจอร์เทค อินเตอร์มาร์เก็ตติ้ง จำกัด</v>
      </c>
      <c r="M1172" s="1" t="s">
        <v>24</v>
      </c>
      <c r="O1172" s="2" t="n">
        <v>28</v>
      </c>
    </row>
    <row r="1173" customFormat="false" ht="16.4" hidden="false" customHeight="false" outlineLevel="0" collapsed="false">
      <c r="A1173" s="0" t="s">
        <v>15</v>
      </c>
      <c r="B1173" s="0" t="s">
        <v>3757</v>
      </c>
      <c r="C1173" s="0" t="n">
        <v>114001</v>
      </c>
      <c r="D1173" s="0" t="n">
        <v>114001</v>
      </c>
      <c r="E1173" s="0" t="s">
        <v>1764</v>
      </c>
      <c r="F1173" s="0" t="s">
        <v>18</v>
      </c>
      <c r="G1173" s="0" t="s">
        <v>3758</v>
      </c>
      <c r="H1173" s="0" t="s">
        <v>3759</v>
      </c>
      <c r="I1173" s="0" t="s">
        <v>168</v>
      </c>
      <c r="J1173" s="0" t="s">
        <v>169</v>
      </c>
      <c r="K1173" s="0" t="s">
        <v>787</v>
      </c>
      <c r="L1173" s="0" t="str">
        <f aca="false">IFERROR(VLOOKUP(K1173,'Supplier list'!B:C,2,0),"")</f>
        <v>บริษัท ฟิวเจอร์เทค อินเตอร์มาร์เก็ตติ้ง จำกัด</v>
      </c>
      <c r="M1173" s="1" t="s">
        <v>24</v>
      </c>
      <c r="O1173" s="2" t="n">
        <v>770</v>
      </c>
    </row>
    <row r="1174" customFormat="false" ht="16.4" hidden="false" customHeight="false" outlineLevel="0" collapsed="false">
      <c r="A1174" s="0" t="s">
        <v>15</v>
      </c>
      <c r="B1174" s="0" t="s">
        <v>3760</v>
      </c>
      <c r="C1174" s="0" t="n">
        <v>114001</v>
      </c>
      <c r="D1174" s="0" t="n">
        <v>114001</v>
      </c>
      <c r="E1174" s="0" t="s">
        <v>1653</v>
      </c>
      <c r="F1174" s="0" t="s">
        <v>18</v>
      </c>
      <c r="G1174" s="0" t="s">
        <v>3761</v>
      </c>
      <c r="H1174" s="0" t="s">
        <v>3762</v>
      </c>
      <c r="I1174" s="0" t="s">
        <v>124</v>
      </c>
      <c r="J1174" s="0" t="s">
        <v>125</v>
      </c>
      <c r="K1174" s="0" t="s">
        <v>89</v>
      </c>
      <c r="L1174" s="0" t="str">
        <f aca="false">IFERROR(VLOOKUP(K1174,'Supplier list'!B:C,2,0),"")</f>
        <v>บริษัท เฮเฟเล่ (ประเทศไทย) จำกัด</v>
      </c>
      <c r="M1174" s="1" t="s">
        <v>24</v>
      </c>
      <c r="O1174" s="2" t="n">
        <v>4663</v>
      </c>
    </row>
    <row r="1175" customFormat="false" ht="16.4" hidden="false" customHeight="false" outlineLevel="0" collapsed="false">
      <c r="A1175" s="0" t="s">
        <v>15</v>
      </c>
      <c r="B1175" s="0" t="s">
        <v>3763</v>
      </c>
      <c r="C1175" s="0" t="n">
        <v>114001</v>
      </c>
      <c r="D1175" s="0" t="n">
        <v>114001</v>
      </c>
      <c r="E1175" s="0" t="s">
        <v>1653</v>
      </c>
      <c r="F1175" s="0" t="s">
        <v>18</v>
      </c>
      <c r="G1175" s="0" t="s">
        <v>3764</v>
      </c>
      <c r="H1175" s="0" t="s">
        <v>3765</v>
      </c>
      <c r="I1175" s="0" t="s">
        <v>124</v>
      </c>
      <c r="J1175" s="0" t="s">
        <v>125</v>
      </c>
      <c r="K1175" s="0" t="s">
        <v>89</v>
      </c>
      <c r="L1175" s="0" t="str">
        <f aca="false">IFERROR(VLOOKUP(K1175,'Supplier list'!B:C,2,0),"")</f>
        <v>บริษัท เฮเฟเล่ (ประเทศไทย) จำกัด</v>
      </c>
      <c r="M1175" s="1" t="s">
        <v>24</v>
      </c>
      <c r="O1175" s="2" t="n">
        <v>4112</v>
      </c>
    </row>
    <row r="1176" customFormat="false" ht="16.4" hidden="false" customHeight="false" outlineLevel="0" collapsed="false">
      <c r="A1176" s="0" t="s">
        <v>15</v>
      </c>
      <c r="B1176" s="0" t="s">
        <v>3766</v>
      </c>
      <c r="C1176" s="0" t="n">
        <v>114001</v>
      </c>
      <c r="D1176" s="0" t="n">
        <v>114001</v>
      </c>
      <c r="E1176" s="0" t="s">
        <v>1764</v>
      </c>
      <c r="F1176" s="0" t="s">
        <v>18</v>
      </c>
      <c r="G1176" s="0" t="s">
        <v>3767</v>
      </c>
      <c r="H1176" s="0" t="s">
        <v>3768</v>
      </c>
      <c r="I1176" s="0" t="s">
        <v>21</v>
      </c>
      <c r="J1176" s="0" t="s">
        <v>22</v>
      </c>
      <c r="K1176" s="0" t="s">
        <v>787</v>
      </c>
      <c r="L1176" s="0" t="str">
        <f aca="false">IFERROR(VLOOKUP(K1176,'Supplier list'!B:C,2,0),"")</f>
        <v>บริษัท ฟิวเจอร์เทค อินเตอร์มาร์เก็ตติ้ง จำกัด</v>
      </c>
      <c r="M1176" s="1" t="s">
        <v>1740</v>
      </c>
      <c r="N1176" s="2" t="n">
        <v>200</v>
      </c>
      <c r="O1176" s="2" t="n">
        <v>58.5</v>
      </c>
    </row>
    <row r="1177" customFormat="false" ht="16.4" hidden="false" customHeight="false" outlineLevel="0" collapsed="false">
      <c r="A1177" s="0" t="s">
        <v>15</v>
      </c>
      <c r="B1177" s="0" t="s">
        <v>3769</v>
      </c>
      <c r="C1177" s="0" t="n">
        <v>114001</v>
      </c>
      <c r="D1177" s="0" t="n">
        <v>114001</v>
      </c>
      <c r="E1177" s="0" t="s">
        <v>3558</v>
      </c>
      <c r="F1177" s="0" t="s">
        <v>18</v>
      </c>
      <c r="G1177" s="0" t="s">
        <v>3770</v>
      </c>
      <c r="H1177" s="0" t="s">
        <v>3771</v>
      </c>
      <c r="I1177" s="0" t="s">
        <v>21</v>
      </c>
      <c r="J1177" s="0" t="s">
        <v>22</v>
      </c>
      <c r="K1177" s="0" t="s">
        <v>1753</v>
      </c>
      <c r="L1177" s="0" t="str">
        <f aca="false">IFERROR(VLOOKUP(K1177,'Supplier list'!B:C,2,0),"")</f>
        <v>บริษัท ไอ.โอ.ดีไซน์ แอนด์ โฮม จำกัด</v>
      </c>
      <c r="M1177" s="1" t="s">
        <v>24</v>
      </c>
      <c r="O1177" s="2" t="n">
        <v>216</v>
      </c>
    </row>
    <row r="1178" customFormat="false" ht="16.4" hidden="false" customHeight="false" outlineLevel="0" collapsed="false">
      <c r="A1178" s="0" t="s">
        <v>15</v>
      </c>
      <c r="B1178" s="0" t="s">
        <v>3772</v>
      </c>
      <c r="C1178" s="0" t="n">
        <v>114001</v>
      </c>
      <c r="D1178" s="0" t="n">
        <v>114001</v>
      </c>
      <c r="E1178" s="0" t="s">
        <v>1653</v>
      </c>
      <c r="F1178" s="0" t="s">
        <v>18</v>
      </c>
      <c r="G1178" s="0" t="s">
        <v>3773</v>
      </c>
      <c r="H1178" s="0" t="s">
        <v>3774</v>
      </c>
      <c r="I1178" s="0" t="s">
        <v>124</v>
      </c>
      <c r="J1178" s="0" t="s">
        <v>125</v>
      </c>
      <c r="K1178" s="0" t="s">
        <v>89</v>
      </c>
      <c r="L1178" s="0" t="str">
        <f aca="false">IFERROR(VLOOKUP(K1178,'Supplier list'!B:C,2,0),"")</f>
        <v>บริษัท เฮเฟเล่ (ประเทศไทย) จำกัด</v>
      </c>
      <c r="M1178" s="1" t="s">
        <v>24</v>
      </c>
      <c r="O1178" s="2" t="n">
        <v>2100</v>
      </c>
    </row>
    <row r="1179" customFormat="false" ht="16.4" hidden="false" customHeight="false" outlineLevel="0" collapsed="false">
      <c r="A1179" s="0" t="s">
        <v>15</v>
      </c>
      <c r="B1179" s="0" t="s">
        <v>3775</v>
      </c>
      <c r="C1179" s="0" t="n">
        <v>114001</v>
      </c>
      <c r="D1179" s="0" t="n">
        <v>114001</v>
      </c>
      <c r="E1179" s="0" t="s">
        <v>1653</v>
      </c>
      <c r="F1179" s="0" t="s">
        <v>18</v>
      </c>
      <c r="G1179" s="0" t="s">
        <v>3776</v>
      </c>
      <c r="H1179" s="0" t="s">
        <v>3777</v>
      </c>
      <c r="I1179" s="0" t="s">
        <v>124</v>
      </c>
      <c r="J1179" s="0" t="s">
        <v>125</v>
      </c>
      <c r="K1179" s="0" t="s">
        <v>89</v>
      </c>
      <c r="L1179" s="0" t="str">
        <f aca="false">IFERROR(VLOOKUP(K1179,'Supplier list'!B:C,2,0),"")</f>
        <v>บริษัท เฮเฟเล่ (ประเทศไทย) จำกัด</v>
      </c>
      <c r="M1179" s="1" t="s">
        <v>24</v>
      </c>
      <c r="O1179" s="2" t="n">
        <v>10250</v>
      </c>
    </row>
    <row r="1180" customFormat="false" ht="16.4" hidden="false" customHeight="false" outlineLevel="0" collapsed="false">
      <c r="A1180" s="0" t="s">
        <v>15</v>
      </c>
      <c r="B1180" s="0" t="s">
        <v>3778</v>
      </c>
      <c r="C1180" s="0" t="n">
        <v>114001</v>
      </c>
      <c r="D1180" s="0" t="n">
        <v>114001</v>
      </c>
      <c r="E1180" s="0" t="s">
        <v>1653</v>
      </c>
      <c r="F1180" s="0" t="s">
        <v>18</v>
      </c>
      <c r="G1180" s="0" t="s">
        <v>3779</v>
      </c>
      <c r="H1180" s="0" t="s">
        <v>3780</v>
      </c>
      <c r="I1180" s="0" t="s">
        <v>124</v>
      </c>
      <c r="J1180" s="0" t="s">
        <v>125</v>
      </c>
      <c r="K1180" s="0" t="s">
        <v>89</v>
      </c>
      <c r="L1180" s="0" t="str">
        <f aca="false">IFERROR(VLOOKUP(K1180,'Supplier list'!B:C,2,0),"")</f>
        <v>บริษัท เฮเฟเล่ (ประเทศไทย) จำกัด</v>
      </c>
      <c r="M1180" s="1" t="s">
        <v>24</v>
      </c>
      <c r="O1180" s="2" t="n">
        <v>3000</v>
      </c>
    </row>
    <row r="1181" customFormat="false" ht="16.4" hidden="false" customHeight="false" outlineLevel="0" collapsed="false">
      <c r="A1181" s="0" t="s">
        <v>15</v>
      </c>
      <c r="B1181" s="0" t="s">
        <v>3781</v>
      </c>
      <c r="C1181" s="0" t="n">
        <v>114001</v>
      </c>
      <c r="D1181" s="0" t="n">
        <v>114001</v>
      </c>
      <c r="E1181" s="0" t="s">
        <v>961</v>
      </c>
      <c r="F1181" s="0" t="s">
        <v>18</v>
      </c>
      <c r="G1181" s="0" t="s">
        <v>3782</v>
      </c>
      <c r="H1181" s="0" t="s">
        <v>3783</v>
      </c>
      <c r="I1181" s="0" t="s">
        <v>124</v>
      </c>
      <c r="J1181" s="0" t="s">
        <v>125</v>
      </c>
      <c r="K1181" s="0" t="s">
        <v>89</v>
      </c>
      <c r="L1181" s="0" t="str">
        <f aca="false">IFERROR(VLOOKUP(K1181,'Supplier list'!B:C,2,0),"")</f>
        <v>บริษัท เฮเฟเล่ (ประเทศไทย) จำกัด</v>
      </c>
      <c r="M1181" s="1" t="s">
        <v>24</v>
      </c>
      <c r="O1181" s="2" t="n">
        <v>1364</v>
      </c>
    </row>
    <row r="1182" customFormat="false" ht="16.4" hidden="false" customHeight="false" outlineLevel="0" collapsed="false">
      <c r="A1182" s="0" t="s">
        <v>15</v>
      </c>
      <c r="B1182" s="0" t="s">
        <v>3784</v>
      </c>
      <c r="C1182" s="0" t="n">
        <v>114001</v>
      </c>
      <c r="D1182" s="0" t="n">
        <v>114001</v>
      </c>
      <c r="E1182" s="0" t="s">
        <v>1653</v>
      </c>
      <c r="F1182" s="0" t="s">
        <v>18</v>
      </c>
      <c r="G1182" s="0" t="s">
        <v>3785</v>
      </c>
      <c r="H1182" s="0" t="s">
        <v>3786</v>
      </c>
      <c r="I1182" s="0" t="s">
        <v>124</v>
      </c>
      <c r="J1182" s="0" t="s">
        <v>125</v>
      </c>
      <c r="K1182" s="0" t="s">
        <v>89</v>
      </c>
      <c r="L1182" s="0" t="str">
        <f aca="false">IFERROR(VLOOKUP(K1182,'Supplier list'!B:C,2,0),"")</f>
        <v>บริษัท เฮเฟเล่ (ประเทศไทย) จำกัด</v>
      </c>
      <c r="M1182" s="1" t="s">
        <v>24</v>
      </c>
      <c r="O1182" s="2" t="n">
        <v>7318</v>
      </c>
    </row>
    <row r="1183" customFormat="false" ht="16.4" hidden="false" customHeight="false" outlineLevel="0" collapsed="false">
      <c r="A1183" s="0" t="s">
        <v>15</v>
      </c>
      <c r="B1183" s="0" t="s">
        <v>3787</v>
      </c>
      <c r="C1183" s="0" t="n">
        <v>114001</v>
      </c>
      <c r="D1183" s="0" t="n">
        <v>114001</v>
      </c>
      <c r="E1183" s="0" t="s">
        <v>1764</v>
      </c>
      <c r="F1183" s="0" t="s">
        <v>18</v>
      </c>
      <c r="G1183" s="0" t="s">
        <v>3788</v>
      </c>
      <c r="H1183" s="0" t="s">
        <v>3789</v>
      </c>
      <c r="I1183" s="0" t="s">
        <v>21</v>
      </c>
      <c r="J1183" s="0" t="s">
        <v>22</v>
      </c>
      <c r="K1183" s="0" t="s">
        <v>787</v>
      </c>
      <c r="L1183" s="0" t="str">
        <f aca="false">IFERROR(VLOOKUP(K1183,'Supplier list'!B:C,2,0),"")</f>
        <v>บริษัท ฟิวเจอร์เทค อินเตอร์มาร์เก็ตติ้ง จำกัด</v>
      </c>
      <c r="M1183" s="1" t="s">
        <v>24</v>
      </c>
      <c r="O1183" s="2" t="n">
        <v>59.5</v>
      </c>
    </row>
    <row r="1184" customFormat="false" ht="16.4" hidden="false" customHeight="false" outlineLevel="0" collapsed="false">
      <c r="A1184" s="0" t="s">
        <v>15</v>
      </c>
      <c r="B1184" s="0" t="s">
        <v>3790</v>
      </c>
      <c r="C1184" s="0" t="n">
        <v>114001</v>
      </c>
      <c r="D1184" s="0" t="n">
        <v>114001</v>
      </c>
      <c r="E1184" s="0" t="s">
        <v>1764</v>
      </c>
      <c r="F1184" s="0" t="s">
        <v>18</v>
      </c>
      <c r="G1184" s="0" t="s">
        <v>3791</v>
      </c>
      <c r="H1184" s="0" t="s">
        <v>3792</v>
      </c>
      <c r="I1184" s="0" t="s">
        <v>21</v>
      </c>
      <c r="J1184" s="0" t="s">
        <v>22</v>
      </c>
      <c r="K1184" s="0" t="s">
        <v>787</v>
      </c>
      <c r="L1184" s="0" t="str">
        <f aca="false">IFERROR(VLOOKUP(K1184,'Supplier list'!B:C,2,0),"")</f>
        <v>บริษัท ฟิวเจอร์เทค อินเตอร์มาร์เก็ตติ้ง จำกัด</v>
      </c>
      <c r="M1184" s="1" t="s">
        <v>24</v>
      </c>
      <c r="O1184" s="2" t="n">
        <v>45</v>
      </c>
    </row>
    <row r="1185" customFormat="false" ht="16.4" hidden="false" customHeight="false" outlineLevel="0" collapsed="false">
      <c r="A1185" s="0" t="s">
        <v>15</v>
      </c>
      <c r="B1185" s="0" t="s">
        <v>3793</v>
      </c>
      <c r="C1185" s="0" t="n">
        <v>114001</v>
      </c>
      <c r="D1185" s="0" t="n">
        <v>114001</v>
      </c>
      <c r="E1185" s="0" t="s">
        <v>1634</v>
      </c>
      <c r="F1185" s="0" t="s">
        <v>18</v>
      </c>
      <c r="G1185" s="0" t="s">
        <v>3794</v>
      </c>
      <c r="H1185" s="0" t="s">
        <v>3795</v>
      </c>
      <c r="I1185" s="0" t="s">
        <v>21</v>
      </c>
      <c r="J1185" s="0" t="s">
        <v>22</v>
      </c>
      <c r="K1185" s="0" t="s">
        <v>89</v>
      </c>
      <c r="L1185" s="0" t="str">
        <f aca="false">IFERROR(VLOOKUP(K1185,'Supplier list'!B:C,2,0),"")</f>
        <v>บริษัท เฮเฟเล่ (ประเทศไทย) จำกัด</v>
      </c>
      <c r="M1185" s="1" t="s">
        <v>24</v>
      </c>
      <c r="O1185" s="2" t="n">
        <v>1589</v>
      </c>
    </row>
    <row r="1186" customFormat="false" ht="16.4" hidden="false" customHeight="false" outlineLevel="0" collapsed="false">
      <c r="A1186" s="0" t="s">
        <v>15</v>
      </c>
      <c r="B1186" s="0" t="s">
        <v>3796</v>
      </c>
      <c r="C1186" s="0" t="n">
        <v>114001</v>
      </c>
      <c r="D1186" s="0" t="n">
        <v>114001</v>
      </c>
      <c r="E1186" s="0" t="s">
        <v>1764</v>
      </c>
      <c r="F1186" s="0" t="s">
        <v>18</v>
      </c>
      <c r="G1186" s="0" t="s">
        <v>3797</v>
      </c>
      <c r="H1186" s="0" t="s">
        <v>3798</v>
      </c>
      <c r="I1186" s="0" t="s">
        <v>21</v>
      </c>
      <c r="J1186" s="0" t="s">
        <v>22</v>
      </c>
      <c r="K1186" s="0" t="s">
        <v>787</v>
      </c>
      <c r="L1186" s="0" t="str">
        <f aca="false">IFERROR(VLOOKUP(K1186,'Supplier list'!B:C,2,0),"")</f>
        <v>บริษัท ฟิวเจอร์เทค อินเตอร์มาร์เก็ตติ้ง จำกัด</v>
      </c>
      <c r="M1186" s="1" t="s">
        <v>24</v>
      </c>
      <c r="O1186" s="2" t="n">
        <v>52.5</v>
      </c>
    </row>
    <row r="1187" customFormat="false" ht="16.4" hidden="false" customHeight="false" outlineLevel="0" collapsed="false">
      <c r="A1187" s="0" t="s">
        <v>15</v>
      </c>
      <c r="B1187" s="0" t="s">
        <v>3799</v>
      </c>
      <c r="C1187" s="0" t="n">
        <v>114001</v>
      </c>
      <c r="D1187" s="0" t="n">
        <v>114001</v>
      </c>
      <c r="E1187" s="0" t="s">
        <v>3800</v>
      </c>
      <c r="F1187" s="0" t="s">
        <v>18</v>
      </c>
      <c r="G1187" s="0" t="s">
        <v>3801</v>
      </c>
      <c r="H1187" s="0" t="s">
        <v>3802</v>
      </c>
      <c r="I1187" s="0" t="s">
        <v>21</v>
      </c>
      <c r="J1187" s="0" t="s">
        <v>22</v>
      </c>
      <c r="K1187" s="0" t="s">
        <v>787</v>
      </c>
      <c r="L1187" s="0" t="str">
        <f aca="false">IFERROR(VLOOKUP(K1187,'Supplier list'!B:C,2,0),"")</f>
        <v>บริษัท ฟิวเจอร์เทค อินเตอร์มาร์เก็ตติ้ง จำกัด</v>
      </c>
      <c r="M1187" s="1" t="s">
        <v>24</v>
      </c>
      <c r="O1187" s="2" t="n">
        <v>56</v>
      </c>
    </row>
    <row r="1188" customFormat="false" ht="16.4" hidden="false" customHeight="false" outlineLevel="0" collapsed="false">
      <c r="A1188" s="0" t="s">
        <v>15</v>
      </c>
      <c r="B1188" s="0" t="s">
        <v>3803</v>
      </c>
      <c r="C1188" s="0" t="n">
        <v>114001</v>
      </c>
      <c r="D1188" s="0" t="n">
        <v>114001</v>
      </c>
      <c r="E1188" s="0" t="s">
        <v>3804</v>
      </c>
      <c r="F1188" s="0" t="s">
        <v>18</v>
      </c>
      <c r="G1188" s="0" t="s">
        <v>3805</v>
      </c>
      <c r="H1188" s="0" t="s">
        <v>3806</v>
      </c>
      <c r="I1188" s="0" t="s">
        <v>21</v>
      </c>
      <c r="J1188" s="0" t="s">
        <v>22</v>
      </c>
      <c r="K1188" s="0" t="s">
        <v>787</v>
      </c>
      <c r="L1188" s="0" t="str">
        <f aca="false">IFERROR(VLOOKUP(K1188,'Supplier list'!B:C,2,0),"")</f>
        <v>บริษัท ฟิวเจอร์เทค อินเตอร์มาร์เก็ตติ้ง จำกัด</v>
      </c>
      <c r="M1188" s="1" t="s">
        <v>24</v>
      </c>
      <c r="O1188" s="2" t="n">
        <v>115</v>
      </c>
    </row>
    <row r="1189" customFormat="false" ht="16.4" hidden="false" customHeight="false" outlineLevel="0" collapsed="false">
      <c r="A1189" s="0" t="s">
        <v>15</v>
      </c>
      <c r="B1189" s="0" t="s">
        <v>3807</v>
      </c>
      <c r="C1189" s="0" t="n">
        <v>114001</v>
      </c>
      <c r="D1189" s="0" t="n">
        <v>114001</v>
      </c>
      <c r="E1189" s="0" t="s">
        <v>1815</v>
      </c>
      <c r="F1189" s="0" t="s">
        <v>18</v>
      </c>
      <c r="G1189" s="0" t="s">
        <v>3808</v>
      </c>
      <c r="H1189" s="0" t="s">
        <v>3809</v>
      </c>
      <c r="I1189" s="0" t="s">
        <v>517</v>
      </c>
      <c r="J1189" s="0" t="s">
        <v>518</v>
      </c>
      <c r="K1189" s="0" t="s">
        <v>89</v>
      </c>
      <c r="L1189" s="0" t="str">
        <f aca="false">IFERROR(VLOOKUP(K1189,'Supplier list'!B:C,2,0),"")</f>
        <v>บริษัท เฮเฟเล่ (ประเทศไทย) จำกัด</v>
      </c>
      <c r="M1189" s="1" t="s">
        <v>24</v>
      </c>
      <c r="O1189" s="2" t="n">
        <v>518</v>
      </c>
    </row>
    <row r="1190" customFormat="false" ht="16.4" hidden="false" customHeight="false" outlineLevel="0" collapsed="false">
      <c r="A1190" s="0" t="s">
        <v>15</v>
      </c>
      <c r="B1190" s="0" t="s">
        <v>3810</v>
      </c>
      <c r="C1190" s="0" t="n">
        <v>114001</v>
      </c>
      <c r="D1190" s="0" t="n">
        <v>114001</v>
      </c>
      <c r="E1190" s="0" t="s">
        <v>1815</v>
      </c>
      <c r="F1190" s="0" t="s">
        <v>18</v>
      </c>
      <c r="G1190" s="0" t="s">
        <v>3811</v>
      </c>
      <c r="H1190" s="0" t="s">
        <v>3812</v>
      </c>
      <c r="I1190" s="0" t="s">
        <v>517</v>
      </c>
      <c r="J1190" s="0" t="s">
        <v>518</v>
      </c>
      <c r="K1190" s="0" t="s">
        <v>89</v>
      </c>
      <c r="L1190" s="0" t="str">
        <f aca="false">IFERROR(VLOOKUP(K1190,'Supplier list'!B:C,2,0),"")</f>
        <v>บริษัท เฮเฟเล่ (ประเทศไทย) จำกัด</v>
      </c>
      <c r="M1190" s="1" t="s">
        <v>24</v>
      </c>
      <c r="O1190" s="2" t="n">
        <v>528</v>
      </c>
    </row>
    <row r="1191" customFormat="false" ht="16.4" hidden="false" customHeight="false" outlineLevel="0" collapsed="false">
      <c r="A1191" s="0" t="s">
        <v>15</v>
      </c>
      <c r="B1191" s="0" t="s">
        <v>3813</v>
      </c>
      <c r="C1191" s="0" t="n">
        <v>114001</v>
      </c>
      <c r="D1191" s="0" t="n">
        <v>114001</v>
      </c>
      <c r="E1191" s="0" t="s">
        <v>1815</v>
      </c>
      <c r="F1191" s="0" t="s">
        <v>18</v>
      </c>
      <c r="G1191" s="0" t="s">
        <v>3814</v>
      </c>
      <c r="H1191" s="0" t="s">
        <v>3815</v>
      </c>
      <c r="I1191" s="0" t="s">
        <v>517</v>
      </c>
      <c r="J1191" s="0" t="s">
        <v>518</v>
      </c>
      <c r="K1191" s="0" t="s">
        <v>89</v>
      </c>
      <c r="L1191" s="0" t="str">
        <f aca="false">IFERROR(VLOOKUP(K1191,'Supplier list'!B:C,2,0),"")</f>
        <v>บริษัท เฮเฟเล่ (ประเทศไทย) จำกัด</v>
      </c>
      <c r="M1191" s="1" t="s">
        <v>24</v>
      </c>
      <c r="O1191" s="2" t="n">
        <v>542</v>
      </c>
    </row>
    <row r="1192" customFormat="false" ht="16.4" hidden="false" customHeight="false" outlineLevel="0" collapsed="false">
      <c r="A1192" s="0" t="s">
        <v>15</v>
      </c>
      <c r="B1192" s="0" t="s">
        <v>3816</v>
      </c>
      <c r="C1192" s="0" t="n">
        <v>114001</v>
      </c>
      <c r="D1192" s="0" t="n">
        <v>114001</v>
      </c>
      <c r="E1192" s="0" t="s">
        <v>961</v>
      </c>
      <c r="F1192" s="0" t="s">
        <v>18</v>
      </c>
      <c r="G1192" s="0" t="s">
        <v>3817</v>
      </c>
      <c r="H1192" s="0" t="s">
        <v>3818</v>
      </c>
      <c r="I1192" s="0" t="s">
        <v>21</v>
      </c>
      <c r="J1192" s="0" t="s">
        <v>22</v>
      </c>
      <c r="K1192" s="0" t="s">
        <v>89</v>
      </c>
      <c r="L1192" s="0" t="str">
        <f aca="false">IFERROR(VLOOKUP(K1192,'Supplier list'!B:C,2,0),"")</f>
        <v>บริษัท เฮเฟเล่ (ประเทศไทย) จำกัด</v>
      </c>
      <c r="M1192" s="1" t="s">
        <v>24</v>
      </c>
      <c r="O1192" s="2" t="n">
        <v>84</v>
      </c>
    </row>
    <row r="1193" customFormat="false" ht="16.4" hidden="false" customHeight="false" outlineLevel="0" collapsed="false">
      <c r="A1193" s="0" t="s">
        <v>15</v>
      </c>
      <c r="B1193" s="0" t="s">
        <v>3819</v>
      </c>
      <c r="C1193" s="0" t="n">
        <v>114001</v>
      </c>
      <c r="D1193" s="0" t="n">
        <v>114001</v>
      </c>
      <c r="E1193" s="0" t="s">
        <v>1727</v>
      </c>
      <c r="F1193" s="0" t="s">
        <v>18</v>
      </c>
      <c r="G1193" s="0" t="s">
        <v>3820</v>
      </c>
      <c r="H1193" s="0" t="s">
        <v>3821</v>
      </c>
      <c r="I1193" s="0" t="s">
        <v>21</v>
      </c>
      <c r="J1193" s="0" t="s">
        <v>22</v>
      </c>
      <c r="K1193" s="0" t="s">
        <v>787</v>
      </c>
      <c r="L1193" s="0" t="str">
        <f aca="false">IFERROR(VLOOKUP(K1193,'Supplier list'!B:C,2,0),"")</f>
        <v>บริษัท ฟิวเจอร์เทค อินเตอร์มาร์เก็ตติ้ง จำกัด</v>
      </c>
      <c r="M1193" s="1" t="s">
        <v>24</v>
      </c>
      <c r="O1193" s="2" t="n">
        <v>265</v>
      </c>
    </row>
    <row r="1194" customFormat="false" ht="16.4" hidden="false" customHeight="false" outlineLevel="0" collapsed="false">
      <c r="A1194" s="0" t="s">
        <v>15</v>
      </c>
      <c r="B1194" s="0" t="s">
        <v>3822</v>
      </c>
      <c r="C1194" s="0" t="n">
        <v>114001</v>
      </c>
      <c r="D1194" s="0" t="n">
        <v>114001</v>
      </c>
      <c r="E1194" s="0" t="s">
        <v>1605</v>
      </c>
      <c r="F1194" s="0" t="s">
        <v>18</v>
      </c>
      <c r="G1194" s="0" t="s">
        <v>3823</v>
      </c>
      <c r="H1194" s="0" t="s">
        <v>3824</v>
      </c>
      <c r="I1194" s="0" t="s">
        <v>124</v>
      </c>
      <c r="J1194" s="0" t="s">
        <v>125</v>
      </c>
      <c r="L1194" s="0" t="str">
        <f aca="false">IFERROR(VLOOKUP(K1194,'Supplier list'!B:C,2,0),"")</f>
        <v/>
      </c>
      <c r="M1194" s="1" t="s">
        <v>24</v>
      </c>
      <c r="O1194" s="2" t="n">
        <v>0</v>
      </c>
    </row>
    <row r="1195" customFormat="false" ht="16.4" hidden="false" customHeight="false" outlineLevel="0" collapsed="false">
      <c r="A1195" s="0" t="s">
        <v>15</v>
      </c>
      <c r="B1195" s="0" t="s">
        <v>3825</v>
      </c>
      <c r="C1195" s="0" t="n">
        <v>114001</v>
      </c>
      <c r="D1195" s="0" t="n">
        <v>114001</v>
      </c>
      <c r="E1195" s="0" t="s">
        <v>1653</v>
      </c>
      <c r="F1195" s="0" t="s">
        <v>18</v>
      </c>
      <c r="G1195" s="0" t="s">
        <v>3826</v>
      </c>
      <c r="H1195" s="0" t="s">
        <v>3827</v>
      </c>
      <c r="I1195" s="0" t="s">
        <v>124</v>
      </c>
      <c r="J1195" s="0" t="s">
        <v>125</v>
      </c>
      <c r="K1195" s="0" t="s">
        <v>89</v>
      </c>
      <c r="L1195" s="0" t="str">
        <f aca="false">IFERROR(VLOOKUP(K1195,'Supplier list'!B:C,2,0),"")</f>
        <v>บริษัท เฮเฟเล่ (ประเทศไทย) จำกัด</v>
      </c>
      <c r="M1195" s="1" t="s">
        <v>1740</v>
      </c>
      <c r="N1195" s="2" t="n">
        <v>22500</v>
      </c>
      <c r="O1195" s="2" t="n">
        <v>12500</v>
      </c>
    </row>
    <row r="1196" customFormat="false" ht="16.4" hidden="false" customHeight="false" outlineLevel="0" collapsed="false">
      <c r="A1196" s="0" t="s">
        <v>15</v>
      </c>
      <c r="B1196" s="0" t="s">
        <v>3828</v>
      </c>
      <c r="C1196" s="0" t="n">
        <v>114001</v>
      </c>
      <c r="D1196" s="0" t="n">
        <v>114001</v>
      </c>
      <c r="E1196" s="0" t="s">
        <v>1653</v>
      </c>
      <c r="F1196" s="0" t="s">
        <v>18</v>
      </c>
      <c r="G1196" s="0" t="s">
        <v>3829</v>
      </c>
      <c r="H1196" s="0" t="s">
        <v>3830</v>
      </c>
      <c r="I1196" s="0" t="s">
        <v>124</v>
      </c>
      <c r="J1196" s="0" t="s">
        <v>125</v>
      </c>
      <c r="K1196" s="0" t="s">
        <v>787</v>
      </c>
      <c r="L1196" s="0" t="str">
        <f aca="false">IFERROR(VLOOKUP(K1196,'Supplier list'!B:C,2,0),"")</f>
        <v>บริษัท ฟิวเจอร์เทค อินเตอร์มาร์เก็ตติ้ง จำกัด</v>
      </c>
      <c r="M1196" s="1" t="s">
        <v>24</v>
      </c>
      <c r="O1196" s="2" t="n">
        <v>525</v>
      </c>
    </row>
    <row r="1197" customFormat="false" ht="16.4" hidden="false" customHeight="false" outlineLevel="0" collapsed="false">
      <c r="A1197" s="0" t="s">
        <v>15</v>
      </c>
      <c r="B1197" s="0" t="s">
        <v>3831</v>
      </c>
      <c r="C1197" s="0" t="n">
        <v>114001</v>
      </c>
      <c r="D1197" s="0" t="n">
        <v>114001</v>
      </c>
      <c r="E1197" s="0" t="s">
        <v>1605</v>
      </c>
      <c r="F1197" s="0" t="s">
        <v>18</v>
      </c>
      <c r="G1197" s="0" t="s">
        <v>3832</v>
      </c>
      <c r="H1197" s="0" t="s">
        <v>3833</v>
      </c>
      <c r="I1197" s="0" t="s">
        <v>21</v>
      </c>
      <c r="J1197" s="0" t="s">
        <v>22</v>
      </c>
      <c r="K1197" s="0" t="s">
        <v>89</v>
      </c>
      <c r="L1197" s="0" t="str">
        <f aca="false">IFERROR(VLOOKUP(K1197,'Supplier list'!B:C,2,0),"")</f>
        <v>บริษัท เฮเฟเล่ (ประเทศไทย) จำกัด</v>
      </c>
      <c r="M1197" s="1" t="s">
        <v>24</v>
      </c>
      <c r="O1197" s="2" t="n">
        <v>1280</v>
      </c>
    </row>
    <row r="1198" customFormat="false" ht="16.4" hidden="false" customHeight="false" outlineLevel="0" collapsed="false">
      <c r="A1198" s="0" t="s">
        <v>15</v>
      </c>
      <c r="B1198" s="0" t="s">
        <v>3834</v>
      </c>
      <c r="C1198" s="0" t="n">
        <v>114001</v>
      </c>
      <c r="D1198" s="0" t="n">
        <v>114001</v>
      </c>
      <c r="E1198" s="0" t="s">
        <v>1815</v>
      </c>
      <c r="F1198" s="0" t="s">
        <v>18</v>
      </c>
      <c r="G1198" s="0" t="s">
        <v>3835</v>
      </c>
      <c r="H1198" s="0" t="s">
        <v>3836</v>
      </c>
      <c r="I1198" s="0" t="s">
        <v>124</v>
      </c>
      <c r="J1198" s="0" t="s">
        <v>125</v>
      </c>
      <c r="K1198" s="0" t="s">
        <v>89</v>
      </c>
      <c r="L1198" s="0" t="str">
        <f aca="false">IFERROR(VLOOKUP(K1198,'Supplier list'!B:C,2,0),"")</f>
        <v>บริษัท เฮเฟเล่ (ประเทศไทย) จำกัด</v>
      </c>
      <c r="M1198" s="1" t="s">
        <v>24</v>
      </c>
      <c r="O1198" s="2" t="n">
        <v>520</v>
      </c>
    </row>
    <row r="1199" customFormat="false" ht="16.4" hidden="false" customHeight="false" outlineLevel="0" collapsed="false">
      <c r="A1199" s="0" t="s">
        <v>15</v>
      </c>
      <c r="B1199" s="0" t="s">
        <v>3837</v>
      </c>
      <c r="C1199" s="0" t="n">
        <v>114001</v>
      </c>
      <c r="D1199" s="0" t="n">
        <v>114001</v>
      </c>
      <c r="E1199" s="0" t="s">
        <v>1815</v>
      </c>
      <c r="F1199" s="0" t="s">
        <v>18</v>
      </c>
      <c r="G1199" s="0" t="s">
        <v>3838</v>
      </c>
      <c r="H1199" s="0" t="s">
        <v>3839</v>
      </c>
      <c r="I1199" s="0" t="s">
        <v>517</v>
      </c>
      <c r="J1199" s="0" t="s">
        <v>518</v>
      </c>
      <c r="K1199" s="0" t="s">
        <v>89</v>
      </c>
      <c r="L1199" s="0" t="str">
        <f aca="false">IFERROR(VLOOKUP(K1199,'Supplier list'!B:C,2,0),"")</f>
        <v>บริษัท เฮเฟเล่ (ประเทศไทย) จำกัด</v>
      </c>
      <c r="M1199" s="1" t="s">
        <v>24</v>
      </c>
      <c r="O1199" s="2" t="n">
        <v>617</v>
      </c>
    </row>
    <row r="1200" customFormat="false" ht="16.4" hidden="false" customHeight="false" outlineLevel="0" collapsed="false">
      <c r="A1200" s="0" t="s">
        <v>15</v>
      </c>
      <c r="B1200" s="0" t="s">
        <v>3840</v>
      </c>
      <c r="C1200" s="0" t="n">
        <v>114001</v>
      </c>
      <c r="D1200" s="0" t="n">
        <v>114001</v>
      </c>
      <c r="E1200" s="0" t="s">
        <v>3558</v>
      </c>
      <c r="F1200" s="0" t="s">
        <v>18</v>
      </c>
      <c r="G1200" s="0" t="s">
        <v>3841</v>
      </c>
      <c r="H1200" s="0" t="s">
        <v>3842</v>
      </c>
      <c r="I1200" s="0" t="s">
        <v>168</v>
      </c>
      <c r="J1200" s="0" t="s">
        <v>169</v>
      </c>
      <c r="K1200" s="0" t="s">
        <v>787</v>
      </c>
      <c r="L1200" s="0" t="str">
        <f aca="false">IFERROR(VLOOKUP(K1200,'Supplier list'!B:C,2,0),"")</f>
        <v>บริษัท ฟิวเจอร์เทค อินเตอร์มาร์เก็ตติ้ง จำกัด</v>
      </c>
      <c r="M1200" s="1" t="s">
        <v>24</v>
      </c>
      <c r="O1200" s="2" t="n">
        <v>300</v>
      </c>
    </row>
    <row r="1201" customFormat="false" ht="16.4" hidden="false" customHeight="false" outlineLevel="0" collapsed="false">
      <c r="A1201" s="0" t="s">
        <v>15</v>
      </c>
      <c r="B1201" s="0" t="s">
        <v>3843</v>
      </c>
      <c r="C1201" s="0" t="n">
        <v>114001</v>
      </c>
      <c r="D1201" s="0" t="n">
        <v>114001</v>
      </c>
      <c r="E1201" s="0" t="s">
        <v>3844</v>
      </c>
      <c r="F1201" s="0" t="s">
        <v>18</v>
      </c>
      <c r="G1201" s="0" t="s">
        <v>3845</v>
      </c>
      <c r="H1201" s="0" t="s">
        <v>3846</v>
      </c>
      <c r="I1201" s="0" t="s">
        <v>124</v>
      </c>
      <c r="J1201" s="0" t="s">
        <v>125</v>
      </c>
      <c r="K1201" s="0" t="s">
        <v>787</v>
      </c>
      <c r="L1201" s="0" t="str">
        <f aca="false">IFERROR(VLOOKUP(K1201,'Supplier list'!B:C,2,0),"")</f>
        <v>บริษัท ฟิวเจอร์เทค อินเตอร์มาร์เก็ตติ้ง จำกัด</v>
      </c>
      <c r="M1201" s="1" t="s">
        <v>24</v>
      </c>
      <c r="O1201" s="2" t="n">
        <v>2520</v>
      </c>
    </row>
    <row r="1202" customFormat="false" ht="16.4" hidden="false" customHeight="false" outlineLevel="0" collapsed="false">
      <c r="A1202" s="0" t="s">
        <v>15</v>
      </c>
      <c r="B1202" s="0" t="s">
        <v>3847</v>
      </c>
      <c r="C1202" s="0" t="n">
        <v>114001</v>
      </c>
      <c r="D1202" s="0" t="n">
        <v>114001</v>
      </c>
      <c r="E1202" s="0" t="s">
        <v>1601</v>
      </c>
      <c r="F1202" s="0" t="s">
        <v>18</v>
      </c>
      <c r="G1202" s="0" t="s">
        <v>3848</v>
      </c>
      <c r="H1202" s="0" t="s">
        <v>3849</v>
      </c>
      <c r="I1202" s="0" t="s">
        <v>168</v>
      </c>
      <c r="J1202" s="0" t="s">
        <v>169</v>
      </c>
      <c r="K1202" s="0" t="s">
        <v>787</v>
      </c>
      <c r="L1202" s="0" t="str">
        <f aca="false">IFERROR(VLOOKUP(K1202,'Supplier list'!B:C,2,0),"")</f>
        <v>บริษัท ฟิวเจอร์เทค อินเตอร์มาร์เก็ตติ้ง จำกัด</v>
      </c>
      <c r="M1202" s="1" t="s">
        <v>24</v>
      </c>
      <c r="O1202" s="2" t="n">
        <v>360</v>
      </c>
    </row>
    <row r="1203" customFormat="false" ht="16.4" hidden="false" customHeight="false" outlineLevel="0" collapsed="false">
      <c r="A1203" s="0" t="s">
        <v>15</v>
      </c>
      <c r="B1203" s="0" t="s">
        <v>3850</v>
      </c>
      <c r="C1203" s="0" t="n">
        <v>114001</v>
      </c>
      <c r="D1203" s="0" t="n">
        <v>114001</v>
      </c>
      <c r="E1203" s="0" t="s">
        <v>1764</v>
      </c>
      <c r="F1203" s="0" t="s">
        <v>18</v>
      </c>
      <c r="G1203" s="0" t="s">
        <v>3851</v>
      </c>
      <c r="H1203" s="0" t="s">
        <v>3852</v>
      </c>
      <c r="I1203" s="0" t="s">
        <v>517</v>
      </c>
      <c r="J1203" s="0" t="s">
        <v>518</v>
      </c>
      <c r="K1203" s="0" t="s">
        <v>787</v>
      </c>
      <c r="L1203" s="0" t="str">
        <f aca="false">IFERROR(VLOOKUP(K1203,'Supplier list'!B:C,2,0),"")</f>
        <v>บริษัท ฟิวเจอร์เทค อินเตอร์มาร์เก็ตติ้ง จำกัด</v>
      </c>
      <c r="M1203" s="1" t="s">
        <v>24</v>
      </c>
      <c r="O1203" s="2" t="n">
        <v>140</v>
      </c>
    </row>
    <row r="1204" customFormat="false" ht="16.4" hidden="false" customHeight="false" outlineLevel="0" collapsed="false">
      <c r="A1204" s="0" t="s">
        <v>15</v>
      </c>
      <c r="B1204" s="0" t="s">
        <v>3853</v>
      </c>
      <c r="C1204" s="0" t="n">
        <v>114001</v>
      </c>
      <c r="D1204" s="0" t="n">
        <v>114001</v>
      </c>
      <c r="E1204" s="0" t="s">
        <v>961</v>
      </c>
      <c r="F1204" s="0" t="s">
        <v>18</v>
      </c>
      <c r="G1204" s="0" t="s">
        <v>3854</v>
      </c>
      <c r="H1204" s="0" t="s">
        <v>3855</v>
      </c>
      <c r="I1204" s="0" t="s">
        <v>21</v>
      </c>
      <c r="J1204" s="0" t="s">
        <v>22</v>
      </c>
      <c r="K1204" s="0" t="s">
        <v>787</v>
      </c>
      <c r="L1204" s="0" t="str">
        <f aca="false">IFERROR(VLOOKUP(K1204,'Supplier list'!B:C,2,0),"")</f>
        <v>บริษัท ฟิวเจอร์เทค อินเตอร์มาร์เก็ตติ้ง จำกัด</v>
      </c>
      <c r="M1204" s="1" t="s">
        <v>24</v>
      </c>
      <c r="O1204" s="2" t="n">
        <v>290</v>
      </c>
    </row>
    <row r="1205" customFormat="false" ht="16.4" hidden="false" customHeight="false" outlineLevel="0" collapsed="false">
      <c r="A1205" s="0" t="s">
        <v>15</v>
      </c>
      <c r="B1205" s="0" t="s">
        <v>3856</v>
      </c>
      <c r="C1205" s="0" t="n">
        <v>114001</v>
      </c>
      <c r="D1205" s="0" t="n">
        <v>114001</v>
      </c>
      <c r="E1205" s="0" t="s">
        <v>1764</v>
      </c>
      <c r="F1205" s="0" t="s">
        <v>18</v>
      </c>
      <c r="G1205" s="0" t="s">
        <v>3857</v>
      </c>
      <c r="H1205" s="0" t="s">
        <v>3858</v>
      </c>
      <c r="I1205" s="0" t="s">
        <v>21</v>
      </c>
      <c r="J1205" s="0" t="s">
        <v>22</v>
      </c>
      <c r="K1205" s="0" t="s">
        <v>787</v>
      </c>
      <c r="L1205" s="0" t="str">
        <f aca="false">IFERROR(VLOOKUP(K1205,'Supplier list'!B:C,2,0),"")</f>
        <v>บริษัท ฟิวเจอร์เทค อินเตอร์มาร์เก็ตติ้ง จำกัด</v>
      </c>
      <c r="M1205" s="1" t="s">
        <v>24</v>
      </c>
      <c r="O1205" s="2" t="n">
        <v>70</v>
      </c>
    </row>
    <row r="1206" customFormat="false" ht="16.4" hidden="false" customHeight="false" outlineLevel="0" collapsed="false">
      <c r="A1206" s="0" t="s">
        <v>15</v>
      </c>
      <c r="B1206" s="0" t="s">
        <v>3859</v>
      </c>
      <c r="C1206" s="0" t="n">
        <v>114001</v>
      </c>
      <c r="D1206" s="0" t="n">
        <v>114001</v>
      </c>
      <c r="E1206" s="0" t="s">
        <v>3860</v>
      </c>
      <c r="F1206" s="0" t="s">
        <v>18</v>
      </c>
      <c r="G1206" s="0" t="s">
        <v>3861</v>
      </c>
      <c r="H1206" s="0" t="s">
        <v>3862</v>
      </c>
      <c r="I1206" s="0" t="s">
        <v>21</v>
      </c>
      <c r="J1206" s="0" t="s">
        <v>22</v>
      </c>
      <c r="K1206" s="0" t="s">
        <v>787</v>
      </c>
      <c r="L1206" s="0" t="str">
        <f aca="false">IFERROR(VLOOKUP(K1206,'Supplier list'!B:C,2,0),"")</f>
        <v>บริษัท ฟิวเจอร์เทค อินเตอร์มาร์เก็ตติ้ง จำกัด</v>
      </c>
      <c r="M1206" s="1" t="s">
        <v>24</v>
      </c>
      <c r="O1206" s="2" t="n">
        <v>49</v>
      </c>
    </row>
    <row r="1207" customFormat="false" ht="16.4" hidden="false" customHeight="false" outlineLevel="0" collapsed="false">
      <c r="A1207" s="0" t="s">
        <v>15</v>
      </c>
      <c r="B1207" s="0" t="s">
        <v>3863</v>
      </c>
      <c r="C1207" s="0" t="n">
        <v>114001</v>
      </c>
      <c r="D1207" s="0" t="n">
        <v>114001</v>
      </c>
      <c r="E1207" s="0" t="s">
        <v>1815</v>
      </c>
      <c r="F1207" s="0" t="s">
        <v>18</v>
      </c>
      <c r="G1207" s="0" t="s">
        <v>3864</v>
      </c>
      <c r="H1207" s="0" t="s">
        <v>3865</v>
      </c>
      <c r="I1207" s="0" t="s">
        <v>517</v>
      </c>
      <c r="J1207" s="0" t="s">
        <v>518</v>
      </c>
      <c r="K1207" s="0" t="s">
        <v>89</v>
      </c>
      <c r="L1207" s="0" t="str">
        <f aca="false">IFERROR(VLOOKUP(K1207,'Supplier list'!B:C,2,0),"")</f>
        <v>บริษัท เฮเฟเล่ (ประเทศไทย) จำกัด</v>
      </c>
      <c r="M1207" s="1" t="s">
        <v>1740</v>
      </c>
      <c r="N1207" s="2" t="n">
        <v>2000</v>
      </c>
      <c r="O1207" s="2" t="n">
        <v>823</v>
      </c>
    </row>
    <row r="1208" customFormat="false" ht="16.4" hidden="false" customHeight="false" outlineLevel="0" collapsed="false">
      <c r="A1208" s="0" t="s">
        <v>15</v>
      </c>
      <c r="B1208" s="0" t="s">
        <v>3866</v>
      </c>
      <c r="C1208" s="0" t="n">
        <v>114001</v>
      </c>
      <c r="D1208" s="0" t="n">
        <v>114001</v>
      </c>
      <c r="E1208" s="0" t="s">
        <v>1815</v>
      </c>
      <c r="F1208" s="0" t="s">
        <v>18</v>
      </c>
      <c r="G1208" s="0" t="s">
        <v>3867</v>
      </c>
      <c r="H1208" s="0" t="s">
        <v>3868</v>
      </c>
      <c r="I1208" s="0" t="s">
        <v>517</v>
      </c>
      <c r="J1208" s="0" t="s">
        <v>518</v>
      </c>
      <c r="K1208" s="0" t="s">
        <v>89</v>
      </c>
      <c r="L1208" s="0" t="str">
        <f aca="false">IFERROR(VLOOKUP(K1208,'Supplier list'!B:C,2,0),"")</f>
        <v>บริษัท เฮเฟเล่ (ประเทศไทย) จำกัด</v>
      </c>
      <c r="M1208" s="1" t="s">
        <v>1740</v>
      </c>
      <c r="N1208" s="2" t="n">
        <v>2200</v>
      </c>
      <c r="O1208" s="2" t="n">
        <v>879</v>
      </c>
    </row>
    <row r="1209" customFormat="false" ht="16.4" hidden="false" customHeight="false" outlineLevel="0" collapsed="false">
      <c r="A1209" s="0" t="s">
        <v>15</v>
      </c>
      <c r="B1209" s="0" t="s">
        <v>3869</v>
      </c>
      <c r="C1209" s="0" t="n">
        <v>114001</v>
      </c>
      <c r="D1209" s="0" t="n">
        <v>114001</v>
      </c>
      <c r="E1209" s="0" t="s">
        <v>267</v>
      </c>
      <c r="F1209" s="0" t="s">
        <v>18</v>
      </c>
      <c r="G1209" s="0" t="s">
        <v>3870</v>
      </c>
      <c r="H1209" s="0" t="s">
        <v>3871</v>
      </c>
      <c r="I1209" s="0" t="s">
        <v>124</v>
      </c>
      <c r="J1209" s="0" t="s">
        <v>125</v>
      </c>
      <c r="K1209" s="0" t="s">
        <v>89</v>
      </c>
      <c r="L1209" s="0" t="str">
        <f aca="false">IFERROR(VLOOKUP(K1209,'Supplier list'!B:C,2,0),"")</f>
        <v>บริษัท เฮเฟเล่ (ประเทศไทย) จำกัด</v>
      </c>
      <c r="M1209" s="1" t="s">
        <v>24</v>
      </c>
      <c r="N1209" s="2" t="n">
        <v>1500</v>
      </c>
      <c r="O1209" s="2" t="n">
        <v>853.6</v>
      </c>
    </row>
    <row r="1210" customFormat="false" ht="16.4" hidden="false" customHeight="false" outlineLevel="0" collapsed="false">
      <c r="A1210" s="0" t="s">
        <v>15</v>
      </c>
      <c r="B1210" s="0" t="s">
        <v>3872</v>
      </c>
      <c r="C1210" s="0" t="n">
        <v>114001</v>
      </c>
      <c r="D1210" s="0" t="n">
        <v>114001</v>
      </c>
      <c r="E1210" s="0" t="s">
        <v>267</v>
      </c>
      <c r="F1210" s="0" t="s">
        <v>18</v>
      </c>
      <c r="G1210" s="0" t="s">
        <v>3873</v>
      </c>
      <c r="H1210" s="0" t="s">
        <v>3874</v>
      </c>
      <c r="I1210" s="0" t="s">
        <v>124</v>
      </c>
      <c r="J1210" s="0" t="s">
        <v>125</v>
      </c>
      <c r="K1210" s="0" t="s">
        <v>89</v>
      </c>
      <c r="L1210" s="0" t="str">
        <f aca="false">IFERROR(VLOOKUP(K1210,'Supplier list'!B:C,2,0),"")</f>
        <v>บริษัท เฮเฟเล่ (ประเทศไทย) จำกัด</v>
      </c>
      <c r="M1210" s="1" t="s">
        <v>1740</v>
      </c>
      <c r="N1210" s="2" t="n">
        <v>1900</v>
      </c>
      <c r="O1210" s="2" t="n">
        <v>1748</v>
      </c>
    </row>
    <row r="1211" customFormat="false" ht="16.4" hidden="false" customHeight="false" outlineLevel="0" collapsed="false">
      <c r="A1211" s="0" t="s">
        <v>15</v>
      </c>
      <c r="B1211" s="0" t="s">
        <v>3875</v>
      </c>
      <c r="C1211" s="0" t="n">
        <v>114001</v>
      </c>
      <c r="D1211" s="0" t="n">
        <v>114001</v>
      </c>
      <c r="E1211" s="0" t="s">
        <v>1684</v>
      </c>
      <c r="F1211" s="0" t="s">
        <v>18</v>
      </c>
      <c r="G1211" s="0" t="s">
        <v>3876</v>
      </c>
      <c r="H1211" s="0" t="s">
        <v>3876</v>
      </c>
      <c r="I1211" s="0" t="s">
        <v>248</v>
      </c>
      <c r="J1211" s="0" t="s">
        <v>249</v>
      </c>
      <c r="K1211" s="0" t="s">
        <v>89</v>
      </c>
      <c r="L1211" s="0" t="str">
        <f aca="false">IFERROR(VLOOKUP(K1211,'Supplier list'!B:C,2,0),"")</f>
        <v>บริษัท เฮเฟเล่ (ประเทศไทย) จำกัด</v>
      </c>
      <c r="M1211" s="1" t="s">
        <v>1740</v>
      </c>
      <c r="N1211" s="2" t="n">
        <v>1900</v>
      </c>
      <c r="O1211" s="2" t="n">
        <f aca="false">3113/5</f>
        <v>622.6</v>
      </c>
    </row>
    <row r="1212" customFormat="false" ht="16.4" hidden="false" customHeight="false" outlineLevel="0" collapsed="false">
      <c r="A1212" s="0" t="s">
        <v>15</v>
      </c>
      <c r="B1212" s="0" t="s">
        <v>3877</v>
      </c>
      <c r="C1212" s="0" t="n">
        <v>114001</v>
      </c>
      <c r="D1212" s="0" t="n">
        <v>114001</v>
      </c>
      <c r="E1212" s="0" t="s">
        <v>1815</v>
      </c>
      <c r="F1212" s="0" t="s">
        <v>18</v>
      </c>
      <c r="G1212" s="0" t="s">
        <v>3878</v>
      </c>
      <c r="H1212" s="0" t="s">
        <v>3879</v>
      </c>
      <c r="I1212" s="0" t="s">
        <v>517</v>
      </c>
      <c r="J1212" s="0" t="s">
        <v>518</v>
      </c>
      <c r="K1212" s="0" t="s">
        <v>89</v>
      </c>
      <c r="L1212" s="0" t="str">
        <f aca="false">IFERROR(VLOOKUP(K1212,'Supplier list'!B:C,2,0),"")</f>
        <v>บริษัท เฮเฟเล่ (ประเทศไทย) จำกัด</v>
      </c>
      <c r="M1212" s="1" t="s">
        <v>1740</v>
      </c>
      <c r="N1212" s="2" t="n">
        <v>1800</v>
      </c>
      <c r="O1212" s="2" t="n">
        <v>711</v>
      </c>
    </row>
    <row r="1213" customFormat="false" ht="16.4" hidden="false" customHeight="false" outlineLevel="0" collapsed="false">
      <c r="A1213" s="0" t="s">
        <v>15</v>
      </c>
      <c r="B1213" s="0" t="s">
        <v>3880</v>
      </c>
      <c r="C1213" s="0" t="n">
        <v>114001</v>
      </c>
      <c r="D1213" s="0" t="n">
        <v>114001</v>
      </c>
      <c r="E1213" s="0" t="s">
        <v>1815</v>
      </c>
      <c r="F1213" s="0" t="s">
        <v>18</v>
      </c>
      <c r="G1213" s="0" t="s">
        <v>3881</v>
      </c>
      <c r="H1213" s="0" t="s">
        <v>3881</v>
      </c>
      <c r="I1213" s="0" t="s">
        <v>517</v>
      </c>
      <c r="J1213" s="0" t="s">
        <v>518</v>
      </c>
      <c r="K1213" s="0" t="s">
        <v>89</v>
      </c>
      <c r="L1213" s="0" t="str">
        <f aca="false">IFERROR(VLOOKUP(K1213,'Supplier list'!B:C,2,0),"")</f>
        <v>บริษัท เฮเฟเล่ (ประเทศไทย) จำกัด</v>
      </c>
      <c r="M1213" s="1" t="s">
        <v>24</v>
      </c>
      <c r="O1213" s="2" t="n">
        <v>520</v>
      </c>
    </row>
    <row r="1214" customFormat="false" ht="16.4" hidden="false" customHeight="false" outlineLevel="0" collapsed="false">
      <c r="A1214" s="0" t="s">
        <v>15</v>
      </c>
      <c r="B1214" s="0" t="s">
        <v>3882</v>
      </c>
      <c r="C1214" s="0" t="n">
        <v>114001</v>
      </c>
      <c r="D1214" s="0" t="n">
        <v>114001</v>
      </c>
      <c r="E1214" s="0" t="s">
        <v>1891</v>
      </c>
      <c r="F1214" s="0" t="s">
        <v>18</v>
      </c>
      <c r="G1214" s="0" t="s">
        <v>3883</v>
      </c>
      <c r="H1214" s="0" t="s">
        <v>3884</v>
      </c>
      <c r="I1214" s="0" t="s">
        <v>21</v>
      </c>
      <c r="J1214" s="0" t="s">
        <v>22</v>
      </c>
      <c r="K1214" s="0" t="s">
        <v>89</v>
      </c>
      <c r="L1214" s="0" t="str">
        <f aca="false">IFERROR(VLOOKUP(K1214,'Supplier list'!B:C,2,0),"")</f>
        <v>บริษัท เฮเฟเล่ (ประเทศไทย) จำกัด</v>
      </c>
      <c r="M1214" s="1" t="s">
        <v>24</v>
      </c>
      <c r="O1214" s="2" t="n">
        <v>60</v>
      </c>
    </row>
    <row r="1215" customFormat="false" ht="16.4" hidden="false" customHeight="false" outlineLevel="0" collapsed="false">
      <c r="A1215" s="0" t="s">
        <v>15</v>
      </c>
      <c r="B1215" s="0" t="s">
        <v>3885</v>
      </c>
      <c r="C1215" s="0" t="n">
        <v>114001</v>
      </c>
      <c r="D1215" s="0" t="n">
        <v>114001</v>
      </c>
      <c r="E1215" s="0" t="s">
        <v>3886</v>
      </c>
      <c r="F1215" s="0" t="s">
        <v>18</v>
      </c>
      <c r="G1215" s="0" t="s">
        <v>3887</v>
      </c>
      <c r="H1215" s="0" t="s">
        <v>3888</v>
      </c>
      <c r="I1215" s="0" t="s">
        <v>517</v>
      </c>
      <c r="J1215" s="0" t="s">
        <v>518</v>
      </c>
      <c r="K1215" s="0" t="s">
        <v>89</v>
      </c>
      <c r="L1215" s="0" t="str">
        <f aca="false">IFERROR(VLOOKUP(K1215,'Supplier list'!B:C,2,0),"")</f>
        <v>บริษัท เฮเฟเล่ (ประเทศไทย) จำกัด</v>
      </c>
      <c r="M1215" s="1" t="s">
        <v>24</v>
      </c>
      <c r="O1215" s="2" t="n">
        <v>281</v>
      </c>
    </row>
    <row r="1216" customFormat="false" ht="16.4" hidden="false" customHeight="false" outlineLevel="0" collapsed="false">
      <c r="A1216" s="0" t="s">
        <v>15</v>
      </c>
      <c r="B1216" s="0" t="s">
        <v>3889</v>
      </c>
      <c r="C1216" s="0" t="n">
        <v>114001</v>
      </c>
      <c r="D1216" s="0" t="n">
        <v>114001</v>
      </c>
      <c r="E1216" s="0" t="s">
        <v>3886</v>
      </c>
      <c r="F1216" s="0" t="s">
        <v>18</v>
      </c>
      <c r="G1216" s="0" t="s">
        <v>3890</v>
      </c>
      <c r="H1216" s="0" t="s">
        <v>3891</v>
      </c>
      <c r="I1216" s="0" t="s">
        <v>21</v>
      </c>
      <c r="J1216" s="0" t="s">
        <v>22</v>
      </c>
      <c r="K1216" s="0" t="s">
        <v>89</v>
      </c>
      <c r="L1216" s="0" t="str">
        <f aca="false">IFERROR(VLOOKUP(K1216,'Supplier list'!B:C,2,0),"")</f>
        <v>บริษัท เฮเฟเล่ (ประเทศไทย) จำกัด</v>
      </c>
      <c r="M1216" s="1" t="s">
        <v>24</v>
      </c>
      <c r="O1216" s="2" t="n">
        <v>290</v>
      </c>
    </row>
    <row r="1217" customFormat="false" ht="16.4" hidden="false" customHeight="false" outlineLevel="0" collapsed="false">
      <c r="A1217" s="0" t="s">
        <v>15</v>
      </c>
      <c r="B1217" s="0" t="s">
        <v>3892</v>
      </c>
      <c r="C1217" s="0" t="n">
        <v>114001</v>
      </c>
      <c r="D1217" s="0" t="n">
        <v>114001</v>
      </c>
      <c r="E1217" s="0" t="s">
        <v>3886</v>
      </c>
      <c r="F1217" s="0" t="s">
        <v>18</v>
      </c>
      <c r="G1217" s="0" t="s">
        <v>3893</v>
      </c>
      <c r="H1217" s="0" t="s">
        <v>3894</v>
      </c>
      <c r="I1217" s="0" t="s">
        <v>21</v>
      </c>
      <c r="J1217" s="0" t="s">
        <v>22</v>
      </c>
      <c r="K1217" s="0" t="s">
        <v>89</v>
      </c>
      <c r="L1217" s="0" t="str">
        <f aca="false">IFERROR(VLOOKUP(K1217,'Supplier list'!B:C,2,0),"")</f>
        <v>บริษัท เฮเฟเล่ (ประเทศไทย) จำกัด</v>
      </c>
      <c r="M1217" s="1" t="s">
        <v>24</v>
      </c>
      <c r="O1217" s="2" t="n">
        <v>113</v>
      </c>
    </row>
    <row r="1218" customFormat="false" ht="16.4" hidden="false" customHeight="false" outlineLevel="0" collapsed="false">
      <c r="A1218" s="0" t="s">
        <v>15</v>
      </c>
      <c r="B1218" s="0" t="s">
        <v>3895</v>
      </c>
      <c r="C1218" s="0" t="n">
        <v>114001</v>
      </c>
      <c r="D1218" s="0" t="n">
        <v>114001</v>
      </c>
      <c r="E1218" s="0" t="s">
        <v>2596</v>
      </c>
      <c r="F1218" s="0" t="s">
        <v>18</v>
      </c>
      <c r="G1218" s="0" t="s">
        <v>3896</v>
      </c>
      <c r="H1218" s="0" t="s">
        <v>3897</v>
      </c>
      <c r="I1218" s="0" t="s">
        <v>21</v>
      </c>
      <c r="J1218" s="0" t="s">
        <v>22</v>
      </c>
      <c r="K1218" s="0" t="s">
        <v>89</v>
      </c>
      <c r="L1218" s="0" t="str">
        <f aca="false">IFERROR(VLOOKUP(K1218,'Supplier list'!B:C,2,0),"")</f>
        <v>บริษัท เฮเฟเล่ (ประเทศไทย) จำกัด</v>
      </c>
      <c r="M1218" s="1" t="s">
        <v>24</v>
      </c>
      <c r="O1218" s="2" t="n">
        <v>439</v>
      </c>
    </row>
    <row r="1219" customFormat="false" ht="16.4" hidden="false" customHeight="false" outlineLevel="0" collapsed="false">
      <c r="A1219" s="0" t="s">
        <v>15</v>
      </c>
      <c r="B1219" s="0" t="s">
        <v>3898</v>
      </c>
      <c r="C1219" s="0" t="n">
        <v>114001</v>
      </c>
      <c r="D1219" s="0" t="n">
        <v>114001</v>
      </c>
      <c r="E1219" s="0" t="s">
        <v>1815</v>
      </c>
      <c r="F1219" s="0" t="s">
        <v>18</v>
      </c>
      <c r="G1219" s="0" t="s">
        <v>3899</v>
      </c>
      <c r="H1219" s="0" t="s">
        <v>3900</v>
      </c>
      <c r="I1219" s="0" t="s">
        <v>517</v>
      </c>
      <c r="J1219" s="0" t="s">
        <v>518</v>
      </c>
      <c r="K1219" s="0" t="s">
        <v>89</v>
      </c>
      <c r="L1219" s="0" t="str">
        <f aca="false">IFERROR(VLOOKUP(K1219,'Supplier list'!B:C,2,0),"")</f>
        <v>บริษัท เฮเฟเล่ (ประเทศไทย) จำกัด</v>
      </c>
      <c r="M1219" s="1" t="s">
        <v>24</v>
      </c>
      <c r="O1219" s="2" t="n">
        <v>588</v>
      </c>
    </row>
    <row r="1220" customFormat="false" ht="16.4" hidden="false" customHeight="false" outlineLevel="0" collapsed="false">
      <c r="A1220" s="0" t="s">
        <v>15</v>
      </c>
      <c r="B1220" s="0" t="s">
        <v>3901</v>
      </c>
      <c r="C1220" s="0" t="n">
        <v>114001</v>
      </c>
      <c r="D1220" s="0" t="n">
        <v>114001</v>
      </c>
      <c r="E1220" s="0" t="s">
        <v>1764</v>
      </c>
      <c r="F1220" s="0" t="s">
        <v>18</v>
      </c>
      <c r="G1220" s="0" t="s">
        <v>3902</v>
      </c>
      <c r="H1220" s="0" t="s">
        <v>3903</v>
      </c>
      <c r="I1220" s="0" t="s">
        <v>21</v>
      </c>
      <c r="J1220" s="0" t="s">
        <v>22</v>
      </c>
      <c r="K1220" s="0" t="s">
        <v>787</v>
      </c>
      <c r="L1220" s="0" t="str">
        <f aca="false">IFERROR(VLOOKUP(K1220,'Supplier list'!B:C,2,0),"")</f>
        <v>บริษัท ฟิวเจอร์เทค อินเตอร์มาร์เก็ตติ้ง จำกัด</v>
      </c>
      <c r="M1220" s="1" t="s">
        <v>24</v>
      </c>
      <c r="O1220" s="2" t="n">
        <v>38.5</v>
      </c>
    </row>
    <row r="1221" customFormat="false" ht="16.4" hidden="false" customHeight="false" outlineLevel="0" collapsed="false">
      <c r="A1221" s="0" t="s">
        <v>15</v>
      </c>
      <c r="B1221" s="0" t="s">
        <v>3904</v>
      </c>
      <c r="C1221" s="0" t="n">
        <v>114001</v>
      </c>
      <c r="D1221" s="0" t="n">
        <v>114001</v>
      </c>
      <c r="E1221" s="0" t="s">
        <v>1764</v>
      </c>
      <c r="F1221" s="0" t="s">
        <v>18</v>
      </c>
      <c r="G1221" s="0" t="s">
        <v>3905</v>
      </c>
      <c r="H1221" s="0" t="s">
        <v>3906</v>
      </c>
      <c r="I1221" s="0" t="s">
        <v>21</v>
      </c>
      <c r="J1221" s="0" t="s">
        <v>22</v>
      </c>
      <c r="K1221" s="0" t="s">
        <v>787</v>
      </c>
      <c r="L1221" s="0" t="str">
        <f aca="false">IFERROR(VLOOKUP(K1221,'Supplier list'!B:C,2,0),"")</f>
        <v>บริษัท ฟิวเจอร์เทค อินเตอร์มาร์เก็ตติ้ง จำกัด</v>
      </c>
      <c r="M1221" s="1" t="s">
        <v>24</v>
      </c>
      <c r="O1221" s="2" t="n">
        <v>12</v>
      </c>
    </row>
    <row r="1222" customFormat="false" ht="16.4" hidden="false" customHeight="false" outlineLevel="0" collapsed="false">
      <c r="A1222" s="0" t="s">
        <v>15</v>
      </c>
      <c r="B1222" s="0" t="s">
        <v>3907</v>
      </c>
      <c r="C1222" s="0" t="n">
        <v>114001</v>
      </c>
      <c r="D1222" s="0" t="n">
        <v>114001</v>
      </c>
      <c r="E1222" s="0" t="s">
        <v>2596</v>
      </c>
      <c r="F1222" s="0" t="s">
        <v>18</v>
      </c>
      <c r="G1222" s="0" t="s">
        <v>3908</v>
      </c>
      <c r="H1222" s="0" t="s">
        <v>3909</v>
      </c>
      <c r="I1222" s="0" t="s">
        <v>21</v>
      </c>
      <c r="J1222" s="0" t="s">
        <v>22</v>
      </c>
      <c r="K1222" s="0" t="s">
        <v>89</v>
      </c>
      <c r="L1222" s="0" t="str">
        <f aca="false">IFERROR(VLOOKUP(K1222,'Supplier list'!B:C,2,0),"")</f>
        <v>บริษัท เฮเฟเล่ (ประเทศไทย) จำกัด</v>
      </c>
      <c r="M1222" s="1" t="s">
        <v>24</v>
      </c>
      <c r="O1222" s="2" t="n">
        <v>440</v>
      </c>
    </row>
    <row r="1223" customFormat="false" ht="16.4" hidden="false" customHeight="false" outlineLevel="0" collapsed="false">
      <c r="A1223" s="0" t="s">
        <v>15</v>
      </c>
      <c r="B1223" s="0" t="s">
        <v>3910</v>
      </c>
      <c r="C1223" s="0" t="n">
        <v>114001</v>
      </c>
      <c r="D1223" s="0" t="n">
        <v>114001</v>
      </c>
      <c r="E1223" s="0" t="s">
        <v>1727</v>
      </c>
      <c r="F1223" s="0" t="s">
        <v>18</v>
      </c>
      <c r="G1223" s="0" t="s">
        <v>3911</v>
      </c>
      <c r="H1223" s="0" t="s">
        <v>3912</v>
      </c>
      <c r="I1223" s="0" t="s">
        <v>21</v>
      </c>
      <c r="J1223" s="0" t="s">
        <v>22</v>
      </c>
      <c r="K1223" s="0" t="s">
        <v>787</v>
      </c>
      <c r="L1223" s="0" t="str">
        <f aca="false">IFERROR(VLOOKUP(K1223,'Supplier list'!B:C,2,0),"")</f>
        <v>บริษัท ฟิวเจอร์เทค อินเตอร์มาร์เก็ตติ้ง จำกัด</v>
      </c>
      <c r="M1223" s="1" t="s">
        <v>24</v>
      </c>
      <c r="O1223" s="2" t="n">
        <v>220</v>
      </c>
    </row>
    <row r="1224" customFormat="false" ht="16.4" hidden="false" customHeight="false" outlineLevel="0" collapsed="false">
      <c r="A1224" s="0" t="s">
        <v>15</v>
      </c>
      <c r="B1224" s="0" t="s">
        <v>3913</v>
      </c>
      <c r="C1224" s="0" t="n">
        <v>114001</v>
      </c>
      <c r="D1224" s="0" t="n">
        <v>114001</v>
      </c>
      <c r="E1224" s="0" t="s">
        <v>3914</v>
      </c>
      <c r="F1224" s="0" t="s">
        <v>18</v>
      </c>
      <c r="G1224" s="0" t="s">
        <v>3915</v>
      </c>
      <c r="H1224" s="0" t="s">
        <v>3916</v>
      </c>
      <c r="I1224" s="0" t="s">
        <v>21</v>
      </c>
      <c r="J1224" s="0" t="s">
        <v>22</v>
      </c>
      <c r="K1224" s="0" t="s">
        <v>787</v>
      </c>
      <c r="L1224" s="0" t="str">
        <f aca="false">IFERROR(VLOOKUP(K1224,'Supplier list'!B:C,2,0),"")</f>
        <v>บริษัท ฟิวเจอร์เทค อินเตอร์มาร์เก็ตติ้ง จำกัด</v>
      </c>
      <c r="M1224" s="1" t="s">
        <v>24</v>
      </c>
      <c r="O1224" s="2" t="n">
        <v>140</v>
      </c>
    </row>
    <row r="1225" customFormat="false" ht="16.4" hidden="false" customHeight="false" outlineLevel="0" collapsed="false">
      <c r="A1225" s="0" t="s">
        <v>15</v>
      </c>
      <c r="B1225" s="0" t="s">
        <v>3917</v>
      </c>
      <c r="C1225" s="0" t="n">
        <v>114001</v>
      </c>
      <c r="D1225" s="0" t="n">
        <v>114001</v>
      </c>
      <c r="E1225" s="0" t="s">
        <v>1653</v>
      </c>
      <c r="F1225" s="0" t="s">
        <v>18</v>
      </c>
      <c r="G1225" s="0" t="s">
        <v>3918</v>
      </c>
      <c r="H1225" s="0" t="s">
        <v>3919</v>
      </c>
      <c r="I1225" s="0" t="s">
        <v>21</v>
      </c>
      <c r="J1225" s="0" t="s">
        <v>22</v>
      </c>
      <c r="K1225" s="0" t="s">
        <v>89</v>
      </c>
      <c r="L1225" s="0" t="str">
        <f aca="false">IFERROR(VLOOKUP(K1225,'Supplier list'!B:C,2,0),"")</f>
        <v>บริษัท เฮเฟเล่ (ประเทศไทย) จำกัด</v>
      </c>
      <c r="M1225" s="1" t="s">
        <v>24</v>
      </c>
      <c r="O1225" s="2" t="n">
        <v>2300</v>
      </c>
    </row>
    <row r="1226" customFormat="false" ht="16.4" hidden="false" customHeight="false" outlineLevel="0" collapsed="false">
      <c r="A1226" s="0" t="s">
        <v>15</v>
      </c>
      <c r="B1226" s="0" t="s">
        <v>3920</v>
      </c>
      <c r="C1226" s="0" t="n">
        <v>114001</v>
      </c>
      <c r="D1226" s="0" t="n">
        <v>114001</v>
      </c>
      <c r="E1226" s="0" t="s">
        <v>298</v>
      </c>
      <c r="F1226" s="0" t="s">
        <v>18</v>
      </c>
      <c r="G1226" s="0" t="s">
        <v>3921</v>
      </c>
      <c r="H1226" s="0" t="s">
        <v>3922</v>
      </c>
      <c r="I1226" s="0" t="s">
        <v>301</v>
      </c>
      <c r="J1226" s="0" t="s">
        <v>302</v>
      </c>
      <c r="L1226" s="0" t="str">
        <f aca="false">IFERROR(VLOOKUP(K1226,'Supplier list'!B:C,2,0),"")</f>
        <v/>
      </c>
      <c r="M1226" s="1" t="s">
        <v>24</v>
      </c>
      <c r="O1226" s="2" t="n">
        <v>0</v>
      </c>
    </row>
    <row r="1227" customFormat="false" ht="16.4" hidden="false" customHeight="false" outlineLevel="0" collapsed="false">
      <c r="A1227" s="0" t="s">
        <v>15</v>
      </c>
      <c r="B1227" s="0" t="s">
        <v>3923</v>
      </c>
      <c r="C1227" s="0" t="n">
        <v>114001</v>
      </c>
      <c r="D1227" s="0" t="n">
        <v>114001</v>
      </c>
      <c r="E1227" s="0" t="s">
        <v>298</v>
      </c>
      <c r="F1227" s="0" t="s">
        <v>18</v>
      </c>
      <c r="G1227" s="0" t="s">
        <v>3924</v>
      </c>
      <c r="H1227" s="0" t="s">
        <v>3925</v>
      </c>
      <c r="I1227" s="0" t="s">
        <v>301</v>
      </c>
      <c r="J1227" s="0" t="s">
        <v>302</v>
      </c>
      <c r="L1227" s="0" t="str">
        <f aca="false">IFERROR(VLOOKUP(K1227,'Supplier list'!B:C,2,0),"")</f>
        <v/>
      </c>
      <c r="M1227" s="1" t="s">
        <v>24</v>
      </c>
      <c r="O1227" s="2" t="n">
        <v>0</v>
      </c>
    </row>
    <row r="1228" customFormat="false" ht="16.4" hidden="false" customHeight="false" outlineLevel="0" collapsed="false">
      <c r="A1228" s="0" t="s">
        <v>15</v>
      </c>
      <c r="B1228" s="0" t="s">
        <v>3926</v>
      </c>
      <c r="C1228" s="0" t="n">
        <v>114001</v>
      </c>
      <c r="D1228" s="0" t="n">
        <v>114001</v>
      </c>
      <c r="E1228" s="0" t="s">
        <v>298</v>
      </c>
      <c r="F1228" s="0" t="s">
        <v>18</v>
      </c>
      <c r="G1228" s="0" t="s">
        <v>3927</v>
      </c>
      <c r="H1228" s="0" t="s">
        <v>3928</v>
      </c>
      <c r="I1228" s="0" t="s">
        <v>301</v>
      </c>
      <c r="J1228" s="0" t="s">
        <v>302</v>
      </c>
      <c r="L1228" s="0" t="str">
        <f aca="false">IFERROR(VLOOKUP(K1228,'Supplier list'!B:C,2,0),"")</f>
        <v/>
      </c>
      <c r="M1228" s="1" t="s">
        <v>24</v>
      </c>
      <c r="O1228" s="2" t="n">
        <v>0</v>
      </c>
    </row>
    <row r="1229" customFormat="false" ht="16.4" hidden="false" customHeight="false" outlineLevel="0" collapsed="false">
      <c r="A1229" s="0" t="s">
        <v>15</v>
      </c>
      <c r="B1229" s="0" t="s">
        <v>3929</v>
      </c>
      <c r="C1229" s="0" t="n">
        <v>114001</v>
      </c>
      <c r="D1229" s="0" t="n">
        <v>114001</v>
      </c>
      <c r="E1229" s="0" t="s">
        <v>298</v>
      </c>
      <c r="F1229" s="0" t="s">
        <v>18</v>
      </c>
      <c r="G1229" s="0" t="s">
        <v>3930</v>
      </c>
      <c r="H1229" s="0" t="s">
        <v>3931</v>
      </c>
      <c r="I1229" s="0" t="s">
        <v>301</v>
      </c>
      <c r="J1229" s="0" t="s">
        <v>302</v>
      </c>
      <c r="L1229" s="0" t="str">
        <f aca="false">IFERROR(VLOOKUP(K1229,'Supplier list'!B:C,2,0),"")</f>
        <v/>
      </c>
      <c r="M1229" s="1" t="s">
        <v>24</v>
      </c>
      <c r="O1229" s="2" t="n">
        <v>0</v>
      </c>
    </row>
    <row r="1230" customFormat="false" ht="16.4" hidden="false" customHeight="false" outlineLevel="0" collapsed="false">
      <c r="A1230" s="0" t="s">
        <v>15</v>
      </c>
      <c r="B1230" s="0" t="s">
        <v>3932</v>
      </c>
      <c r="C1230" s="0" t="n">
        <v>114001</v>
      </c>
      <c r="D1230" s="0" t="n">
        <v>114001</v>
      </c>
      <c r="E1230" s="0" t="s">
        <v>298</v>
      </c>
      <c r="F1230" s="0" t="s">
        <v>18</v>
      </c>
      <c r="G1230" s="0" t="s">
        <v>3933</v>
      </c>
      <c r="H1230" s="0" t="s">
        <v>3934</v>
      </c>
      <c r="I1230" s="0" t="s">
        <v>301</v>
      </c>
      <c r="J1230" s="0" t="s">
        <v>302</v>
      </c>
      <c r="L1230" s="0" t="str">
        <f aca="false">IFERROR(VLOOKUP(K1230,'Supplier list'!B:C,2,0),"")</f>
        <v/>
      </c>
      <c r="M1230" s="1" t="s">
        <v>24</v>
      </c>
      <c r="O1230" s="2" t="n">
        <v>0</v>
      </c>
    </row>
    <row r="1231" customFormat="false" ht="16.4" hidden="false" customHeight="false" outlineLevel="0" collapsed="false">
      <c r="A1231" s="0" t="s">
        <v>15</v>
      </c>
      <c r="B1231" s="0" t="s">
        <v>3935</v>
      </c>
      <c r="C1231" s="0" t="n">
        <v>114001</v>
      </c>
      <c r="D1231" s="0" t="n">
        <v>114001</v>
      </c>
      <c r="E1231" s="0" t="s">
        <v>1653</v>
      </c>
      <c r="F1231" s="0" t="s">
        <v>18</v>
      </c>
      <c r="G1231" s="0" t="s">
        <v>3936</v>
      </c>
      <c r="H1231" s="0" t="s">
        <v>3937</v>
      </c>
      <c r="I1231" s="0" t="s">
        <v>124</v>
      </c>
      <c r="J1231" s="0" t="s">
        <v>125</v>
      </c>
      <c r="K1231" s="0" t="s">
        <v>89</v>
      </c>
      <c r="L1231" s="0" t="str">
        <f aca="false">IFERROR(VLOOKUP(K1231,'Supplier list'!B:C,2,0),"")</f>
        <v>บริษัท เฮเฟเล่ (ประเทศไทย) จำกัด</v>
      </c>
      <c r="M1231" s="1" t="s">
        <v>1740</v>
      </c>
      <c r="N1231" s="2" t="n">
        <v>23900</v>
      </c>
      <c r="O1231" s="2" t="n">
        <v>13000</v>
      </c>
    </row>
    <row r="1232" customFormat="false" ht="13.8" hidden="false" customHeight="false" outlineLevel="0" collapsed="false">
      <c r="A1232" s="0" t="s">
        <v>15</v>
      </c>
      <c r="B1232" s="0" t="s">
        <v>3938</v>
      </c>
      <c r="C1232" s="0" t="n">
        <v>114001</v>
      </c>
      <c r="D1232" s="0" t="n">
        <v>114001</v>
      </c>
      <c r="E1232" s="0" t="s">
        <v>3939</v>
      </c>
      <c r="F1232" s="0" t="s">
        <v>18</v>
      </c>
      <c r="G1232" s="0" t="s">
        <v>3940</v>
      </c>
      <c r="H1232" s="0" t="s">
        <v>3940</v>
      </c>
      <c r="I1232" s="0" t="s">
        <v>904</v>
      </c>
      <c r="J1232" s="0" t="s">
        <v>905</v>
      </c>
      <c r="K1232" s="0" t="s">
        <v>3941</v>
      </c>
      <c r="L1232" s="0" t="str">
        <f aca="false">IFERROR(VLOOKUP(K1232,'Supplier list'!B:C,2,0),"")</f>
        <v/>
      </c>
      <c r="M1232" s="1" t="s">
        <v>24</v>
      </c>
      <c r="O1232" s="2" t="n">
        <v>8071.92</v>
      </c>
    </row>
    <row r="1233" customFormat="false" ht="16.4" hidden="false" customHeight="false" outlineLevel="0" collapsed="false">
      <c r="A1233" s="0" t="s">
        <v>15</v>
      </c>
      <c r="B1233" s="0" t="s">
        <v>3942</v>
      </c>
      <c r="C1233" s="0" t="n">
        <v>114001</v>
      </c>
      <c r="D1233" s="0" t="n">
        <v>114001</v>
      </c>
      <c r="E1233" s="0" t="s">
        <v>1653</v>
      </c>
      <c r="F1233" s="0" t="s">
        <v>18</v>
      </c>
      <c r="G1233" s="0" t="s">
        <v>3943</v>
      </c>
      <c r="H1233" s="0" t="s">
        <v>3937</v>
      </c>
      <c r="I1233" s="0" t="s">
        <v>124</v>
      </c>
      <c r="J1233" s="0" t="s">
        <v>125</v>
      </c>
      <c r="K1233" s="0" t="s">
        <v>89</v>
      </c>
      <c r="L1233" s="0" t="str">
        <f aca="false">IFERROR(VLOOKUP(K1233,'Supplier list'!B:C,2,0),"")</f>
        <v>บริษัท เฮเฟเล่ (ประเทศไทย) จำกัด</v>
      </c>
      <c r="M1233" s="1" t="s">
        <v>24</v>
      </c>
      <c r="O1233" s="2" t="n">
        <v>11700</v>
      </c>
    </row>
    <row r="1234" customFormat="false" ht="13.8" hidden="false" customHeight="false" outlineLevel="0" collapsed="false">
      <c r="A1234" s="0" t="s">
        <v>15</v>
      </c>
      <c r="B1234" s="0" t="s">
        <v>3944</v>
      </c>
      <c r="C1234" s="0" t="n">
        <v>114001</v>
      </c>
      <c r="D1234" s="0" t="n">
        <v>114001</v>
      </c>
      <c r="E1234" s="0" t="s">
        <v>3939</v>
      </c>
      <c r="F1234" s="0" t="s">
        <v>18</v>
      </c>
      <c r="G1234" s="0" t="s">
        <v>3945</v>
      </c>
      <c r="H1234" s="0" t="s">
        <v>3945</v>
      </c>
      <c r="I1234" s="0" t="s">
        <v>904</v>
      </c>
      <c r="J1234" s="0" t="s">
        <v>905</v>
      </c>
      <c r="K1234" s="0" t="s">
        <v>3941</v>
      </c>
      <c r="L1234" s="0" t="str">
        <f aca="false">IFERROR(VLOOKUP(K1234,'Supplier list'!B:C,2,0),"")</f>
        <v/>
      </c>
      <c r="M1234" s="1" t="s">
        <v>24</v>
      </c>
      <c r="O1234" s="2" t="n">
        <v>8071.92</v>
      </c>
    </row>
    <row r="1235" customFormat="false" ht="13.8" hidden="false" customHeight="false" outlineLevel="0" collapsed="false">
      <c r="A1235" s="0" t="s">
        <v>15</v>
      </c>
      <c r="B1235" s="0" t="s">
        <v>3946</v>
      </c>
      <c r="C1235" s="0" t="n">
        <v>114001</v>
      </c>
      <c r="D1235" s="0" t="n">
        <v>114001</v>
      </c>
      <c r="E1235" s="0" t="s">
        <v>3939</v>
      </c>
      <c r="F1235" s="0" t="s">
        <v>18</v>
      </c>
      <c r="G1235" s="0" t="s">
        <v>3947</v>
      </c>
      <c r="H1235" s="0" t="s">
        <v>3947</v>
      </c>
      <c r="I1235" s="0" t="s">
        <v>904</v>
      </c>
      <c r="J1235" s="0" t="s">
        <v>905</v>
      </c>
      <c r="K1235" s="0" t="s">
        <v>3941</v>
      </c>
      <c r="L1235" s="0" t="str">
        <f aca="false">IFERROR(VLOOKUP(K1235,'Supplier list'!B:C,2,0),"")</f>
        <v/>
      </c>
      <c r="M1235" s="1" t="s">
        <v>24</v>
      </c>
      <c r="O1235" s="2" t="n">
        <v>8071.92</v>
      </c>
    </row>
    <row r="1236" customFormat="false" ht="13.8" hidden="false" customHeight="false" outlineLevel="0" collapsed="false">
      <c r="A1236" s="0" t="s">
        <v>15</v>
      </c>
      <c r="B1236" s="0" t="s">
        <v>3948</v>
      </c>
      <c r="C1236" s="0" t="n">
        <v>114001</v>
      </c>
      <c r="D1236" s="0" t="n">
        <v>114001</v>
      </c>
      <c r="E1236" s="0" t="s">
        <v>3939</v>
      </c>
      <c r="F1236" s="0" t="s">
        <v>18</v>
      </c>
      <c r="G1236" s="0" t="s">
        <v>3949</v>
      </c>
      <c r="H1236" s="0" t="s">
        <v>3949</v>
      </c>
      <c r="I1236" s="0" t="s">
        <v>904</v>
      </c>
      <c r="J1236" s="0" t="s">
        <v>905</v>
      </c>
      <c r="K1236" s="0" t="s">
        <v>3941</v>
      </c>
      <c r="L1236" s="0" t="str">
        <f aca="false">IFERROR(VLOOKUP(K1236,'Supplier list'!B:C,2,0),"")</f>
        <v/>
      </c>
      <c r="M1236" s="1" t="s">
        <v>24</v>
      </c>
      <c r="O1236" s="2" t="n">
        <v>8071.92</v>
      </c>
    </row>
    <row r="1237" customFormat="false" ht="13.8" hidden="false" customHeight="false" outlineLevel="0" collapsed="false">
      <c r="A1237" s="0" t="s">
        <v>15</v>
      </c>
      <c r="B1237" s="0" t="s">
        <v>3950</v>
      </c>
      <c r="C1237" s="0" t="n">
        <v>114001</v>
      </c>
      <c r="D1237" s="0" t="n">
        <v>114001</v>
      </c>
      <c r="E1237" s="0" t="s">
        <v>3939</v>
      </c>
      <c r="F1237" s="0" t="s">
        <v>18</v>
      </c>
      <c r="G1237" s="0" t="s">
        <v>3951</v>
      </c>
      <c r="H1237" s="0" t="s">
        <v>3951</v>
      </c>
      <c r="I1237" s="0" t="s">
        <v>904</v>
      </c>
      <c r="J1237" s="0" t="s">
        <v>905</v>
      </c>
      <c r="K1237" s="0" t="s">
        <v>3941</v>
      </c>
      <c r="L1237" s="0" t="str">
        <f aca="false">IFERROR(VLOOKUP(K1237,'Supplier list'!B:C,2,0),"")</f>
        <v/>
      </c>
      <c r="M1237" s="1" t="s">
        <v>24</v>
      </c>
      <c r="O1237" s="2" t="n">
        <v>8071.92</v>
      </c>
    </row>
    <row r="1238" customFormat="false" ht="13.8" hidden="false" customHeight="false" outlineLevel="0" collapsed="false">
      <c r="A1238" s="0" t="s">
        <v>15</v>
      </c>
      <c r="B1238" s="0" t="s">
        <v>3952</v>
      </c>
      <c r="C1238" s="0" t="n">
        <v>114001</v>
      </c>
      <c r="D1238" s="0" t="n">
        <v>114001</v>
      </c>
      <c r="E1238" s="0" t="s">
        <v>3939</v>
      </c>
      <c r="F1238" s="0" t="s">
        <v>18</v>
      </c>
      <c r="G1238" s="0" t="s">
        <v>3953</v>
      </c>
      <c r="H1238" s="0" t="s">
        <v>3953</v>
      </c>
      <c r="I1238" s="0" t="s">
        <v>904</v>
      </c>
      <c r="J1238" s="0" t="s">
        <v>905</v>
      </c>
      <c r="K1238" s="0" t="s">
        <v>3941</v>
      </c>
      <c r="L1238" s="0" t="str">
        <f aca="false">IFERROR(VLOOKUP(K1238,'Supplier list'!B:C,2,0),"")</f>
        <v/>
      </c>
      <c r="M1238" s="1" t="s">
        <v>24</v>
      </c>
      <c r="O1238" s="2" t="n">
        <v>8071.92</v>
      </c>
    </row>
    <row r="1239" customFormat="false" ht="13.8" hidden="false" customHeight="false" outlineLevel="0" collapsed="false">
      <c r="A1239" s="0" t="s">
        <v>15</v>
      </c>
      <c r="B1239" s="0" t="s">
        <v>3954</v>
      </c>
      <c r="C1239" s="0" t="n">
        <v>114001</v>
      </c>
      <c r="D1239" s="0" t="n">
        <v>114001</v>
      </c>
      <c r="E1239" s="0" t="s">
        <v>3939</v>
      </c>
      <c r="F1239" s="0" t="s">
        <v>18</v>
      </c>
      <c r="G1239" s="0" t="s">
        <v>3955</v>
      </c>
      <c r="H1239" s="0" t="s">
        <v>3955</v>
      </c>
      <c r="I1239" s="0" t="s">
        <v>904</v>
      </c>
      <c r="J1239" s="0" t="s">
        <v>905</v>
      </c>
      <c r="K1239" s="0" t="s">
        <v>3941</v>
      </c>
      <c r="L1239" s="0" t="str">
        <f aca="false">IFERROR(VLOOKUP(K1239,'Supplier list'!B:C,2,0),"")</f>
        <v/>
      </c>
      <c r="M1239" s="1" t="s">
        <v>24</v>
      </c>
      <c r="O1239" s="2" t="n">
        <v>8071.92</v>
      </c>
    </row>
    <row r="1240" customFormat="false" ht="13.8" hidden="false" customHeight="false" outlineLevel="0" collapsed="false">
      <c r="A1240" s="0" t="s">
        <v>15</v>
      </c>
      <c r="B1240" s="0" t="s">
        <v>3956</v>
      </c>
      <c r="C1240" s="0" t="n">
        <v>114001</v>
      </c>
      <c r="D1240" s="0" t="n">
        <v>114001</v>
      </c>
      <c r="E1240" s="0" t="s">
        <v>3939</v>
      </c>
      <c r="F1240" s="0" t="s">
        <v>18</v>
      </c>
      <c r="G1240" s="0" t="s">
        <v>3957</v>
      </c>
      <c r="H1240" s="0" t="s">
        <v>3957</v>
      </c>
      <c r="I1240" s="0" t="s">
        <v>904</v>
      </c>
      <c r="J1240" s="0" t="s">
        <v>905</v>
      </c>
      <c r="K1240" s="0" t="s">
        <v>3941</v>
      </c>
      <c r="L1240" s="0" t="str">
        <f aca="false">IFERROR(VLOOKUP(K1240,'Supplier list'!B:C,2,0),"")</f>
        <v/>
      </c>
      <c r="M1240" s="1" t="s">
        <v>24</v>
      </c>
      <c r="O1240" s="2" t="n">
        <v>8071.92</v>
      </c>
    </row>
    <row r="1241" customFormat="false" ht="16.4" hidden="false" customHeight="false" outlineLevel="0" collapsed="false">
      <c r="A1241" s="0" t="s">
        <v>15</v>
      </c>
      <c r="B1241" s="0" t="s">
        <v>3958</v>
      </c>
      <c r="C1241" s="0" t="n">
        <v>114001</v>
      </c>
      <c r="D1241" s="0" t="n">
        <v>114001</v>
      </c>
      <c r="E1241" s="0" t="s">
        <v>2596</v>
      </c>
      <c r="F1241" s="0" t="s">
        <v>18</v>
      </c>
      <c r="G1241" s="0" t="s">
        <v>3959</v>
      </c>
      <c r="H1241" s="0" t="s">
        <v>3960</v>
      </c>
      <c r="I1241" s="0" t="s">
        <v>21</v>
      </c>
      <c r="J1241" s="0" t="s">
        <v>22</v>
      </c>
      <c r="K1241" s="0" t="s">
        <v>89</v>
      </c>
      <c r="L1241" s="0" t="str">
        <f aca="false">IFERROR(VLOOKUP(K1241,'Supplier list'!B:C,2,0),"")</f>
        <v>บริษัท เฮเฟเล่ (ประเทศไทย) จำกัด</v>
      </c>
      <c r="M1241" s="1" t="s">
        <v>24</v>
      </c>
      <c r="O1241" s="2" t="n">
        <v>468</v>
      </c>
    </row>
    <row r="1242" customFormat="false" ht="16.4" hidden="false" customHeight="false" outlineLevel="0" collapsed="false">
      <c r="A1242" s="0" t="s">
        <v>15</v>
      </c>
      <c r="B1242" s="0" t="s">
        <v>3961</v>
      </c>
      <c r="C1242" s="0" t="n">
        <v>114001</v>
      </c>
      <c r="D1242" s="0" t="n">
        <v>114001</v>
      </c>
      <c r="E1242" s="0" t="s">
        <v>1815</v>
      </c>
      <c r="F1242" s="0" t="s">
        <v>18</v>
      </c>
      <c r="G1242" s="0" t="s">
        <v>3962</v>
      </c>
      <c r="H1242" s="0" t="s">
        <v>3963</v>
      </c>
      <c r="I1242" s="0" t="s">
        <v>124</v>
      </c>
      <c r="J1242" s="0" t="s">
        <v>125</v>
      </c>
      <c r="K1242" s="0" t="s">
        <v>2065</v>
      </c>
      <c r="L1242" s="0" t="str">
        <f aca="false">IFERROR(VLOOKUP(K1242,'Supplier list'!B:C,2,0),"")</f>
        <v>บริษัท บลู อินเตอร์เนชั่นแนล จำกัด</v>
      </c>
      <c r="M1242" s="1" t="s">
        <v>24</v>
      </c>
      <c r="O1242" s="2" t="n">
        <v>1980</v>
      </c>
    </row>
    <row r="1243" customFormat="false" ht="16.4" hidden="false" customHeight="false" outlineLevel="0" collapsed="false">
      <c r="A1243" s="0" t="s">
        <v>15</v>
      </c>
      <c r="B1243" s="0" t="s">
        <v>3964</v>
      </c>
      <c r="C1243" s="0" t="n">
        <v>114001</v>
      </c>
      <c r="D1243" s="0" t="n">
        <v>114001</v>
      </c>
      <c r="E1243" s="0" t="s">
        <v>1764</v>
      </c>
      <c r="F1243" s="0" t="s">
        <v>18</v>
      </c>
      <c r="G1243" s="0" t="s">
        <v>3965</v>
      </c>
      <c r="H1243" s="0" t="s">
        <v>3966</v>
      </c>
      <c r="I1243" s="0" t="s">
        <v>21</v>
      </c>
      <c r="J1243" s="0" t="s">
        <v>22</v>
      </c>
      <c r="K1243" s="0" t="s">
        <v>787</v>
      </c>
      <c r="L1243" s="0" t="str">
        <f aca="false">IFERROR(VLOOKUP(K1243,'Supplier list'!B:C,2,0),"")</f>
        <v>บริษัท ฟิวเจอร์เทค อินเตอร์มาร์เก็ตติ้ง จำกัด</v>
      </c>
      <c r="M1243" s="1" t="s">
        <v>24</v>
      </c>
      <c r="O1243" s="2" t="n">
        <v>63</v>
      </c>
    </row>
    <row r="1244" customFormat="false" ht="16.4" hidden="false" customHeight="false" outlineLevel="0" collapsed="false">
      <c r="A1244" s="0" t="s">
        <v>15</v>
      </c>
      <c r="B1244" s="0" t="s">
        <v>3967</v>
      </c>
      <c r="C1244" s="0" t="n">
        <v>114001</v>
      </c>
      <c r="D1244" s="0" t="n">
        <v>114001</v>
      </c>
      <c r="E1244" s="0" t="s">
        <v>1764</v>
      </c>
      <c r="F1244" s="0" t="s">
        <v>18</v>
      </c>
      <c r="G1244" s="0" t="s">
        <v>3968</v>
      </c>
      <c r="H1244" s="0" t="s">
        <v>3969</v>
      </c>
      <c r="I1244" s="0" t="s">
        <v>21</v>
      </c>
      <c r="J1244" s="0" t="s">
        <v>22</v>
      </c>
      <c r="K1244" s="0" t="s">
        <v>787</v>
      </c>
      <c r="L1244" s="0" t="str">
        <f aca="false">IFERROR(VLOOKUP(K1244,'Supplier list'!B:C,2,0),"")</f>
        <v>บริษัท ฟิวเจอร์เทค อินเตอร์มาร์เก็ตติ้ง จำกัด</v>
      </c>
      <c r="M1244" s="1" t="s">
        <v>24</v>
      </c>
      <c r="O1244" s="2" t="n">
        <v>49</v>
      </c>
    </row>
    <row r="1245" customFormat="false" ht="16.4" hidden="false" customHeight="false" outlineLevel="0" collapsed="false">
      <c r="A1245" s="0" t="s">
        <v>15</v>
      </c>
      <c r="B1245" s="0" t="s">
        <v>3970</v>
      </c>
      <c r="C1245" s="0" t="n">
        <v>114001</v>
      </c>
      <c r="D1245" s="0" t="n">
        <v>114001</v>
      </c>
      <c r="E1245" s="0" t="s">
        <v>1815</v>
      </c>
      <c r="F1245" s="0" t="s">
        <v>18</v>
      </c>
      <c r="G1245" s="0" t="s">
        <v>3971</v>
      </c>
      <c r="H1245" s="0" t="s">
        <v>3972</v>
      </c>
      <c r="I1245" s="0" t="s">
        <v>168</v>
      </c>
      <c r="J1245" s="0" t="s">
        <v>169</v>
      </c>
      <c r="K1245" s="0" t="s">
        <v>787</v>
      </c>
      <c r="L1245" s="0" t="str">
        <f aca="false">IFERROR(VLOOKUP(K1245,'Supplier list'!B:C,2,0),"")</f>
        <v>บริษัท ฟิวเจอร์เทค อินเตอร์มาร์เก็ตติ้ง จำกัด</v>
      </c>
      <c r="M1245" s="1" t="s">
        <v>24</v>
      </c>
      <c r="O1245" s="2" t="n">
        <v>595</v>
      </c>
    </row>
    <row r="1246" customFormat="false" ht="16.4" hidden="false" customHeight="false" outlineLevel="0" collapsed="false">
      <c r="A1246" s="0" t="s">
        <v>15</v>
      </c>
      <c r="B1246" s="0" t="s">
        <v>3973</v>
      </c>
      <c r="C1246" s="0" t="n">
        <v>114001</v>
      </c>
      <c r="D1246" s="0" t="n">
        <v>114001</v>
      </c>
      <c r="E1246" s="0" t="s">
        <v>1815</v>
      </c>
      <c r="F1246" s="0" t="s">
        <v>18</v>
      </c>
      <c r="G1246" s="0" t="s">
        <v>3974</v>
      </c>
      <c r="H1246" s="0" t="s">
        <v>3975</v>
      </c>
      <c r="I1246" s="0" t="s">
        <v>168</v>
      </c>
      <c r="J1246" s="0" t="s">
        <v>169</v>
      </c>
      <c r="K1246" s="0" t="s">
        <v>787</v>
      </c>
      <c r="L1246" s="0" t="str">
        <f aca="false">IFERROR(VLOOKUP(K1246,'Supplier list'!B:C,2,0),"")</f>
        <v>บริษัท ฟิวเจอร์เทค อินเตอร์มาร์เก็ตติ้ง จำกัด</v>
      </c>
      <c r="M1246" s="1" t="s">
        <v>24</v>
      </c>
      <c r="O1246" s="2" t="n">
        <v>460</v>
      </c>
    </row>
    <row r="1247" customFormat="false" ht="16.4" hidden="false" customHeight="false" outlineLevel="0" collapsed="false">
      <c r="A1247" s="0" t="s">
        <v>15</v>
      </c>
      <c r="B1247" s="0" t="s">
        <v>3976</v>
      </c>
      <c r="C1247" s="0" t="n">
        <v>114001</v>
      </c>
      <c r="D1247" s="0" t="n">
        <v>114001</v>
      </c>
      <c r="E1247" s="0" t="s">
        <v>1815</v>
      </c>
      <c r="F1247" s="0" t="s">
        <v>18</v>
      </c>
      <c r="G1247" s="0" t="s">
        <v>3977</v>
      </c>
      <c r="H1247" s="0" t="s">
        <v>3978</v>
      </c>
      <c r="I1247" s="0" t="s">
        <v>517</v>
      </c>
      <c r="J1247" s="0" t="s">
        <v>518</v>
      </c>
      <c r="K1247" s="0" t="s">
        <v>89</v>
      </c>
      <c r="L1247" s="0" t="str">
        <f aca="false">IFERROR(VLOOKUP(K1247,'Supplier list'!B:C,2,0),"")</f>
        <v>บริษัท เฮเฟเล่ (ประเทศไทย) จำกัด</v>
      </c>
      <c r="M1247" s="1" t="s">
        <v>1740</v>
      </c>
      <c r="N1247" s="2" t="n">
        <v>2100</v>
      </c>
      <c r="O1247" s="2" t="n">
        <v>804</v>
      </c>
    </row>
    <row r="1248" customFormat="false" ht="16.4" hidden="false" customHeight="false" outlineLevel="0" collapsed="false">
      <c r="A1248" s="0" t="s">
        <v>15</v>
      </c>
      <c r="B1248" s="0" t="s">
        <v>3979</v>
      </c>
      <c r="C1248" s="0" t="n">
        <v>114001</v>
      </c>
      <c r="D1248" s="0" t="n">
        <v>114001</v>
      </c>
      <c r="E1248" s="0" t="s">
        <v>1815</v>
      </c>
      <c r="F1248" s="0" t="s">
        <v>18</v>
      </c>
      <c r="G1248" s="0" t="s">
        <v>3980</v>
      </c>
      <c r="H1248" s="0" t="s">
        <v>3981</v>
      </c>
      <c r="I1248" s="0" t="s">
        <v>517</v>
      </c>
      <c r="J1248" s="0" t="s">
        <v>518</v>
      </c>
      <c r="K1248" s="0" t="s">
        <v>89</v>
      </c>
      <c r="L1248" s="0" t="str">
        <f aca="false">IFERROR(VLOOKUP(K1248,'Supplier list'!B:C,2,0),"")</f>
        <v>บริษัท เฮเฟเล่ (ประเทศไทย) จำกัด</v>
      </c>
      <c r="M1248" s="1" t="s">
        <v>1740</v>
      </c>
      <c r="N1248" s="2" t="n">
        <v>1300</v>
      </c>
      <c r="O1248" s="2" t="n">
        <v>402</v>
      </c>
    </row>
    <row r="1249" customFormat="false" ht="16.4" hidden="false" customHeight="false" outlineLevel="0" collapsed="false">
      <c r="A1249" s="0" t="s">
        <v>15</v>
      </c>
      <c r="B1249" s="0" t="s">
        <v>3982</v>
      </c>
      <c r="C1249" s="0" t="n">
        <v>114001</v>
      </c>
      <c r="D1249" s="0" t="n">
        <v>114001</v>
      </c>
      <c r="E1249" s="0" t="s">
        <v>1764</v>
      </c>
      <c r="F1249" s="0" t="s">
        <v>18</v>
      </c>
      <c r="G1249" s="0" t="s">
        <v>3983</v>
      </c>
      <c r="H1249" s="0" t="s">
        <v>3984</v>
      </c>
      <c r="I1249" s="0" t="s">
        <v>21</v>
      </c>
      <c r="J1249" s="0" t="s">
        <v>22</v>
      </c>
      <c r="K1249" s="0" t="s">
        <v>787</v>
      </c>
      <c r="L1249" s="0" t="str">
        <f aca="false">IFERROR(VLOOKUP(K1249,'Supplier list'!B:C,2,0),"")</f>
        <v>บริษัท ฟิวเจอร์เทค อินเตอร์มาร์เก็ตติ้ง จำกัด</v>
      </c>
      <c r="M1249" s="1" t="s">
        <v>1740</v>
      </c>
      <c r="N1249" s="2" t="n">
        <v>190</v>
      </c>
      <c r="O1249" s="2" t="n">
        <v>48.75</v>
      </c>
    </row>
    <row r="1250" customFormat="false" ht="16.4" hidden="false" customHeight="false" outlineLevel="0" collapsed="false">
      <c r="A1250" s="0" t="s">
        <v>15</v>
      </c>
      <c r="B1250" s="0" t="s">
        <v>3985</v>
      </c>
      <c r="C1250" s="0" t="n">
        <v>114001</v>
      </c>
      <c r="D1250" s="0" t="n">
        <v>114001</v>
      </c>
      <c r="E1250" s="0" t="s">
        <v>1764</v>
      </c>
      <c r="F1250" s="0" t="s">
        <v>18</v>
      </c>
      <c r="G1250" s="0" t="s">
        <v>3986</v>
      </c>
      <c r="H1250" s="0" t="s">
        <v>3987</v>
      </c>
      <c r="I1250" s="0" t="s">
        <v>21</v>
      </c>
      <c r="J1250" s="0" t="s">
        <v>22</v>
      </c>
      <c r="K1250" s="0" t="s">
        <v>787</v>
      </c>
      <c r="L1250" s="0" t="str">
        <f aca="false">IFERROR(VLOOKUP(K1250,'Supplier list'!B:C,2,0),"")</f>
        <v>บริษัท ฟิวเจอร์เทค อินเตอร์มาร์เก็ตติ้ง จำกัด</v>
      </c>
      <c r="M1250" s="1" t="s">
        <v>1740</v>
      </c>
      <c r="N1250" s="2" t="n">
        <v>300</v>
      </c>
      <c r="O1250" s="2" t="n">
        <v>130</v>
      </c>
    </row>
    <row r="1251" customFormat="false" ht="16.4" hidden="false" customHeight="false" outlineLevel="0" collapsed="false">
      <c r="A1251" s="0" t="s">
        <v>15</v>
      </c>
      <c r="B1251" s="0" t="s">
        <v>3988</v>
      </c>
      <c r="C1251" s="0" t="n">
        <v>114001</v>
      </c>
      <c r="D1251" s="0" t="n">
        <v>114001</v>
      </c>
      <c r="E1251" s="0" t="s">
        <v>874</v>
      </c>
      <c r="F1251" s="0" t="s">
        <v>18</v>
      </c>
      <c r="G1251" s="0" t="s">
        <v>3989</v>
      </c>
      <c r="H1251" s="0" t="s">
        <v>3990</v>
      </c>
      <c r="I1251" s="0" t="s">
        <v>21</v>
      </c>
      <c r="J1251" s="0" t="s">
        <v>22</v>
      </c>
      <c r="K1251" s="0" t="s">
        <v>89</v>
      </c>
      <c r="L1251" s="0" t="str">
        <f aca="false">IFERROR(VLOOKUP(K1251,'Supplier list'!B:C,2,0),"")</f>
        <v>บริษัท เฮเฟเล่ (ประเทศไทย) จำกัด</v>
      </c>
      <c r="M1251" s="1" t="s">
        <v>24</v>
      </c>
      <c r="O1251" s="2" t="n">
        <v>635.5</v>
      </c>
    </row>
    <row r="1252" customFormat="false" ht="16.4" hidden="false" customHeight="false" outlineLevel="0" collapsed="false">
      <c r="A1252" s="0" t="s">
        <v>15</v>
      </c>
      <c r="B1252" s="0" t="s">
        <v>3991</v>
      </c>
      <c r="C1252" s="0" t="n">
        <v>114001</v>
      </c>
      <c r="D1252" s="0" t="n">
        <v>114001</v>
      </c>
      <c r="E1252" s="0" t="s">
        <v>961</v>
      </c>
      <c r="F1252" s="0" t="s">
        <v>18</v>
      </c>
      <c r="G1252" s="0" t="s">
        <v>3992</v>
      </c>
      <c r="H1252" s="0" t="s">
        <v>3993</v>
      </c>
      <c r="I1252" s="0" t="s">
        <v>124</v>
      </c>
      <c r="J1252" s="0" t="s">
        <v>125</v>
      </c>
      <c r="K1252" s="0" t="s">
        <v>2065</v>
      </c>
      <c r="L1252" s="0" t="str">
        <f aca="false">IFERROR(VLOOKUP(K1252,'Supplier list'!B:C,2,0),"")</f>
        <v>บริษัท บลู อินเตอร์เนชั่นแนล จำกัด</v>
      </c>
      <c r="M1252" s="1" t="s">
        <v>24</v>
      </c>
      <c r="O1252" s="2" t="n">
        <v>3928</v>
      </c>
    </row>
    <row r="1253" customFormat="false" ht="16.4" hidden="false" customHeight="false" outlineLevel="0" collapsed="false">
      <c r="A1253" s="0" t="s">
        <v>15</v>
      </c>
      <c r="B1253" s="0" t="s">
        <v>3994</v>
      </c>
      <c r="C1253" s="0" t="n">
        <v>114001</v>
      </c>
      <c r="D1253" s="0" t="n">
        <v>114001</v>
      </c>
      <c r="E1253" s="0" t="s">
        <v>961</v>
      </c>
      <c r="F1253" s="0" t="s">
        <v>18</v>
      </c>
      <c r="G1253" s="0" t="s">
        <v>3995</v>
      </c>
      <c r="H1253" s="0" t="s">
        <v>3996</v>
      </c>
      <c r="I1253" s="0" t="s">
        <v>124</v>
      </c>
      <c r="J1253" s="0" t="s">
        <v>125</v>
      </c>
      <c r="K1253" s="0" t="s">
        <v>2065</v>
      </c>
      <c r="L1253" s="0" t="str">
        <f aca="false">IFERROR(VLOOKUP(K1253,'Supplier list'!B:C,2,0),"")</f>
        <v>บริษัท บลู อินเตอร์เนชั่นแนล จำกัด</v>
      </c>
      <c r="M1253" s="1" t="s">
        <v>24</v>
      </c>
      <c r="O1253" s="2" t="n">
        <v>2824</v>
      </c>
    </row>
    <row r="1254" customFormat="false" ht="16.4" hidden="false" customHeight="false" outlineLevel="0" collapsed="false">
      <c r="A1254" s="0" t="s">
        <v>15</v>
      </c>
      <c r="B1254" s="0" t="s">
        <v>3997</v>
      </c>
      <c r="C1254" s="0" t="n">
        <v>114001</v>
      </c>
      <c r="D1254" s="0" t="n">
        <v>114001</v>
      </c>
      <c r="E1254" s="0" t="s">
        <v>961</v>
      </c>
      <c r="F1254" s="0" t="s">
        <v>18</v>
      </c>
      <c r="G1254" s="0" t="s">
        <v>3998</v>
      </c>
      <c r="H1254" s="0" t="s">
        <v>3999</v>
      </c>
      <c r="I1254" s="0" t="s">
        <v>124</v>
      </c>
      <c r="J1254" s="0" t="s">
        <v>125</v>
      </c>
      <c r="K1254" s="0" t="s">
        <v>2065</v>
      </c>
      <c r="L1254" s="0" t="str">
        <f aca="false">IFERROR(VLOOKUP(K1254,'Supplier list'!B:C,2,0),"")</f>
        <v>บริษัท บลู อินเตอร์เนชั่นแนล จำกัด</v>
      </c>
      <c r="M1254" s="1" t="s">
        <v>24</v>
      </c>
      <c r="O1254" s="2" t="n">
        <v>3928</v>
      </c>
    </row>
    <row r="1255" customFormat="false" ht="16.4" hidden="false" customHeight="false" outlineLevel="0" collapsed="false">
      <c r="A1255" s="0" t="s">
        <v>15</v>
      </c>
      <c r="B1255" s="0" t="s">
        <v>4000</v>
      </c>
      <c r="C1255" s="0" t="n">
        <v>114001</v>
      </c>
      <c r="D1255" s="0" t="n">
        <v>114001</v>
      </c>
      <c r="E1255" s="0" t="s">
        <v>961</v>
      </c>
      <c r="F1255" s="0" t="s">
        <v>18</v>
      </c>
      <c r="G1255" s="0" t="s">
        <v>4001</v>
      </c>
      <c r="H1255" s="0" t="s">
        <v>4002</v>
      </c>
      <c r="I1255" s="0" t="s">
        <v>124</v>
      </c>
      <c r="J1255" s="0" t="s">
        <v>125</v>
      </c>
      <c r="K1255" s="0" t="s">
        <v>2065</v>
      </c>
      <c r="L1255" s="0" t="str">
        <f aca="false">IFERROR(VLOOKUP(K1255,'Supplier list'!B:C,2,0),"")</f>
        <v>บริษัท บลู อินเตอร์เนชั่นแนล จำกัด</v>
      </c>
      <c r="M1255" s="1" t="s">
        <v>24</v>
      </c>
      <c r="O1255" s="2" t="n">
        <v>135</v>
      </c>
    </row>
    <row r="1256" customFormat="false" ht="16.4" hidden="false" customHeight="false" outlineLevel="0" collapsed="false">
      <c r="A1256" s="0" t="s">
        <v>15</v>
      </c>
      <c r="B1256" s="0" t="s">
        <v>4003</v>
      </c>
      <c r="C1256" s="0" t="n">
        <v>114001</v>
      </c>
      <c r="D1256" s="0" t="n">
        <v>114001</v>
      </c>
      <c r="E1256" s="0" t="s">
        <v>1815</v>
      </c>
      <c r="F1256" s="0" t="s">
        <v>18</v>
      </c>
      <c r="G1256" s="0" t="s">
        <v>4004</v>
      </c>
      <c r="H1256" s="0" t="s">
        <v>4005</v>
      </c>
      <c r="I1256" s="0" t="s">
        <v>124</v>
      </c>
      <c r="J1256" s="0" t="s">
        <v>125</v>
      </c>
      <c r="K1256" s="0" t="s">
        <v>2065</v>
      </c>
      <c r="L1256" s="0" t="str">
        <f aca="false">IFERROR(VLOOKUP(K1256,'Supplier list'!B:C,2,0),"")</f>
        <v>บริษัท บลู อินเตอร์เนชั่นแนล จำกัด</v>
      </c>
      <c r="M1256" s="1" t="s">
        <v>24</v>
      </c>
      <c r="O1256" s="2" t="n">
        <v>1468</v>
      </c>
    </row>
    <row r="1257" customFormat="false" ht="16.4" hidden="false" customHeight="false" outlineLevel="0" collapsed="false">
      <c r="A1257" s="0" t="s">
        <v>15</v>
      </c>
      <c r="B1257" s="0" t="s">
        <v>4006</v>
      </c>
      <c r="C1257" s="0" t="n">
        <v>114001</v>
      </c>
      <c r="D1257" s="0" t="n">
        <v>114001</v>
      </c>
      <c r="E1257" s="0" t="s">
        <v>1815</v>
      </c>
      <c r="F1257" s="0" t="s">
        <v>18</v>
      </c>
      <c r="G1257" s="0" t="s">
        <v>4007</v>
      </c>
      <c r="H1257" s="0" t="s">
        <v>4008</v>
      </c>
      <c r="I1257" s="0" t="s">
        <v>124</v>
      </c>
      <c r="J1257" s="0" t="s">
        <v>125</v>
      </c>
      <c r="K1257" s="0" t="s">
        <v>2065</v>
      </c>
      <c r="L1257" s="0" t="str">
        <f aca="false">IFERROR(VLOOKUP(K1257,'Supplier list'!B:C,2,0),"")</f>
        <v>บริษัท บลู อินเตอร์เนชั่นแนล จำกัด</v>
      </c>
      <c r="M1257" s="1" t="s">
        <v>24</v>
      </c>
      <c r="O1257" s="2" t="n">
        <v>1468</v>
      </c>
    </row>
    <row r="1258" customFormat="false" ht="16.4" hidden="false" customHeight="false" outlineLevel="0" collapsed="false">
      <c r="A1258" s="0" t="s">
        <v>15</v>
      </c>
      <c r="B1258" s="0" t="s">
        <v>4009</v>
      </c>
      <c r="C1258" s="0" t="n">
        <v>114001</v>
      </c>
      <c r="D1258" s="0" t="n">
        <v>114001</v>
      </c>
      <c r="E1258" s="0" t="s">
        <v>1815</v>
      </c>
      <c r="F1258" s="0" t="s">
        <v>18</v>
      </c>
      <c r="G1258" s="0" t="s">
        <v>4010</v>
      </c>
      <c r="H1258" s="0" t="s">
        <v>4011</v>
      </c>
      <c r="I1258" s="0" t="s">
        <v>124</v>
      </c>
      <c r="J1258" s="0" t="s">
        <v>125</v>
      </c>
      <c r="K1258" s="0" t="s">
        <v>2065</v>
      </c>
      <c r="L1258" s="0" t="str">
        <f aca="false">IFERROR(VLOOKUP(K1258,'Supplier list'!B:C,2,0),"")</f>
        <v>บริษัท บลู อินเตอร์เนชั่นแนล จำกัด</v>
      </c>
      <c r="M1258" s="1" t="s">
        <v>24</v>
      </c>
      <c r="O1258" s="2" t="n">
        <v>1468</v>
      </c>
    </row>
    <row r="1259" customFormat="false" ht="16.4" hidden="false" customHeight="false" outlineLevel="0" collapsed="false">
      <c r="A1259" s="0" t="s">
        <v>15</v>
      </c>
      <c r="B1259" s="0" t="s">
        <v>4012</v>
      </c>
      <c r="C1259" s="0" t="n">
        <v>114001</v>
      </c>
      <c r="D1259" s="0" t="n">
        <v>114001</v>
      </c>
      <c r="E1259" s="0" t="s">
        <v>1815</v>
      </c>
      <c r="F1259" s="0" t="s">
        <v>18</v>
      </c>
      <c r="G1259" s="0" t="s">
        <v>4013</v>
      </c>
      <c r="H1259" s="0" t="s">
        <v>4014</v>
      </c>
      <c r="I1259" s="0" t="s">
        <v>124</v>
      </c>
      <c r="J1259" s="0" t="s">
        <v>125</v>
      </c>
      <c r="K1259" s="0" t="s">
        <v>2065</v>
      </c>
      <c r="L1259" s="0" t="str">
        <f aca="false">IFERROR(VLOOKUP(K1259,'Supplier list'!B:C,2,0),"")</f>
        <v>บริษัท บลู อินเตอร์เนชั่นแนล จำกัด</v>
      </c>
      <c r="M1259" s="1" t="s">
        <v>24</v>
      </c>
      <c r="O1259" s="2" t="n">
        <v>1483</v>
      </c>
    </row>
    <row r="1260" customFormat="false" ht="16.4" hidden="false" customHeight="false" outlineLevel="0" collapsed="false">
      <c r="A1260" s="0" t="s">
        <v>15</v>
      </c>
      <c r="B1260" s="0" t="s">
        <v>4015</v>
      </c>
      <c r="C1260" s="0" t="n">
        <v>114001</v>
      </c>
      <c r="D1260" s="0" t="n">
        <v>114001</v>
      </c>
      <c r="E1260" s="0" t="s">
        <v>1815</v>
      </c>
      <c r="F1260" s="0" t="s">
        <v>18</v>
      </c>
      <c r="G1260" s="0" t="s">
        <v>4016</v>
      </c>
      <c r="H1260" s="0" t="s">
        <v>4017</v>
      </c>
      <c r="I1260" s="0" t="s">
        <v>124</v>
      </c>
      <c r="J1260" s="0" t="s">
        <v>125</v>
      </c>
      <c r="K1260" s="0" t="s">
        <v>2065</v>
      </c>
      <c r="L1260" s="0" t="str">
        <f aca="false">IFERROR(VLOOKUP(K1260,'Supplier list'!B:C,2,0),"")</f>
        <v>บริษัท บลู อินเตอร์เนชั่นแนล จำกัด</v>
      </c>
      <c r="M1260" s="1" t="s">
        <v>24</v>
      </c>
      <c r="O1260" s="2" t="n">
        <v>1498</v>
      </c>
    </row>
    <row r="1261" customFormat="false" ht="16.4" hidden="false" customHeight="false" outlineLevel="0" collapsed="false">
      <c r="A1261" s="0" t="s">
        <v>15</v>
      </c>
      <c r="B1261" s="0" t="s">
        <v>4018</v>
      </c>
      <c r="C1261" s="0" t="n">
        <v>114001</v>
      </c>
      <c r="D1261" s="0" t="n">
        <v>114001</v>
      </c>
      <c r="E1261" s="0" t="s">
        <v>1815</v>
      </c>
      <c r="F1261" s="0" t="s">
        <v>18</v>
      </c>
      <c r="G1261" s="0" t="s">
        <v>4019</v>
      </c>
      <c r="H1261" s="0" t="s">
        <v>4020</v>
      </c>
      <c r="I1261" s="0" t="s">
        <v>124</v>
      </c>
      <c r="J1261" s="0" t="s">
        <v>125</v>
      </c>
      <c r="K1261" s="0" t="s">
        <v>2065</v>
      </c>
      <c r="L1261" s="0" t="str">
        <f aca="false">IFERROR(VLOOKUP(K1261,'Supplier list'!B:C,2,0),"")</f>
        <v>บริษัท บลู อินเตอร์เนชั่นแนล จำกัด</v>
      </c>
      <c r="M1261" s="1" t="s">
        <v>24</v>
      </c>
      <c r="O1261" s="2" t="n">
        <v>1513</v>
      </c>
    </row>
    <row r="1262" customFormat="false" ht="16.4" hidden="false" customHeight="false" outlineLevel="0" collapsed="false">
      <c r="A1262" s="0" t="s">
        <v>15</v>
      </c>
      <c r="B1262" s="0" t="s">
        <v>4021</v>
      </c>
      <c r="C1262" s="0" t="n">
        <v>114001</v>
      </c>
      <c r="D1262" s="0" t="n">
        <v>114001</v>
      </c>
      <c r="E1262" s="0" t="s">
        <v>1815</v>
      </c>
      <c r="F1262" s="0" t="s">
        <v>18</v>
      </c>
      <c r="G1262" s="0" t="s">
        <v>4022</v>
      </c>
      <c r="H1262" s="0" t="s">
        <v>4023</v>
      </c>
      <c r="I1262" s="0" t="s">
        <v>124</v>
      </c>
      <c r="J1262" s="0" t="s">
        <v>125</v>
      </c>
      <c r="K1262" s="0" t="s">
        <v>2065</v>
      </c>
      <c r="L1262" s="0" t="str">
        <f aca="false">IFERROR(VLOOKUP(K1262,'Supplier list'!B:C,2,0),"")</f>
        <v>บริษัท บลู อินเตอร์เนชั่นแนล จำกัด</v>
      </c>
      <c r="M1262" s="1" t="s">
        <v>24</v>
      </c>
      <c r="O1262" s="2" t="n">
        <v>1593</v>
      </c>
    </row>
    <row r="1263" customFormat="false" ht="16.4" hidden="false" customHeight="false" outlineLevel="0" collapsed="false">
      <c r="A1263" s="0" t="s">
        <v>15</v>
      </c>
      <c r="B1263" s="0" t="s">
        <v>4024</v>
      </c>
      <c r="C1263" s="0" t="n">
        <v>114001</v>
      </c>
      <c r="D1263" s="0" t="n">
        <v>114001</v>
      </c>
      <c r="E1263" s="0" t="s">
        <v>1815</v>
      </c>
      <c r="F1263" s="0" t="s">
        <v>18</v>
      </c>
      <c r="G1263" s="0" t="s">
        <v>4025</v>
      </c>
      <c r="H1263" s="0" t="s">
        <v>4026</v>
      </c>
      <c r="I1263" s="0" t="s">
        <v>124</v>
      </c>
      <c r="J1263" s="0" t="s">
        <v>125</v>
      </c>
      <c r="K1263" s="0" t="s">
        <v>2065</v>
      </c>
      <c r="L1263" s="0" t="str">
        <f aca="false">IFERROR(VLOOKUP(K1263,'Supplier list'!B:C,2,0),"")</f>
        <v>บริษัท บลู อินเตอร์เนชั่นแนล จำกัด</v>
      </c>
      <c r="M1263" s="1" t="s">
        <v>24</v>
      </c>
      <c r="O1263" s="2" t="n">
        <v>1754</v>
      </c>
    </row>
    <row r="1264" customFormat="false" ht="16.4" hidden="false" customHeight="false" outlineLevel="0" collapsed="false">
      <c r="A1264" s="0" t="s">
        <v>15</v>
      </c>
      <c r="B1264" s="0" t="s">
        <v>4027</v>
      </c>
      <c r="C1264" s="0" t="n">
        <v>114001</v>
      </c>
      <c r="D1264" s="0" t="n">
        <v>114001</v>
      </c>
      <c r="E1264" s="0" t="s">
        <v>1815</v>
      </c>
      <c r="F1264" s="0" t="s">
        <v>18</v>
      </c>
      <c r="G1264" s="0" t="s">
        <v>4028</v>
      </c>
      <c r="H1264" s="0" t="s">
        <v>4029</v>
      </c>
      <c r="I1264" s="0" t="s">
        <v>124</v>
      </c>
      <c r="J1264" s="0" t="s">
        <v>125</v>
      </c>
      <c r="K1264" s="0" t="s">
        <v>2065</v>
      </c>
      <c r="L1264" s="0" t="str">
        <f aca="false">IFERROR(VLOOKUP(K1264,'Supplier list'!B:C,2,0),"")</f>
        <v>บริษัท บลู อินเตอร์เนชั่นแนล จำกัด</v>
      </c>
      <c r="M1264" s="1" t="s">
        <v>24</v>
      </c>
      <c r="O1264" s="2" t="n">
        <v>1468</v>
      </c>
    </row>
    <row r="1265" customFormat="false" ht="16.4" hidden="false" customHeight="false" outlineLevel="0" collapsed="false">
      <c r="A1265" s="0" t="s">
        <v>15</v>
      </c>
      <c r="B1265" s="0" t="s">
        <v>4030</v>
      </c>
      <c r="C1265" s="0" t="n">
        <v>114001</v>
      </c>
      <c r="D1265" s="0" t="n">
        <v>114001</v>
      </c>
      <c r="E1265" s="0" t="s">
        <v>1815</v>
      </c>
      <c r="F1265" s="0" t="s">
        <v>18</v>
      </c>
      <c r="G1265" s="0" t="s">
        <v>4031</v>
      </c>
      <c r="H1265" s="0" t="s">
        <v>4032</v>
      </c>
      <c r="I1265" s="0" t="s">
        <v>124</v>
      </c>
      <c r="J1265" s="0" t="s">
        <v>125</v>
      </c>
      <c r="K1265" s="0" t="s">
        <v>2065</v>
      </c>
      <c r="L1265" s="0" t="str">
        <f aca="false">IFERROR(VLOOKUP(K1265,'Supplier list'!B:C,2,0),"")</f>
        <v>บริษัท บลู อินเตอร์เนชั่นแนล จำกัด</v>
      </c>
      <c r="M1265" s="1" t="s">
        <v>24</v>
      </c>
      <c r="O1265" s="2" t="n">
        <v>1468</v>
      </c>
    </row>
    <row r="1266" customFormat="false" ht="16.4" hidden="false" customHeight="false" outlineLevel="0" collapsed="false">
      <c r="A1266" s="0" t="s">
        <v>15</v>
      </c>
      <c r="B1266" s="0" t="s">
        <v>4033</v>
      </c>
      <c r="C1266" s="0" t="n">
        <v>114001</v>
      </c>
      <c r="D1266" s="0" t="n">
        <v>114001</v>
      </c>
      <c r="E1266" s="0" t="s">
        <v>1815</v>
      </c>
      <c r="F1266" s="0" t="s">
        <v>18</v>
      </c>
      <c r="G1266" s="0" t="s">
        <v>4034</v>
      </c>
      <c r="H1266" s="0" t="s">
        <v>4035</v>
      </c>
      <c r="I1266" s="0" t="s">
        <v>124</v>
      </c>
      <c r="J1266" s="0" t="s">
        <v>125</v>
      </c>
      <c r="K1266" s="0" t="s">
        <v>2065</v>
      </c>
      <c r="L1266" s="0" t="str">
        <f aca="false">IFERROR(VLOOKUP(K1266,'Supplier list'!B:C,2,0),"")</f>
        <v>บริษัท บลู อินเตอร์เนชั่นแนล จำกัด</v>
      </c>
      <c r="M1266" s="1" t="s">
        <v>24</v>
      </c>
      <c r="O1266" s="2" t="n">
        <v>1468</v>
      </c>
    </row>
    <row r="1267" customFormat="false" ht="16.4" hidden="false" customHeight="false" outlineLevel="0" collapsed="false">
      <c r="A1267" s="0" t="s">
        <v>15</v>
      </c>
      <c r="B1267" s="0" t="s">
        <v>4036</v>
      </c>
      <c r="C1267" s="0" t="n">
        <v>114001</v>
      </c>
      <c r="D1267" s="0" t="n">
        <v>114001</v>
      </c>
      <c r="E1267" s="0" t="s">
        <v>1815</v>
      </c>
      <c r="F1267" s="0" t="s">
        <v>18</v>
      </c>
      <c r="G1267" s="0" t="s">
        <v>4037</v>
      </c>
      <c r="H1267" s="0" t="s">
        <v>4038</v>
      </c>
      <c r="I1267" s="0" t="s">
        <v>124</v>
      </c>
      <c r="J1267" s="0" t="s">
        <v>125</v>
      </c>
      <c r="K1267" s="0" t="s">
        <v>2065</v>
      </c>
      <c r="L1267" s="0" t="str">
        <f aca="false">IFERROR(VLOOKUP(K1267,'Supplier list'!B:C,2,0),"")</f>
        <v>บริษัท บลู อินเตอร์เนชั่นแนล จำกัด</v>
      </c>
      <c r="M1267" s="1" t="s">
        <v>24</v>
      </c>
      <c r="O1267" s="2" t="n">
        <v>1468</v>
      </c>
    </row>
    <row r="1268" customFormat="false" ht="16.4" hidden="false" customHeight="false" outlineLevel="0" collapsed="false">
      <c r="A1268" s="0" t="s">
        <v>15</v>
      </c>
      <c r="B1268" s="0" t="s">
        <v>4039</v>
      </c>
      <c r="C1268" s="0" t="n">
        <v>114001</v>
      </c>
      <c r="D1268" s="0" t="n">
        <v>114001</v>
      </c>
      <c r="E1268" s="0" t="s">
        <v>1815</v>
      </c>
      <c r="F1268" s="0" t="s">
        <v>18</v>
      </c>
      <c r="G1268" s="0" t="s">
        <v>4040</v>
      </c>
      <c r="H1268" s="0" t="s">
        <v>4041</v>
      </c>
      <c r="I1268" s="0" t="s">
        <v>124</v>
      </c>
      <c r="J1268" s="0" t="s">
        <v>125</v>
      </c>
      <c r="K1268" s="0" t="s">
        <v>2065</v>
      </c>
      <c r="L1268" s="0" t="str">
        <f aca="false">IFERROR(VLOOKUP(K1268,'Supplier list'!B:C,2,0),"")</f>
        <v>บริษัท บลู อินเตอร์เนชั่นแนล จำกัด</v>
      </c>
      <c r="M1268" s="1" t="s">
        <v>24</v>
      </c>
      <c r="O1268" s="2" t="n">
        <v>1483</v>
      </c>
    </row>
    <row r="1269" customFormat="false" ht="16.4" hidden="false" customHeight="false" outlineLevel="0" collapsed="false">
      <c r="A1269" s="0" t="s">
        <v>15</v>
      </c>
      <c r="B1269" s="0" t="s">
        <v>4042</v>
      </c>
      <c r="C1269" s="0" t="n">
        <v>114001</v>
      </c>
      <c r="D1269" s="0" t="n">
        <v>114001</v>
      </c>
      <c r="E1269" s="0" t="s">
        <v>1815</v>
      </c>
      <c r="F1269" s="0" t="s">
        <v>18</v>
      </c>
      <c r="G1269" s="0" t="s">
        <v>4043</v>
      </c>
      <c r="H1269" s="0" t="s">
        <v>4044</v>
      </c>
      <c r="I1269" s="0" t="s">
        <v>124</v>
      </c>
      <c r="J1269" s="0" t="s">
        <v>125</v>
      </c>
      <c r="K1269" s="0" t="s">
        <v>2065</v>
      </c>
      <c r="L1269" s="0" t="str">
        <f aca="false">IFERROR(VLOOKUP(K1269,'Supplier list'!B:C,2,0),"")</f>
        <v>บริษัท บลู อินเตอร์เนชั่นแนล จำกัด</v>
      </c>
      <c r="M1269" s="1" t="s">
        <v>24</v>
      </c>
      <c r="O1269" s="2" t="n">
        <v>1498</v>
      </c>
    </row>
    <row r="1270" customFormat="false" ht="16.4" hidden="false" customHeight="false" outlineLevel="0" collapsed="false">
      <c r="A1270" s="0" t="s">
        <v>15</v>
      </c>
      <c r="B1270" s="0" t="s">
        <v>4045</v>
      </c>
      <c r="C1270" s="0" t="n">
        <v>114001</v>
      </c>
      <c r="D1270" s="0" t="n">
        <v>114001</v>
      </c>
      <c r="E1270" s="0" t="s">
        <v>1815</v>
      </c>
      <c r="F1270" s="0" t="s">
        <v>18</v>
      </c>
      <c r="G1270" s="0" t="s">
        <v>4046</v>
      </c>
      <c r="H1270" s="0" t="s">
        <v>4047</v>
      </c>
      <c r="I1270" s="0" t="s">
        <v>124</v>
      </c>
      <c r="J1270" s="0" t="s">
        <v>125</v>
      </c>
      <c r="K1270" s="0" t="s">
        <v>2065</v>
      </c>
      <c r="L1270" s="0" t="str">
        <f aca="false">IFERROR(VLOOKUP(K1270,'Supplier list'!B:C,2,0),"")</f>
        <v>บริษัท บลู อินเตอร์เนชั่นแนล จำกัด</v>
      </c>
      <c r="M1270" s="1" t="s">
        <v>24</v>
      </c>
      <c r="O1270" s="2" t="n">
        <v>1513</v>
      </c>
    </row>
    <row r="1271" customFormat="false" ht="16.4" hidden="false" customHeight="false" outlineLevel="0" collapsed="false">
      <c r="A1271" s="0" t="s">
        <v>15</v>
      </c>
      <c r="B1271" s="0" t="s">
        <v>4048</v>
      </c>
      <c r="C1271" s="0" t="n">
        <v>114001</v>
      </c>
      <c r="D1271" s="0" t="n">
        <v>114001</v>
      </c>
      <c r="E1271" s="0" t="s">
        <v>1815</v>
      </c>
      <c r="F1271" s="0" t="s">
        <v>18</v>
      </c>
      <c r="G1271" s="0" t="s">
        <v>4049</v>
      </c>
      <c r="H1271" s="0" t="s">
        <v>4050</v>
      </c>
      <c r="I1271" s="0" t="s">
        <v>124</v>
      </c>
      <c r="J1271" s="0" t="s">
        <v>125</v>
      </c>
      <c r="K1271" s="0" t="s">
        <v>2065</v>
      </c>
      <c r="L1271" s="0" t="str">
        <f aca="false">IFERROR(VLOOKUP(K1271,'Supplier list'!B:C,2,0),"")</f>
        <v>บริษัท บลู อินเตอร์เนชั่นแนล จำกัด</v>
      </c>
      <c r="M1271" s="1" t="s">
        <v>24</v>
      </c>
      <c r="O1271" s="2" t="n">
        <v>1513</v>
      </c>
    </row>
    <row r="1272" customFormat="false" ht="16.4" hidden="false" customHeight="false" outlineLevel="0" collapsed="false">
      <c r="A1272" s="0" t="s">
        <v>15</v>
      </c>
      <c r="B1272" s="0" t="s">
        <v>4051</v>
      </c>
      <c r="C1272" s="0" t="n">
        <v>114001</v>
      </c>
      <c r="D1272" s="0" t="n">
        <v>114001</v>
      </c>
      <c r="E1272" s="0" t="s">
        <v>1815</v>
      </c>
      <c r="F1272" s="0" t="s">
        <v>18</v>
      </c>
      <c r="G1272" s="0" t="s">
        <v>4052</v>
      </c>
      <c r="H1272" s="0" t="s">
        <v>4053</v>
      </c>
      <c r="I1272" s="0" t="s">
        <v>124</v>
      </c>
      <c r="J1272" s="0" t="s">
        <v>125</v>
      </c>
      <c r="K1272" s="0" t="s">
        <v>2065</v>
      </c>
      <c r="L1272" s="0" t="str">
        <f aca="false">IFERROR(VLOOKUP(K1272,'Supplier list'!B:C,2,0),"")</f>
        <v>บริษัท บลู อินเตอร์เนชั่นแนล จำกัด</v>
      </c>
      <c r="M1272" s="1" t="s">
        <v>24</v>
      </c>
      <c r="O1272" s="2" t="n">
        <v>1754</v>
      </c>
    </row>
    <row r="1273" customFormat="false" ht="16.4" hidden="false" customHeight="false" outlineLevel="0" collapsed="false">
      <c r="A1273" s="0" t="s">
        <v>15</v>
      </c>
      <c r="B1273" s="0" t="s">
        <v>4054</v>
      </c>
      <c r="C1273" s="0" t="n">
        <v>114001</v>
      </c>
      <c r="D1273" s="0" t="n">
        <v>114001</v>
      </c>
      <c r="E1273" s="0" t="s">
        <v>1815</v>
      </c>
      <c r="F1273" s="0" t="s">
        <v>18</v>
      </c>
      <c r="G1273" s="0" t="s">
        <v>4055</v>
      </c>
      <c r="H1273" s="0" t="s">
        <v>4056</v>
      </c>
      <c r="I1273" s="0" t="s">
        <v>124</v>
      </c>
      <c r="J1273" s="0" t="s">
        <v>125</v>
      </c>
      <c r="K1273" s="0" t="s">
        <v>2065</v>
      </c>
      <c r="L1273" s="0" t="str">
        <f aca="false">IFERROR(VLOOKUP(K1273,'Supplier list'!B:C,2,0),"")</f>
        <v>บริษัท บลู อินเตอร์เนชั่นแนล จำกัด</v>
      </c>
      <c r="M1273" s="1" t="s">
        <v>24</v>
      </c>
      <c r="O1273" s="2" t="n">
        <v>1857</v>
      </c>
    </row>
    <row r="1274" customFormat="false" ht="16.4" hidden="false" customHeight="false" outlineLevel="0" collapsed="false">
      <c r="A1274" s="0" t="s">
        <v>15</v>
      </c>
      <c r="B1274" s="0" t="s">
        <v>4057</v>
      </c>
      <c r="C1274" s="0" t="n">
        <v>114001</v>
      </c>
      <c r="D1274" s="0" t="n">
        <v>114001</v>
      </c>
      <c r="E1274" s="0" t="s">
        <v>4058</v>
      </c>
      <c r="F1274" s="0" t="s">
        <v>18</v>
      </c>
      <c r="G1274" s="0" t="s">
        <v>4059</v>
      </c>
      <c r="H1274" s="0" t="s">
        <v>4060</v>
      </c>
      <c r="I1274" s="0" t="s">
        <v>124</v>
      </c>
      <c r="J1274" s="0" t="s">
        <v>125</v>
      </c>
      <c r="K1274" s="0" t="s">
        <v>2065</v>
      </c>
      <c r="L1274" s="0" t="str">
        <f aca="false">IFERROR(VLOOKUP(K1274,'Supplier list'!B:C,2,0),"")</f>
        <v>บริษัท บลู อินเตอร์เนชั่นแนล จำกัด</v>
      </c>
      <c r="M1274" s="1" t="s">
        <v>24</v>
      </c>
      <c r="O1274" s="2" t="n">
        <v>759</v>
      </c>
    </row>
    <row r="1275" customFormat="false" ht="16.4" hidden="false" customHeight="false" outlineLevel="0" collapsed="false">
      <c r="A1275" s="0" t="s">
        <v>15</v>
      </c>
      <c r="B1275" s="0" t="s">
        <v>4061</v>
      </c>
      <c r="C1275" s="0" t="n">
        <v>114001</v>
      </c>
      <c r="D1275" s="0" t="n">
        <v>114001</v>
      </c>
      <c r="E1275" s="0" t="s">
        <v>1815</v>
      </c>
      <c r="F1275" s="0" t="s">
        <v>18</v>
      </c>
      <c r="G1275" s="0" t="s">
        <v>4062</v>
      </c>
      <c r="H1275" s="0" t="s">
        <v>4063</v>
      </c>
      <c r="I1275" s="0" t="s">
        <v>124</v>
      </c>
      <c r="J1275" s="0" t="s">
        <v>125</v>
      </c>
      <c r="K1275" s="0" t="s">
        <v>2065</v>
      </c>
      <c r="L1275" s="0" t="str">
        <f aca="false">IFERROR(VLOOKUP(K1275,'Supplier list'!B:C,2,0),"")</f>
        <v>บริษัท บลู อินเตอร์เนชั่นแนล จำกัด</v>
      </c>
      <c r="M1275" s="1" t="s">
        <v>24</v>
      </c>
      <c r="O1275" s="2" t="n">
        <v>759</v>
      </c>
    </row>
    <row r="1276" customFormat="false" ht="16.4" hidden="false" customHeight="false" outlineLevel="0" collapsed="false">
      <c r="A1276" s="0" t="s">
        <v>15</v>
      </c>
      <c r="B1276" s="0" t="s">
        <v>4064</v>
      </c>
      <c r="C1276" s="0" t="n">
        <v>114001</v>
      </c>
      <c r="D1276" s="0" t="n">
        <v>114001</v>
      </c>
      <c r="E1276" s="0" t="s">
        <v>1815</v>
      </c>
      <c r="F1276" s="0" t="s">
        <v>18</v>
      </c>
      <c r="G1276" s="0" t="s">
        <v>4065</v>
      </c>
      <c r="H1276" s="0" t="s">
        <v>4066</v>
      </c>
      <c r="I1276" s="0" t="s">
        <v>124</v>
      </c>
      <c r="J1276" s="0" t="s">
        <v>125</v>
      </c>
      <c r="K1276" s="0" t="s">
        <v>2065</v>
      </c>
      <c r="L1276" s="0" t="str">
        <f aca="false">IFERROR(VLOOKUP(K1276,'Supplier list'!B:C,2,0),"")</f>
        <v>บริษัท บลู อินเตอร์เนชั่นแนล จำกัด</v>
      </c>
      <c r="M1276" s="1" t="s">
        <v>24</v>
      </c>
      <c r="O1276" s="2" t="n">
        <v>3076</v>
      </c>
    </row>
    <row r="1277" customFormat="false" ht="16.4" hidden="false" customHeight="false" outlineLevel="0" collapsed="false">
      <c r="A1277" s="0" t="s">
        <v>15</v>
      </c>
      <c r="B1277" s="0" t="s">
        <v>4067</v>
      </c>
      <c r="C1277" s="0" t="n">
        <v>114001</v>
      </c>
      <c r="D1277" s="0" t="n">
        <v>114001</v>
      </c>
      <c r="E1277" s="0" t="s">
        <v>1815</v>
      </c>
      <c r="F1277" s="0" t="s">
        <v>18</v>
      </c>
      <c r="G1277" s="0" t="s">
        <v>4068</v>
      </c>
      <c r="H1277" s="0" t="s">
        <v>4069</v>
      </c>
      <c r="I1277" s="0" t="s">
        <v>124</v>
      </c>
      <c r="J1277" s="0" t="s">
        <v>125</v>
      </c>
      <c r="K1277" s="0" t="s">
        <v>2065</v>
      </c>
      <c r="L1277" s="0" t="str">
        <f aca="false">IFERROR(VLOOKUP(K1277,'Supplier list'!B:C,2,0),"")</f>
        <v>บริษัท บลู อินเตอร์เนชั่นแนล จำกัด</v>
      </c>
      <c r="M1277" s="1" t="s">
        <v>24</v>
      </c>
      <c r="O1277" s="2" t="n">
        <v>4488</v>
      </c>
    </row>
    <row r="1278" customFormat="false" ht="16.4" hidden="false" customHeight="false" outlineLevel="0" collapsed="false">
      <c r="A1278" s="0" t="s">
        <v>15</v>
      </c>
      <c r="B1278" s="0" t="s">
        <v>4070</v>
      </c>
      <c r="C1278" s="0" t="n">
        <v>114001</v>
      </c>
      <c r="D1278" s="0" t="n">
        <v>114001</v>
      </c>
      <c r="E1278" s="0" t="s">
        <v>1815</v>
      </c>
      <c r="F1278" s="0" t="s">
        <v>18</v>
      </c>
      <c r="G1278" s="0" t="s">
        <v>4071</v>
      </c>
      <c r="H1278" s="0" t="s">
        <v>4072</v>
      </c>
      <c r="I1278" s="0" t="s">
        <v>124</v>
      </c>
      <c r="J1278" s="0" t="s">
        <v>125</v>
      </c>
      <c r="K1278" s="0" t="s">
        <v>2065</v>
      </c>
      <c r="L1278" s="0" t="str">
        <f aca="false">IFERROR(VLOOKUP(K1278,'Supplier list'!B:C,2,0),"")</f>
        <v>บริษัท บลู อินเตอร์เนชั่นแนล จำกัด</v>
      </c>
      <c r="M1278" s="1" t="s">
        <v>24</v>
      </c>
      <c r="O1278" s="2" t="n">
        <v>6224</v>
      </c>
    </row>
    <row r="1279" customFormat="false" ht="16.4" hidden="false" customHeight="false" outlineLevel="0" collapsed="false">
      <c r="A1279" s="0" t="s">
        <v>15</v>
      </c>
      <c r="B1279" s="0" t="s">
        <v>4073</v>
      </c>
      <c r="C1279" s="0" t="n">
        <v>114001</v>
      </c>
      <c r="D1279" s="0" t="n">
        <v>114001</v>
      </c>
      <c r="E1279" s="0" t="s">
        <v>1815</v>
      </c>
      <c r="F1279" s="0" t="s">
        <v>18</v>
      </c>
      <c r="G1279" s="0" t="s">
        <v>4074</v>
      </c>
      <c r="H1279" s="0" t="s">
        <v>4075</v>
      </c>
      <c r="I1279" s="0" t="s">
        <v>124</v>
      </c>
      <c r="J1279" s="0" t="s">
        <v>125</v>
      </c>
      <c r="K1279" s="0" t="s">
        <v>2065</v>
      </c>
      <c r="L1279" s="0" t="str">
        <f aca="false">IFERROR(VLOOKUP(K1279,'Supplier list'!B:C,2,0),"")</f>
        <v>บริษัท บลู อินเตอร์เนชั่นแนล จำกัด</v>
      </c>
      <c r="M1279" s="1" t="s">
        <v>24</v>
      </c>
      <c r="O1279" s="2" t="n">
        <v>3076</v>
      </c>
    </row>
    <row r="1280" customFormat="false" ht="16.4" hidden="false" customHeight="false" outlineLevel="0" collapsed="false">
      <c r="A1280" s="0" t="s">
        <v>15</v>
      </c>
      <c r="B1280" s="0" t="s">
        <v>4076</v>
      </c>
      <c r="C1280" s="0" t="n">
        <v>114001</v>
      </c>
      <c r="D1280" s="0" t="n">
        <v>114001</v>
      </c>
      <c r="E1280" s="0" t="s">
        <v>1815</v>
      </c>
      <c r="F1280" s="0" t="s">
        <v>18</v>
      </c>
      <c r="G1280" s="0" t="s">
        <v>4077</v>
      </c>
      <c r="H1280" s="0" t="s">
        <v>4078</v>
      </c>
      <c r="I1280" s="0" t="s">
        <v>124</v>
      </c>
      <c r="J1280" s="0" t="s">
        <v>125</v>
      </c>
      <c r="K1280" s="0" t="s">
        <v>2065</v>
      </c>
      <c r="L1280" s="0" t="str">
        <f aca="false">IFERROR(VLOOKUP(K1280,'Supplier list'!B:C,2,0),"")</f>
        <v>บริษัท บลู อินเตอร์เนชั่นแนล จำกัด</v>
      </c>
      <c r="M1280" s="1" t="s">
        <v>24</v>
      </c>
      <c r="O1280" s="2" t="n">
        <v>5922</v>
      </c>
    </row>
    <row r="1281" customFormat="false" ht="16.4" hidden="false" customHeight="false" outlineLevel="0" collapsed="false">
      <c r="A1281" s="0" t="s">
        <v>15</v>
      </c>
      <c r="B1281" s="0" t="s">
        <v>4079</v>
      </c>
      <c r="C1281" s="0" t="n">
        <v>114001</v>
      </c>
      <c r="D1281" s="0" t="n">
        <v>114001</v>
      </c>
      <c r="E1281" s="0" t="s">
        <v>1815</v>
      </c>
      <c r="F1281" s="0" t="s">
        <v>18</v>
      </c>
      <c r="G1281" s="0" t="s">
        <v>4080</v>
      </c>
      <c r="H1281" s="0" t="s">
        <v>4081</v>
      </c>
      <c r="I1281" s="0" t="s">
        <v>124</v>
      </c>
      <c r="J1281" s="0" t="s">
        <v>125</v>
      </c>
      <c r="K1281" s="0" t="s">
        <v>2065</v>
      </c>
      <c r="L1281" s="0" t="str">
        <f aca="false">IFERROR(VLOOKUP(K1281,'Supplier list'!B:C,2,0),"")</f>
        <v>บริษัท บลู อินเตอร์เนชั่นแนล จำกัด</v>
      </c>
      <c r="M1281" s="1" t="s">
        <v>24</v>
      </c>
      <c r="O1281" s="2" t="n">
        <v>4488</v>
      </c>
    </row>
    <row r="1282" customFormat="false" ht="16.4" hidden="false" customHeight="false" outlineLevel="0" collapsed="false">
      <c r="A1282" s="0" t="s">
        <v>15</v>
      </c>
      <c r="B1282" s="0" t="s">
        <v>4082</v>
      </c>
      <c r="C1282" s="0" t="n">
        <v>114001</v>
      </c>
      <c r="D1282" s="0" t="n">
        <v>114001</v>
      </c>
      <c r="E1282" s="0" t="s">
        <v>1815</v>
      </c>
      <c r="F1282" s="0" t="s">
        <v>18</v>
      </c>
      <c r="G1282" s="0" t="s">
        <v>4083</v>
      </c>
      <c r="H1282" s="0" t="s">
        <v>4084</v>
      </c>
      <c r="I1282" s="0" t="s">
        <v>124</v>
      </c>
      <c r="J1282" s="0" t="s">
        <v>125</v>
      </c>
      <c r="K1282" s="0" t="s">
        <v>2065</v>
      </c>
      <c r="L1282" s="0" t="str">
        <f aca="false">IFERROR(VLOOKUP(K1282,'Supplier list'!B:C,2,0),"")</f>
        <v>บริษัท บลู อินเตอร์เนชั่นแนล จำกัด</v>
      </c>
      <c r="M1282" s="1" t="s">
        <v>24</v>
      </c>
      <c r="O1282" s="2" t="n">
        <v>7577</v>
      </c>
    </row>
    <row r="1283" customFormat="false" ht="16.4" hidden="false" customHeight="false" outlineLevel="0" collapsed="false">
      <c r="A1283" s="0" t="s">
        <v>15</v>
      </c>
      <c r="B1283" s="0" t="s">
        <v>4085</v>
      </c>
      <c r="C1283" s="0" t="n">
        <v>114001</v>
      </c>
      <c r="D1283" s="0" t="n">
        <v>114001</v>
      </c>
      <c r="E1283" s="0" t="s">
        <v>1815</v>
      </c>
      <c r="F1283" s="0" t="s">
        <v>18</v>
      </c>
      <c r="G1283" s="0" t="s">
        <v>4086</v>
      </c>
      <c r="H1283" s="0" t="s">
        <v>4087</v>
      </c>
      <c r="I1283" s="0" t="s">
        <v>124</v>
      </c>
      <c r="J1283" s="0" t="s">
        <v>125</v>
      </c>
      <c r="K1283" s="0" t="s">
        <v>2065</v>
      </c>
      <c r="L1283" s="0" t="str">
        <f aca="false">IFERROR(VLOOKUP(K1283,'Supplier list'!B:C,2,0),"")</f>
        <v>บริษัท บลู อินเตอร์เนชั่นแนล จำกัด</v>
      </c>
      <c r="M1283" s="1" t="s">
        <v>24</v>
      </c>
      <c r="O1283" s="2" t="n">
        <v>9129</v>
      </c>
    </row>
    <row r="1284" customFormat="false" ht="16.4" hidden="false" customHeight="false" outlineLevel="0" collapsed="false">
      <c r="A1284" s="0" t="s">
        <v>15</v>
      </c>
      <c r="B1284" s="0" t="s">
        <v>4088</v>
      </c>
      <c r="C1284" s="0" t="n">
        <v>114001</v>
      </c>
      <c r="D1284" s="0" t="n">
        <v>114001</v>
      </c>
      <c r="E1284" s="0" t="s">
        <v>1815</v>
      </c>
      <c r="F1284" s="0" t="s">
        <v>18</v>
      </c>
      <c r="G1284" s="0" t="s">
        <v>4089</v>
      </c>
      <c r="H1284" s="0" t="s">
        <v>4090</v>
      </c>
      <c r="I1284" s="0" t="s">
        <v>124</v>
      </c>
      <c r="J1284" s="0" t="s">
        <v>125</v>
      </c>
      <c r="K1284" s="0" t="s">
        <v>2065</v>
      </c>
      <c r="L1284" s="0" t="str">
        <f aca="false">IFERROR(VLOOKUP(K1284,'Supplier list'!B:C,2,0),"")</f>
        <v>บริษัท บลู อินเตอร์เนชั่นแนล จำกัด</v>
      </c>
      <c r="M1284" s="1" t="s">
        <v>24</v>
      </c>
      <c r="O1284" s="2" t="n">
        <v>6224</v>
      </c>
    </row>
    <row r="1285" customFormat="false" ht="16.4" hidden="false" customHeight="false" outlineLevel="0" collapsed="false">
      <c r="A1285" s="0" t="s">
        <v>15</v>
      </c>
      <c r="B1285" s="0" t="s">
        <v>4091</v>
      </c>
      <c r="C1285" s="0" t="n">
        <v>114001</v>
      </c>
      <c r="D1285" s="0" t="n">
        <v>114001</v>
      </c>
      <c r="E1285" s="0" t="s">
        <v>1815</v>
      </c>
      <c r="F1285" s="0" t="s">
        <v>18</v>
      </c>
      <c r="G1285" s="0" t="s">
        <v>4092</v>
      </c>
      <c r="H1285" s="0" t="s">
        <v>4093</v>
      </c>
      <c r="I1285" s="0" t="s">
        <v>124</v>
      </c>
      <c r="J1285" s="0" t="s">
        <v>125</v>
      </c>
      <c r="K1285" s="0" t="s">
        <v>2065</v>
      </c>
      <c r="L1285" s="0" t="str">
        <f aca="false">IFERROR(VLOOKUP(K1285,'Supplier list'!B:C,2,0),"")</f>
        <v>บริษัท บลู อินเตอร์เนชั่นแนล จำกัด</v>
      </c>
      <c r="M1285" s="1" t="s">
        <v>24</v>
      </c>
      <c r="O1285" s="2" t="n">
        <v>4928</v>
      </c>
    </row>
    <row r="1286" customFormat="false" ht="16.4" hidden="false" customHeight="false" outlineLevel="0" collapsed="false">
      <c r="A1286" s="0" t="s">
        <v>15</v>
      </c>
      <c r="B1286" s="0" t="s">
        <v>4094</v>
      </c>
      <c r="C1286" s="0" t="n">
        <v>114001</v>
      </c>
      <c r="D1286" s="0" t="n">
        <v>114001</v>
      </c>
      <c r="E1286" s="0" t="s">
        <v>1815</v>
      </c>
      <c r="F1286" s="0" t="s">
        <v>18</v>
      </c>
      <c r="G1286" s="0" t="s">
        <v>4095</v>
      </c>
      <c r="H1286" s="0" t="s">
        <v>4096</v>
      </c>
      <c r="I1286" s="0" t="s">
        <v>124</v>
      </c>
      <c r="J1286" s="0" t="s">
        <v>125</v>
      </c>
      <c r="K1286" s="0" t="s">
        <v>2065</v>
      </c>
      <c r="L1286" s="0" t="str">
        <f aca="false">IFERROR(VLOOKUP(K1286,'Supplier list'!B:C,2,0),"")</f>
        <v>บริษัท บลู อินเตอร์เนชั่นแนล จำกัด</v>
      </c>
      <c r="M1286" s="1" t="s">
        <v>24</v>
      </c>
      <c r="O1286" s="2" t="n">
        <v>7752</v>
      </c>
    </row>
    <row r="1287" customFormat="false" ht="16.4" hidden="false" customHeight="false" outlineLevel="0" collapsed="false">
      <c r="A1287" s="0" t="s">
        <v>15</v>
      </c>
      <c r="B1287" s="0" t="s">
        <v>4097</v>
      </c>
      <c r="C1287" s="0" t="n">
        <v>114001</v>
      </c>
      <c r="D1287" s="0" t="n">
        <v>114001</v>
      </c>
      <c r="E1287" s="0" t="s">
        <v>1727</v>
      </c>
      <c r="F1287" s="0" t="s">
        <v>18</v>
      </c>
      <c r="G1287" s="0" t="s">
        <v>4098</v>
      </c>
      <c r="H1287" s="0" t="s">
        <v>4099</v>
      </c>
      <c r="I1287" s="0" t="s">
        <v>124</v>
      </c>
      <c r="J1287" s="0" t="s">
        <v>125</v>
      </c>
      <c r="K1287" s="0" t="s">
        <v>2065</v>
      </c>
      <c r="L1287" s="0" t="str">
        <f aca="false">IFERROR(VLOOKUP(K1287,'Supplier list'!B:C,2,0),"")</f>
        <v>บริษัท บลู อินเตอร์เนชั่นแนล จำกัด</v>
      </c>
      <c r="M1287" s="1" t="s">
        <v>1740</v>
      </c>
      <c r="N1287" s="2" t="n">
        <v>5500</v>
      </c>
      <c r="O1287" s="2" t="n">
        <f aca="false">1729+2721</f>
        <v>4450</v>
      </c>
    </row>
    <row r="1288" customFormat="false" ht="16.4" hidden="false" customHeight="false" outlineLevel="0" collapsed="false">
      <c r="A1288" s="0" t="s">
        <v>15</v>
      </c>
      <c r="B1288" s="0" t="s">
        <v>4100</v>
      </c>
      <c r="C1288" s="0" t="n">
        <v>114001</v>
      </c>
      <c r="D1288" s="0" t="n">
        <v>114001</v>
      </c>
      <c r="E1288" s="0" t="s">
        <v>1727</v>
      </c>
      <c r="F1288" s="0" t="s">
        <v>18</v>
      </c>
      <c r="G1288" s="0" t="s">
        <v>4101</v>
      </c>
      <c r="H1288" s="0" t="s">
        <v>4102</v>
      </c>
      <c r="I1288" s="0" t="s">
        <v>124</v>
      </c>
      <c r="J1288" s="0" t="s">
        <v>125</v>
      </c>
      <c r="K1288" s="0" t="s">
        <v>2065</v>
      </c>
      <c r="L1288" s="0" t="str">
        <f aca="false">IFERROR(VLOOKUP(K1288,'Supplier list'!B:C,2,0),"")</f>
        <v>บริษัท บลู อินเตอร์เนชั่นแนล จำกัด</v>
      </c>
      <c r="M1288" s="1" t="s">
        <v>1740</v>
      </c>
      <c r="N1288" s="2" t="n">
        <v>7500</v>
      </c>
      <c r="O1288" s="2" t="n">
        <f aca="false">3483+2721</f>
        <v>6204</v>
      </c>
    </row>
    <row r="1289" customFormat="false" ht="16.4" hidden="false" customHeight="false" outlineLevel="0" collapsed="false">
      <c r="A1289" s="0" t="s">
        <v>15</v>
      </c>
      <c r="B1289" s="0" t="s">
        <v>4103</v>
      </c>
      <c r="C1289" s="0" t="n">
        <v>114001</v>
      </c>
      <c r="D1289" s="0" t="n">
        <v>114001</v>
      </c>
      <c r="E1289" s="0" t="s">
        <v>961</v>
      </c>
      <c r="F1289" s="0" t="s">
        <v>18</v>
      </c>
      <c r="G1289" s="0" t="s">
        <v>4104</v>
      </c>
      <c r="H1289" s="0" t="s">
        <v>4105</v>
      </c>
      <c r="I1289" s="0" t="s">
        <v>124</v>
      </c>
      <c r="J1289" s="0" t="s">
        <v>125</v>
      </c>
      <c r="K1289" s="0" t="s">
        <v>2065</v>
      </c>
      <c r="L1289" s="0" t="str">
        <f aca="false">IFERROR(VLOOKUP(K1289,'Supplier list'!B:C,2,0),"")</f>
        <v>บริษัท บลู อินเตอร์เนชั่นแนล จำกัด</v>
      </c>
      <c r="M1289" s="1" t="s">
        <v>24</v>
      </c>
      <c r="O1289" s="2" t="n">
        <v>380</v>
      </c>
    </row>
    <row r="1290" customFormat="false" ht="16.4" hidden="false" customHeight="false" outlineLevel="0" collapsed="false">
      <c r="A1290" s="0" t="s">
        <v>15</v>
      </c>
      <c r="B1290" s="0" t="s">
        <v>4106</v>
      </c>
      <c r="C1290" s="0" t="n">
        <v>114001</v>
      </c>
      <c r="D1290" s="0" t="n">
        <v>114001</v>
      </c>
      <c r="E1290" s="0" t="s">
        <v>961</v>
      </c>
      <c r="F1290" s="0" t="s">
        <v>18</v>
      </c>
      <c r="G1290" s="0" t="s">
        <v>4107</v>
      </c>
      <c r="H1290" s="0" t="s">
        <v>4108</v>
      </c>
      <c r="I1290" s="0" t="s">
        <v>124</v>
      </c>
      <c r="J1290" s="0" t="s">
        <v>125</v>
      </c>
      <c r="K1290" s="0" t="s">
        <v>2065</v>
      </c>
      <c r="L1290" s="0" t="str">
        <f aca="false">IFERROR(VLOOKUP(K1290,'Supplier list'!B:C,2,0),"")</f>
        <v>บริษัท บลู อินเตอร์เนชั่นแนล จำกัด</v>
      </c>
      <c r="M1290" s="1" t="s">
        <v>24</v>
      </c>
      <c r="O1290" s="2" t="n">
        <v>257</v>
      </c>
    </row>
    <row r="1291" customFormat="false" ht="16.4" hidden="false" customHeight="false" outlineLevel="0" collapsed="false">
      <c r="A1291" s="0" t="s">
        <v>15</v>
      </c>
      <c r="B1291" s="0" t="s">
        <v>4109</v>
      </c>
      <c r="C1291" s="0" t="n">
        <v>114001</v>
      </c>
      <c r="D1291" s="0" t="n">
        <v>114001</v>
      </c>
      <c r="E1291" s="0" t="s">
        <v>1764</v>
      </c>
      <c r="F1291" s="0" t="s">
        <v>18</v>
      </c>
      <c r="G1291" s="0" t="s">
        <v>4110</v>
      </c>
      <c r="H1291" s="0" t="s">
        <v>4111</v>
      </c>
      <c r="I1291" s="0" t="s">
        <v>21</v>
      </c>
      <c r="J1291" s="0" t="s">
        <v>22</v>
      </c>
      <c r="K1291" s="0" t="s">
        <v>4112</v>
      </c>
      <c r="L1291" s="0" t="str">
        <f aca="false">IFERROR(VLOOKUP(K1291,'Supplier list'!B:C,2,0),"")</f>
        <v/>
      </c>
      <c r="M1291" s="1" t="s">
        <v>1740</v>
      </c>
      <c r="N1291" s="2" t="n">
        <v>400</v>
      </c>
      <c r="O1291" s="2" t="n">
        <v>240</v>
      </c>
    </row>
    <row r="1292" customFormat="false" ht="16.4" hidden="false" customHeight="false" outlineLevel="0" collapsed="false">
      <c r="A1292" s="0" t="s">
        <v>15</v>
      </c>
      <c r="B1292" s="0" t="s">
        <v>4113</v>
      </c>
      <c r="C1292" s="0" t="n">
        <v>114001</v>
      </c>
      <c r="D1292" s="0" t="n">
        <v>114001</v>
      </c>
      <c r="E1292" s="0" t="s">
        <v>1764</v>
      </c>
      <c r="F1292" s="0" t="s">
        <v>18</v>
      </c>
      <c r="G1292" s="0" t="s">
        <v>4114</v>
      </c>
      <c r="H1292" s="0" t="s">
        <v>4115</v>
      </c>
      <c r="I1292" s="0" t="s">
        <v>21</v>
      </c>
      <c r="J1292" s="0" t="s">
        <v>22</v>
      </c>
      <c r="K1292" s="0" t="s">
        <v>4112</v>
      </c>
      <c r="L1292" s="0" t="str">
        <f aca="false">IFERROR(VLOOKUP(K1292,'Supplier list'!B:C,2,0),"")</f>
        <v/>
      </c>
      <c r="M1292" s="1" t="s">
        <v>1740</v>
      </c>
      <c r="N1292" s="2" t="n">
        <v>400</v>
      </c>
      <c r="O1292" s="2" t="n">
        <v>240</v>
      </c>
    </row>
    <row r="1293" customFormat="false" ht="16.4" hidden="false" customHeight="false" outlineLevel="0" collapsed="false">
      <c r="A1293" s="0" t="s">
        <v>15</v>
      </c>
      <c r="B1293" s="0" t="s">
        <v>4116</v>
      </c>
      <c r="C1293" s="0" t="n">
        <v>114001</v>
      </c>
      <c r="D1293" s="0" t="n">
        <v>114001</v>
      </c>
      <c r="E1293" s="0" t="s">
        <v>1764</v>
      </c>
      <c r="F1293" s="0" t="s">
        <v>18</v>
      </c>
      <c r="G1293" s="0" t="s">
        <v>4117</v>
      </c>
      <c r="H1293" s="0" t="s">
        <v>4118</v>
      </c>
      <c r="I1293" s="0" t="s">
        <v>21</v>
      </c>
      <c r="J1293" s="0" t="s">
        <v>22</v>
      </c>
      <c r="K1293" s="0" t="s">
        <v>4112</v>
      </c>
      <c r="L1293" s="0" t="str">
        <f aca="false">IFERROR(VLOOKUP(K1293,'Supplier list'!B:C,2,0),"")</f>
        <v/>
      </c>
      <c r="M1293" s="1" t="s">
        <v>1740</v>
      </c>
      <c r="N1293" s="2" t="n">
        <v>600</v>
      </c>
      <c r="O1293" s="2" t="n">
        <v>390</v>
      </c>
    </row>
    <row r="1294" customFormat="false" ht="16.4" hidden="false" customHeight="false" outlineLevel="0" collapsed="false">
      <c r="A1294" s="0" t="s">
        <v>15</v>
      </c>
      <c r="B1294" s="0" t="s">
        <v>4119</v>
      </c>
      <c r="C1294" s="0" t="n">
        <v>114001</v>
      </c>
      <c r="D1294" s="0" t="n">
        <v>114001</v>
      </c>
      <c r="E1294" s="0" t="s">
        <v>1764</v>
      </c>
      <c r="F1294" s="0" t="s">
        <v>18</v>
      </c>
      <c r="G1294" s="0" t="s">
        <v>4120</v>
      </c>
      <c r="H1294" s="0" t="s">
        <v>4121</v>
      </c>
      <c r="I1294" s="0" t="s">
        <v>21</v>
      </c>
      <c r="J1294" s="0" t="s">
        <v>22</v>
      </c>
      <c r="K1294" s="0" t="s">
        <v>4112</v>
      </c>
      <c r="L1294" s="0" t="str">
        <f aca="false">IFERROR(VLOOKUP(K1294,'Supplier list'!B:C,2,0),"")</f>
        <v/>
      </c>
      <c r="M1294" s="1" t="s">
        <v>1740</v>
      </c>
      <c r="N1294" s="2" t="n">
        <v>600</v>
      </c>
      <c r="O1294" s="2" t="n">
        <v>390</v>
      </c>
    </row>
    <row r="1295" customFormat="false" ht="16.4" hidden="false" customHeight="false" outlineLevel="0" collapsed="false">
      <c r="A1295" s="0" t="s">
        <v>15</v>
      </c>
      <c r="B1295" s="0" t="s">
        <v>4122</v>
      </c>
      <c r="C1295" s="0" t="n">
        <v>114001</v>
      </c>
      <c r="D1295" s="0" t="n">
        <v>114001</v>
      </c>
      <c r="E1295" s="0" t="s">
        <v>1764</v>
      </c>
      <c r="F1295" s="0" t="s">
        <v>18</v>
      </c>
      <c r="G1295" s="0" t="s">
        <v>4123</v>
      </c>
      <c r="H1295" s="0" t="s">
        <v>4124</v>
      </c>
      <c r="I1295" s="0" t="s">
        <v>21</v>
      </c>
      <c r="J1295" s="0" t="s">
        <v>22</v>
      </c>
      <c r="K1295" s="0" t="s">
        <v>4112</v>
      </c>
      <c r="L1295" s="0" t="str">
        <f aca="false">IFERROR(VLOOKUP(K1295,'Supplier list'!B:C,2,0),"")</f>
        <v/>
      </c>
      <c r="M1295" s="1" t="s">
        <v>1740</v>
      </c>
      <c r="N1295" s="2" t="n">
        <v>250</v>
      </c>
      <c r="O1295" s="2" t="n">
        <v>120</v>
      </c>
    </row>
    <row r="1296" customFormat="false" ht="16.4" hidden="false" customHeight="false" outlineLevel="0" collapsed="false">
      <c r="A1296" s="0" t="s">
        <v>15</v>
      </c>
      <c r="B1296" s="0" t="s">
        <v>4125</v>
      </c>
      <c r="C1296" s="0" t="n">
        <v>114001</v>
      </c>
      <c r="D1296" s="0" t="n">
        <v>114001</v>
      </c>
      <c r="E1296" s="0" t="s">
        <v>1764</v>
      </c>
      <c r="F1296" s="0" t="s">
        <v>18</v>
      </c>
      <c r="G1296" s="0" t="s">
        <v>4126</v>
      </c>
      <c r="H1296" s="0" t="s">
        <v>4127</v>
      </c>
      <c r="I1296" s="0" t="s">
        <v>21</v>
      </c>
      <c r="J1296" s="0" t="s">
        <v>22</v>
      </c>
      <c r="K1296" s="0" t="s">
        <v>4112</v>
      </c>
      <c r="L1296" s="0" t="str">
        <f aca="false">IFERROR(VLOOKUP(K1296,'Supplier list'!B:C,2,0),"")</f>
        <v/>
      </c>
      <c r="M1296" s="1" t="s">
        <v>1740</v>
      </c>
      <c r="N1296" s="2" t="n">
        <v>250</v>
      </c>
      <c r="O1296" s="2" t="n">
        <v>120</v>
      </c>
    </row>
    <row r="1297" customFormat="false" ht="16.4" hidden="false" customHeight="false" outlineLevel="0" collapsed="false">
      <c r="A1297" s="0" t="s">
        <v>15</v>
      </c>
      <c r="B1297" s="0" t="s">
        <v>4128</v>
      </c>
      <c r="C1297" s="0" t="n">
        <v>114001</v>
      </c>
      <c r="D1297" s="0" t="n">
        <v>114001</v>
      </c>
      <c r="E1297" s="0" t="s">
        <v>1764</v>
      </c>
      <c r="F1297" s="0" t="s">
        <v>18</v>
      </c>
      <c r="G1297" s="0" t="s">
        <v>4129</v>
      </c>
      <c r="H1297" s="0" t="s">
        <v>4130</v>
      </c>
      <c r="I1297" s="0" t="s">
        <v>21</v>
      </c>
      <c r="J1297" s="0" t="s">
        <v>22</v>
      </c>
      <c r="K1297" s="0" t="s">
        <v>4112</v>
      </c>
      <c r="L1297" s="0" t="str">
        <f aca="false">IFERROR(VLOOKUP(K1297,'Supplier list'!B:C,2,0),"")</f>
        <v/>
      </c>
      <c r="M1297" s="1" t="s">
        <v>1740</v>
      </c>
      <c r="N1297" s="2" t="n">
        <v>400</v>
      </c>
      <c r="O1297" s="2" t="n">
        <v>205</v>
      </c>
    </row>
    <row r="1298" customFormat="false" ht="16.4" hidden="false" customHeight="false" outlineLevel="0" collapsed="false">
      <c r="A1298" s="0" t="s">
        <v>15</v>
      </c>
      <c r="B1298" s="0" t="s">
        <v>4131</v>
      </c>
      <c r="C1298" s="0" t="n">
        <v>114001</v>
      </c>
      <c r="D1298" s="0" t="n">
        <v>114001</v>
      </c>
      <c r="E1298" s="0" t="s">
        <v>1764</v>
      </c>
      <c r="F1298" s="0" t="s">
        <v>18</v>
      </c>
      <c r="G1298" s="0" t="s">
        <v>4132</v>
      </c>
      <c r="H1298" s="0" t="s">
        <v>4133</v>
      </c>
      <c r="I1298" s="0" t="s">
        <v>21</v>
      </c>
      <c r="J1298" s="0" t="s">
        <v>22</v>
      </c>
      <c r="K1298" s="0" t="s">
        <v>4112</v>
      </c>
      <c r="L1298" s="0" t="str">
        <f aca="false">IFERROR(VLOOKUP(K1298,'Supplier list'!B:C,2,0),"")</f>
        <v/>
      </c>
      <c r="M1298" s="1" t="s">
        <v>1740</v>
      </c>
      <c r="N1298" s="2" t="n">
        <v>400</v>
      </c>
      <c r="O1298" s="2" t="n">
        <v>205</v>
      </c>
    </row>
    <row r="1299" customFormat="false" ht="16.4" hidden="false" customHeight="false" outlineLevel="0" collapsed="false">
      <c r="A1299" s="0" t="s">
        <v>15</v>
      </c>
      <c r="B1299" s="0" t="s">
        <v>4134</v>
      </c>
      <c r="C1299" s="0" t="n">
        <v>114001</v>
      </c>
      <c r="D1299" s="0" t="n">
        <v>114001</v>
      </c>
      <c r="E1299" s="0" t="s">
        <v>961</v>
      </c>
      <c r="F1299" s="0" t="s">
        <v>18</v>
      </c>
      <c r="G1299" s="0" t="s">
        <v>4135</v>
      </c>
      <c r="H1299" s="0" t="s">
        <v>4136</v>
      </c>
      <c r="I1299" s="0" t="s">
        <v>124</v>
      </c>
      <c r="J1299" s="0" t="s">
        <v>125</v>
      </c>
      <c r="K1299" s="0" t="s">
        <v>89</v>
      </c>
      <c r="L1299" s="0" t="str">
        <f aca="false">IFERROR(VLOOKUP(K1299,'Supplier list'!B:C,2,0),"")</f>
        <v>บริษัท เฮเฟเล่ (ประเทศไทย) จำกัด</v>
      </c>
      <c r="M1299" s="1" t="s">
        <v>24</v>
      </c>
      <c r="O1299" s="2" t="n">
        <v>2935</v>
      </c>
    </row>
    <row r="1300" customFormat="false" ht="16.4" hidden="false" customHeight="false" outlineLevel="0" collapsed="false">
      <c r="A1300" s="0" t="s">
        <v>15</v>
      </c>
      <c r="B1300" s="0" t="s">
        <v>4137</v>
      </c>
      <c r="C1300" s="0" t="n">
        <v>114001</v>
      </c>
      <c r="D1300" s="0" t="n">
        <v>114001</v>
      </c>
      <c r="E1300" s="0" t="s">
        <v>1815</v>
      </c>
      <c r="F1300" s="0" t="s">
        <v>18</v>
      </c>
      <c r="G1300" s="0" t="s">
        <v>4138</v>
      </c>
      <c r="H1300" s="0" t="s">
        <v>4139</v>
      </c>
      <c r="I1300" s="0" t="s">
        <v>517</v>
      </c>
      <c r="J1300" s="0" t="s">
        <v>518</v>
      </c>
      <c r="K1300" s="0" t="s">
        <v>89</v>
      </c>
      <c r="L1300" s="0" t="str">
        <f aca="false">IFERROR(VLOOKUP(K1300,'Supplier list'!B:C,2,0),"")</f>
        <v>บริษัท เฮเฟเล่ (ประเทศไทย) จำกัด</v>
      </c>
      <c r="M1300" s="1" t="s">
        <v>1740</v>
      </c>
      <c r="N1300" s="2" t="n">
        <v>1900</v>
      </c>
      <c r="O1300" s="2" t="n">
        <v>776</v>
      </c>
    </row>
    <row r="1301" customFormat="false" ht="16.4" hidden="false" customHeight="false" outlineLevel="0" collapsed="false">
      <c r="A1301" s="0" t="s">
        <v>15</v>
      </c>
      <c r="B1301" s="0" t="s">
        <v>4140</v>
      </c>
      <c r="C1301" s="0" t="n">
        <v>114001</v>
      </c>
      <c r="D1301" s="0" t="n">
        <v>114001</v>
      </c>
      <c r="E1301" s="0" t="s">
        <v>1764</v>
      </c>
      <c r="F1301" s="0" t="s">
        <v>18</v>
      </c>
      <c r="G1301" s="0" t="s">
        <v>4141</v>
      </c>
      <c r="H1301" s="0" t="s">
        <v>4142</v>
      </c>
      <c r="I1301" s="0" t="s">
        <v>21</v>
      </c>
      <c r="J1301" s="0" t="s">
        <v>22</v>
      </c>
      <c r="K1301" s="0" t="s">
        <v>4112</v>
      </c>
      <c r="L1301" s="0" t="str">
        <f aca="false">IFERROR(VLOOKUP(K1301,'Supplier list'!B:C,2,0),"")</f>
        <v/>
      </c>
      <c r="M1301" s="1" t="s">
        <v>1740</v>
      </c>
      <c r="N1301" s="2" t="n">
        <v>350</v>
      </c>
      <c r="O1301" s="2" t="n">
        <v>180</v>
      </c>
    </row>
    <row r="1302" customFormat="false" ht="16.4" hidden="false" customHeight="false" outlineLevel="0" collapsed="false">
      <c r="A1302" s="0" t="s">
        <v>15</v>
      </c>
      <c r="B1302" s="0" t="s">
        <v>4143</v>
      </c>
      <c r="C1302" s="0" t="n">
        <v>114001</v>
      </c>
      <c r="D1302" s="0" t="n">
        <v>114001</v>
      </c>
      <c r="E1302" s="0" t="s">
        <v>1764</v>
      </c>
      <c r="F1302" s="0" t="s">
        <v>18</v>
      </c>
      <c r="G1302" s="0" t="s">
        <v>4144</v>
      </c>
      <c r="H1302" s="0" t="s">
        <v>4145</v>
      </c>
      <c r="I1302" s="0" t="s">
        <v>21</v>
      </c>
      <c r="J1302" s="0" t="s">
        <v>22</v>
      </c>
      <c r="K1302" s="0" t="s">
        <v>4112</v>
      </c>
      <c r="L1302" s="0" t="str">
        <f aca="false">IFERROR(VLOOKUP(K1302,'Supplier list'!B:C,2,0),"")</f>
        <v/>
      </c>
      <c r="M1302" s="1" t="s">
        <v>1740</v>
      </c>
      <c r="N1302" s="2" t="n">
        <v>350</v>
      </c>
      <c r="O1302" s="2" t="n">
        <v>180</v>
      </c>
    </row>
    <row r="1303" customFormat="false" ht="16.4" hidden="false" customHeight="false" outlineLevel="0" collapsed="false">
      <c r="A1303" s="0" t="s">
        <v>15</v>
      </c>
      <c r="B1303" s="0" t="s">
        <v>4146</v>
      </c>
      <c r="C1303" s="0" t="n">
        <v>114001</v>
      </c>
      <c r="D1303" s="0" t="n">
        <v>114001</v>
      </c>
      <c r="E1303" s="0" t="s">
        <v>1764</v>
      </c>
      <c r="F1303" s="0" t="s">
        <v>18</v>
      </c>
      <c r="G1303" s="0" t="s">
        <v>4147</v>
      </c>
      <c r="H1303" s="0" t="s">
        <v>4148</v>
      </c>
      <c r="I1303" s="0" t="s">
        <v>21</v>
      </c>
      <c r="J1303" s="0" t="s">
        <v>22</v>
      </c>
      <c r="K1303" s="0" t="s">
        <v>4112</v>
      </c>
      <c r="L1303" s="0" t="str">
        <f aca="false">IFERROR(VLOOKUP(K1303,'Supplier list'!B:C,2,0),"")</f>
        <v/>
      </c>
      <c r="M1303" s="1" t="s">
        <v>1740</v>
      </c>
      <c r="N1303" s="2" t="n">
        <v>1500</v>
      </c>
      <c r="O1303" s="2" t="n">
        <v>780</v>
      </c>
    </row>
    <row r="1304" customFormat="false" ht="16.4" hidden="false" customHeight="false" outlineLevel="0" collapsed="false">
      <c r="A1304" s="0" t="s">
        <v>15</v>
      </c>
      <c r="B1304" s="0" t="s">
        <v>4149</v>
      </c>
      <c r="C1304" s="0" t="n">
        <v>114001</v>
      </c>
      <c r="D1304" s="0" t="n">
        <v>114001</v>
      </c>
      <c r="E1304" s="0" t="s">
        <v>1764</v>
      </c>
      <c r="F1304" s="0" t="s">
        <v>18</v>
      </c>
      <c r="G1304" s="0" t="s">
        <v>4150</v>
      </c>
      <c r="H1304" s="0" t="s">
        <v>4151</v>
      </c>
      <c r="I1304" s="0" t="s">
        <v>21</v>
      </c>
      <c r="J1304" s="0" t="s">
        <v>22</v>
      </c>
      <c r="K1304" s="0" t="s">
        <v>4112</v>
      </c>
      <c r="L1304" s="0" t="str">
        <f aca="false">IFERROR(VLOOKUP(K1304,'Supplier list'!B:C,2,0),"")</f>
        <v/>
      </c>
      <c r="M1304" s="1" t="s">
        <v>1740</v>
      </c>
      <c r="N1304" s="2" t="n">
        <v>450</v>
      </c>
      <c r="O1304" s="2" t="n">
        <v>260</v>
      </c>
    </row>
    <row r="1305" customFormat="false" ht="16.4" hidden="false" customHeight="false" outlineLevel="0" collapsed="false">
      <c r="A1305" s="0" t="s">
        <v>15</v>
      </c>
      <c r="B1305" s="0" t="s">
        <v>4152</v>
      </c>
      <c r="C1305" s="0" t="n">
        <v>114001</v>
      </c>
      <c r="D1305" s="0" t="n">
        <v>114001</v>
      </c>
      <c r="E1305" s="0" t="s">
        <v>1764</v>
      </c>
      <c r="F1305" s="0" t="s">
        <v>18</v>
      </c>
      <c r="G1305" s="0" t="s">
        <v>4153</v>
      </c>
      <c r="H1305" s="0" t="s">
        <v>4154</v>
      </c>
      <c r="I1305" s="0" t="s">
        <v>21</v>
      </c>
      <c r="J1305" s="0" t="s">
        <v>22</v>
      </c>
      <c r="K1305" s="0" t="s">
        <v>4112</v>
      </c>
      <c r="L1305" s="0" t="str">
        <f aca="false">IFERROR(VLOOKUP(K1305,'Supplier list'!B:C,2,0),"")</f>
        <v/>
      </c>
      <c r="M1305" s="1" t="s">
        <v>1740</v>
      </c>
      <c r="N1305" s="2" t="n">
        <v>1900</v>
      </c>
      <c r="O1305" s="2" t="n">
        <v>1220</v>
      </c>
    </row>
    <row r="1306" customFormat="false" ht="16.4" hidden="false" customHeight="false" outlineLevel="0" collapsed="false">
      <c r="A1306" s="0" t="s">
        <v>15</v>
      </c>
      <c r="B1306" s="0" t="s">
        <v>4155</v>
      </c>
      <c r="C1306" s="0" t="n">
        <v>114001</v>
      </c>
      <c r="D1306" s="0" t="n">
        <v>114001</v>
      </c>
      <c r="E1306" s="0" t="s">
        <v>1764</v>
      </c>
      <c r="F1306" s="0" t="s">
        <v>18</v>
      </c>
      <c r="G1306" s="0" t="s">
        <v>4156</v>
      </c>
      <c r="H1306" s="0" t="s">
        <v>4157</v>
      </c>
      <c r="I1306" s="0" t="s">
        <v>21</v>
      </c>
      <c r="J1306" s="0" t="s">
        <v>22</v>
      </c>
      <c r="K1306" s="0" t="s">
        <v>4112</v>
      </c>
      <c r="L1306" s="0" t="str">
        <f aca="false">IFERROR(VLOOKUP(K1306,'Supplier list'!B:C,2,0),"")</f>
        <v/>
      </c>
      <c r="M1306" s="1" t="s">
        <v>1740</v>
      </c>
      <c r="N1306" s="2" t="n">
        <v>350</v>
      </c>
      <c r="O1306" s="2" t="n">
        <v>170</v>
      </c>
    </row>
    <row r="1307" customFormat="false" ht="16.4" hidden="false" customHeight="false" outlineLevel="0" collapsed="false">
      <c r="A1307" s="0" t="s">
        <v>15</v>
      </c>
      <c r="B1307" s="0" t="s">
        <v>4158</v>
      </c>
      <c r="C1307" s="0" t="n">
        <v>114001</v>
      </c>
      <c r="D1307" s="0" t="n">
        <v>114001</v>
      </c>
      <c r="E1307" s="0" t="s">
        <v>1764</v>
      </c>
      <c r="F1307" s="0" t="s">
        <v>18</v>
      </c>
      <c r="G1307" s="0" t="s">
        <v>4159</v>
      </c>
      <c r="H1307" s="0" t="s">
        <v>4160</v>
      </c>
      <c r="I1307" s="0" t="s">
        <v>21</v>
      </c>
      <c r="J1307" s="0" t="s">
        <v>22</v>
      </c>
      <c r="K1307" s="0" t="s">
        <v>4112</v>
      </c>
      <c r="L1307" s="0" t="str">
        <f aca="false">IFERROR(VLOOKUP(K1307,'Supplier list'!B:C,2,0),"")</f>
        <v/>
      </c>
      <c r="M1307" s="1" t="s">
        <v>24</v>
      </c>
      <c r="O1307" s="2" t="n">
        <v>1300</v>
      </c>
    </row>
    <row r="1308" customFormat="false" ht="16.4" hidden="false" customHeight="false" outlineLevel="0" collapsed="false">
      <c r="A1308" s="0" t="s">
        <v>15</v>
      </c>
      <c r="B1308" s="0" t="s">
        <v>4161</v>
      </c>
      <c r="C1308" s="0" t="n">
        <v>114001</v>
      </c>
      <c r="D1308" s="0" t="n">
        <v>114001</v>
      </c>
      <c r="E1308" s="0" t="s">
        <v>1653</v>
      </c>
      <c r="F1308" s="0" t="s">
        <v>18</v>
      </c>
      <c r="G1308" s="0" t="s">
        <v>4162</v>
      </c>
      <c r="H1308" s="0" t="s">
        <v>4163</v>
      </c>
      <c r="I1308" s="0" t="s">
        <v>124</v>
      </c>
      <c r="J1308" s="0" t="s">
        <v>125</v>
      </c>
      <c r="K1308" s="0" t="s">
        <v>89</v>
      </c>
      <c r="L1308" s="0" t="str">
        <f aca="false">IFERROR(VLOOKUP(K1308,'Supplier list'!B:C,2,0),"")</f>
        <v>บริษัท เฮเฟเล่ (ประเทศไทย) จำกัด</v>
      </c>
      <c r="M1308" s="1" t="s">
        <v>1740</v>
      </c>
      <c r="N1308" s="2" t="n">
        <v>29900</v>
      </c>
      <c r="O1308" s="2" t="n">
        <v>17196.5</v>
      </c>
    </row>
    <row r="1309" customFormat="false" ht="16.4" hidden="false" customHeight="false" outlineLevel="0" collapsed="false">
      <c r="A1309" s="0" t="s">
        <v>15</v>
      </c>
      <c r="B1309" s="0" t="s">
        <v>4164</v>
      </c>
      <c r="C1309" s="0" t="n">
        <v>114001</v>
      </c>
      <c r="D1309" s="0" t="n">
        <v>114001</v>
      </c>
      <c r="E1309" s="0" t="s">
        <v>1804</v>
      </c>
      <c r="F1309" s="0" t="s">
        <v>18</v>
      </c>
      <c r="G1309" s="0" t="s">
        <v>4165</v>
      </c>
      <c r="H1309" s="0" t="s">
        <v>4166</v>
      </c>
      <c r="I1309" s="0" t="s">
        <v>124</v>
      </c>
      <c r="J1309" s="0" t="s">
        <v>125</v>
      </c>
      <c r="L1309" s="0" t="str">
        <f aca="false">IFERROR(VLOOKUP(K1309,'Supplier list'!B:C,2,0),"")</f>
        <v/>
      </c>
      <c r="M1309" s="1" t="s">
        <v>1740</v>
      </c>
      <c r="N1309" s="2" t="n">
        <v>4500</v>
      </c>
      <c r="O1309" s="2" t="n">
        <v>0</v>
      </c>
    </row>
    <row r="1310" customFormat="false" ht="16.4" hidden="false" customHeight="false" outlineLevel="0" collapsed="false">
      <c r="A1310" s="0" t="s">
        <v>15</v>
      </c>
      <c r="B1310" s="0" t="s">
        <v>4167</v>
      </c>
      <c r="C1310" s="0" t="n">
        <v>114001</v>
      </c>
      <c r="D1310" s="0" t="n">
        <v>114001</v>
      </c>
      <c r="E1310" s="0" t="s">
        <v>2547</v>
      </c>
      <c r="F1310" s="0" t="s">
        <v>18</v>
      </c>
      <c r="G1310" s="0" t="s">
        <v>4168</v>
      </c>
      <c r="H1310" s="0" t="s">
        <v>4169</v>
      </c>
      <c r="I1310" s="0" t="s">
        <v>21</v>
      </c>
      <c r="J1310" s="0" t="s">
        <v>22</v>
      </c>
      <c r="K1310" s="0" t="s">
        <v>606</v>
      </c>
      <c r="L1310" s="0" t="str">
        <f aca="false">IFERROR(VLOOKUP(K1310,'Supplier list'!B:C,2,0),"")</f>
        <v/>
      </c>
      <c r="M1310" s="1" t="s">
        <v>24</v>
      </c>
      <c r="O1310" s="2" t="n">
        <v>124</v>
      </c>
    </row>
    <row r="1311" customFormat="false" ht="16.4" hidden="false" customHeight="false" outlineLevel="0" collapsed="false">
      <c r="A1311" s="0" t="s">
        <v>15</v>
      </c>
      <c r="B1311" s="0" t="s">
        <v>4170</v>
      </c>
      <c r="C1311" s="0" t="n">
        <v>114001</v>
      </c>
      <c r="D1311" s="0" t="n">
        <v>114001</v>
      </c>
      <c r="E1311" s="0" t="s">
        <v>1764</v>
      </c>
      <c r="F1311" s="0" t="s">
        <v>18</v>
      </c>
      <c r="G1311" s="0" t="s">
        <v>4171</v>
      </c>
      <c r="H1311" s="0" t="s">
        <v>4172</v>
      </c>
      <c r="I1311" s="0" t="s">
        <v>21</v>
      </c>
      <c r="J1311" s="0" t="s">
        <v>22</v>
      </c>
      <c r="K1311" s="0" t="s">
        <v>787</v>
      </c>
      <c r="L1311" s="0" t="str">
        <f aca="false">IFERROR(VLOOKUP(K1311,'Supplier list'!B:C,2,0),"")</f>
        <v>บริษัท ฟิวเจอร์เทค อินเตอร์มาร์เก็ตติ้ง จำกัด</v>
      </c>
      <c r="M1311" s="1" t="s">
        <v>24</v>
      </c>
      <c r="O1311" s="2" t="n">
        <v>52.5</v>
      </c>
    </row>
    <row r="1312" customFormat="false" ht="16.4" hidden="false" customHeight="false" outlineLevel="0" collapsed="false">
      <c r="A1312" s="0" t="s">
        <v>15</v>
      </c>
      <c r="B1312" s="0" t="s">
        <v>4173</v>
      </c>
      <c r="C1312" s="0" t="n">
        <v>114001</v>
      </c>
      <c r="D1312" s="0" t="n">
        <v>114001</v>
      </c>
      <c r="E1312" s="0" t="s">
        <v>4174</v>
      </c>
      <c r="F1312" s="0" t="s">
        <v>18</v>
      </c>
      <c r="G1312" s="0" t="s">
        <v>4175</v>
      </c>
      <c r="H1312" s="0" t="s">
        <v>4176</v>
      </c>
      <c r="I1312" s="0" t="s">
        <v>102</v>
      </c>
      <c r="J1312" s="0" t="s">
        <v>103</v>
      </c>
      <c r="K1312" s="0" t="s">
        <v>303</v>
      </c>
      <c r="L1312" s="0" t="str">
        <f aca="false">IFERROR(VLOOKUP(K1312,'Supplier list'!B:C,2,0),"")</f>
        <v>บริษัท เอ็มเค วู้ดเทค จำกัด</v>
      </c>
      <c r="M1312" s="1" t="s">
        <v>24</v>
      </c>
      <c r="O1312" s="2" t="n">
        <v>220</v>
      </c>
    </row>
    <row r="1313" customFormat="false" ht="16.4" hidden="false" customHeight="false" outlineLevel="0" collapsed="false">
      <c r="A1313" s="0" t="s">
        <v>15</v>
      </c>
      <c r="B1313" s="0" t="s">
        <v>4177</v>
      </c>
      <c r="C1313" s="0" t="n">
        <v>114001</v>
      </c>
      <c r="D1313" s="0" t="n">
        <v>114001</v>
      </c>
      <c r="E1313" s="0" t="s">
        <v>4174</v>
      </c>
      <c r="F1313" s="0" t="s">
        <v>18</v>
      </c>
      <c r="G1313" s="0" t="s">
        <v>4178</v>
      </c>
      <c r="H1313" s="0" t="s">
        <v>4179</v>
      </c>
      <c r="I1313" s="0" t="s">
        <v>102</v>
      </c>
      <c r="J1313" s="0" t="s">
        <v>103</v>
      </c>
      <c r="K1313" s="0" t="s">
        <v>4180</v>
      </c>
      <c r="L1313" s="0" t="str">
        <f aca="false">IFERROR(VLOOKUP(K1313,'Supplier list'!B:C,2,0),"")</f>
        <v>บริษัท กรีนรีเวอร์ พาเนล (ประเทศไทย) จำกัด</v>
      </c>
      <c r="M1313" s="1" t="s">
        <v>24</v>
      </c>
      <c r="O1313" s="2" t="n">
        <v>336</v>
      </c>
    </row>
    <row r="1314" customFormat="false" ht="16.4" hidden="false" customHeight="false" outlineLevel="0" collapsed="false">
      <c r="A1314" s="0" t="s">
        <v>15</v>
      </c>
      <c r="B1314" s="0" t="s">
        <v>4181</v>
      </c>
      <c r="C1314" s="0" t="n">
        <v>114001</v>
      </c>
      <c r="D1314" s="0" t="n">
        <v>114001</v>
      </c>
      <c r="E1314" s="0" t="s">
        <v>4174</v>
      </c>
      <c r="F1314" s="0" t="s">
        <v>18</v>
      </c>
      <c r="G1314" s="0" t="s">
        <v>4182</v>
      </c>
      <c r="H1314" s="0" t="s">
        <v>4183</v>
      </c>
      <c r="I1314" s="0" t="s">
        <v>102</v>
      </c>
      <c r="J1314" s="0" t="s">
        <v>103</v>
      </c>
      <c r="K1314" s="0" t="s">
        <v>303</v>
      </c>
      <c r="L1314" s="0" t="str">
        <f aca="false">IFERROR(VLOOKUP(K1314,'Supplier list'!B:C,2,0),"")</f>
        <v>บริษัท เอ็มเค วู้ดเทค จำกัด</v>
      </c>
      <c r="M1314" s="1" t="s">
        <v>24</v>
      </c>
      <c r="O1314" s="2" t="n">
        <v>9.1</v>
      </c>
    </row>
    <row r="1315" customFormat="false" ht="16.4" hidden="false" customHeight="false" outlineLevel="0" collapsed="false">
      <c r="A1315" s="0" t="s">
        <v>15</v>
      </c>
      <c r="B1315" s="0" t="s">
        <v>4184</v>
      </c>
      <c r="C1315" s="0" t="n">
        <v>114001</v>
      </c>
      <c r="D1315" s="0" t="n">
        <v>114001</v>
      </c>
      <c r="E1315" s="0" t="s">
        <v>4174</v>
      </c>
      <c r="F1315" s="0" t="s">
        <v>18</v>
      </c>
      <c r="G1315" s="0" t="s">
        <v>4185</v>
      </c>
      <c r="H1315" s="0" t="s">
        <v>4186</v>
      </c>
      <c r="I1315" s="0" t="s">
        <v>396</v>
      </c>
      <c r="J1315" s="0" t="s">
        <v>397</v>
      </c>
      <c r="K1315" s="0" t="s">
        <v>303</v>
      </c>
      <c r="L1315" s="0" t="str">
        <f aca="false">IFERROR(VLOOKUP(K1315,'Supplier list'!B:C,2,0),"")</f>
        <v>บริษัท เอ็มเค วู้ดเทค จำกัด</v>
      </c>
      <c r="M1315" s="1" t="s">
        <v>24</v>
      </c>
      <c r="O1315" s="2" t="n">
        <v>220</v>
      </c>
    </row>
    <row r="1316" customFormat="false" ht="16.4" hidden="false" customHeight="false" outlineLevel="0" collapsed="false">
      <c r="A1316" s="0" t="s">
        <v>15</v>
      </c>
      <c r="B1316" s="0" t="s">
        <v>4187</v>
      </c>
      <c r="C1316" s="0" t="n">
        <v>114001</v>
      </c>
      <c r="D1316" s="0" t="n">
        <v>114001</v>
      </c>
      <c r="E1316" s="0" t="s">
        <v>4174</v>
      </c>
      <c r="F1316" s="0" t="s">
        <v>18</v>
      </c>
      <c r="G1316" s="0" t="s">
        <v>4188</v>
      </c>
      <c r="H1316" s="0" t="s">
        <v>4189</v>
      </c>
      <c r="I1316" s="0" t="s">
        <v>396</v>
      </c>
      <c r="J1316" s="0" t="s">
        <v>397</v>
      </c>
      <c r="K1316" s="0" t="s">
        <v>303</v>
      </c>
      <c r="L1316" s="0" t="str">
        <f aca="false">IFERROR(VLOOKUP(K1316,'Supplier list'!B:C,2,0),"")</f>
        <v>บริษัท เอ็มเค วู้ดเทค จำกัด</v>
      </c>
      <c r="M1316" s="1" t="s">
        <v>24</v>
      </c>
      <c r="O1316" s="2" t="n">
        <v>9.1</v>
      </c>
    </row>
    <row r="1317" customFormat="false" ht="16.4" hidden="false" customHeight="false" outlineLevel="0" collapsed="false">
      <c r="A1317" s="0" t="s">
        <v>15</v>
      </c>
      <c r="B1317" s="0" t="s">
        <v>4190</v>
      </c>
      <c r="C1317" s="0" t="n">
        <v>114001</v>
      </c>
      <c r="D1317" s="0" t="n">
        <v>114001</v>
      </c>
      <c r="E1317" s="0" t="s">
        <v>4174</v>
      </c>
      <c r="F1317" s="0" t="s">
        <v>18</v>
      </c>
      <c r="G1317" s="0" t="s">
        <v>4191</v>
      </c>
      <c r="H1317" s="0" t="s">
        <v>4192</v>
      </c>
      <c r="I1317" s="0" t="s">
        <v>102</v>
      </c>
      <c r="J1317" s="0" t="s">
        <v>103</v>
      </c>
      <c r="K1317" s="0" t="s">
        <v>4193</v>
      </c>
      <c r="L1317" s="0" t="str">
        <f aca="false">IFERROR(VLOOKUP(K1317,'Supplier list'!B:C,2,0),"")</f>
        <v>บริษัท ไท่ ชาง อินเตอร์เนชั่นแนล คอมเมอร์เชียล เทรด จำกัด</v>
      </c>
      <c r="M1317" s="1" t="s">
        <v>24</v>
      </c>
      <c r="O1317" s="2" t="n">
        <v>0</v>
      </c>
    </row>
    <row r="1318" customFormat="false" ht="16.4" hidden="false" customHeight="false" outlineLevel="0" collapsed="false">
      <c r="A1318" s="0" t="s">
        <v>15</v>
      </c>
      <c r="B1318" s="0" t="s">
        <v>4194</v>
      </c>
      <c r="C1318" s="0" t="n">
        <v>114001</v>
      </c>
      <c r="D1318" s="0" t="n">
        <v>114001</v>
      </c>
      <c r="E1318" s="0" t="s">
        <v>4174</v>
      </c>
      <c r="F1318" s="0" t="s">
        <v>18</v>
      </c>
      <c r="G1318" s="0" t="s">
        <v>4195</v>
      </c>
      <c r="H1318" s="0" t="s">
        <v>4196</v>
      </c>
      <c r="I1318" s="0" t="s">
        <v>102</v>
      </c>
      <c r="J1318" s="0" t="s">
        <v>103</v>
      </c>
      <c r="K1318" s="0" t="s">
        <v>4193</v>
      </c>
      <c r="L1318" s="0" t="str">
        <f aca="false">IFERROR(VLOOKUP(K1318,'Supplier list'!B:C,2,0),"")</f>
        <v>บริษัท ไท่ ชาง อินเตอร์เนชั่นแนล คอมเมอร์เชียล เทรด จำกัด</v>
      </c>
      <c r="M1318" s="1" t="s">
        <v>24</v>
      </c>
      <c r="O1318" s="2" t="n">
        <v>915</v>
      </c>
    </row>
    <row r="1319" customFormat="false" ht="16.4" hidden="false" customHeight="false" outlineLevel="0" collapsed="false">
      <c r="A1319" s="0" t="s">
        <v>15</v>
      </c>
      <c r="B1319" s="0" t="s">
        <v>4197</v>
      </c>
      <c r="C1319" s="0" t="n">
        <v>114001</v>
      </c>
      <c r="D1319" s="0" t="n">
        <v>114001</v>
      </c>
      <c r="E1319" s="0" t="s">
        <v>4174</v>
      </c>
      <c r="F1319" s="0" t="s">
        <v>18</v>
      </c>
      <c r="G1319" s="0" t="s">
        <v>4198</v>
      </c>
      <c r="H1319" s="0" t="s">
        <v>4199</v>
      </c>
      <c r="I1319" s="0" t="s">
        <v>102</v>
      </c>
      <c r="J1319" s="0" t="s">
        <v>103</v>
      </c>
      <c r="K1319" s="0" t="s">
        <v>303</v>
      </c>
      <c r="L1319" s="0" t="str">
        <f aca="false">IFERROR(VLOOKUP(K1319,'Supplier list'!B:C,2,0),"")</f>
        <v>บริษัท เอ็มเค วู้ดเทค จำกัด</v>
      </c>
      <c r="M1319" s="1" t="s">
        <v>24</v>
      </c>
      <c r="O1319" s="2" t="n">
        <v>620</v>
      </c>
    </row>
    <row r="1320" customFormat="false" ht="16.4" hidden="false" customHeight="false" outlineLevel="0" collapsed="false">
      <c r="A1320" s="0" t="s">
        <v>15</v>
      </c>
      <c r="B1320" s="0" t="s">
        <v>4200</v>
      </c>
      <c r="C1320" s="0" t="n">
        <v>114001</v>
      </c>
      <c r="D1320" s="0" t="n">
        <v>114001</v>
      </c>
      <c r="E1320" s="0" t="s">
        <v>4174</v>
      </c>
      <c r="F1320" s="0" t="s">
        <v>18</v>
      </c>
      <c r="G1320" s="0" t="s">
        <v>4201</v>
      </c>
      <c r="H1320" s="0" t="s">
        <v>4202</v>
      </c>
      <c r="I1320" s="0" t="s">
        <v>396</v>
      </c>
      <c r="J1320" s="0" t="s">
        <v>397</v>
      </c>
      <c r="K1320" s="0" t="s">
        <v>4203</v>
      </c>
      <c r="L1320" s="0" t="str">
        <f aca="false">IFERROR(VLOOKUP(K1320,'Supplier list'!B:C,2,0),"")</f>
        <v>บริษัท 9889 Thailnd</v>
      </c>
      <c r="M1320" s="1" t="s">
        <v>24</v>
      </c>
      <c r="O1320" s="2" t="n">
        <v>8.1</v>
      </c>
    </row>
    <row r="1321" customFormat="false" ht="16.4" hidden="false" customHeight="false" outlineLevel="0" collapsed="false">
      <c r="A1321" s="0" t="s">
        <v>15</v>
      </c>
      <c r="B1321" s="0" t="s">
        <v>4204</v>
      </c>
      <c r="C1321" s="0" t="n">
        <v>114001</v>
      </c>
      <c r="D1321" s="0" t="n">
        <v>114001</v>
      </c>
      <c r="E1321" s="0" t="s">
        <v>4174</v>
      </c>
      <c r="F1321" s="0" t="s">
        <v>18</v>
      </c>
      <c r="G1321" s="0" t="s">
        <v>4205</v>
      </c>
      <c r="H1321" s="0" t="s">
        <v>4206</v>
      </c>
      <c r="I1321" s="0" t="s">
        <v>102</v>
      </c>
      <c r="J1321" s="0" t="s">
        <v>103</v>
      </c>
      <c r="K1321" s="0" t="s">
        <v>303</v>
      </c>
      <c r="L1321" s="0" t="str">
        <f aca="false">IFERROR(VLOOKUP(K1321,'Supplier list'!B:C,2,0),"")</f>
        <v>บริษัท เอ็มเค วู้ดเทค จำกัด</v>
      </c>
      <c r="M1321" s="1" t="s">
        <v>24</v>
      </c>
      <c r="O1321" s="2" t="n">
        <v>0</v>
      </c>
    </row>
    <row r="1322" customFormat="false" ht="16.4" hidden="false" customHeight="false" outlineLevel="0" collapsed="false">
      <c r="A1322" s="0" t="s">
        <v>15</v>
      </c>
      <c r="B1322" s="0" t="s">
        <v>4207</v>
      </c>
      <c r="C1322" s="0" t="n">
        <v>114001</v>
      </c>
      <c r="D1322" s="0" t="n">
        <v>114001</v>
      </c>
      <c r="E1322" s="0" t="s">
        <v>4174</v>
      </c>
      <c r="F1322" s="0" t="s">
        <v>18</v>
      </c>
      <c r="G1322" s="0" t="s">
        <v>4208</v>
      </c>
      <c r="H1322" s="0" t="s">
        <v>4209</v>
      </c>
      <c r="I1322" s="0" t="s">
        <v>102</v>
      </c>
      <c r="J1322" s="0" t="s">
        <v>103</v>
      </c>
      <c r="K1322" s="0" t="s">
        <v>303</v>
      </c>
      <c r="L1322" s="0" t="str">
        <f aca="false">IFERROR(VLOOKUP(K1322,'Supplier list'!B:C,2,0),"")</f>
        <v>บริษัท เอ็มเค วู้ดเทค จำกัด</v>
      </c>
      <c r="M1322" s="1" t="s">
        <v>24</v>
      </c>
      <c r="O1322" s="2" t="n">
        <v>0</v>
      </c>
    </row>
    <row r="1323" customFormat="false" ht="16.4" hidden="false" customHeight="false" outlineLevel="0" collapsed="false">
      <c r="A1323" s="0" t="s">
        <v>15</v>
      </c>
      <c r="B1323" s="0" t="s">
        <v>4210</v>
      </c>
      <c r="C1323" s="0" t="n">
        <v>114001</v>
      </c>
      <c r="D1323" s="0" t="n">
        <v>114001</v>
      </c>
      <c r="E1323" s="0" t="s">
        <v>4174</v>
      </c>
      <c r="F1323" s="0" t="s">
        <v>18</v>
      </c>
      <c r="G1323" s="0" t="s">
        <v>4211</v>
      </c>
      <c r="H1323" s="0" t="s">
        <v>4212</v>
      </c>
      <c r="I1323" s="0" t="s">
        <v>102</v>
      </c>
      <c r="J1323" s="0" t="s">
        <v>103</v>
      </c>
      <c r="K1323" s="0" t="s">
        <v>303</v>
      </c>
      <c r="L1323" s="0" t="str">
        <f aca="false">IFERROR(VLOOKUP(K1323,'Supplier list'!B:C,2,0),"")</f>
        <v>บริษัท เอ็มเค วู้ดเทค จำกัด</v>
      </c>
      <c r="M1323" s="1" t="s">
        <v>24</v>
      </c>
      <c r="O1323" s="2" t="n">
        <v>0</v>
      </c>
    </row>
    <row r="1324" customFormat="false" ht="16.4" hidden="false" customHeight="false" outlineLevel="0" collapsed="false">
      <c r="A1324" s="0" t="s">
        <v>15</v>
      </c>
      <c r="B1324" s="0" t="s">
        <v>4213</v>
      </c>
      <c r="C1324" s="0" t="n">
        <v>114001</v>
      </c>
      <c r="D1324" s="0" t="n">
        <v>114001</v>
      </c>
      <c r="E1324" s="0" t="s">
        <v>4174</v>
      </c>
      <c r="F1324" s="0" t="s">
        <v>18</v>
      </c>
      <c r="G1324" s="0" t="s">
        <v>4214</v>
      </c>
      <c r="H1324" s="0" t="s">
        <v>4215</v>
      </c>
      <c r="I1324" s="0" t="s">
        <v>102</v>
      </c>
      <c r="J1324" s="0" t="s">
        <v>103</v>
      </c>
      <c r="K1324" s="0" t="s">
        <v>303</v>
      </c>
      <c r="L1324" s="0" t="str">
        <f aca="false">IFERROR(VLOOKUP(K1324,'Supplier list'!B:C,2,0),"")</f>
        <v>บริษัท เอ็มเค วู้ดเทค จำกัด</v>
      </c>
      <c r="M1324" s="1" t="s">
        <v>24</v>
      </c>
      <c r="O1324" s="2" t="n">
        <v>0</v>
      </c>
    </row>
    <row r="1325" customFormat="false" ht="16.4" hidden="false" customHeight="false" outlineLevel="0" collapsed="false">
      <c r="A1325" s="0" t="s">
        <v>15</v>
      </c>
      <c r="B1325" s="0" t="s">
        <v>4216</v>
      </c>
      <c r="C1325" s="0" t="n">
        <v>114001</v>
      </c>
      <c r="D1325" s="0" t="n">
        <v>114001</v>
      </c>
      <c r="E1325" s="0" t="s">
        <v>4174</v>
      </c>
      <c r="F1325" s="0" t="s">
        <v>18</v>
      </c>
      <c r="G1325" s="0" t="s">
        <v>4217</v>
      </c>
      <c r="H1325" s="0" t="s">
        <v>4218</v>
      </c>
      <c r="I1325" s="0" t="s">
        <v>102</v>
      </c>
      <c r="J1325" s="0" t="s">
        <v>103</v>
      </c>
      <c r="K1325" s="0" t="s">
        <v>303</v>
      </c>
      <c r="L1325" s="0" t="str">
        <f aca="false">IFERROR(VLOOKUP(K1325,'Supplier list'!B:C,2,0),"")</f>
        <v>บริษัท เอ็มเค วู้ดเทค จำกัด</v>
      </c>
      <c r="M1325" s="1" t="s">
        <v>24</v>
      </c>
      <c r="O1325" s="2" t="n">
        <v>0</v>
      </c>
    </row>
    <row r="1326" customFormat="false" ht="16.4" hidden="false" customHeight="false" outlineLevel="0" collapsed="false">
      <c r="A1326" s="0" t="s">
        <v>15</v>
      </c>
      <c r="B1326" s="0" t="s">
        <v>4219</v>
      </c>
      <c r="C1326" s="0" t="n">
        <v>114001</v>
      </c>
      <c r="D1326" s="0" t="n">
        <v>114001</v>
      </c>
      <c r="E1326" s="0" t="s">
        <v>4174</v>
      </c>
      <c r="F1326" s="0" t="s">
        <v>18</v>
      </c>
      <c r="G1326" s="0" t="s">
        <v>4220</v>
      </c>
      <c r="H1326" s="0" t="s">
        <v>4221</v>
      </c>
      <c r="I1326" s="0" t="s">
        <v>102</v>
      </c>
      <c r="J1326" s="0" t="s">
        <v>103</v>
      </c>
      <c r="K1326" s="0" t="s">
        <v>303</v>
      </c>
      <c r="L1326" s="0" t="str">
        <f aca="false">IFERROR(VLOOKUP(K1326,'Supplier list'!B:C,2,0),"")</f>
        <v>บริษัท เอ็มเค วู้ดเทค จำกัด</v>
      </c>
      <c r="M1326" s="1" t="s">
        <v>24</v>
      </c>
      <c r="O1326" s="2" t="n">
        <v>0</v>
      </c>
    </row>
    <row r="1327" customFormat="false" ht="16.4" hidden="false" customHeight="false" outlineLevel="0" collapsed="false">
      <c r="A1327" s="0" t="s">
        <v>15</v>
      </c>
      <c r="B1327" s="0" t="s">
        <v>4222</v>
      </c>
      <c r="C1327" s="0" t="n">
        <v>114001</v>
      </c>
      <c r="D1327" s="0" t="n">
        <v>114001</v>
      </c>
      <c r="E1327" s="0" t="s">
        <v>4174</v>
      </c>
      <c r="F1327" s="0" t="s">
        <v>18</v>
      </c>
      <c r="G1327" s="0" t="s">
        <v>4223</v>
      </c>
      <c r="H1327" s="0" t="s">
        <v>4224</v>
      </c>
      <c r="I1327" s="0" t="s">
        <v>102</v>
      </c>
      <c r="J1327" s="0" t="s">
        <v>103</v>
      </c>
      <c r="L1327" s="0" t="str">
        <f aca="false">IFERROR(VLOOKUP(K1327,'Supplier list'!B:C,2,0),"")</f>
        <v/>
      </c>
      <c r="M1327" s="1" t="s">
        <v>24</v>
      </c>
      <c r="O1327" s="2" t="n">
        <v>0</v>
      </c>
    </row>
    <row r="1328" customFormat="false" ht="16.4" hidden="false" customHeight="false" outlineLevel="0" collapsed="false">
      <c r="A1328" s="0" t="s">
        <v>15</v>
      </c>
      <c r="B1328" s="0" t="s">
        <v>4225</v>
      </c>
      <c r="C1328" s="0" t="n">
        <v>114001</v>
      </c>
      <c r="D1328" s="0" t="n">
        <v>114001</v>
      </c>
      <c r="E1328" s="0" t="s">
        <v>4174</v>
      </c>
      <c r="F1328" s="0" t="s">
        <v>18</v>
      </c>
      <c r="G1328" s="0" t="s">
        <v>4226</v>
      </c>
      <c r="H1328" s="0" t="s">
        <v>4227</v>
      </c>
      <c r="I1328" s="0" t="s">
        <v>102</v>
      </c>
      <c r="J1328" s="0" t="s">
        <v>103</v>
      </c>
      <c r="L1328" s="0" t="str">
        <f aca="false">IFERROR(VLOOKUP(K1328,'Supplier list'!B:C,2,0),"")</f>
        <v/>
      </c>
      <c r="M1328" s="1" t="s">
        <v>24</v>
      </c>
      <c r="O1328" s="2" t="n">
        <v>0</v>
      </c>
    </row>
    <row r="1329" customFormat="false" ht="16.4" hidden="false" customHeight="false" outlineLevel="0" collapsed="false">
      <c r="A1329" s="0" t="s">
        <v>15</v>
      </c>
      <c r="B1329" s="0" t="s">
        <v>4228</v>
      </c>
      <c r="C1329" s="0" t="n">
        <v>114001</v>
      </c>
      <c r="D1329" s="0" t="n">
        <v>114001</v>
      </c>
      <c r="E1329" s="0" t="s">
        <v>4174</v>
      </c>
      <c r="F1329" s="0" t="s">
        <v>18</v>
      </c>
      <c r="G1329" s="0" t="s">
        <v>4229</v>
      </c>
      <c r="H1329" s="0" t="s">
        <v>4230</v>
      </c>
      <c r="I1329" s="0" t="s">
        <v>102</v>
      </c>
      <c r="J1329" s="0" t="s">
        <v>103</v>
      </c>
      <c r="L1329" s="0" t="str">
        <f aca="false">IFERROR(VLOOKUP(K1329,'Supplier list'!B:C,2,0),"")</f>
        <v/>
      </c>
      <c r="M1329" s="1" t="s">
        <v>24</v>
      </c>
      <c r="O1329" s="2" t="n">
        <v>0</v>
      </c>
    </row>
    <row r="1330" customFormat="false" ht="16.4" hidden="false" customHeight="false" outlineLevel="0" collapsed="false">
      <c r="A1330" s="0" t="s">
        <v>15</v>
      </c>
      <c r="B1330" s="0" t="s">
        <v>4231</v>
      </c>
      <c r="C1330" s="0" t="n">
        <v>114001</v>
      </c>
      <c r="D1330" s="0" t="n">
        <v>114001</v>
      </c>
      <c r="E1330" s="0" t="s">
        <v>4174</v>
      </c>
      <c r="F1330" s="0" t="s">
        <v>18</v>
      </c>
      <c r="G1330" s="0" t="s">
        <v>4232</v>
      </c>
      <c r="H1330" s="0" t="s">
        <v>4233</v>
      </c>
      <c r="I1330" s="0" t="s">
        <v>102</v>
      </c>
      <c r="J1330" s="0" t="s">
        <v>103</v>
      </c>
      <c r="L1330" s="0" t="str">
        <f aca="false">IFERROR(VLOOKUP(K1330,'Supplier list'!B:C,2,0),"")</f>
        <v/>
      </c>
      <c r="M1330" s="1" t="s">
        <v>24</v>
      </c>
      <c r="O1330" s="2" t="n">
        <v>0</v>
      </c>
    </row>
    <row r="1331" customFormat="false" ht="16.4" hidden="false" customHeight="false" outlineLevel="0" collapsed="false">
      <c r="A1331" s="0" t="s">
        <v>15</v>
      </c>
      <c r="B1331" s="0" t="s">
        <v>4234</v>
      </c>
      <c r="C1331" s="0" t="n">
        <v>114001</v>
      </c>
      <c r="D1331" s="0" t="n">
        <v>114001</v>
      </c>
      <c r="E1331" s="0" t="s">
        <v>4174</v>
      </c>
      <c r="F1331" s="0" t="s">
        <v>18</v>
      </c>
      <c r="G1331" s="0" t="s">
        <v>4235</v>
      </c>
      <c r="H1331" s="0" t="s">
        <v>4236</v>
      </c>
      <c r="I1331" s="0" t="s">
        <v>396</v>
      </c>
      <c r="J1331" s="0" t="s">
        <v>397</v>
      </c>
      <c r="K1331" s="0" t="s">
        <v>4237</v>
      </c>
      <c r="L1331" s="0" t="str">
        <f aca="false">IFERROR(VLOOKUP(K1331,'Supplier list'!B:C,2,0),"")</f>
        <v>บริษัท ดี.เอ็กซ์.เทคนิค จำกัด</v>
      </c>
      <c r="M1331" s="1" t="s">
        <v>24</v>
      </c>
      <c r="O1331" s="2" t="n">
        <v>2.28</v>
      </c>
    </row>
    <row r="1332" customFormat="false" ht="16.4" hidden="false" customHeight="false" outlineLevel="0" collapsed="false">
      <c r="A1332" s="0" t="s">
        <v>15</v>
      </c>
      <c r="B1332" s="0" t="s">
        <v>4238</v>
      </c>
      <c r="C1332" s="0" t="n">
        <v>114001</v>
      </c>
      <c r="D1332" s="0" t="n">
        <v>114001</v>
      </c>
      <c r="E1332" s="0" t="s">
        <v>4174</v>
      </c>
      <c r="F1332" s="0" t="s">
        <v>18</v>
      </c>
      <c r="G1332" s="0" t="s">
        <v>4239</v>
      </c>
      <c r="H1332" s="0" t="s">
        <v>4240</v>
      </c>
      <c r="I1332" s="0" t="s">
        <v>396</v>
      </c>
      <c r="J1332" s="0" t="s">
        <v>397</v>
      </c>
      <c r="K1332" s="0" t="s">
        <v>4203</v>
      </c>
      <c r="L1332" s="0" t="str">
        <f aca="false">IFERROR(VLOOKUP(K1332,'Supplier list'!B:C,2,0),"")</f>
        <v>บริษัท 9889 Thailnd</v>
      </c>
      <c r="M1332" s="1" t="s">
        <v>24</v>
      </c>
      <c r="O1332" s="2" t="n">
        <v>0</v>
      </c>
    </row>
    <row r="1333" customFormat="false" ht="16.4" hidden="false" customHeight="false" outlineLevel="0" collapsed="false">
      <c r="A1333" s="0" t="s">
        <v>15</v>
      </c>
      <c r="B1333" s="0" t="s">
        <v>4241</v>
      </c>
      <c r="C1333" s="0" t="n">
        <v>114001</v>
      </c>
      <c r="D1333" s="0" t="n">
        <v>114001</v>
      </c>
      <c r="E1333" s="0" t="s">
        <v>4174</v>
      </c>
      <c r="F1333" s="0" t="s">
        <v>18</v>
      </c>
      <c r="G1333" s="0" t="s">
        <v>4242</v>
      </c>
      <c r="H1333" s="0" t="s">
        <v>4243</v>
      </c>
      <c r="I1333" s="0" t="s">
        <v>102</v>
      </c>
      <c r="J1333" s="0" t="s">
        <v>103</v>
      </c>
      <c r="K1333" s="0" t="s">
        <v>303</v>
      </c>
      <c r="L1333" s="0" t="str">
        <f aca="false">IFERROR(VLOOKUP(K1333,'Supplier list'!B:C,2,0),"")</f>
        <v>บริษัท เอ็มเค วู้ดเทค จำกัด</v>
      </c>
      <c r="M1333" s="1" t="s">
        <v>24</v>
      </c>
      <c r="O1333" s="2" t="n">
        <v>0</v>
      </c>
    </row>
    <row r="1334" customFormat="false" ht="16.4" hidden="false" customHeight="false" outlineLevel="0" collapsed="false">
      <c r="A1334" s="0" t="s">
        <v>15</v>
      </c>
      <c r="B1334" s="0" t="s">
        <v>4244</v>
      </c>
      <c r="C1334" s="0" t="n">
        <v>114001</v>
      </c>
      <c r="D1334" s="0" t="n">
        <v>114001</v>
      </c>
      <c r="E1334" s="0" t="s">
        <v>4174</v>
      </c>
      <c r="F1334" s="0" t="s">
        <v>18</v>
      </c>
      <c r="G1334" s="0" t="s">
        <v>4245</v>
      </c>
      <c r="H1334" s="0" t="s">
        <v>4246</v>
      </c>
      <c r="I1334" s="0" t="s">
        <v>396</v>
      </c>
      <c r="J1334" s="0" t="s">
        <v>397</v>
      </c>
      <c r="K1334" s="0" t="s">
        <v>4203</v>
      </c>
      <c r="L1334" s="0" t="str">
        <f aca="false">IFERROR(VLOOKUP(K1334,'Supplier list'!B:C,2,0),"")</f>
        <v>บริษัท 9889 Thailnd</v>
      </c>
      <c r="M1334" s="1" t="s">
        <v>24</v>
      </c>
      <c r="O1334" s="2" t="n">
        <v>6.5</v>
      </c>
    </row>
    <row r="1335" customFormat="false" ht="16.4" hidden="false" customHeight="false" outlineLevel="0" collapsed="false">
      <c r="A1335" s="0" t="s">
        <v>15</v>
      </c>
      <c r="B1335" s="0" t="s">
        <v>4247</v>
      </c>
      <c r="C1335" s="0" t="n">
        <v>114001</v>
      </c>
      <c r="D1335" s="0" t="n">
        <v>114001</v>
      </c>
      <c r="E1335" s="0" t="s">
        <v>4174</v>
      </c>
      <c r="F1335" s="0" t="s">
        <v>18</v>
      </c>
      <c r="G1335" s="0" t="s">
        <v>4248</v>
      </c>
      <c r="H1335" s="0" t="s">
        <v>4249</v>
      </c>
      <c r="I1335" s="0" t="s">
        <v>396</v>
      </c>
      <c r="J1335" s="0" t="s">
        <v>397</v>
      </c>
      <c r="K1335" s="0" t="s">
        <v>4203</v>
      </c>
      <c r="L1335" s="0" t="str">
        <f aca="false">IFERROR(VLOOKUP(K1335,'Supplier list'!B:C,2,0),"")</f>
        <v>บริษัท 9889 Thailnd</v>
      </c>
      <c r="M1335" s="1" t="s">
        <v>24</v>
      </c>
      <c r="O1335" s="2" t="n">
        <v>6.8</v>
      </c>
    </row>
    <row r="1336" customFormat="false" ht="16.4" hidden="false" customHeight="false" outlineLevel="0" collapsed="false">
      <c r="A1336" s="0" t="s">
        <v>15</v>
      </c>
      <c r="B1336" s="0" t="s">
        <v>4250</v>
      </c>
      <c r="C1336" s="0" t="n">
        <v>114001</v>
      </c>
      <c r="D1336" s="0" t="n">
        <v>114001</v>
      </c>
      <c r="E1336" s="0" t="s">
        <v>4174</v>
      </c>
      <c r="F1336" s="0" t="s">
        <v>18</v>
      </c>
      <c r="G1336" s="0" t="s">
        <v>4251</v>
      </c>
      <c r="H1336" s="0" t="s">
        <v>4252</v>
      </c>
      <c r="I1336" s="0" t="s">
        <v>102</v>
      </c>
      <c r="J1336" s="0" t="s">
        <v>103</v>
      </c>
      <c r="K1336" s="0" t="s">
        <v>303</v>
      </c>
      <c r="L1336" s="0" t="str">
        <f aca="false">IFERROR(VLOOKUP(K1336,'Supplier list'!B:C,2,0),"")</f>
        <v>บริษัท เอ็มเค วู้ดเทค จำกัด</v>
      </c>
      <c r="M1336" s="1" t="s">
        <v>24</v>
      </c>
      <c r="O1336" s="2" t="n">
        <v>0</v>
      </c>
    </row>
    <row r="1337" customFormat="false" ht="16.4" hidden="false" customHeight="false" outlineLevel="0" collapsed="false">
      <c r="A1337" s="0" t="s">
        <v>15</v>
      </c>
      <c r="B1337" s="0" t="s">
        <v>4253</v>
      </c>
      <c r="C1337" s="0" t="n">
        <v>114001</v>
      </c>
      <c r="D1337" s="0" t="n">
        <v>114001</v>
      </c>
      <c r="E1337" s="0" t="s">
        <v>4174</v>
      </c>
      <c r="F1337" s="0" t="s">
        <v>18</v>
      </c>
      <c r="G1337" s="0" t="s">
        <v>4254</v>
      </c>
      <c r="H1337" s="0" t="s">
        <v>4255</v>
      </c>
      <c r="I1337" s="0" t="s">
        <v>102</v>
      </c>
      <c r="J1337" s="0" t="s">
        <v>103</v>
      </c>
      <c r="K1337" s="0" t="s">
        <v>303</v>
      </c>
      <c r="L1337" s="0" t="str">
        <f aca="false">IFERROR(VLOOKUP(K1337,'Supplier list'!B:C,2,0),"")</f>
        <v>บริษัท เอ็มเค วู้ดเทค จำกัด</v>
      </c>
      <c r="M1337" s="1" t="s">
        <v>24</v>
      </c>
      <c r="O1337" s="2" t="n">
        <v>0</v>
      </c>
    </row>
    <row r="1338" customFormat="false" ht="16.4" hidden="false" customHeight="false" outlineLevel="0" collapsed="false">
      <c r="A1338" s="0" t="s">
        <v>15</v>
      </c>
      <c r="B1338" s="0" t="s">
        <v>4256</v>
      </c>
      <c r="C1338" s="0" t="n">
        <v>114001</v>
      </c>
      <c r="D1338" s="0" t="n">
        <v>114001</v>
      </c>
      <c r="E1338" s="0" t="s">
        <v>4174</v>
      </c>
      <c r="F1338" s="0" t="s">
        <v>18</v>
      </c>
      <c r="G1338" s="0" t="s">
        <v>4257</v>
      </c>
      <c r="H1338" s="0" t="s">
        <v>4258</v>
      </c>
      <c r="I1338" s="0" t="s">
        <v>102</v>
      </c>
      <c r="J1338" s="0" t="s">
        <v>103</v>
      </c>
      <c r="K1338" s="0" t="s">
        <v>303</v>
      </c>
      <c r="L1338" s="0" t="str">
        <f aca="false">IFERROR(VLOOKUP(K1338,'Supplier list'!B:C,2,0),"")</f>
        <v>บริษัท เอ็มเค วู้ดเทค จำกัด</v>
      </c>
      <c r="M1338" s="1" t="s">
        <v>24</v>
      </c>
      <c r="O1338" s="2" t="n">
        <v>0</v>
      </c>
    </row>
    <row r="1339" customFormat="false" ht="16.4" hidden="false" customHeight="false" outlineLevel="0" collapsed="false">
      <c r="A1339" s="0" t="s">
        <v>15</v>
      </c>
      <c r="B1339" s="0" t="s">
        <v>4259</v>
      </c>
      <c r="C1339" s="0" t="n">
        <v>114001</v>
      </c>
      <c r="D1339" s="0" t="n">
        <v>114001</v>
      </c>
      <c r="E1339" s="0" t="s">
        <v>4174</v>
      </c>
      <c r="F1339" s="0" t="s">
        <v>18</v>
      </c>
      <c r="G1339" s="0" t="s">
        <v>4260</v>
      </c>
      <c r="H1339" s="0" t="s">
        <v>4261</v>
      </c>
      <c r="I1339" s="0" t="s">
        <v>102</v>
      </c>
      <c r="J1339" s="0" t="s">
        <v>103</v>
      </c>
      <c r="K1339" s="0" t="s">
        <v>303</v>
      </c>
      <c r="L1339" s="0" t="str">
        <f aca="false">IFERROR(VLOOKUP(K1339,'Supplier list'!B:C,2,0),"")</f>
        <v>บริษัท เอ็มเค วู้ดเทค จำกัด</v>
      </c>
      <c r="M1339" s="1" t="s">
        <v>24</v>
      </c>
      <c r="O1339" s="2" t="n">
        <v>0</v>
      </c>
    </row>
    <row r="1340" customFormat="false" ht="16.4" hidden="false" customHeight="false" outlineLevel="0" collapsed="false">
      <c r="A1340" s="0" t="s">
        <v>15</v>
      </c>
      <c r="B1340" s="0" t="s">
        <v>4262</v>
      </c>
      <c r="C1340" s="0" t="n">
        <v>114001</v>
      </c>
      <c r="D1340" s="0" t="n">
        <v>114001</v>
      </c>
      <c r="E1340" s="0" t="s">
        <v>4174</v>
      </c>
      <c r="F1340" s="0" t="s">
        <v>18</v>
      </c>
      <c r="G1340" s="0" t="s">
        <v>4263</v>
      </c>
      <c r="H1340" s="0" t="s">
        <v>4264</v>
      </c>
      <c r="I1340" s="0" t="s">
        <v>102</v>
      </c>
      <c r="J1340" s="0" t="s">
        <v>103</v>
      </c>
      <c r="K1340" s="0" t="s">
        <v>303</v>
      </c>
      <c r="L1340" s="0" t="str">
        <f aca="false">IFERROR(VLOOKUP(K1340,'Supplier list'!B:C,2,0),"")</f>
        <v>บริษัท เอ็มเค วู้ดเทค จำกัด</v>
      </c>
      <c r="M1340" s="1" t="s">
        <v>24</v>
      </c>
      <c r="O1340" s="2" t="n">
        <v>0</v>
      </c>
    </row>
    <row r="1341" customFormat="false" ht="16.4" hidden="false" customHeight="false" outlineLevel="0" collapsed="false">
      <c r="A1341" s="0" t="s">
        <v>15</v>
      </c>
      <c r="B1341" s="0" t="s">
        <v>4265</v>
      </c>
      <c r="C1341" s="0" t="n">
        <v>114001</v>
      </c>
      <c r="D1341" s="0" t="n">
        <v>114001</v>
      </c>
      <c r="E1341" s="0" t="s">
        <v>4174</v>
      </c>
      <c r="F1341" s="0" t="s">
        <v>18</v>
      </c>
      <c r="G1341" s="0" t="s">
        <v>4266</v>
      </c>
      <c r="H1341" s="0" t="s">
        <v>4267</v>
      </c>
      <c r="I1341" s="0" t="s">
        <v>396</v>
      </c>
      <c r="J1341" s="0" t="s">
        <v>397</v>
      </c>
      <c r="K1341" s="0" t="s">
        <v>4203</v>
      </c>
      <c r="L1341" s="0" t="str">
        <f aca="false">IFERROR(VLOOKUP(K1341,'Supplier list'!B:C,2,0),"")</f>
        <v>บริษัท 9889 Thailnd</v>
      </c>
      <c r="M1341" s="1" t="s">
        <v>24</v>
      </c>
      <c r="O1341" s="2" t="n">
        <v>5</v>
      </c>
    </row>
    <row r="1342" customFormat="false" ht="16.4" hidden="false" customHeight="false" outlineLevel="0" collapsed="false">
      <c r="A1342" s="0" t="s">
        <v>15</v>
      </c>
      <c r="B1342" s="0" t="s">
        <v>4268</v>
      </c>
      <c r="C1342" s="0" t="n">
        <v>114001</v>
      </c>
      <c r="D1342" s="0" t="n">
        <v>114001</v>
      </c>
      <c r="E1342" s="0" t="s">
        <v>4174</v>
      </c>
      <c r="F1342" s="0" t="s">
        <v>18</v>
      </c>
      <c r="G1342" s="0" t="s">
        <v>4269</v>
      </c>
      <c r="H1342" s="0" t="s">
        <v>4270</v>
      </c>
      <c r="I1342" s="0" t="s">
        <v>102</v>
      </c>
      <c r="J1342" s="0" t="s">
        <v>103</v>
      </c>
      <c r="K1342" s="0" t="s">
        <v>303</v>
      </c>
      <c r="L1342" s="0" t="str">
        <f aca="false">IFERROR(VLOOKUP(K1342,'Supplier list'!B:C,2,0),"")</f>
        <v>บริษัท เอ็มเค วู้ดเทค จำกัด</v>
      </c>
      <c r="M1342" s="1" t="s">
        <v>24</v>
      </c>
      <c r="O1342" s="2" t="n">
        <v>0</v>
      </c>
    </row>
    <row r="1343" customFormat="false" ht="16.4" hidden="false" customHeight="false" outlineLevel="0" collapsed="false">
      <c r="A1343" s="0" t="s">
        <v>15</v>
      </c>
      <c r="B1343" s="0" t="s">
        <v>4271</v>
      </c>
      <c r="C1343" s="0" t="n">
        <v>114001</v>
      </c>
      <c r="D1343" s="0" t="n">
        <v>114001</v>
      </c>
      <c r="E1343" s="0" t="s">
        <v>4174</v>
      </c>
      <c r="F1343" s="0" t="s">
        <v>18</v>
      </c>
      <c r="G1343" s="0" t="s">
        <v>4272</v>
      </c>
      <c r="H1343" s="0" t="s">
        <v>4273</v>
      </c>
      <c r="I1343" s="0" t="s">
        <v>102</v>
      </c>
      <c r="J1343" s="0" t="s">
        <v>103</v>
      </c>
      <c r="K1343" s="0" t="s">
        <v>303</v>
      </c>
      <c r="L1343" s="0" t="str">
        <f aca="false">IFERROR(VLOOKUP(K1343,'Supplier list'!B:C,2,0),"")</f>
        <v>บริษัท เอ็มเค วู้ดเทค จำกัด</v>
      </c>
      <c r="M1343" s="1" t="s">
        <v>24</v>
      </c>
      <c r="O1343" s="2" t="n">
        <v>0</v>
      </c>
    </row>
    <row r="1344" customFormat="false" ht="16.4" hidden="false" customHeight="false" outlineLevel="0" collapsed="false">
      <c r="A1344" s="0" t="s">
        <v>15</v>
      </c>
      <c r="B1344" s="0" t="s">
        <v>4274</v>
      </c>
      <c r="C1344" s="0" t="n">
        <v>114001</v>
      </c>
      <c r="D1344" s="0" t="n">
        <v>114001</v>
      </c>
      <c r="E1344" s="0" t="s">
        <v>4174</v>
      </c>
      <c r="F1344" s="0" t="s">
        <v>18</v>
      </c>
      <c r="G1344" s="0" t="s">
        <v>4275</v>
      </c>
      <c r="H1344" s="0" t="s">
        <v>4276</v>
      </c>
      <c r="I1344" s="0" t="s">
        <v>102</v>
      </c>
      <c r="J1344" s="0" t="s">
        <v>103</v>
      </c>
      <c r="K1344" s="0" t="s">
        <v>303</v>
      </c>
      <c r="L1344" s="0" t="str">
        <f aca="false">IFERROR(VLOOKUP(K1344,'Supplier list'!B:C,2,0),"")</f>
        <v>บริษัท เอ็มเค วู้ดเทค จำกัด</v>
      </c>
      <c r="M1344" s="1" t="s">
        <v>24</v>
      </c>
      <c r="O1344" s="2" t="n">
        <v>0</v>
      </c>
    </row>
    <row r="1345" customFormat="false" ht="16.4" hidden="false" customHeight="false" outlineLevel="0" collapsed="false">
      <c r="A1345" s="0" t="s">
        <v>15</v>
      </c>
      <c r="B1345" s="0" t="s">
        <v>4277</v>
      </c>
      <c r="C1345" s="0" t="n">
        <v>114001</v>
      </c>
      <c r="D1345" s="0" t="n">
        <v>114001</v>
      </c>
      <c r="E1345" s="0" t="s">
        <v>4174</v>
      </c>
      <c r="F1345" s="0" t="s">
        <v>18</v>
      </c>
      <c r="G1345" s="0" t="s">
        <v>4278</v>
      </c>
      <c r="H1345" s="0" t="s">
        <v>4279</v>
      </c>
      <c r="I1345" s="0" t="s">
        <v>102</v>
      </c>
      <c r="J1345" s="0" t="s">
        <v>103</v>
      </c>
      <c r="K1345" s="0" t="s">
        <v>4280</v>
      </c>
      <c r="L1345" s="0" t="str">
        <f aca="false">IFERROR(VLOOKUP(K1345,'Supplier list'!B:C,2,0),"")</f>
        <v/>
      </c>
      <c r="M1345" s="1" t="s">
        <v>24</v>
      </c>
      <c r="O1345" s="2" t="n">
        <v>655</v>
      </c>
    </row>
    <row r="1346" customFormat="false" ht="16.4" hidden="false" customHeight="false" outlineLevel="0" collapsed="false">
      <c r="A1346" s="0" t="s">
        <v>15</v>
      </c>
      <c r="B1346" s="0" t="s">
        <v>4281</v>
      </c>
      <c r="C1346" s="0" t="n">
        <v>114001</v>
      </c>
      <c r="D1346" s="0" t="n">
        <v>114001</v>
      </c>
      <c r="E1346" s="0" t="s">
        <v>4174</v>
      </c>
      <c r="F1346" s="0" t="s">
        <v>18</v>
      </c>
      <c r="G1346" s="0" t="s">
        <v>4282</v>
      </c>
      <c r="H1346" s="0" t="s">
        <v>4283</v>
      </c>
      <c r="I1346" s="0" t="s">
        <v>102</v>
      </c>
      <c r="J1346" s="0" t="s">
        <v>103</v>
      </c>
      <c r="K1346" s="0" t="s">
        <v>303</v>
      </c>
      <c r="L1346" s="0" t="str">
        <f aca="false">IFERROR(VLOOKUP(K1346,'Supplier list'!B:C,2,0),"")</f>
        <v>บริษัท เอ็มเค วู้ดเทค จำกัด</v>
      </c>
      <c r="M1346" s="1" t="s">
        <v>24</v>
      </c>
      <c r="O1346" s="2" t="n">
        <v>960</v>
      </c>
    </row>
    <row r="1347" customFormat="false" ht="16.4" hidden="false" customHeight="false" outlineLevel="0" collapsed="false">
      <c r="A1347" s="0" t="s">
        <v>15</v>
      </c>
      <c r="B1347" s="0" t="s">
        <v>4284</v>
      </c>
      <c r="C1347" s="0" t="n">
        <v>114001</v>
      </c>
      <c r="D1347" s="0" t="n">
        <v>114001</v>
      </c>
      <c r="E1347" s="0" t="s">
        <v>4174</v>
      </c>
      <c r="F1347" s="0" t="s">
        <v>18</v>
      </c>
      <c r="G1347" s="0" t="s">
        <v>4285</v>
      </c>
      <c r="H1347" s="0" t="s">
        <v>4286</v>
      </c>
      <c r="I1347" s="0" t="s">
        <v>396</v>
      </c>
      <c r="J1347" s="0" t="s">
        <v>397</v>
      </c>
      <c r="L1347" s="0" t="str">
        <f aca="false">IFERROR(VLOOKUP(K1347,'Supplier list'!B:C,2,0),"")</f>
        <v/>
      </c>
      <c r="M1347" s="1" t="s">
        <v>24</v>
      </c>
      <c r="O1347" s="2" t="n">
        <v>0</v>
      </c>
    </row>
    <row r="1348" customFormat="false" ht="16.4" hidden="false" customHeight="false" outlineLevel="0" collapsed="false">
      <c r="A1348" s="0" t="s">
        <v>15</v>
      </c>
      <c r="B1348" s="0" t="s">
        <v>4287</v>
      </c>
      <c r="C1348" s="0" t="n">
        <v>114001</v>
      </c>
      <c r="D1348" s="0" t="n">
        <v>114001</v>
      </c>
      <c r="E1348" s="0" t="s">
        <v>4174</v>
      </c>
      <c r="F1348" s="0" t="s">
        <v>18</v>
      </c>
      <c r="G1348" s="0" t="s">
        <v>4288</v>
      </c>
      <c r="H1348" s="0" t="s">
        <v>4289</v>
      </c>
      <c r="I1348" s="0" t="s">
        <v>102</v>
      </c>
      <c r="J1348" s="0" t="s">
        <v>103</v>
      </c>
      <c r="K1348" s="0" t="s">
        <v>303</v>
      </c>
      <c r="L1348" s="0" t="str">
        <f aca="false">IFERROR(VLOOKUP(K1348,'Supplier list'!B:C,2,0),"")</f>
        <v>บริษัท เอ็มเค วู้ดเทค จำกัด</v>
      </c>
      <c r="M1348" s="1" t="s">
        <v>24</v>
      </c>
      <c r="O1348" s="2" t="n">
        <v>0</v>
      </c>
    </row>
    <row r="1349" customFormat="false" ht="16.4" hidden="false" customHeight="false" outlineLevel="0" collapsed="false">
      <c r="A1349" s="0" t="s">
        <v>15</v>
      </c>
      <c r="B1349" s="0" t="s">
        <v>4290</v>
      </c>
      <c r="C1349" s="0" t="n">
        <v>114001</v>
      </c>
      <c r="D1349" s="0" t="n">
        <v>114001</v>
      </c>
      <c r="E1349" s="0" t="s">
        <v>4174</v>
      </c>
      <c r="F1349" s="0" t="s">
        <v>18</v>
      </c>
      <c r="G1349" s="0" t="s">
        <v>4291</v>
      </c>
      <c r="H1349" s="0" t="s">
        <v>4292</v>
      </c>
      <c r="I1349" s="0" t="s">
        <v>102</v>
      </c>
      <c r="J1349" s="0" t="s">
        <v>103</v>
      </c>
      <c r="K1349" s="0" t="s">
        <v>303</v>
      </c>
      <c r="L1349" s="0" t="str">
        <f aca="false">IFERROR(VLOOKUP(K1349,'Supplier list'!B:C,2,0),"")</f>
        <v>บริษัท เอ็มเค วู้ดเทค จำกัด</v>
      </c>
      <c r="M1349" s="1" t="s">
        <v>24</v>
      </c>
      <c r="O1349" s="2" t="n">
        <v>565</v>
      </c>
    </row>
    <row r="1350" customFormat="false" ht="16.4" hidden="false" customHeight="false" outlineLevel="0" collapsed="false">
      <c r="A1350" s="0" t="s">
        <v>15</v>
      </c>
      <c r="B1350" s="0" t="s">
        <v>4293</v>
      </c>
      <c r="C1350" s="0" t="n">
        <v>114001</v>
      </c>
      <c r="D1350" s="0" t="n">
        <v>114001</v>
      </c>
      <c r="E1350" s="0" t="s">
        <v>4174</v>
      </c>
      <c r="F1350" s="0" t="s">
        <v>18</v>
      </c>
      <c r="G1350" s="0" t="s">
        <v>4294</v>
      </c>
      <c r="H1350" s="0" t="s">
        <v>4295</v>
      </c>
      <c r="I1350" s="0" t="s">
        <v>102</v>
      </c>
      <c r="J1350" s="0" t="s">
        <v>103</v>
      </c>
      <c r="K1350" s="0" t="s">
        <v>303</v>
      </c>
      <c r="L1350" s="0" t="str">
        <f aca="false">IFERROR(VLOOKUP(K1350,'Supplier list'!B:C,2,0),"")</f>
        <v>บริษัท เอ็มเค วู้ดเทค จำกัด</v>
      </c>
      <c r="M1350" s="1" t="s">
        <v>24</v>
      </c>
      <c r="O1350" s="2" t="n">
        <v>0</v>
      </c>
    </row>
    <row r="1351" customFormat="false" ht="16.4" hidden="false" customHeight="false" outlineLevel="0" collapsed="false">
      <c r="A1351" s="0" t="s">
        <v>15</v>
      </c>
      <c r="B1351" s="0" t="s">
        <v>4296</v>
      </c>
      <c r="C1351" s="0" t="n">
        <v>114001</v>
      </c>
      <c r="D1351" s="0" t="n">
        <v>114001</v>
      </c>
      <c r="E1351" s="0" t="s">
        <v>4174</v>
      </c>
      <c r="F1351" s="0" t="s">
        <v>18</v>
      </c>
      <c r="G1351" s="0" t="s">
        <v>4297</v>
      </c>
      <c r="H1351" s="0" t="s">
        <v>4298</v>
      </c>
      <c r="I1351" s="0" t="s">
        <v>102</v>
      </c>
      <c r="J1351" s="0" t="s">
        <v>103</v>
      </c>
      <c r="L1351" s="0" t="str">
        <f aca="false">IFERROR(VLOOKUP(K1351,'Supplier list'!B:C,2,0),"")</f>
        <v/>
      </c>
      <c r="M1351" s="1" t="s">
        <v>24</v>
      </c>
      <c r="O1351" s="2" t="n">
        <v>0</v>
      </c>
    </row>
    <row r="1352" customFormat="false" ht="16.4" hidden="false" customHeight="false" outlineLevel="0" collapsed="false">
      <c r="A1352" s="0" t="s">
        <v>15</v>
      </c>
      <c r="B1352" s="0" t="s">
        <v>4299</v>
      </c>
      <c r="C1352" s="0" t="n">
        <v>114001</v>
      </c>
      <c r="D1352" s="0" t="n">
        <v>114001</v>
      </c>
      <c r="E1352" s="0" t="s">
        <v>4174</v>
      </c>
      <c r="F1352" s="0" t="s">
        <v>18</v>
      </c>
      <c r="G1352" s="0" t="s">
        <v>4300</v>
      </c>
      <c r="H1352" s="0" t="s">
        <v>4301</v>
      </c>
      <c r="I1352" s="0" t="s">
        <v>102</v>
      </c>
      <c r="J1352" s="0" t="s">
        <v>103</v>
      </c>
      <c r="K1352" s="0" t="s">
        <v>303</v>
      </c>
      <c r="L1352" s="0" t="str">
        <f aca="false">IFERROR(VLOOKUP(K1352,'Supplier list'!B:C,2,0),"")</f>
        <v>บริษัท เอ็มเค วู้ดเทค จำกัด</v>
      </c>
      <c r="M1352" s="1" t="s">
        <v>24</v>
      </c>
      <c r="O1352" s="2" t="n">
        <v>0</v>
      </c>
    </row>
    <row r="1353" customFormat="false" ht="16.4" hidden="false" customHeight="false" outlineLevel="0" collapsed="false">
      <c r="A1353" s="0" t="s">
        <v>15</v>
      </c>
      <c r="B1353" s="0" t="s">
        <v>4302</v>
      </c>
      <c r="C1353" s="0" t="n">
        <v>114001</v>
      </c>
      <c r="D1353" s="0" t="n">
        <v>114001</v>
      </c>
      <c r="E1353" s="0" t="s">
        <v>4174</v>
      </c>
      <c r="F1353" s="0" t="s">
        <v>18</v>
      </c>
      <c r="G1353" s="0" t="s">
        <v>4303</v>
      </c>
      <c r="H1353" s="0" t="s">
        <v>4304</v>
      </c>
      <c r="I1353" s="0" t="s">
        <v>102</v>
      </c>
      <c r="J1353" s="0" t="s">
        <v>103</v>
      </c>
      <c r="K1353" s="0" t="s">
        <v>303</v>
      </c>
      <c r="L1353" s="0" t="str">
        <f aca="false">IFERROR(VLOOKUP(K1353,'Supplier list'!B:C,2,0),"")</f>
        <v>บริษัท เอ็มเค วู้ดเทค จำกัด</v>
      </c>
      <c r="M1353" s="1" t="s">
        <v>24</v>
      </c>
      <c r="O1353" s="2" t="n">
        <v>0</v>
      </c>
    </row>
    <row r="1354" customFormat="false" ht="16.4" hidden="false" customHeight="false" outlineLevel="0" collapsed="false">
      <c r="A1354" s="0" t="s">
        <v>15</v>
      </c>
      <c r="B1354" s="0" t="s">
        <v>4305</v>
      </c>
      <c r="C1354" s="0" t="n">
        <v>114001</v>
      </c>
      <c r="D1354" s="0" t="n">
        <v>114001</v>
      </c>
      <c r="E1354" s="0" t="s">
        <v>4174</v>
      </c>
      <c r="F1354" s="0" t="s">
        <v>18</v>
      </c>
      <c r="G1354" s="0" t="s">
        <v>4306</v>
      </c>
      <c r="H1354" s="0" t="s">
        <v>4307</v>
      </c>
      <c r="I1354" s="0" t="s">
        <v>102</v>
      </c>
      <c r="J1354" s="0" t="s">
        <v>103</v>
      </c>
      <c r="K1354" s="0" t="s">
        <v>303</v>
      </c>
      <c r="L1354" s="0" t="str">
        <f aca="false">IFERROR(VLOOKUP(K1354,'Supplier list'!B:C,2,0),"")</f>
        <v>บริษัท เอ็มเค วู้ดเทค จำกัด</v>
      </c>
      <c r="M1354" s="1" t="s">
        <v>24</v>
      </c>
      <c r="O1354" s="2" t="n">
        <v>0</v>
      </c>
    </row>
    <row r="1355" customFormat="false" ht="16.4" hidden="false" customHeight="false" outlineLevel="0" collapsed="false">
      <c r="A1355" s="0" t="s">
        <v>15</v>
      </c>
      <c r="B1355" s="0" t="s">
        <v>4308</v>
      </c>
      <c r="C1355" s="0" t="n">
        <v>114001</v>
      </c>
      <c r="D1355" s="0" t="n">
        <v>114001</v>
      </c>
      <c r="E1355" s="0" t="s">
        <v>4174</v>
      </c>
      <c r="F1355" s="0" t="s">
        <v>18</v>
      </c>
      <c r="G1355" s="0" t="s">
        <v>4309</v>
      </c>
      <c r="H1355" s="0" t="s">
        <v>4310</v>
      </c>
      <c r="I1355" s="0" t="s">
        <v>102</v>
      </c>
      <c r="J1355" s="0" t="s">
        <v>103</v>
      </c>
      <c r="K1355" s="0" t="s">
        <v>303</v>
      </c>
      <c r="L1355" s="0" t="str">
        <f aca="false">IFERROR(VLOOKUP(K1355,'Supplier list'!B:C,2,0),"")</f>
        <v>บริษัท เอ็มเค วู้ดเทค จำกัด</v>
      </c>
      <c r="M1355" s="1" t="s">
        <v>24</v>
      </c>
      <c r="O1355" s="2" t="n">
        <v>0</v>
      </c>
    </row>
    <row r="1356" customFormat="false" ht="16.4" hidden="false" customHeight="false" outlineLevel="0" collapsed="false">
      <c r="A1356" s="0" t="s">
        <v>15</v>
      </c>
      <c r="B1356" s="0" t="s">
        <v>4311</v>
      </c>
      <c r="C1356" s="0" t="n">
        <v>114001</v>
      </c>
      <c r="D1356" s="0" t="n">
        <v>114001</v>
      </c>
      <c r="E1356" s="0" t="s">
        <v>4174</v>
      </c>
      <c r="F1356" s="0" t="s">
        <v>18</v>
      </c>
      <c r="G1356" s="0" t="s">
        <v>4312</v>
      </c>
      <c r="H1356" s="0" t="s">
        <v>4313</v>
      </c>
      <c r="I1356" s="0" t="s">
        <v>102</v>
      </c>
      <c r="J1356" s="0" t="s">
        <v>103</v>
      </c>
      <c r="K1356" s="0" t="s">
        <v>303</v>
      </c>
      <c r="L1356" s="0" t="str">
        <f aca="false">IFERROR(VLOOKUP(K1356,'Supplier list'!B:C,2,0),"")</f>
        <v>บริษัท เอ็มเค วู้ดเทค จำกัด</v>
      </c>
      <c r="M1356" s="1" t="s">
        <v>24</v>
      </c>
      <c r="O1356" s="2" t="n">
        <v>0</v>
      </c>
    </row>
    <row r="1357" customFormat="false" ht="16.4" hidden="false" customHeight="false" outlineLevel="0" collapsed="false">
      <c r="A1357" s="0" t="s">
        <v>15</v>
      </c>
      <c r="B1357" s="0" t="s">
        <v>4314</v>
      </c>
      <c r="C1357" s="0" t="n">
        <v>114001</v>
      </c>
      <c r="D1357" s="0" t="n">
        <v>114001</v>
      </c>
      <c r="E1357" s="0" t="s">
        <v>4174</v>
      </c>
      <c r="F1357" s="0" t="s">
        <v>18</v>
      </c>
      <c r="G1357" s="0" t="s">
        <v>4315</v>
      </c>
      <c r="H1357" s="0" t="s">
        <v>4316</v>
      </c>
      <c r="I1357" s="0" t="s">
        <v>102</v>
      </c>
      <c r="J1357" s="0" t="s">
        <v>103</v>
      </c>
      <c r="K1357" s="0" t="s">
        <v>303</v>
      </c>
      <c r="L1357" s="0" t="str">
        <f aca="false">IFERROR(VLOOKUP(K1357,'Supplier list'!B:C,2,0),"")</f>
        <v>บริษัท เอ็มเค วู้ดเทค จำกัด</v>
      </c>
      <c r="M1357" s="1" t="s">
        <v>24</v>
      </c>
      <c r="O1357" s="2" t="n">
        <v>0</v>
      </c>
    </row>
    <row r="1358" customFormat="false" ht="16.4" hidden="false" customHeight="false" outlineLevel="0" collapsed="false">
      <c r="A1358" s="0" t="s">
        <v>15</v>
      </c>
      <c r="B1358" s="0" t="s">
        <v>4317</v>
      </c>
      <c r="C1358" s="0" t="n">
        <v>114001</v>
      </c>
      <c r="D1358" s="0" t="n">
        <v>114001</v>
      </c>
      <c r="E1358" s="0" t="s">
        <v>4174</v>
      </c>
      <c r="F1358" s="0" t="s">
        <v>18</v>
      </c>
      <c r="G1358" s="0" t="s">
        <v>4318</v>
      </c>
      <c r="H1358" s="0" t="s">
        <v>4319</v>
      </c>
      <c r="I1358" s="0" t="s">
        <v>102</v>
      </c>
      <c r="J1358" s="0" t="s">
        <v>103</v>
      </c>
      <c r="K1358" s="0" t="s">
        <v>303</v>
      </c>
      <c r="L1358" s="0" t="str">
        <f aca="false">IFERROR(VLOOKUP(K1358,'Supplier list'!B:C,2,0),"")</f>
        <v>บริษัท เอ็มเค วู้ดเทค จำกัด</v>
      </c>
      <c r="M1358" s="1" t="s">
        <v>24</v>
      </c>
      <c r="O1358" s="2" t="n">
        <v>0</v>
      </c>
    </row>
    <row r="1359" customFormat="false" ht="16.4" hidden="false" customHeight="false" outlineLevel="0" collapsed="false">
      <c r="A1359" s="0" t="s">
        <v>15</v>
      </c>
      <c r="B1359" s="0" t="s">
        <v>4320</v>
      </c>
      <c r="C1359" s="0" t="n">
        <v>114001</v>
      </c>
      <c r="D1359" s="0" t="n">
        <v>114001</v>
      </c>
      <c r="E1359" s="0" t="s">
        <v>4174</v>
      </c>
      <c r="F1359" s="0" t="s">
        <v>18</v>
      </c>
      <c r="G1359" s="0" t="s">
        <v>4321</v>
      </c>
      <c r="H1359" s="0" t="s">
        <v>4322</v>
      </c>
      <c r="I1359" s="0" t="s">
        <v>102</v>
      </c>
      <c r="J1359" s="0" t="s">
        <v>103</v>
      </c>
      <c r="K1359" s="0" t="s">
        <v>303</v>
      </c>
      <c r="L1359" s="0" t="str">
        <f aca="false">IFERROR(VLOOKUP(K1359,'Supplier list'!B:C,2,0),"")</f>
        <v>บริษัท เอ็มเค วู้ดเทค จำกัด</v>
      </c>
      <c r="M1359" s="1" t="s">
        <v>24</v>
      </c>
      <c r="O1359" s="2" t="n">
        <v>0</v>
      </c>
    </row>
    <row r="1360" customFormat="false" ht="16.4" hidden="false" customHeight="false" outlineLevel="0" collapsed="false">
      <c r="A1360" s="0" t="s">
        <v>15</v>
      </c>
      <c r="B1360" s="0" t="s">
        <v>4323</v>
      </c>
      <c r="C1360" s="0" t="n">
        <v>114001</v>
      </c>
      <c r="D1360" s="0" t="n">
        <v>114001</v>
      </c>
      <c r="E1360" s="0" t="s">
        <v>4174</v>
      </c>
      <c r="F1360" s="0" t="s">
        <v>18</v>
      </c>
      <c r="G1360" s="0" t="s">
        <v>4324</v>
      </c>
      <c r="H1360" s="0" t="s">
        <v>4325</v>
      </c>
      <c r="I1360" s="0" t="s">
        <v>102</v>
      </c>
      <c r="J1360" s="0" t="s">
        <v>103</v>
      </c>
      <c r="K1360" s="0" t="s">
        <v>303</v>
      </c>
      <c r="L1360" s="0" t="str">
        <f aca="false">IFERROR(VLOOKUP(K1360,'Supplier list'!B:C,2,0),"")</f>
        <v>บริษัท เอ็มเค วู้ดเทค จำกัด</v>
      </c>
      <c r="M1360" s="1" t="s">
        <v>24</v>
      </c>
      <c r="O1360" s="2" t="n">
        <v>0</v>
      </c>
    </row>
    <row r="1361" customFormat="false" ht="16.4" hidden="false" customHeight="false" outlineLevel="0" collapsed="false">
      <c r="A1361" s="0" t="s">
        <v>15</v>
      </c>
      <c r="B1361" s="0" t="s">
        <v>4326</v>
      </c>
      <c r="C1361" s="0" t="n">
        <v>114001</v>
      </c>
      <c r="D1361" s="0" t="n">
        <v>114001</v>
      </c>
      <c r="E1361" s="0" t="s">
        <v>4174</v>
      </c>
      <c r="F1361" s="0" t="s">
        <v>18</v>
      </c>
      <c r="G1361" s="0" t="s">
        <v>4327</v>
      </c>
      <c r="H1361" s="0" t="s">
        <v>4328</v>
      </c>
      <c r="I1361" s="0" t="s">
        <v>102</v>
      </c>
      <c r="J1361" s="0" t="s">
        <v>103</v>
      </c>
      <c r="K1361" s="0" t="s">
        <v>303</v>
      </c>
      <c r="L1361" s="0" t="str">
        <f aca="false">IFERROR(VLOOKUP(K1361,'Supplier list'!B:C,2,0),"")</f>
        <v>บริษัท เอ็มเค วู้ดเทค จำกัด</v>
      </c>
      <c r="M1361" s="1" t="s">
        <v>24</v>
      </c>
      <c r="O1361" s="2" t="n">
        <v>0</v>
      </c>
    </row>
    <row r="1362" customFormat="false" ht="16.4" hidden="false" customHeight="false" outlineLevel="0" collapsed="false">
      <c r="A1362" s="0" t="s">
        <v>15</v>
      </c>
      <c r="B1362" s="0" t="s">
        <v>4329</v>
      </c>
      <c r="C1362" s="0" t="n">
        <v>114001</v>
      </c>
      <c r="D1362" s="0" t="n">
        <v>114001</v>
      </c>
      <c r="E1362" s="0" t="s">
        <v>4174</v>
      </c>
      <c r="F1362" s="0" t="s">
        <v>18</v>
      </c>
      <c r="G1362" s="0" t="s">
        <v>4330</v>
      </c>
      <c r="H1362" s="0" t="s">
        <v>4331</v>
      </c>
      <c r="I1362" s="0" t="s">
        <v>102</v>
      </c>
      <c r="J1362" s="0" t="s">
        <v>103</v>
      </c>
      <c r="K1362" s="0" t="s">
        <v>303</v>
      </c>
      <c r="L1362" s="0" t="str">
        <f aca="false">IFERROR(VLOOKUP(K1362,'Supplier list'!B:C,2,0),"")</f>
        <v>บริษัท เอ็มเค วู้ดเทค จำกัด</v>
      </c>
      <c r="M1362" s="1" t="s">
        <v>24</v>
      </c>
      <c r="O1362" s="2" t="n">
        <v>0</v>
      </c>
    </row>
    <row r="1363" customFormat="false" ht="16.4" hidden="false" customHeight="false" outlineLevel="0" collapsed="false">
      <c r="A1363" s="0" t="s">
        <v>15</v>
      </c>
      <c r="B1363" s="0" t="s">
        <v>4332</v>
      </c>
      <c r="C1363" s="0" t="n">
        <v>114001</v>
      </c>
      <c r="D1363" s="0" t="n">
        <v>114001</v>
      </c>
      <c r="E1363" s="0" t="s">
        <v>4174</v>
      </c>
      <c r="F1363" s="0" t="s">
        <v>18</v>
      </c>
      <c r="G1363" s="0" t="s">
        <v>4333</v>
      </c>
      <c r="H1363" s="0" t="s">
        <v>4334</v>
      </c>
      <c r="I1363" s="0" t="s">
        <v>102</v>
      </c>
      <c r="J1363" s="0" t="s">
        <v>103</v>
      </c>
      <c r="K1363" s="0" t="s">
        <v>303</v>
      </c>
      <c r="L1363" s="0" t="str">
        <f aca="false">IFERROR(VLOOKUP(K1363,'Supplier list'!B:C,2,0),"")</f>
        <v>บริษัท เอ็มเค วู้ดเทค จำกัด</v>
      </c>
      <c r="M1363" s="1" t="s">
        <v>24</v>
      </c>
      <c r="O1363" s="2" t="n">
        <v>0</v>
      </c>
    </row>
    <row r="1364" customFormat="false" ht="16.4" hidden="false" customHeight="false" outlineLevel="0" collapsed="false">
      <c r="A1364" s="0" t="s">
        <v>15</v>
      </c>
      <c r="B1364" s="0" t="s">
        <v>4335</v>
      </c>
      <c r="C1364" s="0" t="n">
        <v>114001</v>
      </c>
      <c r="D1364" s="0" t="n">
        <v>114001</v>
      </c>
      <c r="E1364" s="0" t="s">
        <v>4174</v>
      </c>
      <c r="F1364" s="0" t="s">
        <v>18</v>
      </c>
      <c r="G1364" s="0" t="s">
        <v>4336</v>
      </c>
      <c r="H1364" s="0" t="s">
        <v>4337</v>
      </c>
      <c r="I1364" s="0" t="s">
        <v>102</v>
      </c>
      <c r="J1364" s="0" t="s">
        <v>103</v>
      </c>
      <c r="K1364" s="0" t="s">
        <v>303</v>
      </c>
      <c r="L1364" s="0" t="str">
        <f aca="false">IFERROR(VLOOKUP(K1364,'Supplier list'!B:C,2,0),"")</f>
        <v>บริษัท เอ็มเค วู้ดเทค จำกัด</v>
      </c>
      <c r="M1364" s="1" t="s">
        <v>24</v>
      </c>
      <c r="O1364" s="2" t="n">
        <v>0</v>
      </c>
    </row>
    <row r="1365" customFormat="false" ht="16.4" hidden="false" customHeight="false" outlineLevel="0" collapsed="false">
      <c r="A1365" s="0" t="s">
        <v>15</v>
      </c>
      <c r="B1365" s="0" t="s">
        <v>4338</v>
      </c>
      <c r="C1365" s="0" t="n">
        <v>114001</v>
      </c>
      <c r="D1365" s="0" t="n">
        <v>114001</v>
      </c>
      <c r="E1365" s="0" t="s">
        <v>4174</v>
      </c>
      <c r="F1365" s="0" t="s">
        <v>18</v>
      </c>
      <c r="G1365" s="0" t="s">
        <v>4339</v>
      </c>
      <c r="H1365" s="0" t="s">
        <v>4340</v>
      </c>
      <c r="I1365" s="0" t="s">
        <v>102</v>
      </c>
      <c r="J1365" s="0" t="s">
        <v>103</v>
      </c>
      <c r="K1365" s="0" t="s">
        <v>303</v>
      </c>
      <c r="L1365" s="0" t="str">
        <f aca="false">IFERROR(VLOOKUP(K1365,'Supplier list'!B:C,2,0),"")</f>
        <v>บริษัท เอ็มเค วู้ดเทค จำกัด</v>
      </c>
      <c r="M1365" s="1" t="s">
        <v>24</v>
      </c>
      <c r="O1365" s="2" t="n">
        <v>0</v>
      </c>
    </row>
    <row r="1366" customFormat="false" ht="16.4" hidden="false" customHeight="false" outlineLevel="0" collapsed="false">
      <c r="A1366" s="0" t="s">
        <v>15</v>
      </c>
      <c r="B1366" s="0" t="s">
        <v>4341</v>
      </c>
      <c r="C1366" s="0" t="n">
        <v>114001</v>
      </c>
      <c r="D1366" s="0" t="n">
        <v>114001</v>
      </c>
      <c r="E1366" s="0" t="s">
        <v>4174</v>
      </c>
      <c r="F1366" s="0" t="s">
        <v>18</v>
      </c>
      <c r="G1366" s="0" t="s">
        <v>4342</v>
      </c>
      <c r="H1366" s="0" t="s">
        <v>4343</v>
      </c>
      <c r="I1366" s="0" t="s">
        <v>396</v>
      </c>
      <c r="J1366" s="0" t="s">
        <v>397</v>
      </c>
      <c r="K1366" s="0" t="s">
        <v>4203</v>
      </c>
      <c r="L1366" s="0" t="str">
        <f aca="false">IFERROR(VLOOKUP(K1366,'Supplier list'!B:C,2,0),"")</f>
        <v>บริษัท 9889 Thailnd</v>
      </c>
      <c r="M1366" s="1" t="s">
        <v>24</v>
      </c>
      <c r="O1366" s="2" t="n">
        <v>0</v>
      </c>
    </row>
    <row r="1367" customFormat="false" ht="16.4" hidden="false" customHeight="false" outlineLevel="0" collapsed="false">
      <c r="A1367" s="0" t="s">
        <v>15</v>
      </c>
      <c r="B1367" s="0" t="s">
        <v>4344</v>
      </c>
      <c r="C1367" s="0" t="n">
        <v>114001</v>
      </c>
      <c r="D1367" s="0" t="n">
        <v>114001</v>
      </c>
      <c r="E1367" s="0" t="s">
        <v>4174</v>
      </c>
      <c r="F1367" s="0" t="s">
        <v>18</v>
      </c>
      <c r="G1367" s="0" t="s">
        <v>4345</v>
      </c>
      <c r="H1367" s="0" t="s">
        <v>4346</v>
      </c>
      <c r="I1367" s="0" t="s">
        <v>102</v>
      </c>
      <c r="J1367" s="0" t="s">
        <v>103</v>
      </c>
      <c r="K1367" s="0" t="s">
        <v>352</v>
      </c>
      <c r="L1367" s="0" t="str">
        <f aca="false">IFERROR(VLOOKUP(K1367,'Supplier list'!B:C,2,0),"")</f>
        <v>บริษัท พีเอ็นพี อินเตอร์แพค</v>
      </c>
      <c r="M1367" s="1" t="s">
        <v>24</v>
      </c>
      <c r="O1367" s="2" t="n">
        <v>0</v>
      </c>
    </row>
    <row r="1368" customFormat="false" ht="16.4" hidden="false" customHeight="false" outlineLevel="0" collapsed="false">
      <c r="A1368" s="0" t="s">
        <v>15</v>
      </c>
      <c r="B1368" s="0" t="s">
        <v>4347</v>
      </c>
      <c r="C1368" s="0" t="n">
        <v>114001</v>
      </c>
      <c r="D1368" s="0" t="n">
        <v>114001</v>
      </c>
      <c r="E1368" s="0" t="s">
        <v>4174</v>
      </c>
      <c r="F1368" s="0" t="s">
        <v>18</v>
      </c>
      <c r="G1368" s="0" t="s">
        <v>4348</v>
      </c>
      <c r="H1368" s="0" t="s">
        <v>4349</v>
      </c>
      <c r="I1368" s="0" t="s">
        <v>396</v>
      </c>
      <c r="J1368" s="0" t="s">
        <v>397</v>
      </c>
      <c r="K1368" s="0" t="s">
        <v>4203</v>
      </c>
      <c r="L1368" s="0" t="str">
        <f aca="false">IFERROR(VLOOKUP(K1368,'Supplier list'!B:C,2,0),"")</f>
        <v>บริษัท 9889 Thailnd</v>
      </c>
      <c r="M1368" s="1" t="s">
        <v>24</v>
      </c>
      <c r="O1368" s="2" t="n">
        <v>0</v>
      </c>
    </row>
    <row r="1369" customFormat="false" ht="16.4" hidden="false" customHeight="false" outlineLevel="0" collapsed="false">
      <c r="A1369" s="0" t="s">
        <v>15</v>
      </c>
      <c r="B1369" s="0" t="s">
        <v>4350</v>
      </c>
      <c r="C1369" s="0" t="n">
        <v>114001</v>
      </c>
      <c r="D1369" s="0" t="n">
        <v>114001</v>
      </c>
      <c r="E1369" s="0" t="s">
        <v>4174</v>
      </c>
      <c r="F1369" s="0" t="s">
        <v>18</v>
      </c>
      <c r="G1369" s="0" t="s">
        <v>4351</v>
      </c>
      <c r="H1369" s="0" t="s">
        <v>4352</v>
      </c>
      <c r="I1369" s="0" t="s">
        <v>102</v>
      </c>
      <c r="J1369" s="0" t="s">
        <v>103</v>
      </c>
      <c r="K1369" s="0" t="s">
        <v>303</v>
      </c>
      <c r="L1369" s="0" t="str">
        <f aca="false">IFERROR(VLOOKUP(K1369,'Supplier list'!B:C,2,0),"")</f>
        <v>บริษัท เอ็มเค วู้ดเทค จำกัด</v>
      </c>
      <c r="M1369" s="1" t="s">
        <v>24</v>
      </c>
      <c r="O1369" s="2" t="n">
        <v>0</v>
      </c>
    </row>
    <row r="1370" customFormat="false" ht="16.4" hidden="false" customHeight="false" outlineLevel="0" collapsed="false">
      <c r="A1370" s="0" t="s">
        <v>15</v>
      </c>
      <c r="B1370" s="0" t="s">
        <v>4353</v>
      </c>
      <c r="C1370" s="0" t="n">
        <v>114001</v>
      </c>
      <c r="D1370" s="0" t="n">
        <v>114001</v>
      </c>
      <c r="E1370" s="0" t="s">
        <v>4174</v>
      </c>
      <c r="F1370" s="0" t="s">
        <v>18</v>
      </c>
      <c r="G1370" s="0" t="s">
        <v>4354</v>
      </c>
      <c r="H1370" s="0" t="s">
        <v>4355</v>
      </c>
      <c r="I1370" s="0" t="s">
        <v>102</v>
      </c>
      <c r="J1370" s="0" t="s">
        <v>103</v>
      </c>
      <c r="K1370" s="0" t="s">
        <v>4356</v>
      </c>
      <c r="L1370" s="0" t="str">
        <f aca="false">IFERROR(VLOOKUP(K1370,'Supplier list'!B:C,2,0),"")</f>
        <v/>
      </c>
      <c r="M1370" s="1" t="s">
        <v>24</v>
      </c>
      <c r="O1370" s="2" t="n">
        <v>455</v>
      </c>
    </row>
    <row r="1371" customFormat="false" ht="16.4" hidden="false" customHeight="false" outlineLevel="0" collapsed="false">
      <c r="A1371" s="0" t="s">
        <v>15</v>
      </c>
      <c r="B1371" s="0" t="s">
        <v>4357</v>
      </c>
      <c r="C1371" s="0" t="n">
        <v>114001</v>
      </c>
      <c r="D1371" s="0" t="n">
        <v>114001</v>
      </c>
      <c r="E1371" s="0" t="s">
        <v>4174</v>
      </c>
      <c r="F1371" s="0" t="s">
        <v>18</v>
      </c>
      <c r="G1371" s="0" t="s">
        <v>4358</v>
      </c>
      <c r="H1371" s="0" t="s">
        <v>4359</v>
      </c>
      <c r="I1371" s="0" t="s">
        <v>102</v>
      </c>
      <c r="J1371" s="0" t="s">
        <v>103</v>
      </c>
      <c r="K1371" s="0" t="s">
        <v>4280</v>
      </c>
      <c r="L1371" s="0" t="str">
        <f aca="false">IFERROR(VLOOKUP(K1371,'Supplier list'!B:C,2,0),"")</f>
        <v/>
      </c>
      <c r="M1371" s="1" t="s">
        <v>24</v>
      </c>
      <c r="O1371" s="2" t="n">
        <v>0</v>
      </c>
    </row>
    <row r="1372" customFormat="false" ht="16.4" hidden="false" customHeight="false" outlineLevel="0" collapsed="false">
      <c r="A1372" s="0" t="s">
        <v>15</v>
      </c>
      <c r="B1372" s="0" t="s">
        <v>4360</v>
      </c>
      <c r="C1372" s="0" t="n">
        <v>114001</v>
      </c>
      <c r="D1372" s="0" t="n">
        <v>114001</v>
      </c>
      <c r="E1372" s="0" t="s">
        <v>4174</v>
      </c>
      <c r="F1372" s="0" t="s">
        <v>18</v>
      </c>
      <c r="G1372" s="0" t="s">
        <v>4361</v>
      </c>
      <c r="H1372" s="0" t="s">
        <v>4362</v>
      </c>
      <c r="I1372" s="0" t="s">
        <v>102</v>
      </c>
      <c r="J1372" s="0" t="s">
        <v>103</v>
      </c>
      <c r="K1372" s="0" t="s">
        <v>4363</v>
      </c>
      <c r="L1372" s="0" t="str">
        <f aca="false">IFERROR(VLOOKUP(K1372,'Supplier list'!B:C,2,0),"")</f>
        <v>บริษัท เมโทรพูนทรัพย์ จำกัด</v>
      </c>
      <c r="M1372" s="1" t="s">
        <v>24</v>
      </c>
      <c r="O1372" s="2" t="n">
        <v>265</v>
      </c>
    </row>
    <row r="1373" customFormat="false" ht="16.4" hidden="false" customHeight="false" outlineLevel="0" collapsed="false">
      <c r="A1373" s="0" t="s">
        <v>15</v>
      </c>
      <c r="B1373" s="0" t="s">
        <v>4364</v>
      </c>
      <c r="C1373" s="0" t="n">
        <v>114001</v>
      </c>
      <c r="D1373" s="0" t="n">
        <v>114001</v>
      </c>
      <c r="E1373" s="0" t="s">
        <v>4174</v>
      </c>
      <c r="F1373" s="0" t="s">
        <v>18</v>
      </c>
      <c r="G1373" s="0" t="s">
        <v>4365</v>
      </c>
      <c r="H1373" s="0" t="s">
        <v>4366</v>
      </c>
      <c r="I1373" s="0" t="s">
        <v>102</v>
      </c>
      <c r="J1373" s="0" t="s">
        <v>103</v>
      </c>
      <c r="K1373" s="0" t="s">
        <v>303</v>
      </c>
      <c r="L1373" s="0" t="str">
        <f aca="false">IFERROR(VLOOKUP(K1373,'Supplier list'!B:C,2,0),"")</f>
        <v>บริษัท เอ็มเค วู้ดเทค จำกัด</v>
      </c>
      <c r="M1373" s="1" t="s">
        <v>24</v>
      </c>
      <c r="O1373" s="2" t="n">
        <v>305</v>
      </c>
    </row>
    <row r="1374" customFormat="false" ht="16.4" hidden="false" customHeight="false" outlineLevel="0" collapsed="false">
      <c r="A1374" s="0" t="s">
        <v>15</v>
      </c>
      <c r="B1374" s="0" t="s">
        <v>4367</v>
      </c>
      <c r="C1374" s="0" t="n">
        <v>114001</v>
      </c>
      <c r="D1374" s="0" t="n">
        <v>114001</v>
      </c>
      <c r="E1374" s="0" t="s">
        <v>4174</v>
      </c>
      <c r="F1374" s="0" t="s">
        <v>18</v>
      </c>
      <c r="G1374" s="0" t="s">
        <v>4368</v>
      </c>
      <c r="H1374" s="0" t="s">
        <v>4369</v>
      </c>
      <c r="I1374" s="0" t="s">
        <v>396</v>
      </c>
      <c r="J1374" s="0" t="s">
        <v>397</v>
      </c>
      <c r="K1374" s="0" t="s">
        <v>4203</v>
      </c>
      <c r="L1374" s="0" t="str">
        <f aca="false">IFERROR(VLOOKUP(K1374,'Supplier list'!B:C,2,0),"")</f>
        <v>บริษัท 9889 Thailnd</v>
      </c>
      <c r="M1374" s="1" t="s">
        <v>24</v>
      </c>
      <c r="O1374" s="2" t="n">
        <v>9.1</v>
      </c>
    </row>
    <row r="1375" customFormat="false" ht="16.4" hidden="false" customHeight="false" outlineLevel="0" collapsed="false">
      <c r="A1375" s="0" t="s">
        <v>15</v>
      </c>
      <c r="B1375" s="0" t="s">
        <v>4370</v>
      </c>
      <c r="C1375" s="0" t="n">
        <v>114001</v>
      </c>
      <c r="D1375" s="0" t="n">
        <v>114001</v>
      </c>
      <c r="E1375" s="0" t="s">
        <v>4174</v>
      </c>
      <c r="F1375" s="0" t="s">
        <v>18</v>
      </c>
      <c r="G1375" s="0" t="s">
        <v>4371</v>
      </c>
      <c r="H1375" s="0" t="s">
        <v>4372</v>
      </c>
      <c r="I1375" s="0" t="s">
        <v>396</v>
      </c>
      <c r="J1375" s="0" t="s">
        <v>397</v>
      </c>
      <c r="K1375" s="0" t="s">
        <v>4203</v>
      </c>
      <c r="L1375" s="0" t="str">
        <f aca="false">IFERROR(VLOOKUP(K1375,'Supplier list'!B:C,2,0),"")</f>
        <v>บริษัท 9889 Thailnd</v>
      </c>
      <c r="M1375" s="1" t="s">
        <v>24</v>
      </c>
      <c r="O1375" s="2" t="n">
        <v>0</v>
      </c>
    </row>
    <row r="1376" customFormat="false" ht="16.4" hidden="false" customHeight="false" outlineLevel="0" collapsed="false">
      <c r="A1376" s="0" t="s">
        <v>15</v>
      </c>
      <c r="B1376" s="0" t="s">
        <v>4373</v>
      </c>
      <c r="C1376" s="0" t="n">
        <v>114001</v>
      </c>
      <c r="D1376" s="0" t="n">
        <v>114001</v>
      </c>
      <c r="E1376" s="0" t="s">
        <v>4174</v>
      </c>
      <c r="F1376" s="0" t="s">
        <v>18</v>
      </c>
      <c r="G1376" s="0" t="s">
        <v>4374</v>
      </c>
      <c r="H1376" s="0" t="s">
        <v>4375</v>
      </c>
      <c r="I1376" s="0" t="s">
        <v>396</v>
      </c>
      <c r="J1376" s="0" t="s">
        <v>397</v>
      </c>
      <c r="K1376" s="0" t="s">
        <v>4203</v>
      </c>
      <c r="L1376" s="0" t="str">
        <f aca="false">IFERROR(VLOOKUP(K1376,'Supplier list'!B:C,2,0),"")</f>
        <v>บริษัท 9889 Thailnd</v>
      </c>
      <c r="M1376" s="1" t="s">
        <v>24</v>
      </c>
      <c r="O1376" s="2" t="n">
        <v>0</v>
      </c>
    </row>
    <row r="1377" customFormat="false" ht="16.4" hidden="false" customHeight="false" outlineLevel="0" collapsed="false">
      <c r="A1377" s="0" t="s">
        <v>15</v>
      </c>
      <c r="B1377" s="0" t="s">
        <v>4376</v>
      </c>
      <c r="C1377" s="0" t="n">
        <v>114001</v>
      </c>
      <c r="D1377" s="0" t="n">
        <v>114001</v>
      </c>
      <c r="E1377" s="0" t="s">
        <v>4174</v>
      </c>
      <c r="F1377" s="0" t="s">
        <v>18</v>
      </c>
      <c r="G1377" s="0" t="s">
        <v>4377</v>
      </c>
      <c r="H1377" s="0" t="s">
        <v>4378</v>
      </c>
      <c r="I1377" s="0" t="s">
        <v>396</v>
      </c>
      <c r="J1377" s="0" t="s">
        <v>397</v>
      </c>
      <c r="K1377" s="0" t="s">
        <v>4203</v>
      </c>
      <c r="L1377" s="0" t="str">
        <f aca="false">IFERROR(VLOOKUP(K1377,'Supplier list'!B:C,2,0),"")</f>
        <v>บริษัท 9889 Thailnd</v>
      </c>
      <c r="M1377" s="1" t="s">
        <v>24</v>
      </c>
      <c r="O1377" s="2" t="n">
        <v>0</v>
      </c>
    </row>
    <row r="1378" customFormat="false" ht="16.4" hidden="false" customHeight="false" outlineLevel="0" collapsed="false">
      <c r="A1378" s="0" t="s">
        <v>15</v>
      </c>
      <c r="B1378" s="0" t="s">
        <v>4379</v>
      </c>
      <c r="C1378" s="0" t="n">
        <v>114001</v>
      </c>
      <c r="D1378" s="0" t="n">
        <v>114001</v>
      </c>
      <c r="E1378" s="0" t="s">
        <v>4174</v>
      </c>
      <c r="F1378" s="0" t="s">
        <v>18</v>
      </c>
      <c r="G1378" s="0" t="s">
        <v>4380</v>
      </c>
      <c r="H1378" s="0" t="s">
        <v>4381</v>
      </c>
      <c r="I1378" s="0" t="s">
        <v>396</v>
      </c>
      <c r="J1378" s="0" t="s">
        <v>397</v>
      </c>
      <c r="K1378" s="0" t="s">
        <v>4203</v>
      </c>
      <c r="L1378" s="0" t="str">
        <f aca="false">IFERROR(VLOOKUP(K1378,'Supplier list'!B:C,2,0),"")</f>
        <v>บริษัท 9889 Thailnd</v>
      </c>
      <c r="M1378" s="1" t="s">
        <v>24</v>
      </c>
      <c r="O1378" s="2" t="n">
        <v>0</v>
      </c>
    </row>
    <row r="1379" customFormat="false" ht="16.4" hidden="false" customHeight="false" outlineLevel="0" collapsed="false">
      <c r="A1379" s="0" t="s">
        <v>15</v>
      </c>
      <c r="B1379" s="0" t="s">
        <v>4382</v>
      </c>
      <c r="C1379" s="0" t="n">
        <v>114001</v>
      </c>
      <c r="D1379" s="0" t="n">
        <v>114001</v>
      </c>
      <c r="E1379" s="0" t="s">
        <v>4174</v>
      </c>
      <c r="F1379" s="0" t="s">
        <v>18</v>
      </c>
      <c r="G1379" s="0" t="s">
        <v>4383</v>
      </c>
      <c r="H1379" s="0" t="s">
        <v>4384</v>
      </c>
      <c r="I1379" s="0" t="s">
        <v>396</v>
      </c>
      <c r="J1379" s="0" t="s">
        <v>397</v>
      </c>
      <c r="K1379" s="0" t="s">
        <v>4203</v>
      </c>
      <c r="L1379" s="0" t="str">
        <f aca="false">IFERROR(VLOOKUP(K1379,'Supplier list'!B:C,2,0),"")</f>
        <v>บริษัท 9889 Thailnd</v>
      </c>
      <c r="M1379" s="1" t="s">
        <v>24</v>
      </c>
      <c r="O1379" s="2" t="n">
        <v>6.8</v>
      </c>
    </row>
    <row r="1380" customFormat="false" ht="16.4" hidden="false" customHeight="false" outlineLevel="0" collapsed="false">
      <c r="A1380" s="0" t="s">
        <v>15</v>
      </c>
      <c r="B1380" s="0" t="s">
        <v>4385</v>
      </c>
      <c r="C1380" s="0" t="n">
        <v>114001</v>
      </c>
      <c r="D1380" s="0" t="n">
        <v>114001</v>
      </c>
      <c r="E1380" s="0" t="s">
        <v>4174</v>
      </c>
      <c r="F1380" s="0" t="s">
        <v>18</v>
      </c>
      <c r="G1380" s="0" t="s">
        <v>4386</v>
      </c>
      <c r="H1380" s="0" t="s">
        <v>4387</v>
      </c>
      <c r="I1380" s="0" t="s">
        <v>451</v>
      </c>
      <c r="J1380" s="0" t="s">
        <v>452</v>
      </c>
      <c r="K1380" s="0" t="s">
        <v>4388</v>
      </c>
      <c r="L1380" s="0" t="str">
        <f aca="false">IFERROR(VLOOKUP(K1380,'Supplier list'!B:C,2,0),"")</f>
        <v>ร้าน สุนันทา ค้าไม้</v>
      </c>
      <c r="M1380" s="1" t="s">
        <v>24</v>
      </c>
      <c r="O1380" s="2" t="n">
        <v>1.8</v>
      </c>
    </row>
    <row r="1381" customFormat="false" ht="16.4" hidden="false" customHeight="false" outlineLevel="0" collapsed="false">
      <c r="A1381" s="0" t="s">
        <v>15</v>
      </c>
      <c r="B1381" s="0" t="s">
        <v>4389</v>
      </c>
      <c r="C1381" s="0" t="n">
        <v>114001</v>
      </c>
      <c r="D1381" s="0" t="n">
        <v>114001</v>
      </c>
      <c r="E1381" s="0" t="s">
        <v>4174</v>
      </c>
      <c r="F1381" s="0" t="s">
        <v>18</v>
      </c>
      <c r="G1381" s="0" t="s">
        <v>4390</v>
      </c>
      <c r="H1381" s="0" t="s">
        <v>4391</v>
      </c>
      <c r="I1381" s="0" t="s">
        <v>396</v>
      </c>
      <c r="J1381" s="0" t="s">
        <v>397</v>
      </c>
      <c r="K1381" s="0" t="s">
        <v>4203</v>
      </c>
      <c r="L1381" s="0" t="str">
        <f aca="false">IFERROR(VLOOKUP(K1381,'Supplier list'!B:C,2,0),"")</f>
        <v>บริษัท 9889 Thailnd</v>
      </c>
      <c r="M1381" s="1" t="s">
        <v>24</v>
      </c>
      <c r="O1381" s="2" t="n">
        <v>0</v>
      </c>
    </row>
    <row r="1382" customFormat="false" ht="16.4" hidden="false" customHeight="false" outlineLevel="0" collapsed="false">
      <c r="A1382" s="0" t="s">
        <v>15</v>
      </c>
      <c r="B1382" s="0" t="s">
        <v>4392</v>
      </c>
      <c r="C1382" s="0" t="n">
        <v>114001</v>
      </c>
      <c r="D1382" s="0" t="n">
        <v>114001</v>
      </c>
      <c r="E1382" s="0" t="s">
        <v>4174</v>
      </c>
      <c r="F1382" s="0" t="s">
        <v>18</v>
      </c>
      <c r="G1382" s="0" t="s">
        <v>4393</v>
      </c>
      <c r="H1382" s="0" t="s">
        <v>4394</v>
      </c>
      <c r="I1382" s="0" t="s">
        <v>396</v>
      </c>
      <c r="J1382" s="0" t="s">
        <v>397</v>
      </c>
      <c r="K1382" s="0" t="s">
        <v>4203</v>
      </c>
      <c r="L1382" s="0" t="str">
        <f aca="false">IFERROR(VLOOKUP(K1382,'Supplier list'!B:C,2,0),"")</f>
        <v>บริษัท 9889 Thailnd</v>
      </c>
      <c r="M1382" s="1" t="s">
        <v>24</v>
      </c>
      <c r="O1382" s="2" t="n">
        <v>0</v>
      </c>
    </row>
    <row r="1383" customFormat="false" ht="16.4" hidden="false" customHeight="false" outlineLevel="0" collapsed="false">
      <c r="A1383" s="0" t="s">
        <v>15</v>
      </c>
      <c r="B1383" s="0" t="s">
        <v>4395</v>
      </c>
      <c r="C1383" s="0" t="n">
        <v>114001</v>
      </c>
      <c r="D1383" s="0" t="n">
        <v>114001</v>
      </c>
      <c r="E1383" s="0" t="s">
        <v>4174</v>
      </c>
      <c r="F1383" s="0" t="s">
        <v>18</v>
      </c>
      <c r="G1383" s="0" t="s">
        <v>4396</v>
      </c>
      <c r="H1383" s="0" t="s">
        <v>4397</v>
      </c>
      <c r="I1383" s="0" t="s">
        <v>396</v>
      </c>
      <c r="J1383" s="0" t="s">
        <v>397</v>
      </c>
      <c r="K1383" s="0" t="s">
        <v>4203</v>
      </c>
      <c r="L1383" s="0" t="str">
        <f aca="false">IFERROR(VLOOKUP(K1383,'Supplier list'!B:C,2,0),"")</f>
        <v>บริษัท 9889 Thailnd</v>
      </c>
      <c r="M1383" s="1" t="s">
        <v>24</v>
      </c>
      <c r="O1383" s="2" t="n">
        <v>0</v>
      </c>
    </row>
    <row r="1384" customFormat="false" ht="16.4" hidden="false" customHeight="false" outlineLevel="0" collapsed="false">
      <c r="A1384" s="0" t="s">
        <v>15</v>
      </c>
      <c r="B1384" s="0" t="s">
        <v>4398</v>
      </c>
      <c r="C1384" s="0" t="n">
        <v>114001</v>
      </c>
      <c r="D1384" s="0" t="n">
        <v>114001</v>
      </c>
      <c r="E1384" s="0" t="s">
        <v>4174</v>
      </c>
      <c r="F1384" s="0" t="s">
        <v>18</v>
      </c>
      <c r="G1384" s="0" t="s">
        <v>4399</v>
      </c>
      <c r="H1384" s="0" t="s">
        <v>4400</v>
      </c>
      <c r="I1384" s="0" t="s">
        <v>396</v>
      </c>
      <c r="J1384" s="0" t="s">
        <v>397</v>
      </c>
      <c r="K1384" s="0" t="s">
        <v>4203</v>
      </c>
      <c r="L1384" s="0" t="str">
        <f aca="false">IFERROR(VLOOKUP(K1384,'Supplier list'!B:C,2,0),"")</f>
        <v>บริษัท 9889 Thailnd</v>
      </c>
      <c r="M1384" s="1" t="s">
        <v>24</v>
      </c>
      <c r="O1384" s="2" t="n">
        <v>0</v>
      </c>
    </row>
    <row r="1385" customFormat="false" ht="16.4" hidden="false" customHeight="false" outlineLevel="0" collapsed="false">
      <c r="A1385" s="0" t="s">
        <v>15</v>
      </c>
      <c r="B1385" s="0" t="s">
        <v>4401</v>
      </c>
      <c r="C1385" s="0" t="n">
        <v>114001</v>
      </c>
      <c r="D1385" s="0" t="n">
        <v>114001</v>
      </c>
      <c r="E1385" s="0" t="s">
        <v>4174</v>
      </c>
      <c r="F1385" s="0" t="s">
        <v>18</v>
      </c>
      <c r="G1385" s="0" t="s">
        <v>4402</v>
      </c>
      <c r="H1385" s="0" t="s">
        <v>4403</v>
      </c>
      <c r="I1385" s="0" t="s">
        <v>396</v>
      </c>
      <c r="J1385" s="0" t="s">
        <v>397</v>
      </c>
      <c r="K1385" s="0" t="s">
        <v>4203</v>
      </c>
      <c r="L1385" s="0" t="str">
        <f aca="false">IFERROR(VLOOKUP(K1385,'Supplier list'!B:C,2,0),"")</f>
        <v>บริษัท 9889 Thailnd</v>
      </c>
      <c r="M1385" s="1" t="s">
        <v>24</v>
      </c>
      <c r="O1385" s="2" t="n">
        <v>0</v>
      </c>
    </row>
    <row r="1386" customFormat="false" ht="16.4" hidden="false" customHeight="false" outlineLevel="0" collapsed="false">
      <c r="A1386" s="0" t="s">
        <v>15</v>
      </c>
      <c r="B1386" s="0" t="s">
        <v>4404</v>
      </c>
      <c r="C1386" s="0" t="n">
        <v>114001</v>
      </c>
      <c r="D1386" s="0" t="n">
        <v>114001</v>
      </c>
      <c r="E1386" s="0" t="s">
        <v>4174</v>
      </c>
      <c r="F1386" s="0" t="s">
        <v>18</v>
      </c>
      <c r="G1386" s="0" t="s">
        <v>4405</v>
      </c>
      <c r="H1386" s="0" t="s">
        <v>4406</v>
      </c>
      <c r="I1386" s="0" t="s">
        <v>396</v>
      </c>
      <c r="J1386" s="0" t="s">
        <v>397</v>
      </c>
      <c r="K1386" s="0" t="s">
        <v>4203</v>
      </c>
      <c r="L1386" s="0" t="str">
        <f aca="false">IFERROR(VLOOKUP(K1386,'Supplier list'!B:C,2,0),"")</f>
        <v>บริษัท 9889 Thailnd</v>
      </c>
      <c r="M1386" s="1" t="s">
        <v>24</v>
      </c>
      <c r="O1386" s="2" t="n">
        <v>0</v>
      </c>
    </row>
    <row r="1387" customFormat="false" ht="16.4" hidden="false" customHeight="false" outlineLevel="0" collapsed="false">
      <c r="A1387" s="0" t="s">
        <v>15</v>
      </c>
      <c r="B1387" s="0" t="s">
        <v>4407</v>
      </c>
      <c r="C1387" s="0" t="n">
        <v>114001</v>
      </c>
      <c r="D1387" s="0" t="n">
        <v>114001</v>
      </c>
      <c r="E1387" s="0" t="s">
        <v>4174</v>
      </c>
      <c r="F1387" s="0" t="s">
        <v>18</v>
      </c>
      <c r="G1387" s="0" t="s">
        <v>4408</v>
      </c>
      <c r="H1387" s="0" t="s">
        <v>4409</v>
      </c>
      <c r="I1387" s="0" t="s">
        <v>396</v>
      </c>
      <c r="J1387" s="0" t="s">
        <v>397</v>
      </c>
      <c r="K1387" s="0" t="s">
        <v>4203</v>
      </c>
      <c r="L1387" s="0" t="str">
        <f aca="false">IFERROR(VLOOKUP(K1387,'Supplier list'!B:C,2,0),"")</f>
        <v>บริษัท 9889 Thailnd</v>
      </c>
      <c r="M1387" s="1" t="s">
        <v>24</v>
      </c>
      <c r="O1387" s="2" t="n">
        <v>0</v>
      </c>
    </row>
    <row r="1388" customFormat="false" ht="16.4" hidden="false" customHeight="false" outlineLevel="0" collapsed="false">
      <c r="A1388" s="0" t="s">
        <v>15</v>
      </c>
      <c r="B1388" s="0" t="s">
        <v>4410</v>
      </c>
      <c r="C1388" s="0" t="n">
        <v>114001</v>
      </c>
      <c r="D1388" s="0" t="n">
        <v>114001</v>
      </c>
      <c r="E1388" s="0" t="s">
        <v>4174</v>
      </c>
      <c r="F1388" s="0" t="s">
        <v>18</v>
      </c>
      <c r="G1388" s="0" t="s">
        <v>4411</v>
      </c>
      <c r="H1388" s="0" t="s">
        <v>4412</v>
      </c>
      <c r="I1388" s="0" t="s">
        <v>396</v>
      </c>
      <c r="J1388" s="0" t="s">
        <v>397</v>
      </c>
      <c r="K1388" s="0" t="s">
        <v>4203</v>
      </c>
      <c r="L1388" s="0" t="str">
        <f aca="false">IFERROR(VLOOKUP(K1388,'Supplier list'!B:C,2,0),"")</f>
        <v>บริษัท 9889 Thailnd</v>
      </c>
      <c r="M1388" s="1" t="s">
        <v>24</v>
      </c>
      <c r="O1388" s="2" t="n">
        <v>9.1</v>
      </c>
    </row>
    <row r="1389" customFormat="false" ht="16.4" hidden="false" customHeight="false" outlineLevel="0" collapsed="false">
      <c r="A1389" s="0" t="s">
        <v>15</v>
      </c>
      <c r="B1389" s="0" t="s">
        <v>4413</v>
      </c>
      <c r="C1389" s="0" t="n">
        <v>114001</v>
      </c>
      <c r="D1389" s="0" t="n">
        <v>114001</v>
      </c>
      <c r="E1389" s="0" t="s">
        <v>4174</v>
      </c>
      <c r="F1389" s="0" t="s">
        <v>18</v>
      </c>
      <c r="G1389" s="0" t="s">
        <v>4414</v>
      </c>
      <c r="H1389" s="0" t="s">
        <v>4415</v>
      </c>
      <c r="I1389" s="0" t="s">
        <v>396</v>
      </c>
      <c r="J1389" s="0" t="s">
        <v>397</v>
      </c>
      <c r="K1389" s="0" t="s">
        <v>4203</v>
      </c>
      <c r="L1389" s="0" t="str">
        <f aca="false">IFERROR(VLOOKUP(K1389,'Supplier list'!B:C,2,0),"")</f>
        <v>บริษัท 9889 Thailnd</v>
      </c>
      <c r="M1389" s="1" t="s">
        <v>24</v>
      </c>
      <c r="O1389" s="2" t="n">
        <v>0</v>
      </c>
    </row>
    <row r="1390" customFormat="false" ht="16.4" hidden="false" customHeight="false" outlineLevel="0" collapsed="false">
      <c r="A1390" s="0" t="s">
        <v>15</v>
      </c>
      <c r="B1390" s="0" t="s">
        <v>4416</v>
      </c>
      <c r="C1390" s="0" t="n">
        <v>114001</v>
      </c>
      <c r="D1390" s="0" t="n">
        <v>114001</v>
      </c>
      <c r="E1390" s="0" t="s">
        <v>4174</v>
      </c>
      <c r="F1390" s="0" t="s">
        <v>18</v>
      </c>
      <c r="G1390" s="0" t="s">
        <v>4417</v>
      </c>
      <c r="H1390" s="0" t="s">
        <v>4418</v>
      </c>
      <c r="I1390" s="0" t="s">
        <v>396</v>
      </c>
      <c r="J1390" s="0" t="s">
        <v>397</v>
      </c>
      <c r="K1390" s="0" t="s">
        <v>4203</v>
      </c>
      <c r="L1390" s="0" t="str">
        <f aca="false">IFERROR(VLOOKUP(K1390,'Supplier list'!B:C,2,0),"")</f>
        <v>บริษัท 9889 Thailnd</v>
      </c>
      <c r="M1390" s="1" t="s">
        <v>24</v>
      </c>
      <c r="O1390" s="2" t="n">
        <v>0</v>
      </c>
    </row>
    <row r="1391" customFormat="false" ht="16.4" hidden="false" customHeight="false" outlineLevel="0" collapsed="false">
      <c r="A1391" s="0" t="s">
        <v>15</v>
      </c>
      <c r="B1391" s="0" t="s">
        <v>4419</v>
      </c>
      <c r="C1391" s="0" t="n">
        <v>114001</v>
      </c>
      <c r="D1391" s="0" t="n">
        <v>114001</v>
      </c>
      <c r="E1391" s="0" t="s">
        <v>4174</v>
      </c>
      <c r="F1391" s="0" t="s">
        <v>18</v>
      </c>
      <c r="G1391" s="0" t="s">
        <v>4420</v>
      </c>
      <c r="H1391" s="0" t="s">
        <v>4421</v>
      </c>
      <c r="I1391" s="0" t="s">
        <v>396</v>
      </c>
      <c r="J1391" s="0" t="s">
        <v>397</v>
      </c>
      <c r="K1391" s="0" t="s">
        <v>4203</v>
      </c>
      <c r="L1391" s="0" t="str">
        <f aca="false">IFERROR(VLOOKUP(K1391,'Supplier list'!B:C,2,0),"")</f>
        <v>บริษัท 9889 Thailnd</v>
      </c>
      <c r="M1391" s="1" t="s">
        <v>24</v>
      </c>
      <c r="O1391" s="2" t="n">
        <v>0</v>
      </c>
    </row>
    <row r="1392" customFormat="false" ht="16.4" hidden="false" customHeight="false" outlineLevel="0" collapsed="false">
      <c r="A1392" s="0" t="s">
        <v>15</v>
      </c>
      <c r="B1392" s="0" t="s">
        <v>4422</v>
      </c>
      <c r="C1392" s="0" t="n">
        <v>114001</v>
      </c>
      <c r="D1392" s="0" t="n">
        <v>114001</v>
      </c>
      <c r="E1392" s="0" t="s">
        <v>4174</v>
      </c>
      <c r="F1392" s="0" t="s">
        <v>18</v>
      </c>
      <c r="G1392" s="0" t="s">
        <v>4423</v>
      </c>
      <c r="H1392" s="0" t="s">
        <v>4424</v>
      </c>
      <c r="I1392" s="0" t="s">
        <v>396</v>
      </c>
      <c r="J1392" s="0" t="s">
        <v>397</v>
      </c>
      <c r="K1392" s="0" t="s">
        <v>4203</v>
      </c>
      <c r="L1392" s="0" t="str">
        <f aca="false">IFERROR(VLOOKUP(K1392,'Supplier list'!B:C,2,0),"")</f>
        <v>บริษัท 9889 Thailnd</v>
      </c>
      <c r="M1392" s="1" t="s">
        <v>24</v>
      </c>
      <c r="O1392" s="2" t="n">
        <v>0</v>
      </c>
    </row>
    <row r="1393" customFormat="false" ht="16.4" hidden="false" customHeight="false" outlineLevel="0" collapsed="false">
      <c r="A1393" s="0" t="s">
        <v>15</v>
      </c>
      <c r="B1393" s="0" t="s">
        <v>4425</v>
      </c>
      <c r="C1393" s="0" t="n">
        <v>114001</v>
      </c>
      <c r="D1393" s="0" t="n">
        <v>114001</v>
      </c>
      <c r="E1393" s="0" t="s">
        <v>4174</v>
      </c>
      <c r="F1393" s="0" t="s">
        <v>18</v>
      </c>
      <c r="G1393" s="0" t="s">
        <v>4426</v>
      </c>
      <c r="H1393" s="0" t="s">
        <v>4427</v>
      </c>
      <c r="I1393" s="0" t="s">
        <v>396</v>
      </c>
      <c r="J1393" s="0" t="s">
        <v>397</v>
      </c>
      <c r="K1393" s="0" t="s">
        <v>4203</v>
      </c>
      <c r="L1393" s="0" t="str">
        <f aca="false">IFERROR(VLOOKUP(K1393,'Supplier list'!B:C,2,0),"")</f>
        <v>บริษัท 9889 Thailnd</v>
      </c>
      <c r="M1393" s="1" t="s">
        <v>24</v>
      </c>
      <c r="O1393" s="2" t="n">
        <v>0</v>
      </c>
    </row>
    <row r="1394" customFormat="false" ht="16.4" hidden="false" customHeight="false" outlineLevel="0" collapsed="false">
      <c r="A1394" s="0" t="s">
        <v>15</v>
      </c>
      <c r="B1394" s="0" t="s">
        <v>4428</v>
      </c>
      <c r="C1394" s="0" t="n">
        <v>114001</v>
      </c>
      <c r="D1394" s="0" t="n">
        <v>114001</v>
      </c>
      <c r="E1394" s="0" t="s">
        <v>4174</v>
      </c>
      <c r="F1394" s="0" t="s">
        <v>18</v>
      </c>
      <c r="G1394" s="0" t="s">
        <v>4429</v>
      </c>
      <c r="H1394" s="0" t="s">
        <v>4430</v>
      </c>
      <c r="I1394" s="0" t="s">
        <v>396</v>
      </c>
      <c r="J1394" s="0" t="s">
        <v>397</v>
      </c>
      <c r="L1394" s="0" t="str">
        <f aca="false">IFERROR(VLOOKUP(K1394,'Supplier list'!B:C,2,0),"")</f>
        <v/>
      </c>
      <c r="M1394" s="1" t="s">
        <v>24</v>
      </c>
      <c r="O1394" s="2" t="n">
        <v>0</v>
      </c>
    </row>
    <row r="1395" customFormat="false" ht="16.4" hidden="false" customHeight="false" outlineLevel="0" collapsed="false">
      <c r="A1395" s="0" t="s">
        <v>15</v>
      </c>
      <c r="B1395" s="0" t="s">
        <v>4431</v>
      </c>
      <c r="C1395" s="0" t="n">
        <v>114001</v>
      </c>
      <c r="D1395" s="0" t="n">
        <v>114001</v>
      </c>
      <c r="E1395" s="0" t="s">
        <v>4174</v>
      </c>
      <c r="F1395" s="0" t="s">
        <v>18</v>
      </c>
      <c r="G1395" s="0" t="s">
        <v>4432</v>
      </c>
      <c r="H1395" s="0" t="s">
        <v>4433</v>
      </c>
      <c r="I1395" s="0" t="s">
        <v>396</v>
      </c>
      <c r="J1395" s="0" t="s">
        <v>397</v>
      </c>
      <c r="L1395" s="0" t="str">
        <f aca="false">IFERROR(VLOOKUP(K1395,'Supplier list'!B:C,2,0),"")</f>
        <v/>
      </c>
      <c r="M1395" s="1" t="s">
        <v>24</v>
      </c>
      <c r="O1395" s="2" t="n">
        <v>0</v>
      </c>
    </row>
    <row r="1396" customFormat="false" ht="16.4" hidden="false" customHeight="false" outlineLevel="0" collapsed="false">
      <c r="A1396" s="0" t="s">
        <v>15</v>
      </c>
      <c r="B1396" s="0" t="s">
        <v>4434</v>
      </c>
      <c r="C1396" s="0" t="n">
        <v>114001</v>
      </c>
      <c r="D1396" s="0" t="n">
        <v>114001</v>
      </c>
      <c r="E1396" s="0" t="s">
        <v>4174</v>
      </c>
      <c r="F1396" s="0" t="s">
        <v>18</v>
      </c>
      <c r="G1396" s="0" t="s">
        <v>4435</v>
      </c>
      <c r="H1396" s="0" t="s">
        <v>4436</v>
      </c>
      <c r="I1396" s="0" t="s">
        <v>396</v>
      </c>
      <c r="J1396" s="0" t="s">
        <v>397</v>
      </c>
      <c r="L1396" s="0" t="str">
        <f aca="false">IFERROR(VLOOKUP(K1396,'Supplier list'!B:C,2,0),"")</f>
        <v/>
      </c>
      <c r="M1396" s="1" t="s">
        <v>24</v>
      </c>
      <c r="O1396" s="2" t="n">
        <v>0</v>
      </c>
    </row>
    <row r="1397" customFormat="false" ht="16.4" hidden="false" customHeight="false" outlineLevel="0" collapsed="false">
      <c r="A1397" s="0" t="s">
        <v>15</v>
      </c>
      <c r="B1397" s="0" t="s">
        <v>4437</v>
      </c>
      <c r="C1397" s="0" t="n">
        <v>114001</v>
      </c>
      <c r="D1397" s="0" t="n">
        <v>114001</v>
      </c>
      <c r="E1397" s="0" t="s">
        <v>4174</v>
      </c>
      <c r="F1397" s="0" t="s">
        <v>18</v>
      </c>
      <c r="G1397" s="0" t="s">
        <v>4438</v>
      </c>
      <c r="H1397" s="0" t="s">
        <v>4439</v>
      </c>
      <c r="I1397" s="0" t="s">
        <v>396</v>
      </c>
      <c r="J1397" s="0" t="s">
        <v>397</v>
      </c>
      <c r="L1397" s="0" t="str">
        <f aca="false">IFERROR(VLOOKUP(K1397,'Supplier list'!B:C,2,0),"")</f>
        <v/>
      </c>
      <c r="M1397" s="1" t="s">
        <v>24</v>
      </c>
      <c r="O1397" s="2" t="n">
        <v>0</v>
      </c>
    </row>
    <row r="1398" customFormat="false" ht="16.4" hidden="false" customHeight="false" outlineLevel="0" collapsed="false">
      <c r="A1398" s="0" t="s">
        <v>15</v>
      </c>
      <c r="B1398" s="0" t="s">
        <v>4440</v>
      </c>
      <c r="C1398" s="0" t="n">
        <v>114001</v>
      </c>
      <c r="D1398" s="0" t="n">
        <v>114001</v>
      </c>
      <c r="E1398" s="0" t="s">
        <v>4174</v>
      </c>
      <c r="F1398" s="0" t="s">
        <v>18</v>
      </c>
      <c r="G1398" s="0" t="s">
        <v>4441</v>
      </c>
      <c r="H1398" s="0" t="s">
        <v>4442</v>
      </c>
      <c r="I1398" s="0" t="s">
        <v>396</v>
      </c>
      <c r="J1398" s="0" t="s">
        <v>397</v>
      </c>
      <c r="K1398" s="0" t="s">
        <v>303</v>
      </c>
      <c r="L1398" s="0" t="str">
        <f aca="false">IFERROR(VLOOKUP(K1398,'Supplier list'!B:C,2,0),"")</f>
        <v>บริษัท เอ็มเค วู้ดเทค จำกัด</v>
      </c>
      <c r="M1398" s="1" t="s">
        <v>24</v>
      </c>
      <c r="O1398" s="2" t="n">
        <v>0</v>
      </c>
    </row>
    <row r="1399" customFormat="false" ht="16.4" hidden="false" customHeight="false" outlineLevel="0" collapsed="false">
      <c r="A1399" s="0" t="s">
        <v>15</v>
      </c>
      <c r="B1399" s="0" t="s">
        <v>4443</v>
      </c>
      <c r="C1399" s="0" t="n">
        <v>114001</v>
      </c>
      <c r="D1399" s="0" t="n">
        <v>114001</v>
      </c>
      <c r="E1399" s="0" t="s">
        <v>4174</v>
      </c>
      <c r="F1399" s="0" t="s">
        <v>18</v>
      </c>
      <c r="G1399" s="0" t="s">
        <v>4444</v>
      </c>
      <c r="H1399" s="0" t="s">
        <v>4445</v>
      </c>
      <c r="I1399" s="0" t="s">
        <v>102</v>
      </c>
      <c r="J1399" s="0" t="s">
        <v>103</v>
      </c>
      <c r="K1399" s="0" t="s">
        <v>4446</v>
      </c>
      <c r="L1399" s="0" t="str">
        <f aca="false">IFERROR(VLOOKUP(K1399,'Supplier list'!B:C,2,0),"")</f>
        <v>บริษัท ทีเอเคโพรดัคส์ แอนด์ เซอร์วิสเซส จำกัด</v>
      </c>
      <c r="M1399" s="1" t="s">
        <v>24</v>
      </c>
      <c r="O1399" s="2" t="n">
        <v>0</v>
      </c>
    </row>
    <row r="1400" customFormat="false" ht="16.4" hidden="false" customHeight="false" outlineLevel="0" collapsed="false">
      <c r="A1400" s="0" t="s">
        <v>15</v>
      </c>
      <c r="B1400" s="0" t="s">
        <v>4447</v>
      </c>
      <c r="C1400" s="0" t="n">
        <v>114001</v>
      </c>
      <c r="D1400" s="0" t="n">
        <v>114001</v>
      </c>
      <c r="E1400" s="0" t="s">
        <v>4174</v>
      </c>
      <c r="F1400" s="0" t="s">
        <v>18</v>
      </c>
      <c r="G1400" s="0" t="s">
        <v>4448</v>
      </c>
      <c r="H1400" s="0" t="s">
        <v>4449</v>
      </c>
      <c r="I1400" s="0" t="s">
        <v>102</v>
      </c>
      <c r="J1400" s="0" t="s">
        <v>103</v>
      </c>
      <c r="K1400" s="0" t="s">
        <v>303</v>
      </c>
      <c r="L1400" s="0" t="str">
        <f aca="false">IFERROR(VLOOKUP(K1400,'Supplier list'!B:C,2,0),"")</f>
        <v>บริษัท เอ็มเค วู้ดเทค จำกัด</v>
      </c>
      <c r="M1400" s="1" t="s">
        <v>24</v>
      </c>
      <c r="O1400" s="2" t="n">
        <v>0</v>
      </c>
    </row>
    <row r="1401" customFormat="false" ht="16.4" hidden="false" customHeight="false" outlineLevel="0" collapsed="false">
      <c r="A1401" s="0" t="s">
        <v>15</v>
      </c>
      <c r="B1401" s="0" t="s">
        <v>4450</v>
      </c>
      <c r="C1401" s="0" t="n">
        <v>114001</v>
      </c>
      <c r="D1401" s="0" t="n">
        <v>114001</v>
      </c>
      <c r="E1401" s="0" t="s">
        <v>4174</v>
      </c>
      <c r="F1401" s="0" t="s">
        <v>18</v>
      </c>
      <c r="G1401" s="0" t="s">
        <v>4451</v>
      </c>
      <c r="H1401" s="0" t="s">
        <v>4452</v>
      </c>
      <c r="I1401" s="0" t="s">
        <v>102</v>
      </c>
      <c r="J1401" s="0" t="s">
        <v>103</v>
      </c>
      <c r="K1401" s="0" t="s">
        <v>303</v>
      </c>
      <c r="L1401" s="0" t="str">
        <f aca="false">IFERROR(VLOOKUP(K1401,'Supplier list'!B:C,2,0),"")</f>
        <v>บริษัท เอ็มเค วู้ดเทค จำกัด</v>
      </c>
      <c r="M1401" s="1" t="s">
        <v>24</v>
      </c>
      <c r="O1401" s="2" t="n">
        <v>0</v>
      </c>
    </row>
    <row r="1402" customFormat="false" ht="16.4" hidden="false" customHeight="false" outlineLevel="0" collapsed="false">
      <c r="A1402" s="0" t="s">
        <v>15</v>
      </c>
      <c r="B1402" s="0" t="s">
        <v>4453</v>
      </c>
      <c r="C1402" s="0" t="n">
        <v>114001</v>
      </c>
      <c r="D1402" s="0" t="n">
        <v>114001</v>
      </c>
      <c r="E1402" s="0" t="s">
        <v>4174</v>
      </c>
      <c r="F1402" s="0" t="s">
        <v>18</v>
      </c>
      <c r="G1402" s="0" t="s">
        <v>4454</v>
      </c>
      <c r="H1402" s="0" t="s">
        <v>4455</v>
      </c>
      <c r="I1402" s="0" t="s">
        <v>102</v>
      </c>
      <c r="J1402" s="0" t="s">
        <v>103</v>
      </c>
      <c r="K1402" s="0" t="s">
        <v>4280</v>
      </c>
      <c r="L1402" s="0" t="str">
        <f aca="false">IFERROR(VLOOKUP(K1402,'Supplier list'!B:C,2,0),"")</f>
        <v/>
      </c>
      <c r="M1402" s="1" t="s">
        <v>24</v>
      </c>
      <c r="O1402" s="2" t="n">
        <v>550</v>
      </c>
    </row>
    <row r="1403" customFormat="false" ht="16.4" hidden="false" customHeight="false" outlineLevel="0" collapsed="false">
      <c r="A1403" s="0" t="s">
        <v>15</v>
      </c>
      <c r="B1403" s="0" t="s">
        <v>4456</v>
      </c>
      <c r="C1403" s="0" t="n">
        <v>114001</v>
      </c>
      <c r="D1403" s="0" t="n">
        <v>114001</v>
      </c>
      <c r="E1403" s="0" t="s">
        <v>4174</v>
      </c>
      <c r="F1403" s="0" t="s">
        <v>18</v>
      </c>
      <c r="G1403" s="0" t="s">
        <v>4457</v>
      </c>
      <c r="H1403" s="0" t="s">
        <v>4458</v>
      </c>
      <c r="I1403" s="0" t="s">
        <v>102</v>
      </c>
      <c r="J1403" s="0" t="s">
        <v>103</v>
      </c>
      <c r="K1403" s="0" t="s">
        <v>303</v>
      </c>
      <c r="L1403" s="0" t="str">
        <f aca="false">IFERROR(VLOOKUP(K1403,'Supplier list'!B:C,2,0),"")</f>
        <v>บริษัท เอ็มเค วู้ดเทค จำกัด</v>
      </c>
      <c r="M1403" s="1" t="s">
        <v>24</v>
      </c>
      <c r="O1403" s="2" t="n">
        <v>0</v>
      </c>
    </row>
    <row r="1404" customFormat="false" ht="16.4" hidden="false" customHeight="false" outlineLevel="0" collapsed="false">
      <c r="A1404" s="0" t="s">
        <v>15</v>
      </c>
      <c r="B1404" s="0" t="s">
        <v>4459</v>
      </c>
      <c r="C1404" s="0" t="n">
        <v>114001</v>
      </c>
      <c r="D1404" s="0" t="n">
        <v>114001</v>
      </c>
      <c r="E1404" s="0" t="s">
        <v>4174</v>
      </c>
      <c r="F1404" s="0" t="s">
        <v>18</v>
      </c>
      <c r="G1404" s="0" t="s">
        <v>4460</v>
      </c>
      <c r="H1404" s="0" t="s">
        <v>4461</v>
      </c>
      <c r="I1404" s="0" t="s">
        <v>396</v>
      </c>
      <c r="J1404" s="0" t="s">
        <v>397</v>
      </c>
      <c r="K1404" s="0" t="s">
        <v>303</v>
      </c>
      <c r="L1404" s="0" t="str">
        <f aca="false">IFERROR(VLOOKUP(K1404,'Supplier list'!B:C,2,0),"")</f>
        <v>บริษัท เอ็มเค วู้ดเทค จำกัด</v>
      </c>
      <c r="M1404" s="1" t="s">
        <v>24</v>
      </c>
      <c r="O1404" s="2" t="n">
        <v>6</v>
      </c>
    </row>
    <row r="1405" customFormat="false" ht="16.4" hidden="false" customHeight="false" outlineLevel="0" collapsed="false">
      <c r="A1405" s="0" t="s">
        <v>15</v>
      </c>
      <c r="B1405" s="0" t="s">
        <v>4462</v>
      </c>
      <c r="C1405" s="0" t="n">
        <v>114001</v>
      </c>
      <c r="D1405" s="0" t="n">
        <v>114001</v>
      </c>
      <c r="E1405" s="0" t="s">
        <v>4174</v>
      </c>
      <c r="F1405" s="0" t="s">
        <v>18</v>
      </c>
      <c r="G1405" s="0" t="s">
        <v>4463</v>
      </c>
      <c r="H1405" s="0" t="s">
        <v>4464</v>
      </c>
      <c r="I1405" s="0" t="s">
        <v>102</v>
      </c>
      <c r="J1405" s="0" t="s">
        <v>103</v>
      </c>
      <c r="L1405" s="0" t="str">
        <f aca="false">IFERROR(VLOOKUP(K1405,'Supplier list'!B:C,2,0),"")</f>
        <v/>
      </c>
      <c r="M1405" s="1" t="s">
        <v>24</v>
      </c>
      <c r="O1405" s="2" t="n">
        <v>0</v>
      </c>
    </row>
    <row r="1406" customFormat="false" ht="16.4" hidden="false" customHeight="false" outlineLevel="0" collapsed="false">
      <c r="A1406" s="0" t="s">
        <v>15</v>
      </c>
      <c r="B1406" s="0" t="s">
        <v>4465</v>
      </c>
      <c r="C1406" s="0" t="n">
        <v>114001</v>
      </c>
      <c r="D1406" s="0" t="n">
        <v>114001</v>
      </c>
      <c r="E1406" s="0" t="s">
        <v>4174</v>
      </c>
      <c r="F1406" s="0" t="s">
        <v>18</v>
      </c>
      <c r="G1406" s="0" t="s">
        <v>4466</v>
      </c>
      <c r="H1406" s="0" t="s">
        <v>4467</v>
      </c>
      <c r="I1406" s="0" t="s">
        <v>102</v>
      </c>
      <c r="J1406" s="0" t="s">
        <v>103</v>
      </c>
      <c r="L1406" s="0" t="str">
        <f aca="false">IFERROR(VLOOKUP(K1406,'Supplier list'!B:C,2,0),"")</f>
        <v/>
      </c>
      <c r="M1406" s="1" t="s">
        <v>24</v>
      </c>
      <c r="O1406" s="2" t="n">
        <v>0</v>
      </c>
    </row>
    <row r="1407" customFormat="false" ht="16.4" hidden="false" customHeight="false" outlineLevel="0" collapsed="false">
      <c r="A1407" s="0" t="s">
        <v>15</v>
      </c>
      <c r="B1407" s="0" t="s">
        <v>4468</v>
      </c>
      <c r="C1407" s="0" t="n">
        <v>114001</v>
      </c>
      <c r="D1407" s="0" t="n">
        <v>114001</v>
      </c>
      <c r="E1407" s="0" t="s">
        <v>4174</v>
      </c>
      <c r="F1407" s="0" t="s">
        <v>18</v>
      </c>
      <c r="G1407" s="0" t="s">
        <v>4469</v>
      </c>
      <c r="H1407" s="0" t="s">
        <v>4470</v>
      </c>
      <c r="I1407" s="0" t="s">
        <v>102</v>
      </c>
      <c r="J1407" s="0" t="s">
        <v>103</v>
      </c>
      <c r="L1407" s="0" t="str">
        <f aca="false">IFERROR(VLOOKUP(K1407,'Supplier list'!B:C,2,0),"")</f>
        <v/>
      </c>
      <c r="M1407" s="1" t="s">
        <v>24</v>
      </c>
      <c r="O1407" s="2" t="n">
        <v>0</v>
      </c>
    </row>
    <row r="1408" customFormat="false" ht="16.4" hidden="false" customHeight="false" outlineLevel="0" collapsed="false">
      <c r="A1408" s="0" t="s">
        <v>15</v>
      </c>
      <c r="B1408" s="0" t="s">
        <v>4471</v>
      </c>
      <c r="C1408" s="0" t="n">
        <v>114001</v>
      </c>
      <c r="D1408" s="0" t="n">
        <v>114001</v>
      </c>
      <c r="E1408" s="0" t="s">
        <v>4174</v>
      </c>
      <c r="F1408" s="0" t="s">
        <v>18</v>
      </c>
      <c r="G1408" s="0" t="s">
        <v>4472</v>
      </c>
      <c r="H1408" s="0" t="s">
        <v>4473</v>
      </c>
      <c r="I1408" s="0" t="s">
        <v>102</v>
      </c>
      <c r="J1408" s="0" t="s">
        <v>103</v>
      </c>
      <c r="L1408" s="0" t="str">
        <f aca="false">IFERROR(VLOOKUP(K1408,'Supplier list'!B:C,2,0),"")</f>
        <v/>
      </c>
      <c r="M1408" s="1" t="s">
        <v>24</v>
      </c>
      <c r="O1408" s="2" t="n">
        <v>0</v>
      </c>
    </row>
    <row r="1409" customFormat="false" ht="16.4" hidden="false" customHeight="false" outlineLevel="0" collapsed="false">
      <c r="A1409" s="0" t="s">
        <v>15</v>
      </c>
      <c r="B1409" s="0" t="s">
        <v>4474</v>
      </c>
      <c r="C1409" s="0" t="n">
        <v>114001</v>
      </c>
      <c r="D1409" s="0" t="n">
        <v>114001</v>
      </c>
      <c r="E1409" s="0" t="s">
        <v>4174</v>
      </c>
      <c r="F1409" s="0" t="s">
        <v>18</v>
      </c>
      <c r="G1409" s="0" t="s">
        <v>4475</v>
      </c>
      <c r="H1409" s="0" t="s">
        <v>4476</v>
      </c>
      <c r="I1409" s="0" t="s">
        <v>102</v>
      </c>
      <c r="J1409" s="0" t="s">
        <v>103</v>
      </c>
      <c r="K1409" s="0" t="s">
        <v>4477</v>
      </c>
      <c r="L1409" s="0" t="str">
        <f aca="false">IFERROR(VLOOKUP(K1409,'Supplier list'!B:C,2,0),"")</f>
        <v/>
      </c>
      <c r="M1409" s="1" t="s">
        <v>24</v>
      </c>
      <c r="O1409" s="2" t="n">
        <v>0</v>
      </c>
    </row>
    <row r="1410" customFormat="false" ht="16.4" hidden="false" customHeight="false" outlineLevel="0" collapsed="false">
      <c r="A1410" s="0" t="s">
        <v>15</v>
      </c>
      <c r="B1410" s="0" t="s">
        <v>4478</v>
      </c>
      <c r="C1410" s="0" t="n">
        <v>114001</v>
      </c>
      <c r="D1410" s="0" t="n">
        <v>114001</v>
      </c>
      <c r="E1410" s="0" t="s">
        <v>4174</v>
      </c>
      <c r="F1410" s="0" t="s">
        <v>18</v>
      </c>
      <c r="G1410" s="0" t="s">
        <v>4479</v>
      </c>
      <c r="H1410" s="0" t="s">
        <v>4480</v>
      </c>
      <c r="I1410" s="0" t="s">
        <v>102</v>
      </c>
      <c r="J1410" s="0" t="s">
        <v>103</v>
      </c>
      <c r="L1410" s="0" t="str">
        <f aca="false">IFERROR(VLOOKUP(K1410,'Supplier list'!B:C,2,0),"")</f>
        <v/>
      </c>
      <c r="M1410" s="1" t="s">
        <v>24</v>
      </c>
      <c r="O1410" s="2" t="n">
        <v>0</v>
      </c>
    </row>
    <row r="1411" customFormat="false" ht="16.4" hidden="false" customHeight="false" outlineLevel="0" collapsed="false">
      <c r="A1411" s="0" t="s">
        <v>15</v>
      </c>
      <c r="B1411" s="0" t="s">
        <v>4481</v>
      </c>
      <c r="C1411" s="0" t="n">
        <v>114001</v>
      </c>
      <c r="D1411" s="0" t="n">
        <v>114001</v>
      </c>
      <c r="E1411" s="0" t="s">
        <v>4174</v>
      </c>
      <c r="F1411" s="0" t="s">
        <v>18</v>
      </c>
      <c r="G1411" s="0" t="s">
        <v>4482</v>
      </c>
      <c r="H1411" s="0" t="s">
        <v>4483</v>
      </c>
      <c r="I1411" s="0" t="s">
        <v>102</v>
      </c>
      <c r="J1411" s="0" t="s">
        <v>103</v>
      </c>
      <c r="K1411" s="0" t="s">
        <v>303</v>
      </c>
      <c r="L1411" s="0" t="str">
        <f aca="false">IFERROR(VLOOKUP(K1411,'Supplier list'!B:C,2,0),"")</f>
        <v>บริษัท เอ็มเค วู้ดเทค จำกัด</v>
      </c>
      <c r="M1411" s="1" t="s">
        <v>24</v>
      </c>
      <c r="O1411" s="2" t="n">
        <v>0</v>
      </c>
    </row>
    <row r="1412" customFormat="false" ht="16.4" hidden="false" customHeight="false" outlineLevel="0" collapsed="false">
      <c r="A1412" s="0" t="s">
        <v>15</v>
      </c>
      <c r="B1412" s="0" t="s">
        <v>4484</v>
      </c>
      <c r="C1412" s="0" t="n">
        <v>114001</v>
      </c>
      <c r="D1412" s="0" t="n">
        <v>114001</v>
      </c>
      <c r="E1412" s="0" t="s">
        <v>4174</v>
      </c>
      <c r="F1412" s="0" t="s">
        <v>18</v>
      </c>
      <c r="G1412" s="0" t="s">
        <v>4485</v>
      </c>
      <c r="H1412" s="0" t="s">
        <v>4486</v>
      </c>
      <c r="I1412" s="0" t="s">
        <v>396</v>
      </c>
      <c r="J1412" s="0" t="s">
        <v>397</v>
      </c>
      <c r="L1412" s="0" t="str">
        <f aca="false">IFERROR(VLOOKUP(K1412,'Supplier list'!B:C,2,0),"")</f>
        <v/>
      </c>
      <c r="M1412" s="1" t="s">
        <v>24</v>
      </c>
      <c r="O1412" s="2" t="n">
        <v>0</v>
      </c>
    </row>
    <row r="1413" customFormat="false" ht="16.4" hidden="false" customHeight="false" outlineLevel="0" collapsed="false">
      <c r="A1413" s="0" t="s">
        <v>15</v>
      </c>
      <c r="B1413" s="0" t="s">
        <v>4487</v>
      </c>
      <c r="C1413" s="0" t="n">
        <v>114001</v>
      </c>
      <c r="D1413" s="0" t="n">
        <v>114001</v>
      </c>
      <c r="E1413" s="0" t="s">
        <v>4174</v>
      </c>
      <c r="F1413" s="0" t="s">
        <v>18</v>
      </c>
      <c r="G1413" s="0" t="s">
        <v>4488</v>
      </c>
      <c r="H1413" s="0" t="s">
        <v>4489</v>
      </c>
      <c r="I1413" s="0" t="s">
        <v>396</v>
      </c>
      <c r="J1413" s="0" t="s">
        <v>397</v>
      </c>
      <c r="L1413" s="0" t="str">
        <f aca="false">IFERROR(VLOOKUP(K1413,'Supplier list'!B:C,2,0),"")</f>
        <v/>
      </c>
      <c r="M1413" s="1" t="s">
        <v>24</v>
      </c>
      <c r="O1413" s="2" t="n">
        <v>0</v>
      </c>
    </row>
    <row r="1414" customFormat="false" ht="16.4" hidden="false" customHeight="false" outlineLevel="0" collapsed="false">
      <c r="A1414" s="0" t="s">
        <v>15</v>
      </c>
      <c r="B1414" s="0" t="s">
        <v>4490</v>
      </c>
      <c r="C1414" s="0" t="n">
        <v>114001</v>
      </c>
      <c r="D1414" s="0" t="n">
        <v>114001</v>
      </c>
      <c r="E1414" s="0" t="s">
        <v>4174</v>
      </c>
      <c r="F1414" s="0" t="s">
        <v>18</v>
      </c>
      <c r="G1414" s="0" t="s">
        <v>4491</v>
      </c>
      <c r="H1414" s="0" t="s">
        <v>4492</v>
      </c>
      <c r="I1414" s="0" t="s">
        <v>248</v>
      </c>
      <c r="J1414" s="0" t="s">
        <v>249</v>
      </c>
      <c r="K1414" s="0" t="s">
        <v>4203</v>
      </c>
      <c r="L1414" s="0" t="str">
        <f aca="false">IFERROR(VLOOKUP(K1414,'Supplier list'!B:C,2,0),"")</f>
        <v>บริษัท 9889 Thailnd</v>
      </c>
      <c r="M1414" s="1" t="s">
        <v>24</v>
      </c>
      <c r="O1414" s="2" t="n">
        <v>0</v>
      </c>
    </row>
    <row r="1415" customFormat="false" ht="16.4" hidden="false" customHeight="false" outlineLevel="0" collapsed="false">
      <c r="A1415" s="0" t="s">
        <v>15</v>
      </c>
      <c r="B1415" s="0" t="s">
        <v>4493</v>
      </c>
      <c r="C1415" s="0" t="n">
        <v>114001</v>
      </c>
      <c r="D1415" s="0" t="n">
        <v>114001</v>
      </c>
      <c r="E1415" s="0" t="s">
        <v>4174</v>
      </c>
      <c r="F1415" s="0" t="s">
        <v>18</v>
      </c>
      <c r="G1415" s="0" t="s">
        <v>4494</v>
      </c>
      <c r="H1415" s="0" t="s">
        <v>4495</v>
      </c>
      <c r="I1415" s="0" t="s">
        <v>396</v>
      </c>
      <c r="J1415" s="0" t="s">
        <v>397</v>
      </c>
      <c r="L1415" s="0" t="str">
        <f aca="false">IFERROR(VLOOKUP(K1415,'Supplier list'!B:C,2,0),"")</f>
        <v/>
      </c>
      <c r="M1415" s="1" t="s">
        <v>24</v>
      </c>
      <c r="O1415" s="2" t="n">
        <v>0</v>
      </c>
    </row>
    <row r="1416" customFormat="false" ht="16.4" hidden="false" customHeight="false" outlineLevel="0" collapsed="false">
      <c r="A1416" s="0" t="s">
        <v>15</v>
      </c>
      <c r="B1416" s="0" t="s">
        <v>4496</v>
      </c>
      <c r="C1416" s="0" t="n">
        <v>114001</v>
      </c>
      <c r="D1416" s="0" t="n">
        <v>114001</v>
      </c>
      <c r="E1416" s="0" t="s">
        <v>4174</v>
      </c>
      <c r="F1416" s="0" t="s">
        <v>18</v>
      </c>
      <c r="G1416" s="0" t="s">
        <v>4497</v>
      </c>
      <c r="H1416" s="0" t="s">
        <v>4498</v>
      </c>
      <c r="I1416" s="0" t="s">
        <v>102</v>
      </c>
      <c r="J1416" s="0" t="s">
        <v>103</v>
      </c>
      <c r="K1416" s="0" t="s">
        <v>4446</v>
      </c>
      <c r="L1416" s="0" t="str">
        <f aca="false">IFERROR(VLOOKUP(K1416,'Supplier list'!B:C,2,0),"")</f>
        <v>บริษัท ทีเอเคโพรดัคส์ แอนด์ เซอร์วิสเซส จำกัด</v>
      </c>
      <c r="M1416" s="1" t="s">
        <v>24</v>
      </c>
      <c r="O1416" s="2" t="n">
        <v>0</v>
      </c>
    </row>
    <row r="1417" customFormat="false" ht="16.4" hidden="false" customHeight="false" outlineLevel="0" collapsed="false">
      <c r="A1417" s="0" t="s">
        <v>15</v>
      </c>
      <c r="B1417" s="0" t="s">
        <v>4499</v>
      </c>
      <c r="C1417" s="0" t="n">
        <v>114001</v>
      </c>
      <c r="D1417" s="0" t="n">
        <v>114001</v>
      </c>
      <c r="E1417" s="0" t="s">
        <v>4174</v>
      </c>
      <c r="F1417" s="0" t="s">
        <v>18</v>
      </c>
      <c r="G1417" s="0" t="s">
        <v>4500</v>
      </c>
      <c r="H1417" s="0" t="s">
        <v>4501</v>
      </c>
      <c r="I1417" s="0" t="s">
        <v>102</v>
      </c>
      <c r="J1417" s="0" t="s">
        <v>103</v>
      </c>
      <c r="K1417" s="0" t="s">
        <v>4502</v>
      </c>
      <c r="L1417" s="0" t="str">
        <f aca="false">IFERROR(VLOOKUP(K1417,'Supplier list'!B:C,2,0),"")</f>
        <v>หจก. เจอาร์พีฟลอร์ จำกัด</v>
      </c>
      <c r="M1417" s="1" t="s">
        <v>24</v>
      </c>
      <c r="O1417" s="2" t="n">
        <v>0</v>
      </c>
    </row>
    <row r="1418" customFormat="false" ht="16.4" hidden="false" customHeight="false" outlineLevel="0" collapsed="false">
      <c r="A1418" s="0" t="s">
        <v>15</v>
      </c>
      <c r="B1418" s="0" t="s">
        <v>4503</v>
      </c>
      <c r="C1418" s="0" t="n">
        <v>114001</v>
      </c>
      <c r="D1418" s="0" t="n">
        <v>114001</v>
      </c>
      <c r="E1418" s="0" t="s">
        <v>4174</v>
      </c>
      <c r="F1418" s="0" t="s">
        <v>18</v>
      </c>
      <c r="G1418" s="0" t="s">
        <v>4504</v>
      </c>
      <c r="H1418" s="0" t="s">
        <v>4505</v>
      </c>
      <c r="I1418" s="0" t="s">
        <v>102</v>
      </c>
      <c r="J1418" s="0" t="s">
        <v>103</v>
      </c>
      <c r="K1418" s="0" t="s">
        <v>4506</v>
      </c>
      <c r="L1418" s="0" t="str">
        <f aca="false">IFERROR(VLOOKUP(K1418,'Supplier list'!B:C,2,0),"")</f>
        <v/>
      </c>
      <c r="M1418" s="1" t="s">
        <v>24</v>
      </c>
      <c r="O1418" s="2" t="n">
        <v>0</v>
      </c>
    </row>
    <row r="1419" customFormat="false" ht="16.4" hidden="false" customHeight="false" outlineLevel="0" collapsed="false">
      <c r="A1419" s="0" t="s">
        <v>15</v>
      </c>
      <c r="B1419" s="0" t="s">
        <v>4507</v>
      </c>
      <c r="C1419" s="0" t="n">
        <v>114001</v>
      </c>
      <c r="D1419" s="0" t="n">
        <v>114001</v>
      </c>
      <c r="E1419" s="0" t="s">
        <v>4174</v>
      </c>
      <c r="F1419" s="0" t="s">
        <v>18</v>
      </c>
      <c r="G1419" s="0" t="s">
        <v>4508</v>
      </c>
      <c r="H1419" s="0" t="s">
        <v>4509</v>
      </c>
      <c r="I1419" s="0" t="s">
        <v>102</v>
      </c>
      <c r="J1419" s="0" t="s">
        <v>103</v>
      </c>
      <c r="K1419" s="0" t="s">
        <v>4506</v>
      </c>
      <c r="L1419" s="0" t="str">
        <f aca="false">IFERROR(VLOOKUP(K1419,'Supplier list'!B:C,2,0),"")</f>
        <v/>
      </c>
      <c r="M1419" s="1" t="s">
        <v>24</v>
      </c>
      <c r="O1419" s="2" t="n">
        <v>0</v>
      </c>
    </row>
    <row r="1420" customFormat="false" ht="16.4" hidden="false" customHeight="false" outlineLevel="0" collapsed="false">
      <c r="A1420" s="0" t="s">
        <v>15</v>
      </c>
      <c r="B1420" s="0" t="s">
        <v>4510</v>
      </c>
      <c r="C1420" s="0" t="n">
        <v>114001</v>
      </c>
      <c r="D1420" s="0" t="n">
        <v>114001</v>
      </c>
      <c r="E1420" s="0" t="s">
        <v>4174</v>
      </c>
      <c r="F1420" s="0" t="s">
        <v>18</v>
      </c>
      <c r="G1420" s="0" t="s">
        <v>4511</v>
      </c>
      <c r="H1420" s="0" t="s">
        <v>4512</v>
      </c>
      <c r="I1420" s="0" t="s">
        <v>168</v>
      </c>
      <c r="J1420" s="0" t="s">
        <v>169</v>
      </c>
      <c r="K1420" s="0" t="s">
        <v>303</v>
      </c>
      <c r="L1420" s="0" t="str">
        <f aca="false">IFERROR(VLOOKUP(K1420,'Supplier list'!B:C,2,0),"")</f>
        <v>บริษัท เอ็มเค วู้ดเทค จำกัด</v>
      </c>
      <c r="M1420" s="1" t="s">
        <v>24</v>
      </c>
      <c r="O1420" s="2" t="n">
        <v>8.1</v>
      </c>
    </row>
    <row r="1421" customFormat="false" ht="16.4" hidden="false" customHeight="false" outlineLevel="0" collapsed="false">
      <c r="A1421" s="0" t="s">
        <v>15</v>
      </c>
      <c r="B1421" s="0" t="s">
        <v>4513</v>
      </c>
      <c r="C1421" s="0" t="n">
        <v>114001</v>
      </c>
      <c r="D1421" s="0" t="n">
        <v>114001</v>
      </c>
      <c r="E1421" s="0" t="s">
        <v>4174</v>
      </c>
      <c r="F1421" s="0" t="s">
        <v>18</v>
      </c>
      <c r="G1421" s="0" t="s">
        <v>4514</v>
      </c>
      <c r="H1421" s="0" t="s">
        <v>4515</v>
      </c>
      <c r="I1421" s="0" t="s">
        <v>102</v>
      </c>
      <c r="J1421" s="0" t="s">
        <v>103</v>
      </c>
      <c r="K1421" s="0" t="s">
        <v>4446</v>
      </c>
      <c r="L1421" s="0" t="str">
        <f aca="false">IFERROR(VLOOKUP(K1421,'Supplier list'!B:C,2,0),"")</f>
        <v>บริษัท ทีเอเคโพรดัคส์ แอนด์ เซอร์วิสเซส จำกัด</v>
      </c>
      <c r="M1421" s="1" t="s">
        <v>24</v>
      </c>
      <c r="O1421" s="2" t="n">
        <v>0</v>
      </c>
    </row>
    <row r="1422" customFormat="false" ht="16.4" hidden="false" customHeight="false" outlineLevel="0" collapsed="false">
      <c r="A1422" s="0" t="s">
        <v>15</v>
      </c>
      <c r="B1422" s="0" t="s">
        <v>4516</v>
      </c>
      <c r="C1422" s="0" t="n">
        <v>114001</v>
      </c>
      <c r="D1422" s="0" t="n">
        <v>114001</v>
      </c>
      <c r="E1422" s="0" t="s">
        <v>4174</v>
      </c>
      <c r="F1422" s="0" t="s">
        <v>18</v>
      </c>
      <c r="G1422" s="0" t="s">
        <v>4517</v>
      </c>
      <c r="H1422" s="0" t="s">
        <v>4518</v>
      </c>
      <c r="I1422" s="0" t="s">
        <v>102</v>
      </c>
      <c r="J1422" s="0" t="s">
        <v>103</v>
      </c>
      <c r="K1422" s="0" t="s">
        <v>303</v>
      </c>
      <c r="L1422" s="0" t="str">
        <f aca="false">IFERROR(VLOOKUP(K1422,'Supplier list'!B:C,2,0),"")</f>
        <v>บริษัท เอ็มเค วู้ดเทค จำกัด</v>
      </c>
      <c r="M1422" s="1" t="s">
        <v>24</v>
      </c>
      <c r="O1422" s="2" t="n">
        <v>0</v>
      </c>
    </row>
    <row r="1423" customFormat="false" ht="16.4" hidden="false" customHeight="false" outlineLevel="0" collapsed="false">
      <c r="A1423" s="0" t="s">
        <v>15</v>
      </c>
      <c r="B1423" s="0" t="s">
        <v>4519</v>
      </c>
      <c r="C1423" s="0" t="n">
        <v>114001</v>
      </c>
      <c r="D1423" s="0" t="n">
        <v>114001</v>
      </c>
      <c r="E1423" s="0" t="s">
        <v>4174</v>
      </c>
      <c r="F1423" s="0" t="s">
        <v>18</v>
      </c>
      <c r="G1423" s="0" t="s">
        <v>4520</v>
      </c>
      <c r="H1423" s="0" t="s">
        <v>4521</v>
      </c>
      <c r="I1423" s="0" t="s">
        <v>102</v>
      </c>
      <c r="J1423" s="0" t="s">
        <v>103</v>
      </c>
      <c r="K1423" s="0" t="s">
        <v>303</v>
      </c>
      <c r="L1423" s="0" t="str">
        <f aca="false">IFERROR(VLOOKUP(K1423,'Supplier list'!B:C,2,0),"")</f>
        <v>บริษัท เอ็มเค วู้ดเทค จำกัด</v>
      </c>
      <c r="M1423" s="1" t="s">
        <v>24</v>
      </c>
      <c r="O1423" s="2" t="n">
        <v>0</v>
      </c>
    </row>
    <row r="1424" customFormat="false" ht="16.4" hidden="false" customHeight="false" outlineLevel="0" collapsed="false">
      <c r="A1424" s="0" t="s">
        <v>15</v>
      </c>
      <c r="B1424" s="0" t="s">
        <v>4522</v>
      </c>
      <c r="C1424" s="0" t="n">
        <v>114001</v>
      </c>
      <c r="D1424" s="0" t="n">
        <v>114001</v>
      </c>
      <c r="E1424" s="0" t="s">
        <v>4174</v>
      </c>
      <c r="F1424" s="0" t="s">
        <v>18</v>
      </c>
      <c r="G1424" s="0" t="s">
        <v>4523</v>
      </c>
      <c r="H1424" s="0" t="s">
        <v>4524</v>
      </c>
      <c r="I1424" s="0" t="s">
        <v>396</v>
      </c>
      <c r="J1424" s="0" t="s">
        <v>397</v>
      </c>
      <c r="K1424" s="0" t="s">
        <v>4203</v>
      </c>
      <c r="L1424" s="0" t="str">
        <f aca="false">IFERROR(VLOOKUP(K1424,'Supplier list'!B:C,2,0),"")</f>
        <v>บริษัท 9889 Thailnd</v>
      </c>
      <c r="M1424" s="1" t="s">
        <v>24</v>
      </c>
      <c r="O1424" s="2" t="n">
        <v>0</v>
      </c>
    </row>
    <row r="1425" customFormat="false" ht="16.4" hidden="false" customHeight="false" outlineLevel="0" collapsed="false">
      <c r="A1425" s="0" t="s">
        <v>15</v>
      </c>
      <c r="B1425" s="0" t="s">
        <v>4525</v>
      </c>
      <c r="C1425" s="0" t="n">
        <v>114001</v>
      </c>
      <c r="D1425" s="0" t="n">
        <v>114001</v>
      </c>
      <c r="E1425" s="0" t="s">
        <v>4174</v>
      </c>
      <c r="F1425" s="0" t="s">
        <v>18</v>
      </c>
      <c r="G1425" s="0" t="s">
        <v>4526</v>
      </c>
      <c r="H1425" s="0" t="s">
        <v>4527</v>
      </c>
      <c r="I1425" s="0" t="s">
        <v>396</v>
      </c>
      <c r="J1425" s="0" t="s">
        <v>397</v>
      </c>
      <c r="K1425" s="0" t="s">
        <v>4528</v>
      </c>
      <c r="L1425" s="0" t="str">
        <f aca="false">IFERROR(VLOOKUP(K1425,'Supplier list'!B:C,2,0),"")</f>
        <v/>
      </c>
      <c r="M1425" s="1" t="s">
        <v>24</v>
      </c>
      <c r="O1425" s="2" t="n">
        <v>2.28</v>
      </c>
    </row>
    <row r="1426" customFormat="false" ht="16.4" hidden="false" customHeight="false" outlineLevel="0" collapsed="false">
      <c r="A1426" s="0" t="s">
        <v>15</v>
      </c>
      <c r="B1426" s="0" t="s">
        <v>4529</v>
      </c>
      <c r="C1426" s="0" t="n">
        <v>114001</v>
      </c>
      <c r="D1426" s="0" t="n">
        <v>114001</v>
      </c>
      <c r="E1426" s="0" t="s">
        <v>4174</v>
      </c>
      <c r="F1426" s="0" t="s">
        <v>18</v>
      </c>
      <c r="G1426" s="0" t="s">
        <v>4530</v>
      </c>
      <c r="H1426" s="0" t="s">
        <v>4531</v>
      </c>
      <c r="I1426" s="0" t="s">
        <v>396</v>
      </c>
      <c r="J1426" s="0" t="s">
        <v>397</v>
      </c>
      <c r="K1426" s="0" t="s">
        <v>567</v>
      </c>
      <c r="L1426" s="0" t="str">
        <f aca="false">IFERROR(VLOOKUP(K1426,'Supplier list'!B:C,2,0),"")</f>
        <v>บริษัท ไทย เมก้าแคบ จำกัด</v>
      </c>
      <c r="M1426" s="1" t="s">
        <v>24</v>
      </c>
      <c r="O1426" s="2" t="n">
        <v>8.72</v>
      </c>
    </row>
    <row r="1427" customFormat="false" ht="16.4" hidden="false" customHeight="false" outlineLevel="0" collapsed="false">
      <c r="A1427" s="0" t="s">
        <v>15</v>
      </c>
      <c r="B1427" s="0" t="s">
        <v>4532</v>
      </c>
      <c r="C1427" s="0" t="n">
        <v>114001</v>
      </c>
      <c r="D1427" s="0" t="n">
        <v>114001</v>
      </c>
      <c r="E1427" s="0" t="s">
        <v>4174</v>
      </c>
      <c r="F1427" s="0" t="s">
        <v>18</v>
      </c>
      <c r="G1427" s="0" t="s">
        <v>4533</v>
      </c>
      <c r="H1427" s="0" t="s">
        <v>4534</v>
      </c>
      <c r="I1427" s="0" t="s">
        <v>102</v>
      </c>
      <c r="J1427" s="0" t="s">
        <v>103</v>
      </c>
      <c r="K1427" s="0" t="s">
        <v>56</v>
      </c>
      <c r="L1427" s="0" t="str">
        <f aca="false">IFERROR(VLOOKUP(K1427,'Supplier list'!B:C,2,0),"")</f>
        <v>CO.,LTD QINGDAO NEW LIBERTY INT'L TRADING CO.LTD.</v>
      </c>
      <c r="M1427" s="1" t="s">
        <v>24</v>
      </c>
      <c r="O1427" s="2" t="n">
        <v>375</v>
      </c>
    </row>
    <row r="1428" customFormat="false" ht="16.4" hidden="false" customHeight="false" outlineLevel="0" collapsed="false">
      <c r="A1428" s="0" t="s">
        <v>15</v>
      </c>
      <c r="B1428" s="0" t="s">
        <v>4535</v>
      </c>
      <c r="C1428" s="0" t="n">
        <v>114001</v>
      </c>
      <c r="D1428" s="0" t="n">
        <v>114001</v>
      </c>
      <c r="E1428" s="0" t="s">
        <v>4174</v>
      </c>
      <c r="F1428" s="0" t="s">
        <v>18</v>
      </c>
      <c r="G1428" s="0" t="s">
        <v>4536</v>
      </c>
      <c r="H1428" s="0" t="s">
        <v>4537</v>
      </c>
      <c r="I1428" s="0" t="s">
        <v>102</v>
      </c>
      <c r="J1428" s="0" t="s">
        <v>103</v>
      </c>
      <c r="K1428" s="0" t="s">
        <v>303</v>
      </c>
      <c r="L1428" s="0" t="str">
        <f aca="false">IFERROR(VLOOKUP(K1428,'Supplier list'!B:C,2,0),"")</f>
        <v>บริษัท เอ็มเค วู้ดเทค จำกัด</v>
      </c>
      <c r="M1428" s="1" t="s">
        <v>24</v>
      </c>
      <c r="O1428" s="2" t="n">
        <v>735</v>
      </c>
    </row>
    <row r="1429" customFormat="false" ht="16.4" hidden="false" customHeight="false" outlineLevel="0" collapsed="false">
      <c r="A1429" s="0" t="s">
        <v>15</v>
      </c>
      <c r="B1429" s="0" t="s">
        <v>4538</v>
      </c>
      <c r="C1429" s="0" t="n">
        <v>114001</v>
      </c>
      <c r="D1429" s="0" t="n">
        <v>114001</v>
      </c>
      <c r="E1429" s="0" t="s">
        <v>4174</v>
      </c>
      <c r="F1429" s="0" t="s">
        <v>18</v>
      </c>
      <c r="G1429" s="0" t="s">
        <v>4539</v>
      </c>
      <c r="H1429" s="0" t="s">
        <v>4540</v>
      </c>
      <c r="I1429" s="0" t="s">
        <v>396</v>
      </c>
      <c r="J1429" s="0" t="s">
        <v>397</v>
      </c>
      <c r="K1429" s="0" t="s">
        <v>4203</v>
      </c>
      <c r="L1429" s="0" t="str">
        <f aca="false">IFERROR(VLOOKUP(K1429,'Supplier list'!B:C,2,0),"")</f>
        <v>บริษัท 9889 Thailnd</v>
      </c>
      <c r="M1429" s="1" t="s">
        <v>24</v>
      </c>
      <c r="O1429" s="2" t="n">
        <v>0</v>
      </c>
    </row>
    <row r="1430" customFormat="false" ht="16.4" hidden="false" customHeight="false" outlineLevel="0" collapsed="false">
      <c r="A1430" s="0" t="s">
        <v>15</v>
      </c>
      <c r="B1430" s="0" t="s">
        <v>4541</v>
      </c>
      <c r="C1430" s="0" t="n">
        <v>114001</v>
      </c>
      <c r="D1430" s="0" t="n">
        <v>114001</v>
      </c>
      <c r="E1430" s="0" t="s">
        <v>4174</v>
      </c>
      <c r="F1430" s="0" t="s">
        <v>18</v>
      </c>
      <c r="G1430" s="0" t="s">
        <v>4542</v>
      </c>
      <c r="H1430" s="0" t="s">
        <v>4543</v>
      </c>
      <c r="I1430" s="0" t="s">
        <v>102</v>
      </c>
      <c r="J1430" s="0" t="s">
        <v>103</v>
      </c>
      <c r="K1430" s="0" t="s">
        <v>303</v>
      </c>
      <c r="L1430" s="0" t="str">
        <f aca="false">IFERROR(VLOOKUP(K1430,'Supplier list'!B:C,2,0),"")</f>
        <v>บริษัท เอ็มเค วู้ดเทค จำกัด</v>
      </c>
      <c r="M1430" s="1" t="s">
        <v>24</v>
      </c>
      <c r="O1430" s="2" t="n">
        <v>710</v>
      </c>
    </row>
    <row r="1431" customFormat="false" ht="16.4" hidden="false" customHeight="false" outlineLevel="0" collapsed="false">
      <c r="A1431" s="0" t="s">
        <v>15</v>
      </c>
      <c r="B1431" s="0" t="s">
        <v>4544</v>
      </c>
      <c r="C1431" s="0" t="n">
        <v>114001</v>
      </c>
      <c r="D1431" s="0" t="n">
        <v>114001</v>
      </c>
      <c r="E1431" s="0" t="s">
        <v>4174</v>
      </c>
      <c r="F1431" s="0" t="s">
        <v>18</v>
      </c>
      <c r="G1431" s="0" t="s">
        <v>4545</v>
      </c>
      <c r="H1431" s="0" t="s">
        <v>4546</v>
      </c>
      <c r="I1431" s="0" t="s">
        <v>102</v>
      </c>
      <c r="J1431" s="0" t="s">
        <v>103</v>
      </c>
      <c r="K1431" s="0" t="s">
        <v>303</v>
      </c>
      <c r="L1431" s="0" t="str">
        <f aca="false">IFERROR(VLOOKUP(K1431,'Supplier list'!B:C,2,0),"")</f>
        <v>บริษัท เอ็มเค วู้ดเทค จำกัด</v>
      </c>
      <c r="M1431" s="1" t="s">
        <v>24</v>
      </c>
      <c r="O1431" s="2" t="n">
        <v>780</v>
      </c>
    </row>
    <row r="1432" customFormat="false" ht="16.4" hidden="false" customHeight="false" outlineLevel="0" collapsed="false">
      <c r="A1432" s="0" t="s">
        <v>15</v>
      </c>
      <c r="B1432" s="0" t="s">
        <v>4547</v>
      </c>
      <c r="C1432" s="0" t="n">
        <v>114001</v>
      </c>
      <c r="D1432" s="0" t="n">
        <v>114001</v>
      </c>
      <c r="E1432" s="0" t="s">
        <v>4174</v>
      </c>
      <c r="F1432" s="0" t="s">
        <v>18</v>
      </c>
      <c r="G1432" s="0" t="s">
        <v>4548</v>
      </c>
      <c r="H1432" s="0" t="s">
        <v>4549</v>
      </c>
      <c r="I1432" s="0" t="s">
        <v>396</v>
      </c>
      <c r="J1432" s="0" t="s">
        <v>397</v>
      </c>
      <c r="K1432" s="0" t="s">
        <v>4203</v>
      </c>
      <c r="L1432" s="0" t="str">
        <f aca="false">IFERROR(VLOOKUP(K1432,'Supplier list'!B:C,2,0),"")</f>
        <v>บริษัท 9889 Thailnd</v>
      </c>
      <c r="M1432" s="1" t="s">
        <v>24</v>
      </c>
      <c r="O1432" s="2" t="n">
        <v>6.5</v>
      </c>
    </row>
    <row r="1433" customFormat="false" ht="16.4" hidden="false" customHeight="false" outlineLevel="0" collapsed="false">
      <c r="A1433" s="0" t="s">
        <v>15</v>
      </c>
      <c r="B1433" s="0" t="s">
        <v>4550</v>
      </c>
      <c r="C1433" s="0" t="n">
        <v>114001</v>
      </c>
      <c r="D1433" s="0" t="n">
        <v>114001</v>
      </c>
      <c r="E1433" s="0" t="s">
        <v>4174</v>
      </c>
      <c r="F1433" s="0" t="s">
        <v>18</v>
      </c>
      <c r="G1433" s="0" t="s">
        <v>4551</v>
      </c>
      <c r="H1433" s="0" t="s">
        <v>4552</v>
      </c>
      <c r="I1433" s="0" t="s">
        <v>396</v>
      </c>
      <c r="J1433" s="0" t="s">
        <v>397</v>
      </c>
      <c r="K1433" s="0" t="s">
        <v>4203</v>
      </c>
      <c r="L1433" s="0" t="str">
        <f aca="false">IFERROR(VLOOKUP(K1433,'Supplier list'!B:C,2,0),"")</f>
        <v>บริษัท 9889 Thailnd</v>
      </c>
      <c r="M1433" s="1" t="s">
        <v>24</v>
      </c>
      <c r="O1433" s="2" t="n">
        <v>8.1</v>
      </c>
    </row>
    <row r="1434" customFormat="false" ht="16.4" hidden="false" customHeight="false" outlineLevel="0" collapsed="false">
      <c r="A1434" s="0" t="s">
        <v>15</v>
      </c>
      <c r="B1434" s="0" t="s">
        <v>4553</v>
      </c>
      <c r="C1434" s="0" t="n">
        <v>114001</v>
      </c>
      <c r="D1434" s="0" t="n">
        <v>114001</v>
      </c>
      <c r="E1434" s="0" t="s">
        <v>4174</v>
      </c>
      <c r="F1434" s="0" t="s">
        <v>18</v>
      </c>
      <c r="G1434" s="0" t="s">
        <v>4554</v>
      </c>
      <c r="H1434" s="0" t="s">
        <v>4555</v>
      </c>
      <c r="I1434" s="0" t="s">
        <v>102</v>
      </c>
      <c r="J1434" s="0" t="s">
        <v>103</v>
      </c>
      <c r="K1434" s="0" t="s">
        <v>4556</v>
      </c>
      <c r="L1434" s="0" t="str">
        <f aca="false">IFERROR(VLOOKUP(K1434,'Supplier list'!B:C,2,0),"")</f>
        <v>บริษัท เมลามีน อาร์ท จำกัด</v>
      </c>
      <c r="M1434" s="1" t="s">
        <v>24</v>
      </c>
      <c r="O1434" s="2" t="n">
        <v>1040</v>
      </c>
    </row>
    <row r="1435" customFormat="false" ht="16.4" hidden="false" customHeight="false" outlineLevel="0" collapsed="false">
      <c r="A1435" s="0" t="s">
        <v>15</v>
      </c>
      <c r="B1435" s="0" t="s">
        <v>4557</v>
      </c>
      <c r="C1435" s="0" t="n">
        <v>114001</v>
      </c>
      <c r="D1435" s="0" t="n">
        <v>114001</v>
      </c>
      <c r="E1435" s="0" t="s">
        <v>4174</v>
      </c>
      <c r="F1435" s="0" t="s">
        <v>18</v>
      </c>
      <c r="G1435" s="0" t="s">
        <v>4558</v>
      </c>
      <c r="H1435" s="0" t="s">
        <v>4559</v>
      </c>
      <c r="I1435" s="0" t="s">
        <v>396</v>
      </c>
      <c r="J1435" s="0" t="s">
        <v>397</v>
      </c>
      <c r="K1435" s="0" t="s">
        <v>4203</v>
      </c>
      <c r="L1435" s="0" t="str">
        <f aca="false">IFERROR(VLOOKUP(K1435,'Supplier list'!B:C,2,0),"")</f>
        <v>บริษัท 9889 Thailnd</v>
      </c>
      <c r="M1435" s="1" t="s">
        <v>24</v>
      </c>
      <c r="O1435" s="2" t="n">
        <v>0</v>
      </c>
    </row>
    <row r="1436" customFormat="false" ht="16.4" hidden="false" customHeight="false" outlineLevel="0" collapsed="false">
      <c r="A1436" s="0" t="s">
        <v>15</v>
      </c>
      <c r="B1436" s="0" t="s">
        <v>4560</v>
      </c>
      <c r="C1436" s="0" t="n">
        <v>114001</v>
      </c>
      <c r="D1436" s="0" t="n">
        <v>114001</v>
      </c>
      <c r="E1436" s="0" t="s">
        <v>4174</v>
      </c>
      <c r="F1436" s="0" t="s">
        <v>18</v>
      </c>
      <c r="G1436" s="0" t="s">
        <v>4561</v>
      </c>
      <c r="H1436" s="0" t="s">
        <v>4562</v>
      </c>
      <c r="I1436" s="0" t="s">
        <v>102</v>
      </c>
      <c r="J1436" s="0" t="s">
        <v>103</v>
      </c>
      <c r="K1436" s="0" t="s">
        <v>303</v>
      </c>
      <c r="L1436" s="0" t="str">
        <f aca="false">IFERROR(VLOOKUP(K1436,'Supplier list'!B:C,2,0),"")</f>
        <v>บริษัท เอ็มเค วู้ดเทค จำกัด</v>
      </c>
      <c r="M1436" s="1" t="s">
        <v>24</v>
      </c>
      <c r="O1436" s="2" t="n">
        <v>0</v>
      </c>
    </row>
    <row r="1437" customFormat="false" ht="16.4" hidden="false" customHeight="false" outlineLevel="0" collapsed="false">
      <c r="A1437" s="0" t="s">
        <v>15</v>
      </c>
      <c r="B1437" s="0" t="s">
        <v>4563</v>
      </c>
      <c r="C1437" s="0" t="n">
        <v>114001</v>
      </c>
      <c r="D1437" s="0" t="n">
        <v>114001</v>
      </c>
      <c r="E1437" s="0" t="s">
        <v>4174</v>
      </c>
      <c r="F1437" s="0" t="s">
        <v>18</v>
      </c>
      <c r="G1437" s="0" t="s">
        <v>4564</v>
      </c>
      <c r="H1437" s="0" t="s">
        <v>4565</v>
      </c>
      <c r="I1437" s="0" t="s">
        <v>102</v>
      </c>
      <c r="J1437" s="0" t="s">
        <v>103</v>
      </c>
      <c r="K1437" s="0" t="s">
        <v>303</v>
      </c>
      <c r="L1437" s="0" t="str">
        <f aca="false">IFERROR(VLOOKUP(K1437,'Supplier list'!B:C,2,0),"")</f>
        <v>บริษัท เอ็มเค วู้ดเทค จำกัด</v>
      </c>
      <c r="M1437" s="1" t="s">
        <v>24</v>
      </c>
      <c r="O1437" s="2" t="n">
        <v>502</v>
      </c>
    </row>
    <row r="1438" customFormat="false" ht="16.4" hidden="false" customHeight="false" outlineLevel="0" collapsed="false">
      <c r="A1438" s="0" t="s">
        <v>15</v>
      </c>
      <c r="B1438" s="0" t="s">
        <v>4566</v>
      </c>
      <c r="C1438" s="0" t="n">
        <v>114001</v>
      </c>
      <c r="D1438" s="0" t="n">
        <v>114001</v>
      </c>
      <c r="E1438" s="0" t="s">
        <v>4174</v>
      </c>
      <c r="F1438" s="0" t="s">
        <v>18</v>
      </c>
      <c r="G1438" s="0" t="s">
        <v>4567</v>
      </c>
      <c r="H1438" s="0" t="s">
        <v>4568</v>
      </c>
      <c r="I1438" s="0" t="s">
        <v>102</v>
      </c>
      <c r="J1438" s="0" t="s">
        <v>103</v>
      </c>
      <c r="K1438" s="0" t="s">
        <v>4203</v>
      </c>
      <c r="L1438" s="0" t="str">
        <f aca="false">IFERROR(VLOOKUP(K1438,'Supplier list'!B:C,2,0),"")</f>
        <v>บริษัท 9889 Thailnd</v>
      </c>
      <c r="M1438" s="1" t="s">
        <v>24</v>
      </c>
      <c r="O1438" s="2" t="n">
        <v>6.5</v>
      </c>
    </row>
    <row r="1439" customFormat="false" ht="16.4" hidden="false" customHeight="false" outlineLevel="0" collapsed="false">
      <c r="A1439" s="0" t="s">
        <v>15</v>
      </c>
      <c r="B1439" s="0" t="s">
        <v>4569</v>
      </c>
      <c r="C1439" s="0" t="n">
        <v>114001</v>
      </c>
      <c r="D1439" s="0" t="n">
        <v>114001</v>
      </c>
      <c r="E1439" s="0" t="s">
        <v>4174</v>
      </c>
      <c r="F1439" s="0" t="s">
        <v>18</v>
      </c>
      <c r="G1439" s="0" t="s">
        <v>4570</v>
      </c>
      <c r="H1439" s="0" t="s">
        <v>4571</v>
      </c>
      <c r="I1439" s="0" t="s">
        <v>102</v>
      </c>
      <c r="J1439" s="0" t="s">
        <v>103</v>
      </c>
      <c r="K1439" s="0" t="s">
        <v>303</v>
      </c>
      <c r="L1439" s="0" t="str">
        <f aca="false">IFERROR(VLOOKUP(K1439,'Supplier list'!B:C,2,0),"")</f>
        <v>บริษัท เอ็มเค วู้ดเทค จำกัด</v>
      </c>
      <c r="M1439" s="1" t="s">
        <v>24</v>
      </c>
      <c r="O1439" s="2" t="n">
        <v>0</v>
      </c>
    </row>
    <row r="1440" customFormat="false" ht="16.4" hidden="false" customHeight="false" outlineLevel="0" collapsed="false">
      <c r="A1440" s="0" t="s">
        <v>15</v>
      </c>
      <c r="B1440" s="0" t="s">
        <v>4572</v>
      </c>
      <c r="C1440" s="0" t="n">
        <v>114001</v>
      </c>
      <c r="D1440" s="0" t="n">
        <v>114001</v>
      </c>
      <c r="E1440" s="0" t="s">
        <v>4174</v>
      </c>
      <c r="F1440" s="0" t="s">
        <v>18</v>
      </c>
      <c r="G1440" s="0" t="s">
        <v>4573</v>
      </c>
      <c r="H1440" s="0" t="s">
        <v>4574</v>
      </c>
      <c r="I1440" s="0" t="s">
        <v>102</v>
      </c>
      <c r="J1440" s="0" t="s">
        <v>103</v>
      </c>
      <c r="K1440" s="0" t="s">
        <v>4203</v>
      </c>
      <c r="L1440" s="0" t="str">
        <f aca="false">IFERROR(VLOOKUP(K1440,'Supplier list'!B:C,2,0),"")</f>
        <v>บริษัท 9889 Thailnd</v>
      </c>
      <c r="M1440" s="1" t="s">
        <v>24</v>
      </c>
      <c r="O1440" s="2" t="n">
        <v>6.5</v>
      </c>
    </row>
    <row r="1441" customFormat="false" ht="16.4" hidden="false" customHeight="false" outlineLevel="0" collapsed="false">
      <c r="A1441" s="0" t="s">
        <v>15</v>
      </c>
      <c r="B1441" s="0" t="s">
        <v>4575</v>
      </c>
      <c r="C1441" s="0" t="n">
        <v>114001</v>
      </c>
      <c r="D1441" s="0" t="n">
        <v>114001</v>
      </c>
      <c r="E1441" s="0" t="s">
        <v>4174</v>
      </c>
      <c r="F1441" s="0" t="s">
        <v>18</v>
      </c>
      <c r="G1441" s="0" t="s">
        <v>4576</v>
      </c>
      <c r="H1441" s="0" t="s">
        <v>4577</v>
      </c>
      <c r="I1441" s="0" t="s">
        <v>396</v>
      </c>
      <c r="J1441" s="0" t="s">
        <v>397</v>
      </c>
      <c r="K1441" s="0" t="s">
        <v>4203</v>
      </c>
      <c r="L1441" s="0" t="str">
        <f aca="false">IFERROR(VLOOKUP(K1441,'Supplier list'!B:C,2,0),"")</f>
        <v>บริษัท 9889 Thailnd</v>
      </c>
      <c r="M1441" s="1" t="s">
        <v>24</v>
      </c>
      <c r="O1441" s="2" t="n">
        <v>6.5</v>
      </c>
    </row>
    <row r="1442" customFormat="false" ht="16.4" hidden="false" customHeight="false" outlineLevel="0" collapsed="false">
      <c r="A1442" s="0" t="s">
        <v>15</v>
      </c>
      <c r="B1442" s="0" t="s">
        <v>4578</v>
      </c>
      <c r="C1442" s="0" t="n">
        <v>114001</v>
      </c>
      <c r="D1442" s="0" t="n">
        <v>114001</v>
      </c>
      <c r="E1442" s="0" t="s">
        <v>4174</v>
      </c>
      <c r="F1442" s="0" t="s">
        <v>18</v>
      </c>
      <c r="G1442" s="0" t="s">
        <v>4579</v>
      </c>
      <c r="H1442" s="0" t="s">
        <v>4580</v>
      </c>
      <c r="I1442" s="0" t="s">
        <v>396</v>
      </c>
      <c r="J1442" s="0" t="s">
        <v>397</v>
      </c>
      <c r="K1442" s="0" t="s">
        <v>4203</v>
      </c>
      <c r="L1442" s="0" t="str">
        <f aca="false">IFERROR(VLOOKUP(K1442,'Supplier list'!B:C,2,0),"")</f>
        <v>บริษัท 9889 Thailnd</v>
      </c>
      <c r="M1442" s="1" t="s">
        <v>24</v>
      </c>
      <c r="O1442" s="2" t="n">
        <v>6.8</v>
      </c>
    </row>
    <row r="1443" customFormat="false" ht="16.4" hidden="false" customHeight="false" outlineLevel="0" collapsed="false">
      <c r="A1443" s="0" t="s">
        <v>15</v>
      </c>
      <c r="B1443" s="0" t="s">
        <v>4581</v>
      </c>
      <c r="C1443" s="0" t="n">
        <v>114001</v>
      </c>
      <c r="D1443" s="0" t="n">
        <v>114001</v>
      </c>
      <c r="E1443" s="0" t="s">
        <v>4174</v>
      </c>
      <c r="F1443" s="0" t="s">
        <v>18</v>
      </c>
      <c r="G1443" s="0" t="s">
        <v>4582</v>
      </c>
      <c r="H1443" s="0" t="s">
        <v>4583</v>
      </c>
      <c r="I1443" s="0" t="s">
        <v>396</v>
      </c>
      <c r="J1443" s="0" t="s">
        <v>397</v>
      </c>
      <c r="K1443" s="0" t="s">
        <v>4203</v>
      </c>
      <c r="L1443" s="0" t="str">
        <f aca="false">IFERROR(VLOOKUP(K1443,'Supplier list'!B:C,2,0),"")</f>
        <v>บริษัท 9889 Thailnd</v>
      </c>
      <c r="M1443" s="1" t="s">
        <v>24</v>
      </c>
      <c r="O1443" s="2" t="n">
        <v>6.8</v>
      </c>
    </row>
    <row r="1444" customFormat="false" ht="16.4" hidden="false" customHeight="false" outlineLevel="0" collapsed="false">
      <c r="A1444" s="0" t="s">
        <v>15</v>
      </c>
      <c r="B1444" s="0" t="s">
        <v>4584</v>
      </c>
      <c r="C1444" s="0" t="n">
        <v>114001</v>
      </c>
      <c r="D1444" s="0" t="n">
        <v>114001</v>
      </c>
      <c r="E1444" s="0" t="s">
        <v>4174</v>
      </c>
      <c r="F1444" s="0" t="s">
        <v>18</v>
      </c>
      <c r="G1444" s="0" t="s">
        <v>4585</v>
      </c>
      <c r="H1444" s="0" t="s">
        <v>4586</v>
      </c>
      <c r="I1444" s="0" t="s">
        <v>396</v>
      </c>
      <c r="J1444" s="0" t="s">
        <v>397</v>
      </c>
      <c r="K1444" s="0" t="s">
        <v>4203</v>
      </c>
      <c r="L1444" s="0" t="str">
        <f aca="false">IFERROR(VLOOKUP(K1444,'Supplier list'!B:C,2,0),"")</f>
        <v>บริษัท 9889 Thailnd</v>
      </c>
      <c r="M1444" s="1" t="s">
        <v>24</v>
      </c>
      <c r="O1444" s="2" t="n">
        <v>6.5</v>
      </c>
    </row>
    <row r="1445" customFormat="false" ht="16.4" hidden="false" customHeight="false" outlineLevel="0" collapsed="false">
      <c r="A1445" s="0" t="s">
        <v>15</v>
      </c>
      <c r="B1445" s="0" t="s">
        <v>4587</v>
      </c>
      <c r="C1445" s="0" t="n">
        <v>114001</v>
      </c>
      <c r="D1445" s="0" t="n">
        <v>114001</v>
      </c>
      <c r="E1445" s="0" t="s">
        <v>4174</v>
      </c>
      <c r="F1445" s="0" t="s">
        <v>18</v>
      </c>
      <c r="G1445" s="0" t="s">
        <v>4588</v>
      </c>
      <c r="H1445" s="0" t="s">
        <v>4589</v>
      </c>
      <c r="I1445" s="0" t="s">
        <v>396</v>
      </c>
      <c r="J1445" s="0" t="s">
        <v>397</v>
      </c>
      <c r="K1445" s="0" t="s">
        <v>4203</v>
      </c>
      <c r="L1445" s="0" t="str">
        <f aca="false">IFERROR(VLOOKUP(K1445,'Supplier list'!B:C,2,0),"")</f>
        <v>บริษัท 9889 Thailnd</v>
      </c>
      <c r="M1445" s="1" t="s">
        <v>24</v>
      </c>
      <c r="O1445" s="2" t="n">
        <v>6.8</v>
      </c>
    </row>
    <row r="1446" customFormat="false" ht="16.4" hidden="false" customHeight="false" outlineLevel="0" collapsed="false">
      <c r="A1446" s="0" t="s">
        <v>15</v>
      </c>
      <c r="B1446" s="0" t="s">
        <v>4590</v>
      </c>
      <c r="C1446" s="0" t="n">
        <v>114001</v>
      </c>
      <c r="D1446" s="0" t="n">
        <v>114001</v>
      </c>
      <c r="E1446" s="0" t="s">
        <v>4174</v>
      </c>
      <c r="F1446" s="0" t="s">
        <v>18</v>
      </c>
      <c r="G1446" s="0" t="s">
        <v>4591</v>
      </c>
      <c r="H1446" s="0" t="s">
        <v>4592</v>
      </c>
      <c r="I1446" s="0" t="s">
        <v>396</v>
      </c>
      <c r="J1446" s="0" t="s">
        <v>397</v>
      </c>
      <c r="K1446" s="0" t="s">
        <v>4203</v>
      </c>
      <c r="L1446" s="0" t="str">
        <f aca="false">IFERROR(VLOOKUP(K1446,'Supplier list'!B:C,2,0),"")</f>
        <v>บริษัท 9889 Thailnd</v>
      </c>
      <c r="M1446" s="1" t="s">
        <v>24</v>
      </c>
      <c r="O1446" s="2" t="n">
        <v>6.5</v>
      </c>
    </row>
    <row r="1447" customFormat="false" ht="16.4" hidden="false" customHeight="false" outlineLevel="0" collapsed="false">
      <c r="A1447" s="0" t="s">
        <v>15</v>
      </c>
      <c r="B1447" s="0" t="s">
        <v>4593</v>
      </c>
      <c r="C1447" s="0" t="n">
        <v>114001</v>
      </c>
      <c r="D1447" s="0" t="n">
        <v>114001</v>
      </c>
      <c r="E1447" s="0" t="s">
        <v>4174</v>
      </c>
      <c r="F1447" s="0" t="s">
        <v>18</v>
      </c>
      <c r="G1447" s="0" t="s">
        <v>4594</v>
      </c>
      <c r="H1447" s="0" t="s">
        <v>4595</v>
      </c>
      <c r="I1447" s="0" t="s">
        <v>102</v>
      </c>
      <c r="J1447" s="0" t="s">
        <v>103</v>
      </c>
      <c r="K1447" s="0" t="s">
        <v>4596</v>
      </c>
      <c r="L1447" s="0" t="str">
        <f aca="false">IFERROR(VLOOKUP(K1447,'Supplier list'!B:C,2,0),"")</f>
        <v>บริษัท อีดีแอล ลามิเนตส์ จำกัด</v>
      </c>
      <c r="M1447" s="1" t="s">
        <v>24</v>
      </c>
      <c r="O1447" s="2" t="n">
        <v>1500</v>
      </c>
    </row>
    <row r="1448" customFormat="false" ht="16.4" hidden="false" customHeight="false" outlineLevel="0" collapsed="false">
      <c r="A1448" s="0" t="s">
        <v>15</v>
      </c>
      <c r="B1448" s="0" t="s">
        <v>4597</v>
      </c>
      <c r="C1448" s="0" t="n">
        <v>114001</v>
      </c>
      <c r="D1448" s="0" t="n">
        <v>114001</v>
      </c>
      <c r="E1448" s="0" t="s">
        <v>4174</v>
      </c>
      <c r="F1448" s="0" t="s">
        <v>18</v>
      </c>
      <c r="G1448" s="0" t="s">
        <v>4598</v>
      </c>
      <c r="H1448" s="0" t="s">
        <v>4599</v>
      </c>
      <c r="I1448" s="0" t="s">
        <v>102</v>
      </c>
      <c r="J1448" s="0" t="s">
        <v>103</v>
      </c>
      <c r="K1448" s="0" t="s">
        <v>4600</v>
      </c>
      <c r="L1448" s="0" t="str">
        <f aca="false">IFERROR(VLOOKUP(K1448,'Supplier list'!B:C,2,0),"")</f>
        <v>บจ. อุตสาหกรรมไม้ส.ชัยวัฒนา</v>
      </c>
      <c r="M1448" s="1" t="s">
        <v>24</v>
      </c>
      <c r="O1448" s="2" t="n">
        <v>2650</v>
      </c>
    </row>
    <row r="1449" customFormat="false" ht="16.4" hidden="false" customHeight="false" outlineLevel="0" collapsed="false">
      <c r="A1449" s="0" t="s">
        <v>15</v>
      </c>
      <c r="B1449" s="0" t="s">
        <v>4601</v>
      </c>
      <c r="C1449" s="0" t="n">
        <v>114001</v>
      </c>
      <c r="D1449" s="0" t="n">
        <v>114001</v>
      </c>
      <c r="E1449" s="0" t="s">
        <v>4174</v>
      </c>
      <c r="F1449" s="0" t="s">
        <v>18</v>
      </c>
      <c r="G1449" s="0" t="s">
        <v>4602</v>
      </c>
      <c r="H1449" s="0" t="s">
        <v>4603</v>
      </c>
      <c r="I1449" s="0" t="s">
        <v>396</v>
      </c>
      <c r="J1449" s="0" t="s">
        <v>397</v>
      </c>
      <c r="K1449" s="0" t="s">
        <v>4203</v>
      </c>
      <c r="L1449" s="0" t="str">
        <f aca="false">IFERROR(VLOOKUP(K1449,'Supplier list'!B:C,2,0),"")</f>
        <v>บริษัท 9889 Thailnd</v>
      </c>
      <c r="M1449" s="1" t="s">
        <v>24</v>
      </c>
      <c r="O1449" s="2" t="n">
        <v>6.5</v>
      </c>
    </row>
    <row r="1450" customFormat="false" ht="16.4" hidden="false" customHeight="false" outlineLevel="0" collapsed="false">
      <c r="A1450" s="0" t="s">
        <v>15</v>
      </c>
      <c r="B1450" s="0" t="s">
        <v>4604</v>
      </c>
      <c r="C1450" s="0" t="n">
        <v>114001</v>
      </c>
      <c r="D1450" s="0" t="n">
        <v>114001</v>
      </c>
      <c r="E1450" s="0" t="s">
        <v>4174</v>
      </c>
      <c r="F1450" s="0" t="s">
        <v>18</v>
      </c>
      <c r="G1450" s="0" t="s">
        <v>4605</v>
      </c>
      <c r="H1450" s="0" t="s">
        <v>4606</v>
      </c>
      <c r="I1450" s="0" t="s">
        <v>396</v>
      </c>
      <c r="J1450" s="0" t="s">
        <v>397</v>
      </c>
      <c r="K1450" s="0" t="s">
        <v>567</v>
      </c>
      <c r="L1450" s="0" t="str">
        <f aca="false">IFERROR(VLOOKUP(K1450,'Supplier list'!B:C,2,0),"")</f>
        <v>บริษัท ไทย เมก้าแคบ จำกัด</v>
      </c>
      <c r="M1450" s="1" t="s">
        <v>24</v>
      </c>
      <c r="O1450" s="2" t="n">
        <v>1.835</v>
      </c>
    </row>
    <row r="1451" customFormat="false" ht="16.4" hidden="false" customHeight="false" outlineLevel="0" collapsed="false">
      <c r="A1451" s="0" t="s">
        <v>15</v>
      </c>
      <c r="B1451" s="0" t="s">
        <v>4607</v>
      </c>
      <c r="C1451" s="0" t="n">
        <v>114001</v>
      </c>
      <c r="D1451" s="0" t="n">
        <v>114001</v>
      </c>
      <c r="E1451" s="0" t="s">
        <v>4608</v>
      </c>
      <c r="F1451" s="0" t="s">
        <v>18</v>
      </c>
      <c r="G1451" s="0" t="s">
        <v>4609</v>
      </c>
      <c r="H1451" s="0" t="s">
        <v>4610</v>
      </c>
      <c r="I1451" s="0" t="s">
        <v>248</v>
      </c>
      <c r="J1451" s="0" t="s">
        <v>249</v>
      </c>
      <c r="L1451" s="0" t="str">
        <f aca="false">IFERROR(VLOOKUP(K1451,'Supplier list'!B:C,2,0),"")</f>
        <v/>
      </c>
      <c r="M1451" s="1" t="s">
        <v>24</v>
      </c>
      <c r="O1451" s="2" t="n">
        <v>0</v>
      </c>
    </row>
    <row r="1452" customFormat="false" ht="16.4" hidden="false" customHeight="false" outlineLevel="0" collapsed="false">
      <c r="A1452" s="0" t="s">
        <v>15</v>
      </c>
      <c r="B1452" s="0" t="s">
        <v>4611</v>
      </c>
      <c r="C1452" s="0" t="n">
        <v>114001</v>
      </c>
      <c r="D1452" s="0" t="n">
        <v>114001</v>
      </c>
      <c r="E1452" s="0" t="s">
        <v>4174</v>
      </c>
      <c r="F1452" s="0" t="s">
        <v>18</v>
      </c>
      <c r="G1452" s="0" t="s">
        <v>4612</v>
      </c>
      <c r="H1452" s="0" t="s">
        <v>4613</v>
      </c>
      <c r="I1452" s="0" t="s">
        <v>102</v>
      </c>
      <c r="J1452" s="0" t="s">
        <v>103</v>
      </c>
      <c r="K1452" s="0" t="s">
        <v>303</v>
      </c>
      <c r="L1452" s="0" t="str">
        <f aca="false">IFERROR(VLOOKUP(K1452,'Supplier list'!B:C,2,0),"")</f>
        <v>บริษัท เอ็มเค วู้ดเทค จำกัด</v>
      </c>
      <c r="M1452" s="1" t="s">
        <v>24</v>
      </c>
      <c r="O1452" s="2" t="n">
        <v>0</v>
      </c>
    </row>
    <row r="1453" customFormat="false" ht="16.4" hidden="false" customHeight="false" outlineLevel="0" collapsed="false">
      <c r="A1453" s="0" t="s">
        <v>15</v>
      </c>
      <c r="B1453" s="0" t="s">
        <v>4614</v>
      </c>
      <c r="C1453" s="0" t="n">
        <v>114001</v>
      </c>
      <c r="D1453" s="0" t="n">
        <v>114001</v>
      </c>
      <c r="E1453" s="0" t="s">
        <v>4174</v>
      </c>
      <c r="F1453" s="0" t="s">
        <v>18</v>
      </c>
      <c r="G1453" s="0" t="s">
        <v>4615</v>
      </c>
      <c r="H1453" s="0" t="s">
        <v>4616</v>
      </c>
      <c r="I1453" s="0" t="s">
        <v>102</v>
      </c>
      <c r="J1453" s="0" t="s">
        <v>103</v>
      </c>
      <c r="K1453" s="0" t="s">
        <v>303</v>
      </c>
      <c r="L1453" s="0" t="str">
        <f aca="false">IFERROR(VLOOKUP(K1453,'Supplier list'!B:C,2,0),"")</f>
        <v>บริษัท เอ็มเค วู้ดเทค จำกัด</v>
      </c>
      <c r="M1453" s="1" t="s">
        <v>24</v>
      </c>
      <c r="O1453" s="2" t="n">
        <v>900</v>
      </c>
    </row>
    <row r="1454" customFormat="false" ht="16.4" hidden="false" customHeight="false" outlineLevel="0" collapsed="false">
      <c r="A1454" s="0" t="s">
        <v>15</v>
      </c>
      <c r="B1454" s="0" t="s">
        <v>4617</v>
      </c>
      <c r="C1454" s="0" t="n">
        <v>114001</v>
      </c>
      <c r="D1454" s="0" t="n">
        <v>114001</v>
      </c>
      <c r="E1454" s="0" t="s">
        <v>4174</v>
      </c>
      <c r="F1454" s="0" t="s">
        <v>18</v>
      </c>
      <c r="G1454" s="0" t="s">
        <v>4618</v>
      </c>
      <c r="H1454" s="0" t="s">
        <v>4619</v>
      </c>
      <c r="I1454" s="0" t="s">
        <v>248</v>
      </c>
      <c r="J1454" s="0" t="s">
        <v>249</v>
      </c>
      <c r="K1454" s="0" t="s">
        <v>4203</v>
      </c>
      <c r="L1454" s="0" t="str">
        <f aca="false">IFERROR(VLOOKUP(K1454,'Supplier list'!B:C,2,0),"")</f>
        <v>บริษัท 9889 Thailnd</v>
      </c>
      <c r="M1454" s="1" t="s">
        <v>24</v>
      </c>
      <c r="O1454" s="2" t="n">
        <v>6.8</v>
      </c>
    </row>
    <row r="1455" customFormat="false" ht="16.4" hidden="false" customHeight="false" outlineLevel="0" collapsed="false">
      <c r="A1455" s="0" t="s">
        <v>15</v>
      </c>
      <c r="B1455" s="0" t="s">
        <v>4620</v>
      </c>
      <c r="C1455" s="0" t="n">
        <v>114001</v>
      </c>
      <c r="D1455" s="0" t="n">
        <v>114001</v>
      </c>
      <c r="E1455" s="0" t="s">
        <v>4174</v>
      </c>
      <c r="F1455" s="0" t="s">
        <v>18</v>
      </c>
      <c r="G1455" s="0" t="s">
        <v>4621</v>
      </c>
      <c r="H1455" s="0" t="s">
        <v>4622</v>
      </c>
      <c r="I1455" s="0" t="s">
        <v>102</v>
      </c>
      <c r="J1455" s="0" t="s">
        <v>103</v>
      </c>
      <c r="K1455" s="0" t="s">
        <v>4446</v>
      </c>
      <c r="L1455" s="0" t="str">
        <f aca="false">IFERROR(VLOOKUP(K1455,'Supplier list'!B:C,2,0),"")</f>
        <v>บริษัท ทีเอเคโพรดัคส์ แอนด์ เซอร์วิสเซส จำกัด</v>
      </c>
      <c r="M1455" s="1" t="s">
        <v>24</v>
      </c>
      <c r="O1455" s="2" t="n">
        <v>1400</v>
      </c>
    </row>
    <row r="1456" customFormat="false" ht="16.4" hidden="false" customHeight="false" outlineLevel="0" collapsed="false">
      <c r="A1456" s="0" t="s">
        <v>15</v>
      </c>
      <c r="B1456" s="0" t="s">
        <v>4623</v>
      </c>
      <c r="C1456" s="0" t="n">
        <v>114001</v>
      </c>
      <c r="D1456" s="0" t="n">
        <v>114001</v>
      </c>
      <c r="E1456" s="0" t="s">
        <v>4174</v>
      </c>
      <c r="F1456" s="0" t="s">
        <v>18</v>
      </c>
      <c r="G1456" s="0" t="s">
        <v>4624</v>
      </c>
      <c r="H1456" s="0" t="s">
        <v>4625</v>
      </c>
      <c r="I1456" s="0" t="s">
        <v>396</v>
      </c>
      <c r="J1456" s="0" t="s">
        <v>397</v>
      </c>
      <c r="K1456" s="0" t="s">
        <v>4203</v>
      </c>
      <c r="L1456" s="0" t="str">
        <f aca="false">IFERROR(VLOOKUP(K1456,'Supplier list'!B:C,2,0),"")</f>
        <v>บริษัท 9889 Thailnd</v>
      </c>
      <c r="M1456" s="1" t="s">
        <v>24</v>
      </c>
      <c r="O1456" s="2" t="n">
        <v>6.8</v>
      </c>
    </row>
    <row r="1457" customFormat="false" ht="16.4" hidden="false" customHeight="false" outlineLevel="0" collapsed="false">
      <c r="A1457" s="0" t="s">
        <v>15</v>
      </c>
      <c r="B1457" s="0" t="s">
        <v>4626</v>
      </c>
      <c r="C1457" s="0" t="n">
        <v>114001</v>
      </c>
      <c r="D1457" s="0" t="n">
        <v>114001</v>
      </c>
      <c r="E1457" s="0" t="s">
        <v>4174</v>
      </c>
      <c r="F1457" s="0" t="s">
        <v>18</v>
      </c>
      <c r="G1457" s="0" t="s">
        <v>4627</v>
      </c>
      <c r="H1457" s="0" t="s">
        <v>4628</v>
      </c>
      <c r="I1457" s="0" t="s">
        <v>396</v>
      </c>
      <c r="J1457" s="0" t="s">
        <v>397</v>
      </c>
      <c r="K1457" s="0" t="s">
        <v>4203</v>
      </c>
      <c r="L1457" s="0" t="str">
        <f aca="false">IFERROR(VLOOKUP(K1457,'Supplier list'!B:C,2,0),"")</f>
        <v>บริษัท 9889 Thailnd</v>
      </c>
      <c r="M1457" s="1" t="s">
        <v>24</v>
      </c>
      <c r="O1457" s="2" t="n">
        <v>6.8</v>
      </c>
    </row>
    <row r="1458" customFormat="false" ht="16.4" hidden="false" customHeight="false" outlineLevel="0" collapsed="false">
      <c r="A1458" s="0" t="s">
        <v>15</v>
      </c>
      <c r="B1458" s="0" t="s">
        <v>4629</v>
      </c>
      <c r="C1458" s="0" t="n">
        <v>114001</v>
      </c>
      <c r="D1458" s="0" t="n">
        <v>114001</v>
      </c>
      <c r="E1458" s="0" t="s">
        <v>4174</v>
      </c>
      <c r="F1458" s="0" t="s">
        <v>18</v>
      </c>
      <c r="G1458" s="0" t="s">
        <v>4630</v>
      </c>
      <c r="H1458" s="0" t="s">
        <v>4631</v>
      </c>
      <c r="I1458" s="0" t="s">
        <v>396</v>
      </c>
      <c r="J1458" s="0" t="s">
        <v>397</v>
      </c>
      <c r="K1458" s="0" t="s">
        <v>4203</v>
      </c>
      <c r="L1458" s="0" t="str">
        <f aca="false">IFERROR(VLOOKUP(K1458,'Supplier list'!B:C,2,0),"")</f>
        <v>บริษัท 9889 Thailnd</v>
      </c>
      <c r="M1458" s="1" t="s">
        <v>24</v>
      </c>
      <c r="O1458" s="2" t="n">
        <v>6.8</v>
      </c>
    </row>
    <row r="1459" customFormat="false" ht="16.4" hidden="false" customHeight="false" outlineLevel="0" collapsed="false">
      <c r="A1459" s="0" t="s">
        <v>15</v>
      </c>
      <c r="B1459" s="0" t="s">
        <v>4632</v>
      </c>
      <c r="C1459" s="0" t="n">
        <v>114001</v>
      </c>
      <c r="D1459" s="0" t="n">
        <v>114001</v>
      </c>
      <c r="E1459" s="0" t="s">
        <v>4174</v>
      </c>
      <c r="F1459" s="0" t="s">
        <v>18</v>
      </c>
      <c r="G1459" s="0" t="s">
        <v>4633</v>
      </c>
      <c r="H1459" s="0" t="s">
        <v>4634</v>
      </c>
      <c r="I1459" s="0" t="s">
        <v>396</v>
      </c>
      <c r="J1459" s="0" t="s">
        <v>397</v>
      </c>
      <c r="K1459" s="0" t="s">
        <v>4203</v>
      </c>
      <c r="L1459" s="0" t="str">
        <f aca="false">IFERROR(VLOOKUP(K1459,'Supplier list'!B:C,2,0),"")</f>
        <v>บริษัท 9889 Thailnd</v>
      </c>
      <c r="M1459" s="1" t="s">
        <v>24</v>
      </c>
      <c r="O1459" s="2" t="n">
        <v>6</v>
      </c>
    </row>
    <row r="1460" customFormat="false" ht="16.4" hidden="false" customHeight="false" outlineLevel="0" collapsed="false">
      <c r="A1460" s="0" t="s">
        <v>15</v>
      </c>
      <c r="B1460" s="0" t="s">
        <v>4635</v>
      </c>
      <c r="C1460" s="0" t="n">
        <v>114001</v>
      </c>
      <c r="D1460" s="0" t="n">
        <v>114001</v>
      </c>
      <c r="E1460" s="0" t="s">
        <v>4174</v>
      </c>
      <c r="F1460" s="0" t="s">
        <v>18</v>
      </c>
      <c r="G1460" s="0" t="s">
        <v>4636</v>
      </c>
      <c r="H1460" s="0" t="s">
        <v>4637</v>
      </c>
      <c r="I1460" s="0" t="s">
        <v>396</v>
      </c>
      <c r="J1460" s="0" t="s">
        <v>397</v>
      </c>
      <c r="K1460" s="0" t="s">
        <v>4203</v>
      </c>
      <c r="L1460" s="0" t="str">
        <f aca="false">IFERROR(VLOOKUP(K1460,'Supplier list'!B:C,2,0),"")</f>
        <v>บริษัท 9889 Thailnd</v>
      </c>
      <c r="M1460" s="1" t="s">
        <v>24</v>
      </c>
      <c r="O1460" s="2" t="n">
        <v>6.8</v>
      </c>
    </row>
    <row r="1461" customFormat="false" ht="16.4" hidden="false" customHeight="false" outlineLevel="0" collapsed="false">
      <c r="A1461" s="0" t="s">
        <v>15</v>
      </c>
      <c r="B1461" s="0" t="s">
        <v>4638</v>
      </c>
      <c r="C1461" s="0" t="n">
        <v>114001</v>
      </c>
      <c r="D1461" s="0" t="n">
        <v>114001</v>
      </c>
      <c r="E1461" s="0" t="s">
        <v>4174</v>
      </c>
      <c r="F1461" s="0" t="s">
        <v>18</v>
      </c>
      <c r="G1461" s="0" t="s">
        <v>4639</v>
      </c>
      <c r="H1461" s="0" t="s">
        <v>4640</v>
      </c>
      <c r="I1461" s="0" t="s">
        <v>396</v>
      </c>
      <c r="J1461" s="0" t="s">
        <v>397</v>
      </c>
      <c r="K1461" s="0" t="s">
        <v>4203</v>
      </c>
      <c r="L1461" s="0" t="str">
        <f aca="false">IFERROR(VLOOKUP(K1461,'Supplier list'!B:C,2,0),"")</f>
        <v>บริษัท 9889 Thailnd</v>
      </c>
      <c r="M1461" s="1" t="s">
        <v>24</v>
      </c>
      <c r="O1461" s="2" t="n">
        <v>6.9</v>
      </c>
    </row>
    <row r="1462" customFormat="false" ht="16.4" hidden="false" customHeight="false" outlineLevel="0" collapsed="false">
      <c r="A1462" s="0" t="s">
        <v>15</v>
      </c>
      <c r="B1462" s="0" t="s">
        <v>4641</v>
      </c>
      <c r="C1462" s="0" t="n">
        <v>114001</v>
      </c>
      <c r="D1462" s="0" t="n">
        <v>114001</v>
      </c>
      <c r="E1462" s="0" t="s">
        <v>4174</v>
      </c>
      <c r="F1462" s="0" t="s">
        <v>18</v>
      </c>
      <c r="G1462" s="0" t="s">
        <v>4642</v>
      </c>
      <c r="H1462" s="0" t="s">
        <v>4643</v>
      </c>
      <c r="I1462" s="0" t="s">
        <v>102</v>
      </c>
      <c r="J1462" s="0" t="s">
        <v>103</v>
      </c>
      <c r="K1462" s="0" t="s">
        <v>4363</v>
      </c>
      <c r="L1462" s="0" t="str">
        <f aca="false">IFERROR(VLOOKUP(K1462,'Supplier list'!B:C,2,0),"")</f>
        <v>บริษัท เมโทรพูนทรัพย์ จำกัด</v>
      </c>
      <c r="M1462" s="1" t="s">
        <v>24</v>
      </c>
      <c r="O1462" s="2" t="n">
        <v>515</v>
      </c>
    </row>
    <row r="1463" customFormat="false" ht="16.4" hidden="false" customHeight="false" outlineLevel="0" collapsed="false">
      <c r="A1463" s="0" t="s">
        <v>15</v>
      </c>
      <c r="B1463" s="0" t="s">
        <v>4644</v>
      </c>
      <c r="C1463" s="0" t="n">
        <v>114001</v>
      </c>
      <c r="D1463" s="0" t="n">
        <v>114001</v>
      </c>
      <c r="E1463" s="0" t="s">
        <v>4174</v>
      </c>
      <c r="F1463" s="0" t="s">
        <v>18</v>
      </c>
      <c r="G1463" s="0" t="s">
        <v>4645</v>
      </c>
      <c r="H1463" s="0" t="s">
        <v>4646</v>
      </c>
      <c r="I1463" s="0" t="s">
        <v>396</v>
      </c>
      <c r="J1463" s="0" t="s">
        <v>397</v>
      </c>
      <c r="K1463" s="0" t="s">
        <v>4203</v>
      </c>
      <c r="L1463" s="0" t="str">
        <f aca="false">IFERROR(VLOOKUP(K1463,'Supplier list'!B:C,2,0),"")</f>
        <v>บริษัท 9889 Thailnd</v>
      </c>
      <c r="M1463" s="1" t="s">
        <v>24</v>
      </c>
      <c r="O1463" s="2" t="n">
        <v>6.8</v>
      </c>
    </row>
    <row r="1464" customFormat="false" ht="16.4" hidden="false" customHeight="false" outlineLevel="0" collapsed="false">
      <c r="A1464" s="0" t="s">
        <v>15</v>
      </c>
      <c r="B1464" s="0" t="s">
        <v>4647</v>
      </c>
      <c r="C1464" s="0" t="n">
        <v>114001</v>
      </c>
      <c r="D1464" s="0" t="n">
        <v>114001</v>
      </c>
      <c r="E1464" s="0" t="s">
        <v>4174</v>
      </c>
      <c r="F1464" s="0" t="s">
        <v>18</v>
      </c>
      <c r="G1464" s="0" t="s">
        <v>4648</v>
      </c>
      <c r="H1464" s="0" t="s">
        <v>4649</v>
      </c>
      <c r="I1464" s="0" t="s">
        <v>102</v>
      </c>
      <c r="J1464" s="0" t="s">
        <v>103</v>
      </c>
      <c r="K1464" s="0" t="s">
        <v>303</v>
      </c>
      <c r="L1464" s="0" t="str">
        <f aca="false">IFERROR(VLOOKUP(K1464,'Supplier list'!B:C,2,0),"")</f>
        <v>บริษัท เอ็มเค วู้ดเทค จำกัด</v>
      </c>
      <c r="M1464" s="1" t="s">
        <v>24</v>
      </c>
      <c r="O1464" s="2" t="n">
        <v>960</v>
      </c>
    </row>
    <row r="1465" customFormat="false" ht="16.4" hidden="false" customHeight="false" outlineLevel="0" collapsed="false">
      <c r="A1465" s="0" t="s">
        <v>15</v>
      </c>
      <c r="B1465" s="0" t="s">
        <v>4650</v>
      </c>
      <c r="C1465" s="0" t="n">
        <v>114001</v>
      </c>
      <c r="D1465" s="0" t="n">
        <v>114001</v>
      </c>
      <c r="E1465" s="0" t="s">
        <v>4174</v>
      </c>
      <c r="F1465" s="0" t="s">
        <v>18</v>
      </c>
      <c r="G1465" s="0" t="s">
        <v>4651</v>
      </c>
      <c r="H1465" s="0" t="s">
        <v>4652</v>
      </c>
      <c r="I1465" s="0" t="s">
        <v>102</v>
      </c>
      <c r="J1465" s="0" t="s">
        <v>103</v>
      </c>
      <c r="K1465" s="0" t="s">
        <v>4193</v>
      </c>
      <c r="L1465" s="0" t="str">
        <f aca="false">IFERROR(VLOOKUP(K1465,'Supplier list'!B:C,2,0),"")</f>
        <v>บริษัท ไท่ ชาง อินเตอร์เนชั่นแนล คอมเมอร์เชียล เทรด จำกัด</v>
      </c>
      <c r="M1465" s="1" t="s">
        <v>24</v>
      </c>
      <c r="O1465" s="2" t="n">
        <v>960</v>
      </c>
    </row>
    <row r="1466" customFormat="false" ht="16.4" hidden="false" customHeight="false" outlineLevel="0" collapsed="false">
      <c r="A1466" s="0" t="s">
        <v>15</v>
      </c>
      <c r="B1466" s="0" t="s">
        <v>4653</v>
      </c>
      <c r="C1466" s="0" t="n">
        <v>114001</v>
      </c>
      <c r="D1466" s="0" t="n">
        <v>114001</v>
      </c>
      <c r="E1466" s="0" t="s">
        <v>4174</v>
      </c>
      <c r="F1466" s="0" t="s">
        <v>18</v>
      </c>
      <c r="G1466" s="0" t="s">
        <v>4654</v>
      </c>
      <c r="H1466" s="0" t="s">
        <v>4655</v>
      </c>
      <c r="I1466" s="0" t="s">
        <v>396</v>
      </c>
      <c r="J1466" s="0" t="s">
        <v>397</v>
      </c>
      <c r="K1466" s="0" t="s">
        <v>4203</v>
      </c>
      <c r="L1466" s="0" t="str">
        <f aca="false">IFERROR(VLOOKUP(K1466,'Supplier list'!B:C,2,0),"")</f>
        <v>บริษัท 9889 Thailnd</v>
      </c>
      <c r="M1466" s="1" t="s">
        <v>24</v>
      </c>
      <c r="O1466" s="2" t="n">
        <v>6.8</v>
      </c>
    </row>
    <row r="1467" customFormat="false" ht="16.4" hidden="false" customHeight="false" outlineLevel="0" collapsed="false">
      <c r="A1467" s="0" t="s">
        <v>15</v>
      </c>
      <c r="B1467" s="0" t="s">
        <v>4656</v>
      </c>
      <c r="C1467" s="0" t="n">
        <v>114001</v>
      </c>
      <c r="D1467" s="0" t="n">
        <v>114001</v>
      </c>
      <c r="E1467" s="0" t="s">
        <v>4174</v>
      </c>
      <c r="F1467" s="0" t="s">
        <v>18</v>
      </c>
      <c r="G1467" s="0" t="s">
        <v>4657</v>
      </c>
      <c r="H1467" s="0" t="s">
        <v>4658</v>
      </c>
      <c r="I1467" s="0" t="s">
        <v>396</v>
      </c>
      <c r="J1467" s="0" t="s">
        <v>397</v>
      </c>
      <c r="K1467" s="0" t="s">
        <v>4203</v>
      </c>
      <c r="L1467" s="0" t="str">
        <f aca="false">IFERROR(VLOOKUP(K1467,'Supplier list'!B:C,2,0),"")</f>
        <v>บริษัท 9889 Thailnd</v>
      </c>
      <c r="M1467" s="1" t="s">
        <v>24</v>
      </c>
      <c r="O1467" s="2" t="n">
        <v>6.8</v>
      </c>
    </row>
    <row r="1468" customFormat="false" ht="16.4" hidden="false" customHeight="false" outlineLevel="0" collapsed="false">
      <c r="A1468" s="0" t="s">
        <v>15</v>
      </c>
      <c r="B1468" s="0" t="s">
        <v>4659</v>
      </c>
      <c r="C1468" s="0" t="n">
        <v>114001</v>
      </c>
      <c r="D1468" s="0" t="n">
        <v>114001</v>
      </c>
      <c r="E1468" s="0" t="s">
        <v>4174</v>
      </c>
      <c r="F1468" s="0" t="s">
        <v>18</v>
      </c>
      <c r="G1468" s="0" t="s">
        <v>4660</v>
      </c>
      <c r="H1468" s="0" t="s">
        <v>4661</v>
      </c>
      <c r="I1468" s="0" t="s">
        <v>396</v>
      </c>
      <c r="J1468" s="0" t="s">
        <v>397</v>
      </c>
      <c r="K1468" s="0" t="s">
        <v>4203</v>
      </c>
      <c r="L1468" s="0" t="str">
        <f aca="false">IFERROR(VLOOKUP(K1468,'Supplier list'!B:C,2,0),"")</f>
        <v>บริษัท 9889 Thailnd</v>
      </c>
      <c r="M1468" s="1" t="s">
        <v>24</v>
      </c>
      <c r="O1468" s="2" t="n">
        <v>6.8</v>
      </c>
    </row>
    <row r="1469" customFormat="false" ht="16.4" hidden="false" customHeight="false" outlineLevel="0" collapsed="false">
      <c r="A1469" s="0" t="s">
        <v>15</v>
      </c>
      <c r="B1469" s="0" t="s">
        <v>4662</v>
      </c>
      <c r="C1469" s="0" t="n">
        <v>114001</v>
      </c>
      <c r="D1469" s="0" t="n">
        <v>114001</v>
      </c>
      <c r="E1469" s="0" t="s">
        <v>4174</v>
      </c>
      <c r="F1469" s="0" t="s">
        <v>18</v>
      </c>
      <c r="G1469" s="0" t="s">
        <v>4663</v>
      </c>
      <c r="H1469" s="0" t="s">
        <v>4664</v>
      </c>
      <c r="I1469" s="0" t="s">
        <v>396</v>
      </c>
      <c r="J1469" s="0" t="s">
        <v>397</v>
      </c>
      <c r="K1469" s="0" t="s">
        <v>4203</v>
      </c>
      <c r="L1469" s="0" t="str">
        <f aca="false">IFERROR(VLOOKUP(K1469,'Supplier list'!B:C,2,0),"")</f>
        <v>บริษัท 9889 Thailnd</v>
      </c>
      <c r="M1469" s="1" t="s">
        <v>24</v>
      </c>
      <c r="O1469" s="2" t="n">
        <v>6.8</v>
      </c>
    </row>
    <row r="1470" customFormat="false" ht="16.4" hidden="false" customHeight="false" outlineLevel="0" collapsed="false">
      <c r="A1470" s="0" t="s">
        <v>15</v>
      </c>
      <c r="B1470" s="0" t="s">
        <v>4665</v>
      </c>
      <c r="C1470" s="0" t="n">
        <v>114001</v>
      </c>
      <c r="D1470" s="0" t="n">
        <v>114001</v>
      </c>
      <c r="E1470" s="0" t="s">
        <v>4174</v>
      </c>
      <c r="F1470" s="0" t="s">
        <v>18</v>
      </c>
      <c r="G1470" s="0" t="s">
        <v>4666</v>
      </c>
      <c r="H1470" s="0" t="s">
        <v>4667</v>
      </c>
      <c r="I1470" s="0" t="s">
        <v>396</v>
      </c>
      <c r="J1470" s="0" t="s">
        <v>397</v>
      </c>
      <c r="K1470" s="0" t="s">
        <v>4203</v>
      </c>
      <c r="L1470" s="0" t="str">
        <f aca="false">IFERROR(VLOOKUP(K1470,'Supplier list'!B:C,2,0),"")</f>
        <v>บริษัท 9889 Thailnd</v>
      </c>
      <c r="M1470" s="1" t="s">
        <v>24</v>
      </c>
      <c r="O1470" s="2" t="n">
        <v>8.1</v>
      </c>
    </row>
    <row r="1471" customFormat="false" ht="16.4" hidden="false" customHeight="false" outlineLevel="0" collapsed="false">
      <c r="A1471" s="0" t="s">
        <v>15</v>
      </c>
      <c r="B1471" s="0" t="s">
        <v>4668</v>
      </c>
      <c r="C1471" s="0" t="n">
        <v>114001</v>
      </c>
      <c r="D1471" s="0" t="n">
        <v>114001</v>
      </c>
      <c r="E1471" s="0" t="s">
        <v>4174</v>
      </c>
      <c r="F1471" s="0" t="s">
        <v>18</v>
      </c>
      <c r="G1471" s="0" t="s">
        <v>4669</v>
      </c>
      <c r="H1471" s="0" t="s">
        <v>4670</v>
      </c>
      <c r="I1471" s="0" t="s">
        <v>396</v>
      </c>
      <c r="J1471" s="0" t="s">
        <v>397</v>
      </c>
      <c r="K1471" s="0" t="s">
        <v>4203</v>
      </c>
      <c r="L1471" s="0" t="str">
        <f aca="false">IFERROR(VLOOKUP(K1471,'Supplier list'!B:C,2,0),"")</f>
        <v>บริษัท 9889 Thailnd</v>
      </c>
      <c r="M1471" s="1" t="s">
        <v>24</v>
      </c>
      <c r="O1471" s="2" t="n">
        <v>6.5</v>
      </c>
    </row>
    <row r="1472" customFormat="false" ht="16.4" hidden="false" customHeight="false" outlineLevel="0" collapsed="false">
      <c r="A1472" s="0" t="s">
        <v>15</v>
      </c>
      <c r="B1472" s="0" t="s">
        <v>4671</v>
      </c>
      <c r="C1472" s="0" t="n">
        <v>114001</v>
      </c>
      <c r="D1472" s="0" t="n">
        <v>114001</v>
      </c>
      <c r="E1472" s="0" t="s">
        <v>4174</v>
      </c>
      <c r="F1472" s="0" t="s">
        <v>18</v>
      </c>
      <c r="G1472" s="0" t="s">
        <v>4672</v>
      </c>
      <c r="H1472" s="0" t="s">
        <v>4673</v>
      </c>
      <c r="I1472" s="0" t="s">
        <v>396</v>
      </c>
      <c r="J1472" s="0" t="s">
        <v>397</v>
      </c>
      <c r="K1472" s="0" t="s">
        <v>4203</v>
      </c>
      <c r="L1472" s="0" t="str">
        <f aca="false">IFERROR(VLOOKUP(K1472,'Supplier list'!B:C,2,0),"")</f>
        <v>บริษัท 9889 Thailnd</v>
      </c>
      <c r="M1472" s="1" t="s">
        <v>24</v>
      </c>
      <c r="O1472" s="2" t="n">
        <v>6.8</v>
      </c>
    </row>
    <row r="1473" customFormat="false" ht="16.4" hidden="false" customHeight="false" outlineLevel="0" collapsed="false">
      <c r="A1473" s="0" t="s">
        <v>15</v>
      </c>
      <c r="B1473" s="0" t="s">
        <v>4674</v>
      </c>
      <c r="C1473" s="0" t="n">
        <v>114001</v>
      </c>
      <c r="D1473" s="0" t="n">
        <v>114001</v>
      </c>
      <c r="E1473" s="0" t="s">
        <v>4174</v>
      </c>
      <c r="F1473" s="0" t="s">
        <v>18</v>
      </c>
      <c r="G1473" s="0" t="s">
        <v>4675</v>
      </c>
      <c r="H1473" s="0" t="s">
        <v>4676</v>
      </c>
      <c r="I1473" s="0" t="s">
        <v>396</v>
      </c>
      <c r="J1473" s="0" t="s">
        <v>397</v>
      </c>
      <c r="K1473" s="0" t="s">
        <v>4203</v>
      </c>
      <c r="L1473" s="0" t="str">
        <f aca="false">IFERROR(VLOOKUP(K1473,'Supplier list'!B:C,2,0),"")</f>
        <v>บริษัท 9889 Thailnd</v>
      </c>
      <c r="M1473" s="1" t="s">
        <v>24</v>
      </c>
      <c r="O1473" s="2" t="n">
        <v>6.8</v>
      </c>
    </row>
    <row r="1474" customFormat="false" ht="16.4" hidden="false" customHeight="false" outlineLevel="0" collapsed="false">
      <c r="A1474" s="0" t="s">
        <v>15</v>
      </c>
      <c r="B1474" s="0" t="s">
        <v>4677</v>
      </c>
      <c r="C1474" s="0" t="n">
        <v>114001</v>
      </c>
      <c r="D1474" s="0" t="n">
        <v>114001</v>
      </c>
      <c r="E1474" s="0" t="s">
        <v>4174</v>
      </c>
      <c r="F1474" s="0" t="s">
        <v>18</v>
      </c>
      <c r="G1474" s="0" t="s">
        <v>4678</v>
      </c>
      <c r="H1474" s="0" t="s">
        <v>4679</v>
      </c>
      <c r="I1474" s="0" t="s">
        <v>102</v>
      </c>
      <c r="J1474" s="0" t="s">
        <v>103</v>
      </c>
      <c r="K1474" s="0" t="s">
        <v>303</v>
      </c>
      <c r="L1474" s="0" t="str">
        <f aca="false">IFERROR(VLOOKUP(K1474,'Supplier list'!B:C,2,0),"")</f>
        <v>บริษัท เอ็มเค วู้ดเทค จำกัด</v>
      </c>
      <c r="M1474" s="1" t="s">
        <v>24</v>
      </c>
      <c r="O1474" s="2" t="n">
        <v>430</v>
      </c>
    </row>
    <row r="1475" customFormat="false" ht="16.4" hidden="false" customHeight="false" outlineLevel="0" collapsed="false">
      <c r="A1475" s="0" t="s">
        <v>15</v>
      </c>
      <c r="B1475" s="0" t="s">
        <v>4680</v>
      </c>
      <c r="C1475" s="0" t="n">
        <v>114001</v>
      </c>
      <c r="D1475" s="0" t="n">
        <v>114001</v>
      </c>
      <c r="E1475" s="0" t="s">
        <v>4174</v>
      </c>
      <c r="F1475" s="0" t="s">
        <v>18</v>
      </c>
      <c r="G1475" s="0" t="s">
        <v>4681</v>
      </c>
      <c r="H1475" s="0" t="s">
        <v>4682</v>
      </c>
      <c r="I1475" s="0" t="s">
        <v>102</v>
      </c>
      <c r="J1475" s="0" t="s">
        <v>103</v>
      </c>
      <c r="K1475" s="0" t="s">
        <v>303</v>
      </c>
      <c r="L1475" s="0" t="str">
        <f aca="false">IFERROR(VLOOKUP(K1475,'Supplier list'!B:C,2,0),"")</f>
        <v>บริษัท เอ็มเค วู้ดเทค จำกัด</v>
      </c>
      <c r="M1475" s="1" t="s">
        <v>24</v>
      </c>
      <c r="O1475" s="2" t="n">
        <v>570</v>
      </c>
    </row>
    <row r="1476" customFormat="false" ht="16.4" hidden="false" customHeight="false" outlineLevel="0" collapsed="false">
      <c r="A1476" s="0" t="s">
        <v>15</v>
      </c>
      <c r="B1476" s="0" t="s">
        <v>4683</v>
      </c>
      <c r="C1476" s="0" t="n">
        <v>114001</v>
      </c>
      <c r="D1476" s="0" t="n">
        <v>114001</v>
      </c>
      <c r="E1476" s="0" t="s">
        <v>4174</v>
      </c>
      <c r="F1476" s="0" t="s">
        <v>18</v>
      </c>
      <c r="G1476" s="0" t="s">
        <v>4684</v>
      </c>
      <c r="H1476" s="0" t="s">
        <v>4685</v>
      </c>
      <c r="I1476" s="0" t="s">
        <v>102</v>
      </c>
      <c r="J1476" s="0" t="s">
        <v>103</v>
      </c>
      <c r="K1476" s="0" t="s">
        <v>303</v>
      </c>
      <c r="L1476" s="0" t="str">
        <f aca="false">IFERROR(VLOOKUP(K1476,'Supplier list'!B:C,2,0),"")</f>
        <v>บริษัท เอ็มเค วู้ดเทค จำกัด</v>
      </c>
      <c r="M1476" s="1" t="s">
        <v>24</v>
      </c>
      <c r="O1476" s="2" t="n">
        <v>570</v>
      </c>
    </row>
    <row r="1477" customFormat="false" ht="16.4" hidden="false" customHeight="false" outlineLevel="0" collapsed="false">
      <c r="A1477" s="0" t="s">
        <v>15</v>
      </c>
      <c r="B1477" s="0" t="s">
        <v>4686</v>
      </c>
      <c r="C1477" s="0" t="n">
        <v>114001</v>
      </c>
      <c r="D1477" s="0" t="n">
        <v>114001</v>
      </c>
      <c r="E1477" s="0" t="s">
        <v>4174</v>
      </c>
      <c r="F1477" s="0" t="s">
        <v>18</v>
      </c>
      <c r="G1477" s="0" t="s">
        <v>4687</v>
      </c>
      <c r="H1477" s="0" t="s">
        <v>4688</v>
      </c>
      <c r="I1477" s="0" t="s">
        <v>102</v>
      </c>
      <c r="J1477" s="0" t="s">
        <v>103</v>
      </c>
      <c r="K1477" s="0" t="s">
        <v>303</v>
      </c>
      <c r="L1477" s="0" t="str">
        <f aca="false">IFERROR(VLOOKUP(K1477,'Supplier list'!B:C,2,0),"")</f>
        <v>บริษัท เอ็มเค วู้ดเทค จำกัด</v>
      </c>
      <c r="M1477" s="1" t="s">
        <v>24</v>
      </c>
      <c r="O1477" s="2" t="n">
        <v>570</v>
      </c>
    </row>
    <row r="1478" customFormat="false" ht="16.4" hidden="false" customHeight="false" outlineLevel="0" collapsed="false">
      <c r="A1478" s="0" t="s">
        <v>15</v>
      </c>
      <c r="B1478" s="0" t="s">
        <v>4689</v>
      </c>
      <c r="C1478" s="0" t="n">
        <v>114001</v>
      </c>
      <c r="D1478" s="0" t="n">
        <v>114001</v>
      </c>
      <c r="E1478" s="0" t="s">
        <v>4174</v>
      </c>
      <c r="F1478" s="0" t="s">
        <v>18</v>
      </c>
      <c r="G1478" s="0" t="s">
        <v>4690</v>
      </c>
      <c r="H1478" s="0" t="s">
        <v>4691</v>
      </c>
      <c r="I1478" s="0" t="s">
        <v>102</v>
      </c>
      <c r="J1478" s="0" t="s">
        <v>103</v>
      </c>
      <c r="K1478" s="0" t="s">
        <v>303</v>
      </c>
      <c r="L1478" s="0" t="str">
        <f aca="false">IFERROR(VLOOKUP(K1478,'Supplier list'!B:C,2,0),"")</f>
        <v>บริษัท เอ็มเค วู้ดเทค จำกัด</v>
      </c>
      <c r="M1478" s="1" t="s">
        <v>24</v>
      </c>
      <c r="O1478" s="2" t="n">
        <v>510</v>
      </c>
    </row>
    <row r="1479" customFormat="false" ht="16.4" hidden="false" customHeight="false" outlineLevel="0" collapsed="false">
      <c r="A1479" s="0" t="s">
        <v>15</v>
      </c>
      <c r="B1479" s="0" t="s">
        <v>4692</v>
      </c>
      <c r="C1479" s="0" t="n">
        <v>114001</v>
      </c>
      <c r="D1479" s="0" t="n">
        <v>114001</v>
      </c>
      <c r="E1479" s="0" t="s">
        <v>4174</v>
      </c>
      <c r="F1479" s="0" t="s">
        <v>18</v>
      </c>
      <c r="G1479" s="0" t="s">
        <v>4693</v>
      </c>
      <c r="H1479" s="0" t="s">
        <v>4694</v>
      </c>
      <c r="I1479" s="0" t="s">
        <v>102</v>
      </c>
      <c r="J1479" s="0" t="s">
        <v>103</v>
      </c>
      <c r="K1479" s="0" t="s">
        <v>303</v>
      </c>
      <c r="L1479" s="0" t="str">
        <f aca="false">IFERROR(VLOOKUP(K1479,'Supplier list'!B:C,2,0),"")</f>
        <v>บริษัท เอ็มเค วู้ดเทค จำกัด</v>
      </c>
      <c r="M1479" s="1" t="s">
        <v>24</v>
      </c>
      <c r="O1479" s="2" t="n">
        <v>330</v>
      </c>
    </row>
    <row r="1480" customFormat="false" ht="16.4" hidden="false" customHeight="false" outlineLevel="0" collapsed="false">
      <c r="A1480" s="0" t="s">
        <v>15</v>
      </c>
      <c r="B1480" s="0" t="s">
        <v>4695</v>
      </c>
      <c r="C1480" s="0" t="n">
        <v>114001</v>
      </c>
      <c r="D1480" s="0" t="n">
        <v>114001</v>
      </c>
      <c r="E1480" s="0" t="s">
        <v>4174</v>
      </c>
      <c r="F1480" s="0" t="s">
        <v>18</v>
      </c>
      <c r="G1480" s="0" t="s">
        <v>4696</v>
      </c>
      <c r="H1480" s="0" t="s">
        <v>4697</v>
      </c>
      <c r="I1480" s="0" t="s">
        <v>102</v>
      </c>
      <c r="J1480" s="0" t="s">
        <v>103</v>
      </c>
      <c r="K1480" s="0" t="s">
        <v>303</v>
      </c>
      <c r="L1480" s="0" t="str">
        <f aca="false">IFERROR(VLOOKUP(K1480,'Supplier list'!B:C,2,0),"")</f>
        <v>บริษัท เอ็มเค วู้ดเทค จำกัด</v>
      </c>
      <c r="M1480" s="1" t="s">
        <v>24</v>
      </c>
      <c r="O1480" s="2" t="n">
        <v>730</v>
      </c>
    </row>
    <row r="1481" customFormat="false" ht="16.4" hidden="false" customHeight="false" outlineLevel="0" collapsed="false">
      <c r="A1481" s="0" t="s">
        <v>15</v>
      </c>
      <c r="B1481" s="0" t="s">
        <v>4698</v>
      </c>
      <c r="C1481" s="0" t="n">
        <v>114001</v>
      </c>
      <c r="D1481" s="0" t="n">
        <v>114001</v>
      </c>
      <c r="E1481" s="0" t="s">
        <v>4174</v>
      </c>
      <c r="F1481" s="0" t="s">
        <v>18</v>
      </c>
      <c r="G1481" s="0" t="s">
        <v>4699</v>
      </c>
      <c r="H1481" s="0" t="s">
        <v>4700</v>
      </c>
      <c r="I1481" s="0" t="s">
        <v>102</v>
      </c>
      <c r="J1481" s="0" t="s">
        <v>103</v>
      </c>
      <c r="K1481" s="0" t="s">
        <v>303</v>
      </c>
      <c r="L1481" s="0" t="str">
        <f aca="false">IFERROR(VLOOKUP(K1481,'Supplier list'!B:C,2,0),"")</f>
        <v>บริษัท เอ็มเค วู้ดเทค จำกัด</v>
      </c>
      <c r="M1481" s="1" t="s">
        <v>24</v>
      </c>
      <c r="O1481" s="2" t="n">
        <v>730</v>
      </c>
    </row>
    <row r="1482" customFormat="false" ht="16.4" hidden="false" customHeight="false" outlineLevel="0" collapsed="false">
      <c r="A1482" s="0" t="s">
        <v>15</v>
      </c>
      <c r="B1482" s="0" t="s">
        <v>4701</v>
      </c>
      <c r="C1482" s="0" t="n">
        <v>114001</v>
      </c>
      <c r="D1482" s="0" t="n">
        <v>114001</v>
      </c>
      <c r="E1482" s="0" t="s">
        <v>4174</v>
      </c>
      <c r="F1482" s="0" t="s">
        <v>18</v>
      </c>
      <c r="G1482" s="0" t="s">
        <v>4702</v>
      </c>
      <c r="H1482" s="0" t="s">
        <v>4703</v>
      </c>
      <c r="I1482" s="0" t="s">
        <v>102</v>
      </c>
      <c r="J1482" s="0" t="s">
        <v>103</v>
      </c>
      <c r="K1482" s="0" t="s">
        <v>303</v>
      </c>
      <c r="L1482" s="0" t="str">
        <f aca="false">IFERROR(VLOOKUP(K1482,'Supplier list'!B:C,2,0),"")</f>
        <v>บริษัท เอ็มเค วู้ดเทค จำกัด</v>
      </c>
      <c r="M1482" s="1" t="s">
        <v>24</v>
      </c>
      <c r="O1482" s="2" t="n">
        <v>730</v>
      </c>
    </row>
    <row r="1483" customFormat="false" ht="16.4" hidden="false" customHeight="false" outlineLevel="0" collapsed="false">
      <c r="A1483" s="0" t="s">
        <v>15</v>
      </c>
      <c r="B1483" s="0" t="s">
        <v>4704</v>
      </c>
      <c r="C1483" s="0" t="n">
        <v>114001</v>
      </c>
      <c r="D1483" s="0" t="n">
        <v>114001</v>
      </c>
      <c r="E1483" s="0" t="s">
        <v>4174</v>
      </c>
      <c r="F1483" s="0" t="s">
        <v>18</v>
      </c>
      <c r="G1483" s="0" t="s">
        <v>4705</v>
      </c>
      <c r="H1483" s="0" t="s">
        <v>4706</v>
      </c>
      <c r="I1483" s="0" t="s">
        <v>102</v>
      </c>
      <c r="J1483" s="0" t="s">
        <v>103</v>
      </c>
      <c r="K1483" s="0" t="s">
        <v>303</v>
      </c>
      <c r="L1483" s="0" t="str">
        <f aca="false">IFERROR(VLOOKUP(K1483,'Supplier list'!B:C,2,0),"")</f>
        <v>บริษัท เอ็มเค วู้ดเทค จำกัด</v>
      </c>
      <c r="M1483" s="1" t="s">
        <v>24</v>
      </c>
      <c r="O1483" s="2" t="n">
        <v>730</v>
      </c>
    </row>
    <row r="1484" customFormat="false" ht="16.4" hidden="false" customHeight="false" outlineLevel="0" collapsed="false">
      <c r="A1484" s="0" t="s">
        <v>15</v>
      </c>
      <c r="B1484" s="0" t="s">
        <v>4707</v>
      </c>
      <c r="C1484" s="0" t="n">
        <v>114001</v>
      </c>
      <c r="D1484" s="0" t="n">
        <v>114001</v>
      </c>
      <c r="E1484" s="0" t="s">
        <v>4174</v>
      </c>
      <c r="F1484" s="0" t="s">
        <v>18</v>
      </c>
      <c r="G1484" s="0" t="s">
        <v>4708</v>
      </c>
      <c r="H1484" s="0" t="s">
        <v>4709</v>
      </c>
      <c r="I1484" s="0" t="s">
        <v>102</v>
      </c>
      <c r="J1484" s="0" t="s">
        <v>103</v>
      </c>
      <c r="K1484" s="0" t="s">
        <v>303</v>
      </c>
      <c r="L1484" s="0" t="str">
        <f aca="false">IFERROR(VLOOKUP(K1484,'Supplier list'!B:C,2,0),"")</f>
        <v>บริษัท เอ็มเค วู้ดเทค จำกัด</v>
      </c>
      <c r="M1484" s="1" t="s">
        <v>24</v>
      </c>
      <c r="O1484" s="2" t="n">
        <v>730</v>
      </c>
    </row>
    <row r="1485" customFormat="false" ht="16.4" hidden="false" customHeight="false" outlineLevel="0" collapsed="false">
      <c r="A1485" s="0" t="s">
        <v>15</v>
      </c>
      <c r="B1485" s="0" t="s">
        <v>4710</v>
      </c>
      <c r="C1485" s="0" t="n">
        <v>114001</v>
      </c>
      <c r="D1485" s="0" t="n">
        <v>114001</v>
      </c>
      <c r="E1485" s="0" t="s">
        <v>4174</v>
      </c>
      <c r="F1485" s="0" t="s">
        <v>18</v>
      </c>
      <c r="G1485" s="0" t="s">
        <v>4711</v>
      </c>
      <c r="H1485" s="0" t="s">
        <v>4712</v>
      </c>
      <c r="I1485" s="0" t="s">
        <v>396</v>
      </c>
      <c r="J1485" s="0" t="s">
        <v>397</v>
      </c>
      <c r="K1485" s="0" t="s">
        <v>4203</v>
      </c>
      <c r="L1485" s="0" t="str">
        <f aca="false">IFERROR(VLOOKUP(K1485,'Supplier list'!B:C,2,0),"")</f>
        <v>บริษัท 9889 Thailnd</v>
      </c>
      <c r="M1485" s="1" t="s">
        <v>24</v>
      </c>
      <c r="O1485" s="2" t="n">
        <v>6.8</v>
      </c>
    </row>
    <row r="1486" customFormat="false" ht="16.4" hidden="false" customHeight="false" outlineLevel="0" collapsed="false">
      <c r="A1486" s="0" t="s">
        <v>15</v>
      </c>
      <c r="B1486" s="0" t="s">
        <v>4713</v>
      </c>
      <c r="C1486" s="0" t="n">
        <v>114001</v>
      </c>
      <c r="D1486" s="0" t="n">
        <v>114001</v>
      </c>
      <c r="E1486" s="0" t="s">
        <v>4174</v>
      </c>
      <c r="F1486" s="0" t="s">
        <v>18</v>
      </c>
      <c r="G1486" s="0" t="s">
        <v>4714</v>
      </c>
      <c r="H1486" s="0" t="s">
        <v>4715</v>
      </c>
      <c r="I1486" s="0" t="s">
        <v>102</v>
      </c>
      <c r="J1486" s="0" t="s">
        <v>103</v>
      </c>
      <c r="K1486" s="0" t="s">
        <v>303</v>
      </c>
      <c r="L1486" s="0" t="str">
        <f aca="false">IFERROR(VLOOKUP(K1486,'Supplier list'!B:C,2,0),"")</f>
        <v>บริษัท เอ็มเค วู้ดเทค จำกัด</v>
      </c>
      <c r="M1486" s="1" t="s">
        <v>24</v>
      </c>
      <c r="O1486" s="2" t="n">
        <v>960</v>
      </c>
    </row>
    <row r="1487" customFormat="false" ht="16.4" hidden="false" customHeight="false" outlineLevel="0" collapsed="false">
      <c r="A1487" s="0" t="s">
        <v>15</v>
      </c>
      <c r="B1487" s="0" t="s">
        <v>4716</v>
      </c>
      <c r="C1487" s="0" t="n">
        <v>114001</v>
      </c>
      <c r="D1487" s="0" t="n">
        <v>114001</v>
      </c>
      <c r="E1487" s="0" t="s">
        <v>4174</v>
      </c>
      <c r="F1487" s="0" t="s">
        <v>18</v>
      </c>
      <c r="G1487" s="0" t="s">
        <v>4717</v>
      </c>
      <c r="H1487" s="0" t="s">
        <v>4718</v>
      </c>
      <c r="I1487" s="0" t="s">
        <v>102</v>
      </c>
      <c r="J1487" s="0" t="s">
        <v>103</v>
      </c>
      <c r="K1487" s="0" t="s">
        <v>303</v>
      </c>
      <c r="L1487" s="0" t="str">
        <f aca="false">IFERROR(VLOOKUP(K1487,'Supplier list'!B:C,2,0),"")</f>
        <v>บริษัท เอ็มเค วู้ดเทค จำกัด</v>
      </c>
      <c r="M1487" s="1" t="s">
        <v>24</v>
      </c>
      <c r="O1487" s="2" t="n">
        <v>960</v>
      </c>
    </row>
    <row r="1488" customFormat="false" ht="16.4" hidden="false" customHeight="false" outlineLevel="0" collapsed="false">
      <c r="A1488" s="0" t="s">
        <v>15</v>
      </c>
      <c r="B1488" s="0" t="s">
        <v>4719</v>
      </c>
      <c r="C1488" s="0" t="n">
        <v>114001</v>
      </c>
      <c r="D1488" s="0" t="n">
        <v>114001</v>
      </c>
      <c r="E1488" s="0" t="s">
        <v>4174</v>
      </c>
      <c r="F1488" s="0" t="s">
        <v>18</v>
      </c>
      <c r="G1488" s="0" t="s">
        <v>4720</v>
      </c>
      <c r="H1488" s="0" t="s">
        <v>4721</v>
      </c>
      <c r="I1488" s="0" t="s">
        <v>102</v>
      </c>
      <c r="J1488" s="0" t="s">
        <v>103</v>
      </c>
      <c r="K1488" s="0" t="s">
        <v>303</v>
      </c>
      <c r="L1488" s="0" t="str">
        <f aca="false">IFERROR(VLOOKUP(K1488,'Supplier list'!B:C,2,0),"")</f>
        <v>บริษัท เอ็มเค วู้ดเทค จำกัด</v>
      </c>
      <c r="M1488" s="1" t="s">
        <v>24</v>
      </c>
      <c r="O1488" s="2" t="n">
        <v>295</v>
      </c>
    </row>
    <row r="1489" customFormat="false" ht="16.4" hidden="false" customHeight="false" outlineLevel="0" collapsed="false">
      <c r="A1489" s="0" t="s">
        <v>15</v>
      </c>
      <c r="B1489" s="0" t="s">
        <v>4722</v>
      </c>
      <c r="C1489" s="0" t="n">
        <v>114001</v>
      </c>
      <c r="D1489" s="0" t="n">
        <v>114001</v>
      </c>
      <c r="E1489" s="0" t="s">
        <v>4174</v>
      </c>
      <c r="F1489" s="0" t="s">
        <v>18</v>
      </c>
      <c r="G1489" s="0" t="s">
        <v>4723</v>
      </c>
      <c r="H1489" s="0" t="s">
        <v>4724</v>
      </c>
      <c r="I1489" s="0" t="s">
        <v>396</v>
      </c>
      <c r="J1489" s="0" t="s">
        <v>397</v>
      </c>
      <c r="K1489" s="0" t="s">
        <v>4203</v>
      </c>
      <c r="L1489" s="0" t="str">
        <f aca="false">IFERROR(VLOOKUP(K1489,'Supplier list'!B:C,2,0),"")</f>
        <v>บริษัท 9889 Thailnd</v>
      </c>
      <c r="M1489" s="1" t="s">
        <v>24</v>
      </c>
      <c r="O1489" s="2" t="n">
        <v>6.8</v>
      </c>
    </row>
    <row r="1490" customFormat="false" ht="16.4" hidden="false" customHeight="false" outlineLevel="0" collapsed="false">
      <c r="A1490" s="0" t="s">
        <v>15</v>
      </c>
      <c r="B1490" s="0" t="s">
        <v>4725</v>
      </c>
      <c r="C1490" s="0" t="n">
        <v>114001</v>
      </c>
      <c r="D1490" s="0" t="n">
        <v>114001</v>
      </c>
      <c r="E1490" s="0" t="s">
        <v>4174</v>
      </c>
      <c r="F1490" s="0" t="s">
        <v>18</v>
      </c>
      <c r="G1490" s="0" t="s">
        <v>4726</v>
      </c>
      <c r="H1490" s="0" t="s">
        <v>4727</v>
      </c>
      <c r="I1490" s="0" t="s">
        <v>102</v>
      </c>
      <c r="J1490" s="0" t="s">
        <v>103</v>
      </c>
      <c r="K1490" s="0" t="s">
        <v>303</v>
      </c>
      <c r="L1490" s="0" t="str">
        <f aca="false">IFERROR(VLOOKUP(K1490,'Supplier list'!B:C,2,0),"")</f>
        <v>บริษัท เอ็มเค วู้ดเทค จำกัด</v>
      </c>
      <c r="M1490" s="1" t="s">
        <v>24</v>
      </c>
      <c r="O1490" s="2" t="n">
        <v>960</v>
      </c>
    </row>
    <row r="1491" customFormat="false" ht="16.4" hidden="false" customHeight="false" outlineLevel="0" collapsed="false">
      <c r="A1491" s="0" t="s">
        <v>15</v>
      </c>
      <c r="B1491" s="0" t="s">
        <v>4728</v>
      </c>
      <c r="C1491" s="0" t="n">
        <v>114001</v>
      </c>
      <c r="D1491" s="0" t="n">
        <v>114001</v>
      </c>
      <c r="E1491" s="0" t="s">
        <v>4174</v>
      </c>
      <c r="F1491" s="0" t="s">
        <v>18</v>
      </c>
      <c r="G1491" s="0" t="s">
        <v>4729</v>
      </c>
      <c r="H1491" s="0" t="s">
        <v>4730</v>
      </c>
      <c r="I1491" s="0" t="s">
        <v>102</v>
      </c>
      <c r="J1491" s="0" t="s">
        <v>103</v>
      </c>
      <c r="K1491" s="0" t="s">
        <v>303</v>
      </c>
      <c r="L1491" s="0" t="str">
        <f aca="false">IFERROR(VLOOKUP(K1491,'Supplier list'!B:C,2,0),"")</f>
        <v>บริษัท เอ็มเค วู้ดเทค จำกัด</v>
      </c>
      <c r="M1491" s="1" t="s">
        <v>24</v>
      </c>
      <c r="O1491" s="2" t="n">
        <v>960</v>
      </c>
    </row>
    <row r="1492" customFormat="false" ht="16.4" hidden="false" customHeight="false" outlineLevel="0" collapsed="false">
      <c r="A1492" s="0" t="s">
        <v>15</v>
      </c>
      <c r="B1492" s="0" t="s">
        <v>4731</v>
      </c>
      <c r="C1492" s="0" t="n">
        <v>114001</v>
      </c>
      <c r="D1492" s="0" t="n">
        <v>114001</v>
      </c>
      <c r="E1492" s="0" t="s">
        <v>4174</v>
      </c>
      <c r="F1492" s="0" t="s">
        <v>18</v>
      </c>
      <c r="G1492" s="0" t="s">
        <v>4732</v>
      </c>
      <c r="H1492" s="0" t="s">
        <v>4733</v>
      </c>
      <c r="I1492" s="0" t="s">
        <v>102</v>
      </c>
      <c r="J1492" s="0" t="s">
        <v>103</v>
      </c>
      <c r="K1492" s="0" t="s">
        <v>303</v>
      </c>
      <c r="L1492" s="0" t="str">
        <f aca="false">IFERROR(VLOOKUP(K1492,'Supplier list'!B:C,2,0),"")</f>
        <v>บริษัท เอ็มเค วู้ดเทค จำกัด</v>
      </c>
      <c r="M1492" s="1" t="s">
        <v>24</v>
      </c>
      <c r="O1492" s="2" t="n">
        <v>960</v>
      </c>
    </row>
    <row r="1493" customFormat="false" ht="16.4" hidden="false" customHeight="false" outlineLevel="0" collapsed="false">
      <c r="A1493" s="0" t="s">
        <v>15</v>
      </c>
      <c r="B1493" s="0" t="s">
        <v>4734</v>
      </c>
      <c r="C1493" s="0" t="n">
        <v>114001</v>
      </c>
      <c r="D1493" s="0" t="n">
        <v>114001</v>
      </c>
      <c r="E1493" s="0" t="s">
        <v>4174</v>
      </c>
      <c r="F1493" s="0" t="s">
        <v>18</v>
      </c>
      <c r="G1493" s="0" t="s">
        <v>4735</v>
      </c>
      <c r="H1493" s="0" t="s">
        <v>4736</v>
      </c>
      <c r="I1493" s="0" t="s">
        <v>102</v>
      </c>
      <c r="J1493" s="0" t="s">
        <v>103</v>
      </c>
      <c r="K1493" s="0" t="s">
        <v>303</v>
      </c>
      <c r="L1493" s="0" t="str">
        <f aca="false">IFERROR(VLOOKUP(K1493,'Supplier list'!B:C,2,0),"")</f>
        <v>บริษัท เอ็มเค วู้ดเทค จำกัด</v>
      </c>
      <c r="M1493" s="1" t="s">
        <v>24</v>
      </c>
      <c r="O1493" s="2" t="n">
        <v>610</v>
      </c>
    </row>
    <row r="1494" customFormat="false" ht="16.4" hidden="false" customHeight="false" outlineLevel="0" collapsed="false">
      <c r="A1494" s="0" t="s">
        <v>15</v>
      </c>
      <c r="B1494" s="0" t="s">
        <v>4737</v>
      </c>
      <c r="C1494" s="0" t="n">
        <v>114001</v>
      </c>
      <c r="D1494" s="0" t="n">
        <v>114001</v>
      </c>
      <c r="E1494" s="0" t="s">
        <v>4174</v>
      </c>
      <c r="F1494" s="0" t="s">
        <v>18</v>
      </c>
      <c r="G1494" s="0" t="s">
        <v>4738</v>
      </c>
      <c r="H1494" s="0" t="s">
        <v>4739</v>
      </c>
      <c r="I1494" s="0" t="s">
        <v>102</v>
      </c>
      <c r="J1494" s="0" t="s">
        <v>103</v>
      </c>
      <c r="K1494" s="0" t="s">
        <v>303</v>
      </c>
      <c r="L1494" s="0" t="str">
        <f aca="false">IFERROR(VLOOKUP(K1494,'Supplier list'!B:C,2,0),"")</f>
        <v>บริษัท เอ็มเค วู้ดเทค จำกัด</v>
      </c>
      <c r="M1494" s="1" t="s">
        <v>24</v>
      </c>
      <c r="O1494" s="2" t="n">
        <v>960</v>
      </c>
    </row>
    <row r="1495" customFormat="false" ht="16.4" hidden="false" customHeight="false" outlineLevel="0" collapsed="false">
      <c r="A1495" s="0" t="s">
        <v>15</v>
      </c>
      <c r="B1495" s="0" t="s">
        <v>4740</v>
      </c>
      <c r="C1495" s="0" t="n">
        <v>114001</v>
      </c>
      <c r="D1495" s="0" t="n">
        <v>114001</v>
      </c>
      <c r="E1495" s="0" t="s">
        <v>4174</v>
      </c>
      <c r="F1495" s="0" t="s">
        <v>18</v>
      </c>
      <c r="G1495" s="0" t="s">
        <v>4741</v>
      </c>
      <c r="H1495" s="0" t="s">
        <v>4742</v>
      </c>
      <c r="I1495" s="0" t="s">
        <v>102</v>
      </c>
      <c r="J1495" s="0" t="s">
        <v>103</v>
      </c>
      <c r="K1495" s="0" t="s">
        <v>303</v>
      </c>
      <c r="L1495" s="0" t="str">
        <f aca="false">IFERROR(VLOOKUP(K1495,'Supplier list'!B:C,2,0),"")</f>
        <v>บริษัท เอ็มเค วู้ดเทค จำกัด</v>
      </c>
      <c r="M1495" s="1" t="s">
        <v>24</v>
      </c>
      <c r="O1495" s="2" t="n">
        <v>960</v>
      </c>
    </row>
    <row r="1496" customFormat="false" ht="16.4" hidden="false" customHeight="false" outlineLevel="0" collapsed="false">
      <c r="A1496" s="0" t="s">
        <v>15</v>
      </c>
      <c r="B1496" s="0" t="s">
        <v>4743</v>
      </c>
      <c r="C1496" s="0" t="n">
        <v>114001</v>
      </c>
      <c r="D1496" s="0" t="n">
        <v>114001</v>
      </c>
      <c r="E1496" s="0" t="s">
        <v>4174</v>
      </c>
      <c r="F1496" s="0" t="s">
        <v>18</v>
      </c>
      <c r="G1496" s="0" t="s">
        <v>4744</v>
      </c>
      <c r="H1496" s="0" t="s">
        <v>4745</v>
      </c>
      <c r="I1496" s="0" t="s">
        <v>396</v>
      </c>
      <c r="J1496" s="0" t="s">
        <v>397</v>
      </c>
      <c r="K1496" s="0" t="s">
        <v>4203</v>
      </c>
      <c r="L1496" s="0" t="str">
        <f aca="false">IFERROR(VLOOKUP(K1496,'Supplier list'!B:C,2,0),"")</f>
        <v>บริษัท 9889 Thailnd</v>
      </c>
      <c r="M1496" s="1" t="s">
        <v>24</v>
      </c>
      <c r="O1496" s="2" t="n">
        <v>6.8</v>
      </c>
    </row>
    <row r="1497" customFormat="false" ht="16.4" hidden="false" customHeight="false" outlineLevel="0" collapsed="false">
      <c r="A1497" s="0" t="s">
        <v>15</v>
      </c>
      <c r="B1497" s="0" t="s">
        <v>4746</v>
      </c>
      <c r="C1497" s="0" t="n">
        <v>114001</v>
      </c>
      <c r="D1497" s="0" t="n">
        <v>114001</v>
      </c>
      <c r="E1497" s="0" t="s">
        <v>4174</v>
      </c>
      <c r="F1497" s="0" t="s">
        <v>18</v>
      </c>
      <c r="G1497" s="0" t="s">
        <v>4747</v>
      </c>
      <c r="H1497" s="0" t="s">
        <v>4748</v>
      </c>
      <c r="I1497" s="0" t="s">
        <v>102</v>
      </c>
      <c r="J1497" s="0" t="s">
        <v>103</v>
      </c>
      <c r="K1497" s="0" t="s">
        <v>4363</v>
      </c>
      <c r="L1497" s="0" t="str">
        <f aca="false">IFERROR(VLOOKUP(K1497,'Supplier list'!B:C,2,0),"")</f>
        <v>บริษัท เมโทรพูนทรัพย์ จำกัด</v>
      </c>
      <c r="M1497" s="1" t="s">
        <v>24</v>
      </c>
      <c r="O1497" s="2" t="n">
        <v>190</v>
      </c>
    </row>
    <row r="1498" customFormat="false" ht="16.4" hidden="false" customHeight="false" outlineLevel="0" collapsed="false">
      <c r="A1498" s="0" t="s">
        <v>15</v>
      </c>
      <c r="B1498" s="0" t="s">
        <v>4749</v>
      </c>
      <c r="C1498" s="0" t="n">
        <v>114001</v>
      </c>
      <c r="D1498" s="0" t="n">
        <v>114001</v>
      </c>
      <c r="E1498" s="0" t="s">
        <v>4174</v>
      </c>
      <c r="F1498" s="0" t="s">
        <v>18</v>
      </c>
      <c r="G1498" s="0" t="s">
        <v>4750</v>
      </c>
      <c r="H1498" s="0" t="s">
        <v>4751</v>
      </c>
      <c r="I1498" s="0" t="s">
        <v>396</v>
      </c>
      <c r="J1498" s="0" t="s">
        <v>397</v>
      </c>
      <c r="K1498" s="0" t="s">
        <v>4203</v>
      </c>
      <c r="L1498" s="0" t="str">
        <f aca="false">IFERROR(VLOOKUP(K1498,'Supplier list'!B:C,2,0),"")</f>
        <v>บริษัท 9889 Thailnd</v>
      </c>
      <c r="M1498" s="1" t="s">
        <v>24</v>
      </c>
      <c r="O1498" s="2" t="n">
        <v>6.8</v>
      </c>
    </row>
    <row r="1499" customFormat="false" ht="16.4" hidden="false" customHeight="false" outlineLevel="0" collapsed="false">
      <c r="A1499" s="0" t="s">
        <v>15</v>
      </c>
      <c r="B1499" s="0" t="s">
        <v>4752</v>
      </c>
      <c r="C1499" s="0" t="n">
        <v>114001</v>
      </c>
      <c r="D1499" s="0" t="n">
        <v>114001</v>
      </c>
      <c r="E1499" s="0" t="s">
        <v>4174</v>
      </c>
      <c r="F1499" s="0" t="s">
        <v>18</v>
      </c>
      <c r="G1499" s="0" t="s">
        <v>4753</v>
      </c>
      <c r="H1499" s="0" t="s">
        <v>4754</v>
      </c>
      <c r="I1499" s="0" t="s">
        <v>396</v>
      </c>
      <c r="J1499" s="0" t="s">
        <v>397</v>
      </c>
      <c r="K1499" s="0" t="s">
        <v>4203</v>
      </c>
      <c r="L1499" s="0" t="str">
        <f aca="false">IFERROR(VLOOKUP(K1499,'Supplier list'!B:C,2,0),"")</f>
        <v>บริษัท 9889 Thailnd</v>
      </c>
      <c r="M1499" s="1" t="s">
        <v>24</v>
      </c>
      <c r="O1499" s="2" t="n">
        <v>6.8</v>
      </c>
    </row>
    <row r="1500" customFormat="false" ht="16.4" hidden="false" customHeight="false" outlineLevel="0" collapsed="false">
      <c r="A1500" s="0" t="s">
        <v>15</v>
      </c>
      <c r="B1500" s="0" t="s">
        <v>4755</v>
      </c>
      <c r="C1500" s="0" t="n">
        <v>114001</v>
      </c>
      <c r="D1500" s="0" t="n">
        <v>114001</v>
      </c>
      <c r="E1500" s="0" t="s">
        <v>4174</v>
      </c>
      <c r="F1500" s="0" t="s">
        <v>18</v>
      </c>
      <c r="G1500" s="0" t="s">
        <v>4756</v>
      </c>
      <c r="H1500" s="0" t="s">
        <v>4757</v>
      </c>
      <c r="I1500" s="0" t="s">
        <v>396</v>
      </c>
      <c r="J1500" s="0" t="s">
        <v>397</v>
      </c>
      <c r="K1500" s="0" t="s">
        <v>4203</v>
      </c>
      <c r="L1500" s="0" t="str">
        <f aca="false">IFERROR(VLOOKUP(K1500,'Supplier list'!B:C,2,0),"")</f>
        <v>บริษัท 9889 Thailnd</v>
      </c>
      <c r="M1500" s="1" t="s">
        <v>24</v>
      </c>
      <c r="O1500" s="2" t="n">
        <v>6.8</v>
      </c>
    </row>
    <row r="1501" customFormat="false" ht="16.4" hidden="false" customHeight="false" outlineLevel="0" collapsed="false">
      <c r="A1501" s="0" t="s">
        <v>15</v>
      </c>
      <c r="B1501" s="0" t="s">
        <v>4758</v>
      </c>
      <c r="C1501" s="0" t="n">
        <v>114001</v>
      </c>
      <c r="D1501" s="0" t="n">
        <v>114001</v>
      </c>
      <c r="E1501" s="0" t="s">
        <v>4174</v>
      </c>
      <c r="F1501" s="0" t="s">
        <v>18</v>
      </c>
      <c r="G1501" s="0" t="s">
        <v>4759</v>
      </c>
      <c r="H1501" s="0" t="s">
        <v>4760</v>
      </c>
      <c r="I1501" s="0" t="s">
        <v>102</v>
      </c>
      <c r="J1501" s="0" t="s">
        <v>103</v>
      </c>
      <c r="K1501" s="0" t="s">
        <v>303</v>
      </c>
      <c r="L1501" s="0" t="str">
        <f aca="false">IFERROR(VLOOKUP(K1501,'Supplier list'!B:C,2,0),"")</f>
        <v>บริษัท เอ็มเค วู้ดเทค จำกัด</v>
      </c>
      <c r="M1501" s="1" t="s">
        <v>24</v>
      </c>
      <c r="O1501" s="2" t="n">
        <v>620</v>
      </c>
    </row>
    <row r="1502" customFormat="false" ht="16.4" hidden="false" customHeight="false" outlineLevel="0" collapsed="false">
      <c r="A1502" s="0" t="s">
        <v>15</v>
      </c>
      <c r="B1502" s="0" t="s">
        <v>4761</v>
      </c>
      <c r="C1502" s="0" t="n">
        <v>114001</v>
      </c>
      <c r="D1502" s="0" t="n">
        <v>114001</v>
      </c>
      <c r="E1502" s="0" t="s">
        <v>4174</v>
      </c>
      <c r="F1502" s="0" t="s">
        <v>18</v>
      </c>
      <c r="G1502" s="0" t="s">
        <v>4762</v>
      </c>
      <c r="H1502" s="0" t="s">
        <v>4763</v>
      </c>
      <c r="I1502" s="0" t="s">
        <v>396</v>
      </c>
      <c r="J1502" s="0" t="s">
        <v>397</v>
      </c>
      <c r="K1502" s="0" t="s">
        <v>4203</v>
      </c>
      <c r="L1502" s="0" t="str">
        <f aca="false">IFERROR(VLOOKUP(K1502,'Supplier list'!B:C,2,0),"")</f>
        <v>บริษัท 9889 Thailnd</v>
      </c>
      <c r="M1502" s="1" t="s">
        <v>24</v>
      </c>
      <c r="O1502" s="2" t="n">
        <v>6.8</v>
      </c>
    </row>
    <row r="1503" customFormat="false" ht="16.4" hidden="false" customHeight="false" outlineLevel="0" collapsed="false">
      <c r="A1503" s="0" t="s">
        <v>15</v>
      </c>
      <c r="B1503" s="0" t="s">
        <v>4764</v>
      </c>
      <c r="C1503" s="0" t="n">
        <v>114001</v>
      </c>
      <c r="D1503" s="0" t="n">
        <v>114001</v>
      </c>
      <c r="E1503" s="0" t="s">
        <v>4174</v>
      </c>
      <c r="F1503" s="0" t="s">
        <v>18</v>
      </c>
      <c r="G1503" s="0" t="s">
        <v>4765</v>
      </c>
      <c r="H1503" s="0" t="s">
        <v>4766</v>
      </c>
      <c r="I1503" s="0" t="s">
        <v>396</v>
      </c>
      <c r="J1503" s="0" t="s">
        <v>397</v>
      </c>
      <c r="K1503" s="0" t="s">
        <v>4203</v>
      </c>
      <c r="L1503" s="0" t="str">
        <f aca="false">IFERROR(VLOOKUP(K1503,'Supplier list'!B:C,2,0),"")</f>
        <v>บริษัท 9889 Thailnd</v>
      </c>
      <c r="M1503" s="1" t="s">
        <v>24</v>
      </c>
      <c r="O1503" s="2" t="n">
        <v>6.8</v>
      </c>
    </row>
    <row r="1504" customFormat="false" ht="16.4" hidden="false" customHeight="false" outlineLevel="0" collapsed="false">
      <c r="A1504" s="0" t="s">
        <v>15</v>
      </c>
      <c r="B1504" s="0" t="s">
        <v>4767</v>
      </c>
      <c r="C1504" s="0" t="n">
        <v>114001</v>
      </c>
      <c r="D1504" s="0" t="n">
        <v>114001</v>
      </c>
      <c r="E1504" s="0" t="s">
        <v>4174</v>
      </c>
      <c r="F1504" s="0" t="s">
        <v>18</v>
      </c>
      <c r="G1504" s="0" t="s">
        <v>4768</v>
      </c>
      <c r="H1504" s="0" t="s">
        <v>4769</v>
      </c>
      <c r="I1504" s="0" t="s">
        <v>396</v>
      </c>
      <c r="J1504" s="0" t="s">
        <v>397</v>
      </c>
      <c r="K1504" s="0" t="s">
        <v>4203</v>
      </c>
      <c r="L1504" s="0" t="str">
        <f aca="false">IFERROR(VLOOKUP(K1504,'Supplier list'!B:C,2,0),"")</f>
        <v>บริษัท 9889 Thailnd</v>
      </c>
      <c r="M1504" s="1" t="s">
        <v>24</v>
      </c>
      <c r="O1504" s="2" t="n">
        <v>6.8</v>
      </c>
    </row>
    <row r="1505" customFormat="false" ht="16.4" hidden="false" customHeight="false" outlineLevel="0" collapsed="false">
      <c r="A1505" s="0" t="s">
        <v>15</v>
      </c>
      <c r="B1505" s="0" t="s">
        <v>4770</v>
      </c>
      <c r="C1505" s="0" t="n">
        <v>114001</v>
      </c>
      <c r="D1505" s="0" t="n">
        <v>114001</v>
      </c>
      <c r="E1505" s="0" t="s">
        <v>4174</v>
      </c>
      <c r="F1505" s="0" t="s">
        <v>18</v>
      </c>
      <c r="G1505" s="0" t="s">
        <v>4771</v>
      </c>
      <c r="H1505" s="0" t="s">
        <v>4772</v>
      </c>
      <c r="I1505" s="0" t="s">
        <v>102</v>
      </c>
      <c r="J1505" s="0" t="s">
        <v>103</v>
      </c>
      <c r="K1505" s="0" t="s">
        <v>4773</v>
      </c>
      <c r="L1505" s="0" t="str">
        <f aca="false">IFERROR(VLOOKUP(K1505,'Supplier list'!B:C,2,0),"")</f>
        <v>บริษัท ศุฐิศา จำกัด</v>
      </c>
      <c r="M1505" s="1" t="s">
        <v>24</v>
      </c>
      <c r="O1505" s="2" t="n">
        <v>1820</v>
      </c>
    </row>
    <row r="1506" customFormat="false" ht="16.4" hidden="false" customHeight="false" outlineLevel="0" collapsed="false">
      <c r="A1506" s="0" t="s">
        <v>15</v>
      </c>
      <c r="B1506" s="0" t="s">
        <v>4774</v>
      </c>
      <c r="C1506" s="0" t="n">
        <v>114001</v>
      </c>
      <c r="D1506" s="0" t="n">
        <v>114001</v>
      </c>
      <c r="E1506" s="0" t="s">
        <v>4174</v>
      </c>
      <c r="F1506" s="0" t="s">
        <v>18</v>
      </c>
      <c r="G1506" s="0" t="s">
        <v>4775</v>
      </c>
      <c r="H1506" s="0" t="s">
        <v>4776</v>
      </c>
      <c r="I1506" s="0" t="s">
        <v>396</v>
      </c>
      <c r="J1506" s="0" t="s">
        <v>397</v>
      </c>
      <c r="K1506" s="0" t="s">
        <v>4203</v>
      </c>
      <c r="L1506" s="0" t="str">
        <f aca="false">IFERROR(VLOOKUP(K1506,'Supplier list'!B:C,2,0),"")</f>
        <v>บริษัท 9889 Thailnd</v>
      </c>
      <c r="M1506" s="1" t="s">
        <v>24</v>
      </c>
      <c r="O1506" s="2" t="n">
        <v>6.8</v>
      </c>
    </row>
    <row r="1507" customFormat="false" ht="16.4" hidden="false" customHeight="false" outlineLevel="0" collapsed="false">
      <c r="A1507" s="0" t="s">
        <v>15</v>
      </c>
      <c r="B1507" s="0" t="s">
        <v>4777</v>
      </c>
      <c r="C1507" s="0" t="n">
        <v>114001</v>
      </c>
      <c r="D1507" s="0" t="n">
        <v>114001</v>
      </c>
      <c r="E1507" s="0" t="s">
        <v>4174</v>
      </c>
      <c r="F1507" s="0" t="s">
        <v>18</v>
      </c>
      <c r="G1507" s="0" t="s">
        <v>4778</v>
      </c>
      <c r="H1507" s="0" t="s">
        <v>4779</v>
      </c>
      <c r="I1507" s="0" t="s">
        <v>102</v>
      </c>
      <c r="J1507" s="0" t="s">
        <v>103</v>
      </c>
      <c r="K1507" s="0" t="s">
        <v>303</v>
      </c>
      <c r="L1507" s="0" t="str">
        <f aca="false">IFERROR(VLOOKUP(K1507,'Supplier list'!B:C,2,0),"")</f>
        <v>บริษัท เอ็มเค วู้ดเทค จำกัด</v>
      </c>
      <c r="M1507" s="1" t="s">
        <v>24</v>
      </c>
      <c r="O1507" s="2" t="n">
        <v>10900</v>
      </c>
    </row>
    <row r="1508" customFormat="false" ht="16.4" hidden="false" customHeight="false" outlineLevel="0" collapsed="false">
      <c r="A1508" s="0" t="s">
        <v>15</v>
      </c>
      <c r="B1508" s="0" t="s">
        <v>4780</v>
      </c>
      <c r="C1508" s="0" t="n">
        <v>114001</v>
      </c>
      <c r="D1508" s="0" t="n">
        <v>114001</v>
      </c>
      <c r="E1508" s="0" t="s">
        <v>4174</v>
      </c>
      <c r="F1508" s="0" t="s">
        <v>18</v>
      </c>
      <c r="G1508" s="0" t="s">
        <v>4781</v>
      </c>
      <c r="H1508" s="0" t="s">
        <v>4782</v>
      </c>
      <c r="I1508" s="0" t="s">
        <v>102</v>
      </c>
      <c r="J1508" s="0" t="s">
        <v>103</v>
      </c>
      <c r="K1508" s="0" t="s">
        <v>303</v>
      </c>
      <c r="L1508" s="0" t="str">
        <f aca="false">IFERROR(VLOOKUP(K1508,'Supplier list'!B:C,2,0),"")</f>
        <v>บริษัท เอ็มเค วู้ดเทค จำกัด</v>
      </c>
      <c r="M1508" s="1" t="s">
        <v>24</v>
      </c>
      <c r="O1508" s="2" t="n">
        <v>5800</v>
      </c>
    </row>
    <row r="1509" customFormat="false" ht="16.4" hidden="false" customHeight="false" outlineLevel="0" collapsed="false">
      <c r="A1509" s="0" t="s">
        <v>15</v>
      </c>
      <c r="B1509" s="0" t="s">
        <v>4783</v>
      </c>
      <c r="C1509" s="0" t="n">
        <v>114001</v>
      </c>
      <c r="D1509" s="0" t="n">
        <v>114001</v>
      </c>
      <c r="E1509" s="0" t="s">
        <v>4174</v>
      </c>
      <c r="F1509" s="0" t="s">
        <v>18</v>
      </c>
      <c r="G1509" s="0" t="s">
        <v>4784</v>
      </c>
      <c r="H1509" s="0" t="s">
        <v>4785</v>
      </c>
      <c r="I1509" s="0" t="s">
        <v>102</v>
      </c>
      <c r="J1509" s="0" t="s">
        <v>103</v>
      </c>
      <c r="K1509" s="0" t="s">
        <v>303</v>
      </c>
      <c r="L1509" s="0" t="str">
        <f aca="false">IFERROR(VLOOKUP(K1509,'Supplier list'!B:C,2,0),"")</f>
        <v>บริษัท เอ็มเค วู้ดเทค จำกัด</v>
      </c>
      <c r="M1509" s="1" t="s">
        <v>24</v>
      </c>
      <c r="O1509" s="2" t="n">
        <v>2.75</v>
      </c>
    </row>
    <row r="1510" customFormat="false" ht="16.4" hidden="false" customHeight="false" outlineLevel="0" collapsed="false">
      <c r="A1510" s="0" t="s">
        <v>15</v>
      </c>
      <c r="B1510" s="0" t="s">
        <v>4786</v>
      </c>
      <c r="C1510" s="0" t="n">
        <v>114001</v>
      </c>
      <c r="D1510" s="0" t="n">
        <v>114001</v>
      </c>
      <c r="E1510" s="0" t="s">
        <v>4174</v>
      </c>
      <c r="F1510" s="0" t="s">
        <v>18</v>
      </c>
      <c r="G1510" s="0" t="s">
        <v>4787</v>
      </c>
      <c r="H1510" s="0" t="s">
        <v>4788</v>
      </c>
      <c r="I1510" s="0" t="s">
        <v>248</v>
      </c>
      <c r="J1510" s="0" t="s">
        <v>249</v>
      </c>
      <c r="K1510" s="0" t="s">
        <v>4446</v>
      </c>
      <c r="L1510" s="0" t="str">
        <f aca="false">IFERROR(VLOOKUP(K1510,'Supplier list'!B:C,2,0),"")</f>
        <v>บริษัท ทีเอเคโพรดัคส์ แอนด์ เซอร์วิสเซส จำกัด</v>
      </c>
      <c r="M1510" s="1" t="s">
        <v>24</v>
      </c>
      <c r="O1510" s="2" t="n">
        <v>1450</v>
      </c>
    </row>
    <row r="1511" customFormat="false" ht="16.4" hidden="false" customHeight="false" outlineLevel="0" collapsed="false">
      <c r="A1511" s="0" t="s">
        <v>15</v>
      </c>
      <c r="B1511" s="0" t="s">
        <v>4789</v>
      </c>
      <c r="C1511" s="0" t="n">
        <v>114001</v>
      </c>
      <c r="D1511" s="0" t="n">
        <v>114001</v>
      </c>
      <c r="E1511" s="0" t="s">
        <v>4174</v>
      </c>
      <c r="F1511" s="0" t="s">
        <v>18</v>
      </c>
      <c r="G1511" s="0" t="s">
        <v>4790</v>
      </c>
      <c r="H1511" s="0" t="s">
        <v>4791</v>
      </c>
      <c r="I1511" s="0" t="s">
        <v>248</v>
      </c>
      <c r="J1511" s="0" t="s">
        <v>249</v>
      </c>
      <c r="K1511" s="0" t="s">
        <v>4446</v>
      </c>
      <c r="L1511" s="0" t="str">
        <f aca="false">IFERROR(VLOOKUP(K1511,'Supplier list'!B:C,2,0),"")</f>
        <v>บริษัท ทีเอเคโพรดัคส์ แอนด์ เซอร์วิสเซส จำกัด</v>
      </c>
      <c r="M1511" s="1" t="s">
        <v>24</v>
      </c>
      <c r="O1511" s="2" t="n">
        <v>1450</v>
      </c>
    </row>
    <row r="1512" customFormat="false" ht="16.4" hidden="false" customHeight="false" outlineLevel="0" collapsed="false">
      <c r="A1512" s="0" t="s">
        <v>15</v>
      </c>
      <c r="B1512" s="0" t="s">
        <v>4792</v>
      </c>
      <c r="C1512" s="0" t="n">
        <v>114001</v>
      </c>
      <c r="D1512" s="0" t="n">
        <v>114001</v>
      </c>
      <c r="E1512" s="0" t="s">
        <v>4174</v>
      </c>
      <c r="F1512" s="0" t="s">
        <v>18</v>
      </c>
      <c r="G1512" s="0" t="s">
        <v>4793</v>
      </c>
      <c r="H1512" s="0" t="s">
        <v>4794</v>
      </c>
      <c r="I1512" s="0" t="s">
        <v>248</v>
      </c>
      <c r="J1512" s="0" t="s">
        <v>249</v>
      </c>
      <c r="K1512" s="0" t="s">
        <v>4446</v>
      </c>
      <c r="L1512" s="0" t="str">
        <f aca="false">IFERROR(VLOOKUP(K1512,'Supplier list'!B:C,2,0),"")</f>
        <v>บริษัท ทีเอเคโพรดัคส์ แอนด์ เซอร์วิสเซส จำกัด</v>
      </c>
      <c r="M1512" s="1" t="s">
        <v>24</v>
      </c>
      <c r="O1512" s="2" t="n">
        <v>1450</v>
      </c>
    </row>
    <row r="1513" customFormat="false" ht="16.4" hidden="false" customHeight="false" outlineLevel="0" collapsed="false">
      <c r="A1513" s="0" t="s">
        <v>15</v>
      </c>
      <c r="B1513" s="0" t="s">
        <v>4795</v>
      </c>
      <c r="C1513" s="0" t="n">
        <v>114001</v>
      </c>
      <c r="D1513" s="0" t="n">
        <v>114001</v>
      </c>
      <c r="E1513" s="0" t="s">
        <v>4174</v>
      </c>
      <c r="F1513" s="0" t="s">
        <v>18</v>
      </c>
      <c r="G1513" s="0" t="s">
        <v>4796</v>
      </c>
      <c r="H1513" s="0" t="s">
        <v>4797</v>
      </c>
      <c r="I1513" s="0" t="s">
        <v>396</v>
      </c>
      <c r="J1513" s="0" t="s">
        <v>397</v>
      </c>
      <c r="K1513" s="0" t="s">
        <v>4203</v>
      </c>
      <c r="L1513" s="0" t="str">
        <f aca="false">IFERROR(VLOOKUP(K1513,'Supplier list'!B:C,2,0),"")</f>
        <v>บริษัท 9889 Thailnd</v>
      </c>
      <c r="M1513" s="1" t="s">
        <v>24</v>
      </c>
      <c r="O1513" s="2" t="n">
        <v>6.8</v>
      </c>
    </row>
    <row r="1514" customFormat="false" ht="16.4" hidden="false" customHeight="false" outlineLevel="0" collapsed="false">
      <c r="A1514" s="0" t="s">
        <v>15</v>
      </c>
      <c r="B1514" s="0" t="s">
        <v>4798</v>
      </c>
      <c r="C1514" s="0" t="n">
        <v>114001</v>
      </c>
      <c r="D1514" s="0" t="n">
        <v>114001</v>
      </c>
      <c r="E1514" s="0" t="s">
        <v>4174</v>
      </c>
      <c r="F1514" s="0" t="s">
        <v>18</v>
      </c>
      <c r="G1514" s="0" t="s">
        <v>4799</v>
      </c>
      <c r="H1514" s="0" t="s">
        <v>4800</v>
      </c>
      <c r="I1514" s="0" t="s">
        <v>396</v>
      </c>
      <c r="J1514" s="0" t="s">
        <v>397</v>
      </c>
      <c r="K1514" s="0" t="s">
        <v>4203</v>
      </c>
      <c r="L1514" s="0" t="str">
        <f aca="false">IFERROR(VLOOKUP(K1514,'Supplier list'!B:C,2,0),"")</f>
        <v>บริษัท 9889 Thailnd</v>
      </c>
      <c r="M1514" s="1" t="s">
        <v>24</v>
      </c>
      <c r="O1514" s="2" t="n">
        <v>6.8</v>
      </c>
    </row>
    <row r="1515" customFormat="false" ht="16.4" hidden="false" customHeight="false" outlineLevel="0" collapsed="false">
      <c r="A1515" s="0" t="s">
        <v>15</v>
      </c>
      <c r="B1515" s="0" t="s">
        <v>4801</v>
      </c>
      <c r="C1515" s="0" t="n">
        <v>114001</v>
      </c>
      <c r="D1515" s="0" t="n">
        <v>114001</v>
      </c>
      <c r="E1515" s="0" t="s">
        <v>4174</v>
      </c>
      <c r="F1515" s="0" t="s">
        <v>18</v>
      </c>
      <c r="G1515" s="0" t="s">
        <v>4802</v>
      </c>
      <c r="H1515" s="0" t="s">
        <v>4803</v>
      </c>
      <c r="I1515" s="0" t="s">
        <v>396</v>
      </c>
      <c r="J1515" s="0" t="s">
        <v>397</v>
      </c>
      <c r="K1515" s="0" t="s">
        <v>4203</v>
      </c>
      <c r="L1515" s="0" t="str">
        <f aca="false">IFERROR(VLOOKUP(K1515,'Supplier list'!B:C,2,0),"")</f>
        <v>บริษัท 9889 Thailnd</v>
      </c>
      <c r="M1515" s="1" t="s">
        <v>24</v>
      </c>
      <c r="O1515" s="2" t="n">
        <v>6.8</v>
      </c>
    </row>
    <row r="1516" customFormat="false" ht="16.4" hidden="false" customHeight="false" outlineLevel="0" collapsed="false">
      <c r="A1516" s="0" t="s">
        <v>15</v>
      </c>
      <c r="B1516" s="0" t="s">
        <v>4804</v>
      </c>
      <c r="C1516" s="0" t="n">
        <v>114001</v>
      </c>
      <c r="D1516" s="0" t="n">
        <v>114001</v>
      </c>
      <c r="E1516" s="0" t="s">
        <v>4174</v>
      </c>
      <c r="F1516" s="0" t="s">
        <v>18</v>
      </c>
      <c r="G1516" s="0" t="s">
        <v>4805</v>
      </c>
      <c r="H1516" s="0" t="s">
        <v>4806</v>
      </c>
      <c r="I1516" s="0" t="s">
        <v>396</v>
      </c>
      <c r="J1516" s="0" t="s">
        <v>397</v>
      </c>
      <c r="K1516" s="0" t="s">
        <v>4203</v>
      </c>
      <c r="L1516" s="0" t="str">
        <f aca="false">IFERROR(VLOOKUP(K1516,'Supplier list'!B:C,2,0),"")</f>
        <v>บริษัท 9889 Thailnd</v>
      </c>
      <c r="M1516" s="1" t="s">
        <v>24</v>
      </c>
      <c r="O1516" s="2" t="n">
        <v>6.8</v>
      </c>
    </row>
    <row r="1517" customFormat="false" ht="16.4" hidden="false" customHeight="false" outlineLevel="0" collapsed="false">
      <c r="A1517" s="0" t="s">
        <v>15</v>
      </c>
      <c r="B1517" s="0" t="s">
        <v>4807</v>
      </c>
      <c r="C1517" s="0" t="n">
        <v>114001</v>
      </c>
      <c r="D1517" s="0" t="n">
        <v>114001</v>
      </c>
      <c r="E1517" s="0" t="s">
        <v>4174</v>
      </c>
      <c r="F1517" s="0" t="s">
        <v>18</v>
      </c>
      <c r="G1517" s="0" t="s">
        <v>4808</v>
      </c>
      <c r="H1517" s="0" t="s">
        <v>4809</v>
      </c>
      <c r="I1517" s="0" t="s">
        <v>396</v>
      </c>
      <c r="J1517" s="0" t="s">
        <v>397</v>
      </c>
      <c r="K1517" s="0" t="s">
        <v>4203</v>
      </c>
      <c r="L1517" s="0" t="str">
        <f aca="false">IFERROR(VLOOKUP(K1517,'Supplier list'!B:C,2,0),"")</f>
        <v>บริษัท 9889 Thailnd</v>
      </c>
      <c r="M1517" s="1" t="s">
        <v>24</v>
      </c>
      <c r="O1517" s="2" t="n">
        <v>6.8</v>
      </c>
    </row>
    <row r="1518" customFormat="false" ht="16.4" hidden="false" customHeight="false" outlineLevel="0" collapsed="false">
      <c r="A1518" s="0" t="s">
        <v>15</v>
      </c>
      <c r="B1518" s="0" t="s">
        <v>4810</v>
      </c>
      <c r="C1518" s="0" t="n">
        <v>114001</v>
      </c>
      <c r="D1518" s="0" t="n">
        <v>114001</v>
      </c>
      <c r="E1518" s="0" t="s">
        <v>4174</v>
      </c>
      <c r="F1518" s="0" t="s">
        <v>18</v>
      </c>
      <c r="G1518" s="0" t="s">
        <v>4811</v>
      </c>
      <c r="H1518" s="0" t="s">
        <v>4812</v>
      </c>
      <c r="I1518" s="0" t="s">
        <v>102</v>
      </c>
      <c r="J1518" s="0" t="s">
        <v>103</v>
      </c>
      <c r="K1518" s="0" t="s">
        <v>303</v>
      </c>
      <c r="L1518" s="0" t="str">
        <f aca="false">IFERROR(VLOOKUP(K1518,'Supplier list'!B:C,2,0),"")</f>
        <v>บริษัท เอ็มเค วู้ดเทค จำกัด</v>
      </c>
      <c r="M1518" s="1" t="s">
        <v>24</v>
      </c>
      <c r="O1518" s="2" t="n">
        <v>6.5</v>
      </c>
    </row>
    <row r="1519" customFormat="false" ht="16.4" hidden="false" customHeight="false" outlineLevel="0" collapsed="false">
      <c r="A1519" s="0" t="s">
        <v>15</v>
      </c>
      <c r="B1519" s="0" t="s">
        <v>4813</v>
      </c>
      <c r="C1519" s="0" t="n">
        <v>114001</v>
      </c>
      <c r="D1519" s="0" t="n">
        <v>114001</v>
      </c>
      <c r="E1519" s="0" t="s">
        <v>4174</v>
      </c>
      <c r="F1519" s="0" t="s">
        <v>18</v>
      </c>
      <c r="G1519" s="0" t="s">
        <v>4814</v>
      </c>
      <c r="H1519" s="0" t="s">
        <v>4815</v>
      </c>
      <c r="I1519" s="0" t="s">
        <v>102</v>
      </c>
      <c r="J1519" s="0" t="s">
        <v>103</v>
      </c>
      <c r="K1519" s="0" t="s">
        <v>4193</v>
      </c>
      <c r="L1519" s="0" t="str">
        <f aca="false">IFERROR(VLOOKUP(K1519,'Supplier list'!B:C,2,0),"")</f>
        <v>บริษัท ไท่ ชาง อินเตอร์เนชั่นแนล คอมเมอร์เชียล เทรด จำกัด</v>
      </c>
      <c r="M1519" s="1" t="s">
        <v>24</v>
      </c>
      <c r="O1519" s="2" t="n">
        <v>6.5</v>
      </c>
    </row>
    <row r="1520" customFormat="false" ht="16.4" hidden="false" customHeight="false" outlineLevel="0" collapsed="false">
      <c r="A1520" s="0" t="s">
        <v>15</v>
      </c>
      <c r="B1520" s="0" t="s">
        <v>4816</v>
      </c>
      <c r="C1520" s="0" t="n">
        <v>114001</v>
      </c>
      <c r="D1520" s="0" t="n">
        <v>114001</v>
      </c>
      <c r="E1520" s="0" t="s">
        <v>4174</v>
      </c>
      <c r="F1520" s="0" t="s">
        <v>18</v>
      </c>
      <c r="G1520" s="0" t="s">
        <v>4817</v>
      </c>
      <c r="H1520" s="0" t="s">
        <v>4818</v>
      </c>
      <c r="I1520" s="0" t="s">
        <v>396</v>
      </c>
      <c r="J1520" s="0" t="s">
        <v>397</v>
      </c>
      <c r="K1520" s="0" t="s">
        <v>4203</v>
      </c>
      <c r="L1520" s="0" t="str">
        <f aca="false">IFERROR(VLOOKUP(K1520,'Supplier list'!B:C,2,0),"")</f>
        <v>บริษัท 9889 Thailnd</v>
      </c>
      <c r="M1520" s="1" t="s">
        <v>24</v>
      </c>
      <c r="O1520" s="2" t="n">
        <v>6.8</v>
      </c>
    </row>
    <row r="1521" customFormat="false" ht="16.4" hidden="false" customHeight="false" outlineLevel="0" collapsed="false">
      <c r="A1521" s="0" t="s">
        <v>15</v>
      </c>
      <c r="B1521" s="0" t="s">
        <v>4819</v>
      </c>
      <c r="C1521" s="0" t="n">
        <v>114001</v>
      </c>
      <c r="D1521" s="0" t="n">
        <v>114001</v>
      </c>
      <c r="E1521" s="0" t="s">
        <v>4174</v>
      </c>
      <c r="F1521" s="0" t="s">
        <v>18</v>
      </c>
      <c r="G1521" s="0" t="s">
        <v>4820</v>
      </c>
      <c r="H1521" s="0" t="s">
        <v>4821</v>
      </c>
      <c r="I1521" s="0" t="s">
        <v>396</v>
      </c>
      <c r="J1521" s="0" t="s">
        <v>397</v>
      </c>
      <c r="K1521" s="0" t="s">
        <v>4203</v>
      </c>
      <c r="L1521" s="0" t="str">
        <f aca="false">IFERROR(VLOOKUP(K1521,'Supplier list'!B:C,2,0),"")</f>
        <v>บริษัท 9889 Thailnd</v>
      </c>
      <c r="M1521" s="1" t="s">
        <v>24</v>
      </c>
      <c r="O1521" s="2" t="n">
        <v>6.8</v>
      </c>
    </row>
    <row r="1522" customFormat="false" ht="16.4" hidden="false" customHeight="false" outlineLevel="0" collapsed="false">
      <c r="A1522" s="0" t="s">
        <v>15</v>
      </c>
      <c r="B1522" s="0" t="s">
        <v>4822</v>
      </c>
      <c r="C1522" s="0" t="n">
        <v>114001</v>
      </c>
      <c r="D1522" s="0" t="n">
        <v>114001</v>
      </c>
      <c r="E1522" s="0" t="s">
        <v>1417</v>
      </c>
      <c r="F1522" s="0" t="s">
        <v>18</v>
      </c>
      <c r="G1522" s="0" t="s">
        <v>4823</v>
      </c>
      <c r="H1522" s="0" t="s">
        <v>4823</v>
      </c>
      <c r="I1522" s="0" t="s">
        <v>947</v>
      </c>
      <c r="J1522" s="0" t="s">
        <v>948</v>
      </c>
      <c r="K1522" s="0" t="s">
        <v>4824</v>
      </c>
      <c r="L1522" s="0" t="str">
        <f aca="false">IFERROR(VLOOKUP(K1522,'Supplier list'!B:C,2,0),"")</f>
        <v>บริษัท ทีโอเอ-ยูเนี่ยน เพ้นท์ (ประเทศไทย) จำกัด</v>
      </c>
      <c r="M1522" s="1" t="s">
        <v>24</v>
      </c>
      <c r="O1522" s="2" t="n">
        <v>665</v>
      </c>
    </row>
    <row r="1523" customFormat="false" ht="16.4" hidden="false" customHeight="false" outlineLevel="0" collapsed="false">
      <c r="A1523" s="0" t="s">
        <v>15</v>
      </c>
      <c r="B1523" s="0" t="s">
        <v>4825</v>
      </c>
      <c r="C1523" s="0" t="n">
        <v>114001</v>
      </c>
      <c r="D1523" s="0" t="n">
        <v>114001</v>
      </c>
      <c r="E1523" s="0" t="s">
        <v>1417</v>
      </c>
      <c r="F1523" s="0" t="s">
        <v>18</v>
      </c>
      <c r="G1523" s="0" t="s">
        <v>4826</v>
      </c>
      <c r="H1523" s="0" t="s">
        <v>4826</v>
      </c>
      <c r="I1523" s="0" t="s">
        <v>947</v>
      </c>
      <c r="J1523" s="0" t="s">
        <v>948</v>
      </c>
      <c r="K1523" s="0" t="s">
        <v>4824</v>
      </c>
      <c r="L1523" s="0" t="str">
        <f aca="false">IFERROR(VLOOKUP(K1523,'Supplier list'!B:C,2,0),"")</f>
        <v>บริษัท ทีโอเอ-ยูเนี่ยน เพ้นท์ (ประเทศไทย) จำกัด</v>
      </c>
      <c r="M1523" s="1" t="s">
        <v>24</v>
      </c>
      <c r="O1523" s="2" t="n">
        <v>1730</v>
      </c>
    </row>
    <row r="1524" customFormat="false" ht="16.4" hidden="false" customHeight="false" outlineLevel="0" collapsed="false">
      <c r="A1524" s="0" t="s">
        <v>15</v>
      </c>
      <c r="B1524" s="0" t="s">
        <v>4827</v>
      </c>
      <c r="C1524" s="0" t="n">
        <v>114001</v>
      </c>
      <c r="D1524" s="0" t="n">
        <v>114001</v>
      </c>
      <c r="E1524" s="0" t="s">
        <v>1417</v>
      </c>
      <c r="F1524" s="0" t="s">
        <v>18</v>
      </c>
      <c r="G1524" s="0" t="s">
        <v>4828</v>
      </c>
      <c r="H1524" s="0" t="s">
        <v>4828</v>
      </c>
      <c r="I1524" s="0" t="s">
        <v>947</v>
      </c>
      <c r="J1524" s="0" t="s">
        <v>948</v>
      </c>
      <c r="K1524" s="0" t="s">
        <v>4824</v>
      </c>
      <c r="L1524" s="0" t="str">
        <f aca="false">IFERROR(VLOOKUP(K1524,'Supplier list'!B:C,2,0),"")</f>
        <v>บริษัท ทีโอเอ-ยูเนี่ยน เพ้นท์ (ประเทศไทย) จำกัด</v>
      </c>
      <c r="M1524" s="1" t="s">
        <v>24</v>
      </c>
      <c r="O1524" s="2" t="n">
        <v>2195</v>
      </c>
    </row>
    <row r="1525" customFormat="false" ht="16.4" hidden="false" customHeight="false" outlineLevel="0" collapsed="false">
      <c r="A1525" s="0" t="s">
        <v>15</v>
      </c>
      <c r="B1525" s="0" t="s">
        <v>4829</v>
      </c>
      <c r="C1525" s="0" t="n">
        <v>114001</v>
      </c>
      <c r="D1525" s="0" t="n">
        <v>114001</v>
      </c>
      <c r="E1525" s="0" t="s">
        <v>1417</v>
      </c>
      <c r="F1525" s="0" t="s">
        <v>18</v>
      </c>
      <c r="G1525" s="0" t="s">
        <v>4830</v>
      </c>
      <c r="H1525" s="0" t="s">
        <v>4830</v>
      </c>
      <c r="I1525" s="0" t="s">
        <v>947</v>
      </c>
      <c r="J1525" s="0" t="s">
        <v>948</v>
      </c>
      <c r="K1525" s="0" t="s">
        <v>4824</v>
      </c>
      <c r="L1525" s="0" t="str">
        <f aca="false">IFERROR(VLOOKUP(K1525,'Supplier list'!B:C,2,0),"")</f>
        <v>บริษัท ทีโอเอ-ยูเนี่ยน เพ้นท์ (ประเทศไทย) จำกัด</v>
      </c>
      <c r="M1525" s="1" t="s">
        <v>24</v>
      </c>
      <c r="O1525" s="2" t="n">
        <v>1210</v>
      </c>
    </row>
    <row r="1526" customFormat="false" ht="16.4" hidden="false" customHeight="false" outlineLevel="0" collapsed="false">
      <c r="A1526" s="0" t="s">
        <v>15</v>
      </c>
      <c r="B1526" s="0" t="s">
        <v>4831</v>
      </c>
      <c r="C1526" s="0" t="n">
        <v>114001</v>
      </c>
      <c r="D1526" s="0" t="n">
        <v>114001</v>
      </c>
      <c r="E1526" s="0" t="s">
        <v>1417</v>
      </c>
      <c r="F1526" s="0" t="s">
        <v>18</v>
      </c>
      <c r="G1526" s="0" t="s">
        <v>4832</v>
      </c>
      <c r="H1526" s="0" t="s">
        <v>4832</v>
      </c>
      <c r="I1526" s="0" t="s">
        <v>947</v>
      </c>
      <c r="J1526" s="0" t="s">
        <v>948</v>
      </c>
      <c r="K1526" s="0" t="s">
        <v>4824</v>
      </c>
      <c r="L1526" s="0" t="str">
        <f aca="false">IFERROR(VLOOKUP(K1526,'Supplier list'!B:C,2,0),"")</f>
        <v>บริษัท ทีโอเอ-ยูเนี่ยน เพ้นท์ (ประเทศไทย) จำกัด</v>
      </c>
      <c r="M1526" s="1" t="s">
        <v>24</v>
      </c>
      <c r="O1526" s="2" t="n">
        <v>1760</v>
      </c>
    </row>
    <row r="1527" customFormat="false" ht="16.4" hidden="false" customHeight="false" outlineLevel="0" collapsed="false">
      <c r="A1527" s="0" t="s">
        <v>15</v>
      </c>
      <c r="B1527" s="0" t="s">
        <v>4833</v>
      </c>
      <c r="C1527" s="0" t="n">
        <v>114001</v>
      </c>
      <c r="D1527" s="0" t="n">
        <v>114001</v>
      </c>
      <c r="E1527" s="0" t="s">
        <v>957</v>
      </c>
      <c r="F1527" s="0" t="s">
        <v>18</v>
      </c>
      <c r="G1527" s="0" t="s">
        <v>4834</v>
      </c>
      <c r="H1527" s="0" t="s">
        <v>4835</v>
      </c>
      <c r="I1527" s="0" t="s">
        <v>149</v>
      </c>
      <c r="J1527" s="0" t="s">
        <v>150</v>
      </c>
      <c r="K1527" s="0" t="s">
        <v>4824</v>
      </c>
      <c r="L1527" s="0" t="str">
        <f aca="false">IFERROR(VLOOKUP(K1527,'Supplier list'!B:C,2,0),"")</f>
        <v>บริษัท ทีโอเอ-ยูเนี่ยน เพ้นท์ (ประเทศไทย) จำกัด</v>
      </c>
      <c r="M1527" s="1" t="s">
        <v>24</v>
      </c>
      <c r="O1527" s="2" t="n">
        <v>832</v>
      </c>
    </row>
    <row r="1528" customFormat="false" ht="16.4" hidden="false" customHeight="false" outlineLevel="0" collapsed="false">
      <c r="A1528" s="0" t="s">
        <v>15</v>
      </c>
      <c r="B1528" s="0" t="s">
        <v>4836</v>
      </c>
      <c r="C1528" s="0" t="n">
        <v>114001</v>
      </c>
      <c r="D1528" s="0" t="n">
        <v>114001</v>
      </c>
      <c r="E1528" s="0" t="s">
        <v>1417</v>
      </c>
      <c r="F1528" s="0" t="s">
        <v>18</v>
      </c>
      <c r="G1528" s="0" t="s">
        <v>4837</v>
      </c>
      <c r="H1528" s="0" t="s">
        <v>4837</v>
      </c>
      <c r="I1528" s="0" t="s">
        <v>947</v>
      </c>
      <c r="J1528" s="0" t="s">
        <v>948</v>
      </c>
      <c r="K1528" s="0" t="s">
        <v>4824</v>
      </c>
      <c r="L1528" s="0" t="str">
        <f aca="false">IFERROR(VLOOKUP(K1528,'Supplier list'!B:C,2,0),"")</f>
        <v>บริษัท ทีโอเอ-ยูเนี่ยน เพ้นท์ (ประเทศไทย) จำกัด</v>
      </c>
      <c r="M1528" s="1" t="s">
        <v>24</v>
      </c>
      <c r="O1528" s="2" t="n">
        <v>2930</v>
      </c>
    </row>
    <row r="1529" customFormat="false" ht="16.4" hidden="false" customHeight="false" outlineLevel="0" collapsed="false">
      <c r="A1529" s="0" t="s">
        <v>15</v>
      </c>
      <c r="B1529" s="0" t="s">
        <v>4838</v>
      </c>
      <c r="C1529" s="0" t="n">
        <v>114001</v>
      </c>
      <c r="D1529" s="0" t="n">
        <v>114001</v>
      </c>
      <c r="E1529" s="0" t="s">
        <v>1417</v>
      </c>
      <c r="F1529" s="0" t="s">
        <v>18</v>
      </c>
      <c r="G1529" s="0" t="s">
        <v>4839</v>
      </c>
      <c r="H1529" s="0" t="s">
        <v>4839</v>
      </c>
      <c r="I1529" s="0" t="s">
        <v>947</v>
      </c>
      <c r="J1529" s="0" t="s">
        <v>948</v>
      </c>
      <c r="K1529" s="0" t="s">
        <v>4824</v>
      </c>
      <c r="L1529" s="0" t="str">
        <f aca="false">IFERROR(VLOOKUP(K1529,'Supplier list'!B:C,2,0),"")</f>
        <v>บริษัท ทีโอเอ-ยูเนี่ยน เพ้นท์ (ประเทศไทย) จำกัด</v>
      </c>
      <c r="M1529" s="1" t="s">
        <v>24</v>
      </c>
      <c r="O1529" s="2" t="n">
        <v>2825</v>
      </c>
    </row>
    <row r="1530" customFormat="false" ht="16.4" hidden="false" customHeight="false" outlineLevel="0" collapsed="false">
      <c r="A1530" s="0" t="s">
        <v>15</v>
      </c>
      <c r="B1530" s="0" t="s">
        <v>4840</v>
      </c>
      <c r="C1530" s="0" t="n">
        <v>114001</v>
      </c>
      <c r="D1530" s="0" t="n">
        <v>114001</v>
      </c>
      <c r="E1530" s="0" t="s">
        <v>1417</v>
      </c>
      <c r="F1530" s="0" t="s">
        <v>18</v>
      </c>
      <c r="G1530" s="0" t="s">
        <v>4841</v>
      </c>
      <c r="H1530" s="0" t="s">
        <v>4841</v>
      </c>
      <c r="I1530" s="0" t="s">
        <v>947</v>
      </c>
      <c r="J1530" s="0" t="s">
        <v>948</v>
      </c>
      <c r="K1530" s="0" t="s">
        <v>4824</v>
      </c>
      <c r="L1530" s="0" t="str">
        <f aca="false">IFERROR(VLOOKUP(K1530,'Supplier list'!B:C,2,0),"")</f>
        <v>บริษัท ทีโอเอ-ยูเนี่ยน เพ้นท์ (ประเทศไทย) จำกัด</v>
      </c>
      <c r="M1530" s="1" t="s">
        <v>24</v>
      </c>
      <c r="O1530" s="2" t="n">
        <v>1050</v>
      </c>
    </row>
    <row r="1531" customFormat="false" ht="16.4" hidden="false" customHeight="false" outlineLevel="0" collapsed="false">
      <c r="A1531" s="0" t="s">
        <v>15</v>
      </c>
      <c r="B1531" s="0" t="s">
        <v>4842</v>
      </c>
      <c r="C1531" s="0" t="n">
        <v>114001</v>
      </c>
      <c r="D1531" s="0" t="n">
        <v>114001</v>
      </c>
      <c r="E1531" s="0" t="s">
        <v>1417</v>
      </c>
      <c r="F1531" s="0" t="s">
        <v>18</v>
      </c>
      <c r="G1531" s="0" t="s">
        <v>4843</v>
      </c>
      <c r="H1531" s="0" t="s">
        <v>4844</v>
      </c>
      <c r="I1531" s="0" t="s">
        <v>947</v>
      </c>
      <c r="J1531" s="0" t="s">
        <v>948</v>
      </c>
      <c r="K1531" s="0" t="s">
        <v>4824</v>
      </c>
      <c r="L1531" s="0" t="str">
        <f aca="false">IFERROR(VLOOKUP(K1531,'Supplier list'!B:C,2,0),"")</f>
        <v>บริษัท ทีโอเอ-ยูเนี่ยน เพ้นท์ (ประเทศไทย) จำกัด</v>
      </c>
      <c r="M1531" s="1" t="s">
        <v>24</v>
      </c>
      <c r="O1531" s="2" t="n">
        <v>2070</v>
      </c>
    </row>
    <row r="1532" customFormat="false" ht="16.4" hidden="false" customHeight="false" outlineLevel="0" collapsed="false">
      <c r="A1532" s="0" t="s">
        <v>15</v>
      </c>
      <c r="B1532" s="0" t="s">
        <v>4845</v>
      </c>
      <c r="C1532" s="0" t="n">
        <v>114001</v>
      </c>
      <c r="D1532" s="0" t="n">
        <v>114001</v>
      </c>
      <c r="E1532" s="0" t="s">
        <v>1417</v>
      </c>
      <c r="F1532" s="0" t="s">
        <v>18</v>
      </c>
      <c r="G1532" s="0" t="s">
        <v>4846</v>
      </c>
      <c r="H1532" s="0" t="s">
        <v>4847</v>
      </c>
      <c r="I1532" s="0" t="s">
        <v>947</v>
      </c>
      <c r="J1532" s="0" t="s">
        <v>948</v>
      </c>
      <c r="K1532" s="0" t="s">
        <v>4824</v>
      </c>
      <c r="L1532" s="0" t="str">
        <f aca="false">IFERROR(VLOOKUP(K1532,'Supplier list'!B:C,2,0),"")</f>
        <v>บริษัท ทีโอเอ-ยูเนี่ยน เพ้นท์ (ประเทศไทย) จำกัด</v>
      </c>
      <c r="M1532" s="1" t="s">
        <v>24</v>
      </c>
      <c r="O1532" s="2" t="n">
        <v>0</v>
      </c>
    </row>
    <row r="1533" customFormat="false" ht="16.4" hidden="false" customHeight="false" outlineLevel="0" collapsed="false">
      <c r="A1533" s="0" t="s">
        <v>15</v>
      </c>
      <c r="B1533" s="0" t="s">
        <v>4848</v>
      </c>
      <c r="C1533" s="0" t="n">
        <v>114001</v>
      </c>
      <c r="D1533" s="0" t="n">
        <v>114001</v>
      </c>
      <c r="E1533" s="0" t="s">
        <v>1417</v>
      </c>
      <c r="F1533" s="0" t="s">
        <v>18</v>
      </c>
      <c r="G1533" s="0" t="s">
        <v>4849</v>
      </c>
      <c r="H1533" s="0" t="s">
        <v>4850</v>
      </c>
      <c r="I1533" s="0" t="s">
        <v>947</v>
      </c>
      <c r="J1533" s="0" t="s">
        <v>948</v>
      </c>
      <c r="K1533" s="0" t="s">
        <v>4824</v>
      </c>
      <c r="L1533" s="0" t="str">
        <f aca="false">IFERROR(VLOOKUP(K1533,'Supplier list'!B:C,2,0),"")</f>
        <v>บริษัท ทีโอเอ-ยูเนี่ยน เพ้นท์ (ประเทศไทย) จำกัด</v>
      </c>
      <c r="M1533" s="1" t="s">
        <v>24</v>
      </c>
      <c r="O1533" s="2" t="n">
        <v>790</v>
      </c>
    </row>
    <row r="1534" customFormat="false" ht="16.4" hidden="false" customHeight="false" outlineLevel="0" collapsed="false">
      <c r="A1534" s="0" t="s">
        <v>15</v>
      </c>
      <c r="B1534" s="0" t="s">
        <v>4851</v>
      </c>
      <c r="C1534" s="0" t="n">
        <v>114001</v>
      </c>
      <c r="D1534" s="0" t="n">
        <v>114001</v>
      </c>
      <c r="E1534" s="0" t="s">
        <v>1417</v>
      </c>
      <c r="F1534" s="0" t="s">
        <v>18</v>
      </c>
      <c r="G1534" s="0" t="s">
        <v>4852</v>
      </c>
      <c r="H1534" s="0" t="s">
        <v>4852</v>
      </c>
      <c r="I1534" s="0" t="s">
        <v>947</v>
      </c>
      <c r="J1534" s="0" t="s">
        <v>948</v>
      </c>
      <c r="K1534" s="0" t="s">
        <v>4824</v>
      </c>
      <c r="L1534" s="0" t="str">
        <f aca="false">IFERROR(VLOOKUP(K1534,'Supplier list'!B:C,2,0),"")</f>
        <v>บริษัท ทีโอเอ-ยูเนี่ยน เพ้นท์ (ประเทศไทย) จำกัด</v>
      </c>
      <c r="M1534" s="1" t="s">
        <v>24</v>
      </c>
      <c r="O1534" s="2" t="n">
        <v>2625</v>
      </c>
    </row>
    <row r="1535" customFormat="false" ht="16.4" hidden="false" customHeight="false" outlineLevel="0" collapsed="false">
      <c r="A1535" s="0" t="s">
        <v>15</v>
      </c>
      <c r="B1535" s="0" t="s">
        <v>4853</v>
      </c>
      <c r="C1535" s="0" t="n">
        <v>114001</v>
      </c>
      <c r="D1535" s="0" t="n">
        <v>114001</v>
      </c>
      <c r="E1535" s="0" t="s">
        <v>1417</v>
      </c>
      <c r="F1535" s="0" t="s">
        <v>18</v>
      </c>
      <c r="G1535" s="0" t="s">
        <v>4854</v>
      </c>
      <c r="H1535" s="0" t="s">
        <v>4854</v>
      </c>
      <c r="I1535" s="0" t="s">
        <v>947</v>
      </c>
      <c r="J1535" s="0" t="s">
        <v>948</v>
      </c>
      <c r="K1535" s="0" t="s">
        <v>4824</v>
      </c>
      <c r="L1535" s="0" t="str">
        <f aca="false">IFERROR(VLOOKUP(K1535,'Supplier list'!B:C,2,0),"")</f>
        <v>บริษัท ทีโอเอ-ยูเนี่ยน เพ้นท์ (ประเทศไทย) จำกัด</v>
      </c>
      <c r="M1535" s="1" t="s">
        <v>24</v>
      </c>
      <c r="O1535" s="2" t="n">
        <v>2835</v>
      </c>
    </row>
    <row r="1536" customFormat="false" ht="16.4" hidden="false" customHeight="false" outlineLevel="0" collapsed="false">
      <c r="A1536" s="0" t="s">
        <v>15</v>
      </c>
      <c r="B1536" s="0" t="s">
        <v>4855</v>
      </c>
      <c r="C1536" s="0" t="n">
        <v>114001</v>
      </c>
      <c r="D1536" s="0" t="n">
        <v>114001</v>
      </c>
      <c r="E1536" s="0" t="s">
        <v>1417</v>
      </c>
      <c r="F1536" s="0" t="s">
        <v>18</v>
      </c>
      <c r="G1536" s="0" t="s">
        <v>4856</v>
      </c>
      <c r="H1536" s="0" t="s">
        <v>4856</v>
      </c>
      <c r="I1536" s="0" t="s">
        <v>947</v>
      </c>
      <c r="J1536" s="0" t="s">
        <v>948</v>
      </c>
      <c r="K1536" s="0" t="s">
        <v>4824</v>
      </c>
      <c r="L1536" s="0" t="str">
        <f aca="false">IFERROR(VLOOKUP(K1536,'Supplier list'!B:C,2,0),"")</f>
        <v>บริษัท ทีโอเอ-ยูเนี่ยน เพ้นท์ (ประเทศไทย) จำกัด</v>
      </c>
      <c r="M1536" s="1" t="s">
        <v>24</v>
      </c>
      <c r="O1536" s="2" t="n">
        <v>2890</v>
      </c>
    </row>
    <row r="1537" customFormat="false" ht="16.4" hidden="false" customHeight="false" outlineLevel="0" collapsed="false">
      <c r="A1537" s="0" t="s">
        <v>15</v>
      </c>
      <c r="B1537" s="0" t="s">
        <v>4857</v>
      </c>
      <c r="C1537" s="0" t="n">
        <v>114001</v>
      </c>
      <c r="D1537" s="0" t="n">
        <v>114001</v>
      </c>
      <c r="E1537" s="0" t="s">
        <v>1417</v>
      </c>
      <c r="F1537" s="0" t="s">
        <v>18</v>
      </c>
      <c r="G1537" s="0" t="s">
        <v>4858</v>
      </c>
      <c r="H1537" s="0" t="s">
        <v>4858</v>
      </c>
      <c r="I1537" s="0" t="s">
        <v>947</v>
      </c>
      <c r="J1537" s="0" t="s">
        <v>948</v>
      </c>
      <c r="K1537" s="0" t="s">
        <v>4824</v>
      </c>
      <c r="L1537" s="0" t="str">
        <f aca="false">IFERROR(VLOOKUP(K1537,'Supplier list'!B:C,2,0),"")</f>
        <v>บริษัท ทีโอเอ-ยูเนี่ยน เพ้นท์ (ประเทศไทย) จำกัด</v>
      </c>
      <c r="M1537" s="1" t="s">
        <v>24</v>
      </c>
      <c r="O1537" s="2" t="n">
        <v>2490</v>
      </c>
    </row>
    <row r="1538" customFormat="false" ht="16.4" hidden="false" customHeight="false" outlineLevel="0" collapsed="false">
      <c r="A1538" s="0" t="s">
        <v>15</v>
      </c>
      <c r="B1538" s="0" t="s">
        <v>4859</v>
      </c>
      <c r="C1538" s="0" t="n">
        <v>114001</v>
      </c>
      <c r="D1538" s="0" t="n">
        <v>114001</v>
      </c>
      <c r="E1538" s="0" t="s">
        <v>1417</v>
      </c>
      <c r="F1538" s="0" t="s">
        <v>18</v>
      </c>
      <c r="G1538" s="0" t="s">
        <v>4860</v>
      </c>
      <c r="H1538" s="0" t="s">
        <v>4860</v>
      </c>
      <c r="I1538" s="0" t="s">
        <v>947</v>
      </c>
      <c r="J1538" s="0" t="s">
        <v>948</v>
      </c>
      <c r="K1538" s="0" t="s">
        <v>4824</v>
      </c>
      <c r="L1538" s="0" t="str">
        <f aca="false">IFERROR(VLOOKUP(K1538,'Supplier list'!B:C,2,0),"")</f>
        <v>บริษัท ทีโอเอ-ยูเนี่ยน เพ้นท์ (ประเทศไทย) จำกัด</v>
      </c>
      <c r="M1538" s="1" t="s">
        <v>24</v>
      </c>
      <c r="O1538" s="2" t="n">
        <v>2835</v>
      </c>
    </row>
    <row r="1539" customFormat="false" ht="16.4" hidden="false" customHeight="false" outlineLevel="0" collapsed="false">
      <c r="A1539" s="0" t="s">
        <v>15</v>
      </c>
      <c r="B1539" s="0" t="s">
        <v>4861</v>
      </c>
      <c r="C1539" s="0" t="n">
        <v>114001</v>
      </c>
      <c r="D1539" s="0" t="n">
        <v>114001</v>
      </c>
      <c r="E1539" s="0" t="s">
        <v>1417</v>
      </c>
      <c r="F1539" s="0" t="s">
        <v>18</v>
      </c>
      <c r="G1539" s="0" t="s">
        <v>4862</v>
      </c>
      <c r="H1539" s="0" t="s">
        <v>4862</v>
      </c>
      <c r="I1539" s="0" t="s">
        <v>947</v>
      </c>
      <c r="J1539" s="0" t="s">
        <v>948</v>
      </c>
      <c r="K1539" s="0" t="s">
        <v>4824</v>
      </c>
      <c r="L1539" s="0" t="str">
        <f aca="false">IFERROR(VLOOKUP(K1539,'Supplier list'!B:C,2,0),"")</f>
        <v>บริษัท ทีโอเอ-ยูเนี่ยน เพ้นท์ (ประเทศไทย) จำกัด</v>
      </c>
      <c r="M1539" s="1" t="s">
        <v>24</v>
      </c>
      <c r="O1539" s="2" t="n">
        <v>2835</v>
      </c>
    </row>
    <row r="1540" customFormat="false" ht="16.4" hidden="false" customHeight="false" outlineLevel="0" collapsed="false">
      <c r="A1540" s="0" t="s">
        <v>15</v>
      </c>
      <c r="B1540" s="0" t="s">
        <v>4863</v>
      </c>
      <c r="C1540" s="0" t="n">
        <v>114001</v>
      </c>
      <c r="D1540" s="0" t="n">
        <v>114001</v>
      </c>
      <c r="E1540" s="0" t="s">
        <v>1417</v>
      </c>
      <c r="F1540" s="0" t="s">
        <v>18</v>
      </c>
      <c r="G1540" s="0" t="s">
        <v>4864</v>
      </c>
      <c r="H1540" s="0" t="s">
        <v>4864</v>
      </c>
      <c r="I1540" s="0" t="s">
        <v>947</v>
      </c>
      <c r="J1540" s="0" t="s">
        <v>948</v>
      </c>
      <c r="K1540" s="0" t="s">
        <v>4824</v>
      </c>
      <c r="L1540" s="0" t="str">
        <f aca="false">IFERROR(VLOOKUP(K1540,'Supplier list'!B:C,2,0),"")</f>
        <v>บริษัท ทีโอเอ-ยูเนี่ยน เพ้นท์ (ประเทศไทย) จำกัด</v>
      </c>
      <c r="M1540" s="1" t="s">
        <v>24</v>
      </c>
      <c r="O1540" s="2" t="n">
        <v>2853</v>
      </c>
    </row>
    <row r="1541" customFormat="false" ht="16.4" hidden="false" customHeight="false" outlineLevel="0" collapsed="false">
      <c r="A1541" s="0" t="s">
        <v>15</v>
      </c>
      <c r="B1541" s="0" t="s">
        <v>4865</v>
      </c>
      <c r="C1541" s="0" t="n">
        <v>114001</v>
      </c>
      <c r="D1541" s="0" t="n">
        <v>114001</v>
      </c>
      <c r="E1541" s="0" t="s">
        <v>1417</v>
      </c>
      <c r="F1541" s="0" t="s">
        <v>18</v>
      </c>
      <c r="G1541" s="0" t="s">
        <v>4866</v>
      </c>
      <c r="H1541" s="0" t="s">
        <v>4866</v>
      </c>
      <c r="I1541" s="0" t="s">
        <v>947</v>
      </c>
      <c r="J1541" s="0" t="s">
        <v>948</v>
      </c>
      <c r="K1541" s="0" t="s">
        <v>4824</v>
      </c>
      <c r="L1541" s="0" t="str">
        <f aca="false">IFERROR(VLOOKUP(K1541,'Supplier list'!B:C,2,0),"")</f>
        <v>บริษัท ทีโอเอ-ยูเนี่ยน เพ้นท์ (ประเทศไทย) จำกัด</v>
      </c>
      <c r="M1541" s="1" t="s">
        <v>24</v>
      </c>
      <c r="O1541" s="2" t="n">
        <v>2900</v>
      </c>
    </row>
    <row r="1542" customFormat="false" ht="16.4" hidden="false" customHeight="false" outlineLevel="0" collapsed="false">
      <c r="A1542" s="0" t="s">
        <v>15</v>
      </c>
      <c r="B1542" s="0" t="s">
        <v>4867</v>
      </c>
      <c r="C1542" s="0" t="n">
        <v>114001</v>
      </c>
      <c r="D1542" s="0" t="n">
        <v>114001</v>
      </c>
      <c r="E1542" s="0" t="s">
        <v>1417</v>
      </c>
      <c r="F1542" s="0" t="s">
        <v>18</v>
      </c>
      <c r="G1542" s="0" t="s">
        <v>4868</v>
      </c>
      <c r="H1542" s="0" t="s">
        <v>4868</v>
      </c>
      <c r="I1542" s="0" t="s">
        <v>947</v>
      </c>
      <c r="J1542" s="0" t="s">
        <v>948</v>
      </c>
      <c r="K1542" s="0" t="s">
        <v>4824</v>
      </c>
      <c r="L1542" s="0" t="str">
        <f aca="false">IFERROR(VLOOKUP(K1542,'Supplier list'!B:C,2,0),"")</f>
        <v>บริษัท ทีโอเอ-ยูเนี่ยน เพ้นท์ (ประเทศไทย) จำกัด</v>
      </c>
      <c r="M1542" s="1" t="s">
        <v>24</v>
      </c>
      <c r="O1542" s="2" t="n">
        <v>0</v>
      </c>
    </row>
    <row r="1543" customFormat="false" ht="16.4" hidden="false" customHeight="false" outlineLevel="0" collapsed="false">
      <c r="A1543" s="0" t="s">
        <v>15</v>
      </c>
      <c r="B1543" s="0" t="s">
        <v>4869</v>
      </c>
      <c r="C1543" s="0" t="n">
        <v>114001</v>
      </c>
      <c r="D1543" s="0" t="n">
        <v>114001</v>
      </c>
      <c r="E1543" s="0" t="s">
        <v>1417</v>
      </c>
      <c r="F1543" s="0" t="s">
        <v>18</v>
      </c>
      <c r="G1543" s="0" t="s">
        <v>4870</v>
      </c>
      <c r="H1543" s="0" t="s">
        <v>4870</v>
      </c>
      <c r="I1543" s="0" t="s">
        <v>947</v>
      </c>
      <c r="J1543" s="0" t="s">
        <v>948</v>
      </c>
      <c r="K1543" s="0" t="s">
        <v>4824</v>
      </c>
      <c r="L1543" s="0" t="str">
        <f aca="false">IFERROR(VLOOKUP(K1543,'Supplier list'!B:C,2,0),"")</f>
        <v>บริษัท ทีโอเอ-ยูเนี่ยน เพ้นท์ (ประเทศไทย) จำกัด</v>
      </c>
      <c r="M1543" s="1" t="s">
        <v>24</v>
      </c>
      <c r="O1543" s="2" t="n">
        <v>0</v>
      </c>
    </row>
    <row r="1544" customFormat="false" ht="16.4" hidden="false" customHeight="false" outlineLevel="0" collapsed="false">
      <c r="A1544" s="0" t="s">
        <v>15</v>
      </c>
      <c r="B1544" s="0" t="s">
        <v>4871</v>
      </c>
      <c r="C1544" s="0" t="n">
        <v>114001</v>
      </c>
      <c r="D1544" s="0" t="n">
        <v>114001</v>
      </c>
      <c r="E1544" s="0" t="s">
        <v>1417</v>
      </c>
      <c r="F1544" s="0" t="s">
        <v>18</v>
      </c>
      <c r="G1544" s="0" t="s">
        <v>4872</v>
      </c>
      <c r="H1544" s="0" t="s">
        <v>4872</v>
      </c>
      <c r="I1544" s="0" t="s">
        <v>947</v>
      </c>
      <c r="J1544" s="0" t="s">
        <v>948</v>
      </c>
      <c r="K1544" s="0" t="s">
        <v>4824</v>
      </c>
      <c r="L1544" s="0" t="str">
        <f aca="false">IFERROR(VLOOKUP(K1544,'Supplier list'!B:C,2,0),"")</f>
        <v>บริษัท ทีโอเอ-ยูเนี่ยน เพ้นท์ (ประเทศไทย) จำกัด</v>
      </c>
      <c r="M1544" s="1" t="s">
        <v>24</v>
      </c>
      <c r="O1544" s="2" t="n">
        <v>2720</v>
      </c>
    </row>
    <row r="1545" customFormat="false" ht="16.4" hidden="false" customHeight="false" outlineLevel="0" collapsed="false">
      <c r="A1545" s="0" t="s">
        <v>15</v>
      </c>
      <c r="B1545" s="0" t="s">
        <v>4873</v>
      </c>
      <c r="C1545" s="0" t="n">
        <v>114001</v>
      </c>
      <c r="D1545" s="0" t="n">
        <v>114001</v>
      </c>
      <c r="E1545" s="0" t="s">
        <v>1417</v>
      </c>
      <c r="F1545" s="0" t="s">
        <v>18</v>
      </c>
      <c r="G1545" s="0" t="s">
        <v>4874</v>
      </c>
      <c r="H1545" s="0" t="s">
        <v>4874</v>
      </c>
      <c r="I1545" s="0" t="s">
        <v>947</v>
      </c>
      <c r="J1545" s="0" t="s">
        <v>948</v>
      </c>
      <c r="K1545" s="0" t="s">
        <v>4824</v>
      </c>
      <c r="L1545" s="0" t="str">
        <f aca="false">IFERROR(VLOOKUP(K1545,'Supplier list'!B:C,2,0),"")</f>
        <v>บริษัท ทีโอเอ-ยูเนี่ยน เพ้นท์ (ประเทศไทย) จำกัด</v>
      </c>
      <c r="M1545" s="1" t="s">
        <v>24</v>
      </c>
      <c r="O1545" s="2" t="n">
        <v>0</v>
      </c>
    </row>
    <row r="1546" customFormat="false" ht="16.4" hidden="false" customHeight="false" outlineLevel="0" collapsed="false">
      <c r="A1546" s="0" t="s">
        <v>15</v>
      </c>
      <c r="B1546" s="0" t="s">
        <v>4875</v>
      </c>
      <c r="C1546" s="0" t="n">
        <v>114001</v>
      </c>
      <c r="D1546" s="0" t="n">
        <v>114001</v>
      </c>
      <c r="E1546" s="0" t="s">
        <v>1417</v>
      </c>
      <c r="F1546" s="0" t="s">
        <v>18</v>
      </c>
      <c r="G1546" s="0" t="s">
        <v>4876</v>
      </c>
      <c r="H1546" s="0" t="s">
        <v>4876</v>
      </c>
      <c r="I1546" s="0" t="s">
        <v>947</v>
      </c>
      <c r="J1546" s="0" t="s">
        <v>948</v>
      </c>
      <c r="K1546" s="0" t="s">
        <v>4824</v>
      </c>
      <c r="L1546" s="0" t="str">
        <f aca="false">IFERROR(VLOOKUP(K1546,'Supplier list'!B:C,2,0),"")</f>
        <v>บริษัท ทีโอเอ-ยูเนี่ยน เพ้นท์ (ประเทศไทย) จำกัด</v>
      </c>
      <c r="M1546" s="1" t="s">
        <v>24</v>
      </c>
      <c r="O1546" s="2" t="n">
        <v>0</v>
      </c>
    </row>
    <row r="1547" customFormat="false" ht="16.4" hidden="false" customHeight="false" outlineLevel="0" collapsed="false">
      <c r="A1547" s="0" t="s">
        <v>15</v>
      </c>
      <c r="B1547" s="0" t="s">
        <v>4877</v>
      </c>
      <c r="C1547" s="0" t="n">
        <v>114001</v>
      </c>
      <c r="D1547" s="0" t="n">
        <v>114001</v>
      </c>
      <c r="E1547" s="0" t="s">
        <v>1417</v>
      </c>
      <c r="F1547" s="0" t="s">
        <v>18</v>
      </c>
      <c r="G1547" s="0" t="s">
        <v>4878</v>
      </c>
      <c r="H1547" s="0" t="s">
        <v>4878</v>
      </c>
      <c r="I1547" s="0" t="s">
        <v>947</v>
      </c>
      <c r="J1547" s="0" t="s">
        <v>948</v>
      </c>
      <c r="K1547" s="0" t="s">
        <v>4824</v>
      </c>
      <c r="L1547" s="0" t="str">
        <f aca="false">IFERROR(VLOOKUP(K1547,'Supplier list'!B:C,2,0),"")</f>
        <v>บริษัท ทีโอเอ-ยูเนี่ยน เพ้นท์ (ประเทศไทย) จำกัด</v>
      </c>
      <c r="M1547" s="1" t="s">
        <v>24</v>
      </c>
      <c r="O1547" s="2" t="n">
        <v>2720</v>
      </c>
    </row>
    <row r="1548" customFormat="false" ht="16.4" hidden="false" customHeight="false" outlineLevel="0" collapsed="false">
      <c r="A1548" s="0" t="s">
        <v>15</v>
      </c>
      <c r="B1548" s="0" t="s">
        <v>4879</v>
      </c>
      <c r="C1548" s="0" t="n">
        <v>114001</v>
      </c>
      <c r="D1548" s="0" t="n">
        <v>114001</v>
      </c>
      <c r="E1548" s="0" t="s">
        <v>1417</v>
      </c>
      <c r="F1548" s="0" t="s">
        <v>18</v>
      </c>
      <c r="G1548" s="0" t="s">
        <v>4880</v>
      </c>
      <c r="H1548" s="0" t="s">
        <v>4880</v>
      </c>
      <c r="I1548" s="0" t="s">
        <v>947</v>
      </c>
      <c r="J1548" s="0" t="s">
        <v>948</v>
      </c>
      <c r="K1548" s="0" t="s">
        <v>4824</v>
      </c>
      <c r="L1548" s="0" t="str">
        <f aca="false">IFERROR(VLOOKUP(K1548,'Supplier list'!B:C,2,0),"")</f>
        <v>บริษัท ทีโอเอ-ยูเนี่ยน เพ้นท์ (ประเทศไทย) จำกัด</v>
      </c>
      <c r="M1548" s="1" t="s">
        <v>24</v>
      </c>
      <c r="O1548" s="2" t="n">
        <v>2825</v>
      </c>
    </row>
    <row r="1549" customFormat="false" ht="16.4" hidden="false" customHeight="false" outlineLevel="0" collapsed="false">
      <c r="A1549" s="0" t="s">
        <v>15</v>
      </c>
      <c r="B1549" s="0" t="s">
        <v>4881</v>
      </c>
      <c r="C1549" s="0" t="n">
        <v>114001</v>
      </c>
      <c r="D1549" s="0" t="n">
        <v>114001</v>
      </c>
      <c r="E1549" s="0" t="s">
        <v>1417</v>
      </c>
      <c r="F1549" s="0" t="s">
        <v>18</v>
      </c>
      <c r="G1549" s="0" t="s">
        <v>4882</v>
      </c>
      <c r="H1549" s="0" t="s">
        <v>4882</v>
      </c>
      <c r="I1549" s="0" t="s">
        <v>947</v>
      </c>
      <c r="J1549" s="0" t="s">
        <v>948</v>
      </c>
      <c r="K1549" s="0" t="s">
        <v>4824</v>
      </c>
      <c r="L1549" s="0" t="str">
        <f aca="false">IFERROR(VLOOKUP(K1549,'Supplier list'!B:C,2,0),"")</f>
        <v>บริษัท ทีโอเอ-ยูเนี่ยน เพ้นท์ (ประเทศไทย) จำกัด</v>
      </c>
      <c r="M1549" s="1" t="s">
        <v>24</v>
      </c>
      <c r="O1549" s="2" t="n">
        <v>2720</v>
      </c>
    </row>
    <row r="1550" customFormat="false" ht="16.4" hidden="false" customHeight="false" outlineLevel="0" collapsed="false">
      <c r="A1550" s="0" t="s">
        <v>15</v>
      </c>
      <c r="B1550" s="0" t="s">
        <v>4883</v>
      </c>
      <c r="C1550" s="0" t="n">
        <v>114001</v>
      </c>
      <c r="D1550" s="0" t="n">
        <v>114001</v>
      </c>
      <c r="E1550" s="0" t="s">
        <v>1417</v>
      </c>
      <c r="F1550" s="0" t="s">
        <v>18</v>
      </c>
      <c r="G1550" s="0" t="s">
        <v>4884</v>
      </c>
      <c r="H1550" s="0" t="s">
        <v>4884</v>
      </c>
      <c r="I1550" s="0" t="s">
        <v>947</v>
      </c>
      <c r="J1550" s="0" t="s">
        <v>948</v>
      </c>
      <c r="K1550" s="0" t="s">
        <v>4824</v>
      </c>
      <c r="L1550" s="0" t="str">
        <f aca="false">IFERROR(VLOOKUP(K1550,'Supplier list'!B:C,2,0),"")</f>
        <v>บริษัท ทีโอเอ-ยูเนี่ยน เพ้นท์ (ประเทศไทย) จำกัด</v>
      </c>
      <c r="M1550" s="1" t="s">
        <v>24</v>
      </c>
      <c r="O1550" s="2" t="n">
        <v>2825</v>
      </c>
    </row>
    <row r="1551" customFormat="false" ht="16.4" hidden="false" customHeight="false" outlineLevel="0" collapsed="false">
      <c r="A1551" s="0" t="s">
        <v>15</v>
      </c>
      <c r="B1551" s="0" t="s">
        <v>4885</v>
      </c>
      <c r="C1551" s="0" t="n">
        <v>114001</v>
      </c>
      <c r="D1551" s="0" t="n">
        <v>114001</v>
      </c>
      <c r="E1551" s="0" t="s">
        <v>1417</v>
      </c>
      <c r="F1551" s="0" t="s">
        <v>18</v>
      </c>
      <c r="G1551" s="0" t="s">
        <v>4886</v>
      </c>
      <c r="H1551" s="0" t="s">
        <v>4886</v>
      </c>
      <c r="I1551" s="0" t="s">
        <v>947</v>
      </c>
      <c r="J1551" s="0" t="s">
        <v>948</v>
      </c>
      <c r="K1551" s="0" t="s">
        <v>4824</v>
      </c>
      <c r="L1551" s="0" t="str">
        <f aca="false">IFERROR(VLOOKUP(K1551,'Supplier list'!B:C,2,0),"")</f>
        <v>บริษัท ทีโอเอ-ยูเนี่ยน เพ้นท์ (ประเทศไทย) จำกัด</v>
      </c>
      <c r="M1551" s="1" t="s">
        <v>24</v>
      </c>
      <c r="O1551" s="2" t="n">
        <v>2825</v>
      </c>
    </row>
    <row r="1552" customFormat="false" ht="16.4" hidden="false" customHeight="false" outlineLevel="0" collapsed="false">
      <c r="A1552" s="0" t="s">
        <v>15</v>
      </c>
      <c r="B1552" s="0" t="s">
        <v>4887</v>
      </c>
      <c r="C1552" s="0" t="n">
        <v>114001</v>
      </c>
      <c r="D1552" s="0" t="n">
        <v>114001</v>
      </c>
      <c r="E1552" s="0" t="s">
        <v>1417</v>
      </c>
      <c r="F1552" s="0" t="s">
        <v>18</v>
      </c>
      <c r="G1552" s="0" t="s">
        <v>4888</v>
      </c>
      <c r="H1552" s="0" t="s">
        <v>4888</v>
      </c>
      <c r="I1552" s="0" t="s">
        <v>947</v>
      </c>
      <c r="J1552" s="0" t="s">
        <v>948</v>
      </c>
      <c r="K1552" s="0" t="s">
        <v>4824</v>
      </c>
      <c r="L1552" s="0" t="str">
        <f aca="false">IFERROR(VLOOKUP(K1552,'Supplier list'!B:C,2,0),"")</f>
        <v>บริษัท ทีโอเอ-ยูเนี่ยน เพ้นท์ (ประเทศไทย) จำกัด</v>
      </c>
      <c r="M1552" s="1" t="s">
        <v>24</v>
      </c>
      <c r="O1552" s="2" t="n">
        <v>3500</v>
      </c>
    </row>
    <row r="1553" customFormat="false" ht="16.4" hidden="false" customHeight="false" outlineLevel="0" collapsed="false">
      <c r="A1553" s="0" t="s">
        <v>15</v>
      </c>
      <c r="B1553" s="0" t="s">
        <v>4889</v>
      </c>
      <c r="C1553" s="0" t="n">
        <v>114001</v>
      </c>
      <c r="D1553" s="0" t="n">
        <v>114001</v>
      </c>
      <c r="E1553" s="0" t="s">
        <v>161</v>
      </c>
      <c r="F1553" s="0" t="s">
        <v>18</v>
      </c>
      <c r="G1553" s="0" t="s">
        <v>4890</v>
      </c>
      <c r="H1553" s="0" t="s">
        <v>4890</v>
      </c>
      <c r="I1553" s="0" t="s">
        <v>102</v>
      </c>
      <c r="J1553" s="0" t="s">
        <v>103</v>
      </c>
      <c r="K1553" s="0" t="s">
        <v>4824</v>
      </c>
      <c r="L1553" s="0" t="str">
        <f aca="false">IFERROR(VLOOKUP(K1553,'Supplier list'!B:C,2,0),"")</f>
        <v>บริษัท ทีโอเอ-ยูเนี่ยน เพ้นท์ (ประเทศไทย) จำกัด</v>
      </c>
      <c r="M1553" s="1" t="s">
        <v>24</v>
      </c>
      <c r="O1553" s="2" t="n">
        <v>0</v>
      </c>
    </row>
    <row r="1554" customFormat="false" ht="16.4" hidden="false" customHeight="false" outlineLevel="0" collapsed="false">
      <c r="A1554" s="0" t="s">
        <v>15</v>
      </c>
      <c r="B1554" s="0" t="s">
        <v>4891</v>
      </c>
      <c r="C1554" s="0" t="n">
        <v>114001</v>
      </c>
      <c r="D1554" s="0" t="n">
        <v>114001</v>
      </c>
      <c r="E1554" s="0" t="s">
        <v>1417</v>
      </c>
      <c r="F1554" s="0" t="s">
        <v>18</v>
      </c>
      <c r="G1554" s="0" t="s">
        <v>4892</v>
      </c>
      <c r="H1554" s="0" t="s">
        <v>4893</v>
      </c>
      <c r="I1554" s="0" t="s">
        <v>1032</v>
      </c>
      <c r="J1554" s="0" t="s">
        <v>1033</v>
      </c>
      <c r="K1554" s="0" t="s">
        <v>4824</v>
      </c>
      <c r="L1554" s="0" t="str">
        <f aca="false">IFERROR(VLOOKUP(K1554,'Supplier list'!B:C,2,0),"")</f>
        <v>บริษัท ทีโอเอ-ยูเนี่ยน เพ้นท์ (ประเทศไทย) จำกัด</v>
      </c>
      <c r="M1554" s="1" t="s">
        <v>24</v>
      </c>
      <c r="O1554" s="2" t="n">
        <v>890</v>
      </c>
    </row>
    <row r="1555" customFormat="false" ht="16.4" hidden="false" customHeight="false" outlineLevel="0" collapsed="false">
      <c r="A1555" s="0" t="s">
        <v>15</v>
      </c>
      <c r="B1555" s="0" t="s">
        <v>4894</v>
      </c>
      <c r="C1555" s="0" t="n">
        <v>114001</v>
      </c>
      <c r="D1555" s="0" t="n">
        <v>114001</v>
      </c>
      <c r="E1555" s="0" t="s">
        <v>1417</v>
      </c>
      <c r="F1555" s="0" t="s">
        <v>18</v>
      </c>
      <c r="G1555" s="0" t="s">
        <v>4895</v>
      </c>
      <c r="H1555" s="0" t="s">
        <v>4896</v>
      </c>
      <c r="I1555" s="0" t="s">
        <v>1032</v>
      </c>
      <c r="J1555" s="0" t="s">
        <v>1033</v>
      </c>
      <c r="K1555" s="0" t="s">
        <v>4824</v>
      </c>
      <c r="L1555" s="0" t="str">
        <f aca="false">IFERROR(VLOOKUP(K1555,'Supplier list'!B:C,2,0),"")</f>
        <v>บริษัท ทีโอเอ-ยูเนี่ยน เพ้นท์ (ประเทศไทย) จำกัด</v>
      </c>
      <c r="M1555" s="1" t="s">
        <v>24</v>
      </c>
      <c r="O1555" s="2" t="n">
        <v>890</v>
      </c>
    </row>
    <row r="1556" customFormat="false" ht="16.4" hidden="false" customHeight="false" outlineLevel="0" collapsed="false">
      <c r="A1556" s="0" t="s">
        <v>15</v>
      </c>
      <c r="B1556" s="0" t="s">
        <v>4897</v>
      </c>
      <c r="C1556" s="0" t="n">
        <v>114001</v>
      </c>
      <c r="D1556" s="0" t="n">
        <v>114001</v>
      </c>
      <c r="E1556" s="0" t="s">
        <v>1417</v>
      </c>
      <c r="F1556" s="0" t="s">
        <v>18</v>
      </c>
      <c r="G1556" s="0" t="s">
        <v>4898</v>
      </c>
      <c r="H1556" s="0" t="s">
        <v>4899</v>
      </c>
      <c r="I1556" s="0" t="s">
        <v>947</v>
      </c>
      <c r="J1556" s="0" t="s">
        <v>948</v>
      </c>
      <c r="K1556" s="0" t="s">
        <v>4824</v>
      </c>
      <c r="L1556" s="0" t="str">
        <f aca="false">IFERROR(VLOOKUP(K1556,'Supplier list'!B:C,2,0),"")</f>
        <v>บริษัท ทีโอเอ-ยูเนี่ยน เพ้นท์ (ประเทศไทย) จำกัด</v>
      </c>
      <c r="M1556" s="1" t="s">
        <v>24</v>
      </c>
      <c r="O1556" s="2" t="n">
        <v>3200</v>
      </c>
    </row>
    <row r="1557" customFormat="false" ht="16.4" hidden="false" customHeight="false" outlineLevel="0" collapsed="false">
      <c r="A1557" s="0" t="s">
        <v>15</v>
      </c>
      <c r="B1557" s="0" t="s">
        <v>4900</v>
      </c>
      <c r="C1557" s="0" t="n">
        <v>114001</v>
      </c>
      <c r="D1557" s="0" t="n">
        <v>114001</v>
      </c>
      <c r="E1557" s="0" t="s">
        <v>1417</v>
      </c>
      <c r="F1557" s="0" t="s">
        <v>18</v>
      </c>
      <c r="G1557" s="0" t="s">
        <v>4901</v>
      </c>
      <c r="H1557" s="0" t="s">
        <v>4901</v>
      </c>
      <c r="I1557" s="0" t="s">
        <v>1032</v>
      </c>
      <c r="J1557" s="0" t="s">
        <v>1033</v>
      </c>
      <c r="K1557" s="0" t="s">
        <v>4824</v>
      </c>
      <c r="L1557" s="0" t="str">
        <f aca="false">IFERROR(VLOOKUP(K1557,'Supplier list'!B:C,2,0),"")</f>
        <v>บริษัท ทีโอเอ-ยูเนี่ยน เพ้นท์ (ประเทศไทย) จำกัด</v>
      </c>
      <c r="M1557" s="1" t="s">
        <v>24</v>
      </c>
      <c r="O1557" s="2" t="n">
        <v>2800</v>
      </c>
    </row>
    <row r="1558" customFormat="false" ht="16.4" hidden="false" customHeight="false" outlineLevel="0" collapsed="false">
      <c r="A1558" s="0" t="s">
        <v>15</v>
      </c>
      <c r="B1558" s="0" t="s">
        <v>4902</v>
      </c>
      <c r="C1558" s="0" t="n">
        <v>114001</v>
      </c>
      <c r="D1558" s="0" t="n">
        <v>114001</v>
      </c>
      <c r="E1558" s="0" t="s">
        <v>1417</v>
      </c>
      <c r="F1558" s="0" t="s">
        <v>18</v>
      </c>
      <c r="G1558" s="0" t="s">
        <v>4903</v>
      </c>
      <c r="H1558" s="0" t="s">
        <v>4904</v>
      </c>
      <c r="I1558" s="0" t="s">
        <v>1032</v>
      </c>
      <c r="J1558" s="0" t="s">
        <v>1033</v>
      </c>
      <c r="K1558" s="0" t="s">
        <v>4824</v>
      </c>
      <c r="L1558" s="0" t="str">
        <f aca="false">IFERROR(VLOOKUP(K1558,'Supplier list'!B:C,2,0),"")</f>
        <v>บริษัท ทีโอเอ-ยูเนี่ยน เพ้นท์ (ประเทศไทย) จำกัด</v>
      </c>
      <c r="M1558" s="1" t="s">
        <v>24</v>
      </c>
      <c r="O1558" s="2" t="n">
        <v>2800</v>
      </c>
    </row>
    <row r="1559" customFormat="false" ht="16.4" hidden="false" customHeight="false" outlineLevel="0" collapsed="false">
      <c r="A1559" s="0" t="s">
        <v>15</v>
      </c>
      <c r="B1559" s="0" t="s">
        <v>4905</v>
      </c>
      <c r="C1559" s="0" t="n">
        <v>114001</v>
      </c>
      <c r="D1559" s="0" t="n">
        <v>114001</v>
      </c>
      <c r="E1559" s="0" t="s">
        <v>1417</v>
      </c>
      <c r="F1559" s="0" t="s">
        <v>18</v>
      </c>
      <c r="G1559" s="0" t="s">
        <v>4906</v>
      </c>
      <c r="H1559" s="0" t="s">
        <v>4906</v>
      </c>
      <c r="I1559" s="0" t="s">
        <v>1032</v>
      </c>
      <c r="J1559" s="0" t="s">
        <v>1033</v>
      </c>
      <c r="K1559" s="0" t="s">
        <v>4824</v>
      </c>
      <c r="L1559" s="0" t="str">
        <f aca="false">IFERROR(VLOOKUP(K1559,'Supplier list'!B:C,2,0),"")</f>
        <v>บริษัท ทีโอเอ-ยูเนี่ยน เพ้นท์ (ประเทศไทย) จำกัด</v>
      </c>
      <c r="M1559" s="1" t="s">
        <v>24</v>
      </c>
      <c r="O1559" s="2" t="n">
        <v>890</v>
      </c>
    </row>
    <row r="1560" customFormat="false" ht="16.4" hidden="false" customHeight="false" outlineLevel="0" collapsed="false">
      <c r="A1560" s="0" t="s">
        <v>15</v>
      </c>
      <c r="B1560" s="0" t="s">
        <v>4907</v>
      </c>
      <c r="C1560" s="0" t="n">
        <v>114001</v>
      </c>
      <c r="D1560" s="0" t="n">
        <v>114001</v>
      </c>
      <c r="E1560" s="0" t="s">
        <v>1417</v>
      </c>
      <c r="F1560" s="0" t="s">
        <v>18</v>
      </c>
      <c r="G1560" s="0" t="s">
        <v>4908</v>
      </c>
      <c r="H1560" s="0" t="s">
        <v>4908</v>
      </c>
      <c r="I1560" s="0" t="s">
        <v>1032</v>
      </c>
      <c r="J1560" s="0" t="s">
        <v>1033</v>
      </c>
      <c r="K1560" s="0" t="s">
        <v>4824</v>
      </c>
      <c r="L1560" s="0" t="str">
        <f aca="false">IFERROR(VLOOKUP(K1560,'Supplier list'!B:C,2,0),"")</f>
        <v>บริษัท ทีโอเอ-ยูเนี่ยน เพ้นท์ (ประเทศไทย) จำกัด</v>
      </c>
      <c r="M1560" s="1" t="s">
        <v>24</v>
      </c>
      <c r="O1560" s="2" t="n">
        <v>3200</v>
      </c>
    </row>
    <row r="1561" customFormat="false" ht="16.4" hidden="false" customHeight="false" outlineLevel="0" collapsed="false">
      <c r="A1561" s="0" t="s">
        <v>15</v>
      </c>
      <c r="B1561" s="0" t="s">
        <v>4909</v>
      </c>
      <c r="C1561" s="0" t="n">
        <v>114001</v>
      </c>
      <c r="D1561" s="0" t="n">
        <v>114001</v>
      </c>
      <c r="E1561" s="0" t="s">
        <v>1417</v>
      </c>
      <c r="F1561" s="0" t="s">
        <v>18</v>
      </c>
      <c r="G1561" s="0" t="s">
        <v>4910</v>
      </c>
      <c r="H1561" s="0" t="s">
        <v>4910</v>
      </c>
      <c r="I1561" s="0" t="s">
        <v>1032</v>
      </c>
      <c r="J1561" s="0" t="s">
        <v>1033</v>
      </c>
      <c r="K1561" s="0" t="s">
        <v>4824</v>
      </c>
      <c r="L1561" s="0" t="str">
        <f aca="false">IFERROR(VLOOKUP(K1561,'Supplier list'!B:C,2,0),"")</f>
        <v>บริษัท ทีโอเอ-ยูเนี่ยน เพ้นท์ (ประเทศไทย) จำกัด</v>
      </c>
      <c r="M1561" s="1" t="s">
        <v>24</v>
      </c>
      <c r="O1561" s="2" t="n">
        <v>3200</v>
      </c>
    </row>
    <row r="1562" customFormat="false" ht="16.4" hidden="false" customHeight="false" outlineLevel="0" collapsed="false">
      <c r="A1562" s="0" t="s">
        <v>15</v>
      </c>
      <c r="B1562" s="0" t="s">
        <v>4911</v>
      </c>
      <c r="C1562" s="0" t="n">
        <v>114001</v>
      </c>
      <c r="D1562" s="0" t="n">
        <v>114001</v>
      </c>
      <c r="E1562" s="0" t="s">
        <v>1417</v>
      </c>
      <c r="F1562" s="0" t="s">
        <v>18</v>
      </c>
      <c r="G1562" s="0" t="s">
        <v>4912</v>
      </c>
      <c r="H1562" s="0" t="s">
        <v>4912</v>
      </c>
      <c r="I1562" s="0" t="s">
        <v>1032</v>
      </c>
      <c r="J1562" s="0" t="s">
        <v>1033</v>
      </c>
      <c r="K1562" s="0" t="s">
        <v>4824</v>
      </c>
      <c r="L1562" s="0" t="str">
        <f aca="false">IFERROR(VLOOKUP(K1562,'Supplier list'!B:C,2,0),"")</f>
        <v>บริษัท ทีโอเอ-ยูเนี่ยน เพ้นท์ (ประเทศไทย) จำกัด</v>
      </c>
      <c r="M1562" s="1" t="s">
        <v>24</v>
      </c>
      <c r="O1562" s="2" t="n">
        <v>4100</v>
      </c>
    </row>
    <row r="1563" customFormat="false" ht="16.4" hidden="false" customHeight="false" outlineLevel="0" collapsed="false">
      <c r="A1563" s="0" t="s">
        <v>15</v>
      </c>
      <c r="B1563" s="0" t="s">
        <v>4913</v>
      </c>
      <c r="C1563" s="0" t="n">
        <v>114001</v>
      </c>
      <c r="D1563" s="0" t="n">
        <v>114001</v>
      </c>
      <c r="E1563" s="0" t="s">
        <v>1417</v>
      </c>
      <c r="F1563" s="0" t="s">
        <v>18</v>
      </c>
      <c r="G1563" s="0" t="s">
        <v>4914</v>
      </c>
      <c r="H1563" s="0" t="s">
        <v>4915</v>
      </c>
      <c r="I1563" s="0" t="s">
        <v>1032</v>
      </c>
      <c r="J1563" s="0" t="s">
        <v>1033</v>
      </c>
      <c r="K1563" s="0" t="s">
        <v>4824</v>
      </c>
      <c r="L1563" s="0" t="str">
        <f aca="false">IFERROR(VLOOKUP(K1563,'Supplier list'!B:C,2,0),"")</f>
        <v>บริษัท ทีโอเอ-ยูเนี่ยน เพ้นท์ (ประเทศไทย) จำกัด</v>
      </c>
      <c r="M1563" s="1" t="s">
        <v>24</v>
      </c>
      <c r="O1563" s="2" t="n">
        <v>2190</v>
      </c>
    </row>
    <row r="1564" customFormat="false" ht="16.4" hidden="false" customHeight="false" outlineLevel="0" collapsed="false">
      <c r="A1564" s="0" t="s">
        <v>15</v>
      </c>
      <c r="B1564" s="0" t="s">
        <v>4916</v>
      </c>
      <c r="C1564" s="0" t="n">
        <v>114001</v>
      </c>
      <c r="D1564" s="0" t="n">
        <v>114001</v>
      </c>
      <c r="E1564" s="0" t="s">
        <v>1417</v>
      </c>
      <c r="F1564" s="0" t="s">
        <v>18</v>
      </c>
      <c r="G1564" s="0" t="s">
        <v>4917</v>
      </c>
      <c r="H1564" s="0" t="s">
        <v>4917</v>
      </c>
      <c r="I1564" s="0" t="s">
        <v>1032</v>
      </c>
      <c r="J1564" s="0" t="s">
        <v>1033</v>
      </c>
      <c r="K1564" s="0" t="s">
        <v>4824</v>
      </c>
      <c r="L1564" s="0" t="str">
        <f aca="false">IFERROR(VLOOKUP(K1564,'Supplier list'!B:C,2,0),"")</f>
        <v>บริษัท ทีโอเอ-ยูเนี่ยน เพ้นท์ (ประเทศไทย) จำกัด</v>
      </c>
      <c r="M1564" s="1" t="s">
        <v>24</v>
      </c>
      <c r="O1564" s="2" t="n">
        <v>2800</v>
      </c>
    </row>
    <row r="1565" customFormat="false" ht="16.4" hidden="false" customHeight="false" outlineLevel="0" collapsed="false">
      <c r="A1565" s="0" t="s">
        <v>15</v>
      </c>
      <c r="B1565" s="0" t="s">
        <v>4918</v>
      </c>
      <c r="C1565" s="0" t="n">
        <v>114001</v>
      </c>
      <c r="D1565" s="0" t="n">
        <v>114001</v>
      </c>
      <c r="E1565" s="0" t="s">
        <v>1417</v>
      </c>
      <c r="F1565" s="0" t="s">
        <v>18</v>
      </c>
      <c r="G1565" s="0" t="s">
        <v>4919</v>
      </c>
      <c r="H1565" s="0" t="s">
        <v>4919</v>
      </c>
      <c r="I1565" s="0" t="s">
        <v>1032</v>
      </c>
      <c r="J1565" s="0" t="s">
        <v>1033</v>
      </c>
      <c r="K1565" s="0" t="s">
        <v>4824</v>
      </c>
      <c r="L1565" s="0" t="str">
        <f aca="false">IFERROR(VLOOKUP(K1565,'Supplier list'!B:C,2,0),"")</f>
        <v>บริษัท ทีโอเอ-ยูเนี่ยน เพ้นท์ (ประเทศไทย) จำกัด</v>
      </c>
      <c r="M1565" s="1" t="s">
        <v>24</v>
      </c>
      <c r="O1565" s="2" t="n">
        <v>2800</v>
      </c>
    </row>
    <row r="1566" customFormat="false" ht="16.4" hidden="false" customHeight="false" outlineLevel="0" collapsed="false">
      <c r="A1566" s="0" t="s">
        <v>15</v>
      </c>
      <c r="B1566" s="0" t="s">
        <v>4920</v>
      </c>
      <c r="C1566" s="0" t="n">
        <v>114001</v>
      </c>
      <c r="D1566" s="0" t="n">
        <v>114001</v>
      </c>
      <c r="E1566" s="0" t="s">
        <v>1417</v>
      </c>
      <c r="F1566" s="0" t="s">
        <v>18</v>
      </c>
      <c r="G1566" s="0" t="s">
        <v>4921</v>
      </c>
      <c r="H1566" s="0" t="s">
        <v>4921</v>
      </c>
      <c r="I1566" s="0" t="s">
        <v>1032</v>
      </c>
      <c r="J1566" s="0" t="s">
        <v>1033</v>
      </c>
      <c r="K1566" s="0" t="s">
        <v>4824</v>
      </c>
      <c r="L1566" s="0" t="str">
        <f aca="false">IFERROR(VLOOKUP(K1566,'Supplier list'!B:C,2,0),"")</f>
        <v>บริษัท ทีโอเอ-ยูเนี่ยน เพ้นท์ (ประเทศไทย) จำกัด</v>
      </c>
      <c r="M1566" s="1" t="s">
        <v>24</v>
      </c>
      <c r="O1566" s="2" t="n">
        <v>2850</v>
      </c>
    </row>
    <row r="1567" customFormat="false" ht="16.4" hidden="false" customHeight="false" outlineLevel="0" collapsed="false">
      <c r="A1567" s="0" t="s">
        <v>15</v>
      </c>
      <c r="B1567" s="0" t="s">
        <v>4922</v>
      </c>
      <c r="C1567" s="0" t="n">
        <v>114001</v>
      </c>
      <c r="D1567" s="0" t="n">
        <v>114001</v>
      </c>
      <c r="E1567" s="0" t="s">
        <v>1417</v>
      </c>
      <c r="F1567" s="0" t="s">
        <v>18</v>
      </c>
      <c r="G1567" s="0" t="s">
        <v>4923</v>
      </c>
      <c r="H1567" s="0" t="s">
        <v>4923</v>
      </c>
      <c r="I1567" s="0" t="s">
        <v>1032</v>
      </c>
      <c r="J1567" s="0" t="s">
        <v>1033</v>
      </c>
      <c r="K1567" s="0" t="s">
        <v>4824</v>
      </c>
      <c r="L1567" s="0" t="str">
        <f aca="false">IFERROR(VLOOKUP(K1567,'Supplier list'!B:C,2,0),"")</f>
        <v>บริษัท ทีโอเอ-ยูเนี่ยน เพ้นท์ (ประเทศไทย) จำกัด</v>
      </c>
      <c r="M1567" s="1" t="s">
        <v>24</v>
      </c>
      <c r="O1567" s="2" t="n">
        <v>3200</v>
      </c>
    </row>
    <row r="1568" customFormat="false" ht="16.4" hidden="false" customHeight="false" outlineLevel="0" collapsed="false">
      <c r="A1568" s="0" t="s">
        <v>15</v>
      </c>
      <c r="B1568" s="0" t="s">
        <v>4924</v>
      </c>
      <c r="C1568" s="0" t="n">
        <v>114001</v>
      </c>
      <c r="D1568" s="0" t="n">
        <v>114001</v>
      </c>
      <c r="E1568" s="0" t="s">
        <v>1417</v>
      </c>
      <c r="F1568" s="0" t="s">
        <v>18</v>
      </c>
      <c r="G1568" s="0" t="s">
        <v>4925</v>
      </c>
      <c r="H1568" s="0" t="s">
        <v>4925</v>
      </c>
      <c r="I1568" s="0" t="s">
        <v>1032</v>
      </c>
      <c r="J1568" s="0" t="s">
        <v>1033</v>
      </c>
      <c r="K1568" s="0" t="s">
        <v>4824</v>
      </c>
      <c r="L1568" s="0" t="str">
        <f aca="false">IFERROR(VLOOKUP(K1568,'Supplier list'!B:C,2,0),"")</f>
        <v>บริษัท ทีโอเอ-ยูเนี่ยน เพ้นท์ (ประเทศไทย) จำกัด</v>
      </c>
      <c r="M1568" s="1" t="s">
        <v>24</v>
      </c>
      <c r="O1568" s="2" t="n">
        <v>890</v>
      </c>
    </row>
    <row r="1569" customFormat="false" ht="16.4" hidden="false" customHeight="false" outlineLevel="0" collapsed="false">
      <c r="A1569" s="0" t="s">
        <v>15</v>
      </c>
      <c r="B1569" s="0" t="s">
        <v>4926</v>
      </c>
      <c r="C1569" s="0" t="n">
        <v>114001</v>
      </c>
      <c r="D1569" s="0" t="n">
        <v>114001</v>
      </c>
      <c r="E1569" s="0" t="s">
        <v>1417</v>
      </c>
      <c r="F1569" s="0" t="s">
        <v>18</v>
      </c>
      <c r="G1569" s="0" t="s">
        <v>4927</v>
      </c>
      <c r="H1569" s="0" t="s">
        <v>4927</v>
      </c>
      <c r="I1569" s="0" t="s">
        <v>1032</v>
      </c>
      <c r="J1569" s="0" t="s">
        <v>1033</v>
      </c>
      <c r="K1569" s="0" t="s">
        <v>4824</v>
      </c>
      <c r="L1569" s="0" t="str">
        <f aca="false">IFERROR(VLOOKUP(K1569,'Supplier list'!B:C,2,0),"")</f>
        <v>บริษัท ทีโอเอ-ยูเนี่ยน เพ้นท์ (ประเทศไทย) จำกัด</v>
      </c>
      <c r="M1569" s="1" t="s">
        <v>24</v>
      </c>
      <c r="O1569" s="2" t="n">
        <v>3200</v>
      </c>
    </row>
    <row r="1570" customFormat="false" ht="16.4" hidden="false" customHeight="false" outlineLevel="0" collapsed="false">
      <c r="A1570" s="0" t="s">
        <v>15</v>
      </c>
      <c r="B1570" s="0" t="s">
        <v>4928</v>
      </c>
      <c r="C1570" s="0" t="n">
        <v>114001</v>
      </c>
      <c r="D1570" s="0" t="n">
        <v>114001</v>
      </c>
      <c r="E1570" s="0" t="s">
        <v>1417</v>
      </c>
      <c r="F1570" s="0" t="s">
        <v>18</v>
      </c>
      <c r="G1570" s="0" t="s">
        <v>4929</v>
      </c>
      <c r="H1570" s="0" t="s">
        <v>4930</v>
      </c>
      <c r="I1570" s="0" t="s">
        <v>124</v>
      </c>
      <c r="J1570" s="0" t="s">
        <v>125</v>
      </c>
      <c r="K1570" s="0" t="s">
        <v>29</v>
      </c>
      <c r="L1570" s="0" t="str">
        <f aca="false">IFERROR(VLOOKUP(K1570,'Supplier list'!B:C,2,0),"")</f>
        <v/>
      </c>
      <c r="M1570" s="1" t="s">
        <v>24</v>
      </c>
      <c r="O1570" s="2" t="n">
        <v>0</v>
      </c>
    </row>
    <row r="1571" customFormat="false" ht="16.4" hidden="false" customHeight="false" outlineLevel="0" collapsed="false">
      <c r="A1571" s="0" t="s">
        <v>15</v>
      </c>
      <c r="B1571" s="0" t="s">
        <v>4931</v>
      </c>
      <c r="C1571" s="0" t="n">
        <v>114001</v>
      </c>
      <c r="D1571" s="0" t="n">
        <v>114001</v>
      </c>
      <c r="E1571" s="0" t="s">
        <v>1417</v>
      </c>
      <c r="F1571" s="0" t="s">
        <v>18</v>
      </c>
      <c r="G1571" s="0" t="s">
        <v>4932</v>
      </c>
      <c r="H1571" s="0" t="s">
        <v>4933</v>
      </c>
      <c r="I1571" s="0" t="s">
        <v>124</v>
      </c>
      <c r="J1571" s="0" t="s">
        <v>125</v>
      </c>
      <c r="K1571" s="0" t="s">
        <v>29</v>
      </c>
      <c r="L1571" s="0" t="str">
        <f aca="false">IFERROR(VLOOKUP(K1571,'Supplier list'!B:C,2,0),"")</f>
        <v/>
      </c>
      <c r="M1571" s="1" t="s">
        <v>24</v>
      </c>
      <c r="O1571" s="2" t="n">
        <v>0</v>
      </c>
    </row>
    <row r="1572" customFormat="false" ht="16.4" hidden="false" customHeight="false" outlineLevel="0" collapsed="false">
      <c r="A1572" s="0" t="s">
        <v>15</v>
      </c>
      <c r="B1572" s="0" t="s">
        <v>4934</v>
      </c>
      <c r="C1572" s="0" t="n">
        <v>114001</v>
      </c>
      <c r="D1572" s="0" t="n">
        <v>114001</v>
      </c>
      <c r="E1572" s="0" t="s">
        <v>1417</v>
      </c>
      <c r="F1572" s="0" t="s">
        <v>18</v>
      </c>
      <c r="G1572" s="0" t="s">
        <v>4935</v>
      </c>
      <c r="H1572" s="0" t="s">
        <v>4935</v>
      </c>
      <c r="I1572" s="0" t="s">
        <v>947</v>
      </c>
      <c r="J1572" s="0" t="s">
        <v>948</v>
      </c>
      <c r="K1572" s="0" t="s">
        <v>4824</v>
      </c>
      <c r="L1572" s="0" t="str">
        <f aca="false">IFERROR(VLOOKUP(K1572,'Supplier list'!B:C,2,0),"")</f>
        <v>บริษัท ทีโอเอ-ยูเนี่ยน เพ้นท์ (ประเทศไทย) จำกัด</v>
      </c>
      <c r="M1572" s="1" t="s">
        <v>24</v>
      </c>
      <c r="O1572" s="2" t="n">
        <v>2615</v>
      </c>
    </row>
    <row r="1573" customFormat="false" ht="16.4" hidden="false" customHeight="false" outlineLevel="0" collapsed="false">
      <c r="A1573" s="0" t="s">
        <v>15</v>
      </c>
      <c r="B1573" s="0" t="s">
        <v>4936</v>
      </c>
      <c r="C1573" s="0" t="n">
        <v>114001</v>
      </c>
      <c r="D1573" s="0" t="n">
        <v>114001</v>
      </c>
      <c r="E1573" s="0" t="s">
        <v>1417</v>
      </c>
      <c r="F1573" s="0" t="s">
        <v>18</v>
      </c>
      <c r="G1573" s="0" t="s">
        <v>4937</v>
      </c>
      <c r="H1573" s="0" t="s">
        <v>4937</v>
      </c>
      <c r="I1573" s="0" t="s">
        <v>947</v>
      </c>
      <c r="J1573" s="0" t="s">
        <v>948</v>
      </c>
      <c r="K1573" s="0" t="s">
        <v>4824</v>
      </c>
      <c r="L1573" s="0" t="str">
        <f aca="false">IFERROR(VLOOKUP(K1573,'Supplier list'!B:C,2,0),"")</f>
        <v>บริษัท ทีโอเอ-ยูเนี่ยน เพ้นท์ (ประเทศไทย) จำกัด</v>
      </c>
      <c r="M1573" s="1" t="s">
        <v>24</v>
      </c>
      <c r="O1573" s="2" t="n">
        <v>3000</v>
      </c>
    </row>
    <row r="1574" customFormat="false" ht="16.4" hidden="false" customHeight="false" outlineLevel="0" collapsed="false">
      <c r="A1574" s="0" t="s">
        <v>15</v>
      </c>
      <c r="B1574" s="0" t="s">
        <v>4938</v>
      </c>
      <c r="C1574" s="0" t="n">
        <v>114001</v>
      </c>
      <c r="D1574" s="0" t="n">
        <v>114001</v>
      </c>
      <c r="E1574" s="0" t="s">
        <v>1417</v>
      </c>
      <c r="F1574" s="0" t="s">
        <v>18</v>
      </c>
      <c r="G1574" s="0" t="s">
        <v>4939</v>
      </c>
      <c r="H1574" s="0" t="s">
        <v>4939</v>
      </c>
      <c r="I1574" s="0" t="s">
        <v>947</v>
      </c>
      <c r="J1574" s="0" t="s">
        <v>948</v>
      </c>
      <c r="K1574" s="0" t="s">
        <v>4824</v>
      </c>
      <c r="L1574" s="0" t="str">
        <f aca="false">IFERROR(VLOOKUP(K1574,'Supplier list'!B:C,2,0),"")</f>
        <v>บริษัท ทีโอเอ-ยูเนี่ยน เพ้นท์ (ประเทศไทย) จำกัด</v>
      </c>
      <c r="M1574" s="1" t="s">
        <v>24</v>
      </c>
      <c r="O1574" s="2" t="n">
        <v>2800</v>
      </c>
    </row>
    <row r="1575" customFormat="false" ht="16.4" hidden="false" customHeight="false" outlineLevel="0" collapsed="false">
      <c r="A1575" s="0" t="s">
        <v>15</v>
      </c>
      <c r="B1575" s="0" t="s">
        <v>4940</v>
      </c>
      <c r="C1575" s="0" t="n">
        <v>114001</v>
      </c>
      <c r="D1575" s="0" t="n">
        <v>114001</v>
      </c>
      <c r="E1575" s="0" t="s">
        <v>1417</v>
      </c>
      <c r="F1575" s="0" t="s">
        <v>18</v>
      </c>
      <c r="G1575" s="0" t="s">
        <v>4941</v>
      </c>
      <c r="H1575" s="0" t="s">
        <v>4941</v>
      </c>
      <c r="I1575" s="0" t="s">
        <v>947</v>
      </c>
      <c r="J1575" s="0" t="s">
        <v>948</v>
      </c>
      <c r="K1575" s="0" t="s">
        <v>4824</v>
      </c>
      <c r="L1575" s="0" t="str">
        <f aca="false">IFERROR(VLOOKUP(K1575,'Supplier list'!B:C,2,0),"")</f>
        <v>บริษัท ทีโอเอ-ยูเนี่ยน เพ้นท์ (ประเทศไทย) จำกัด</v>
      </c>
      <c r="M1575" s="1" t="s">
        <v>24</v>
      </c>
      <c r="O1575" s="2" t="n">
        <v>2800</v>
      </c>
    </row>
    <row r="1576" customFormat="false" ht="16.4" hidden="false" customHeight="false" outlineLevel="0" collapsed="false">
      <c r="A1576" s="0" t="s">
        <v>15</v>
      </c>
      <c r="B1576" s="0" t="s">
        <v>4942</v>
      </c>
      <c r="C1576" s="0" t="n">
        <v>114001</v>
      </c>
      <c r="D1576" s="0" t="n">
        <v>114001</v>
      </c>
      <c r="E1576" s="0" t="s">
        <v>1417</v>
      </c>
      <c r="F1576" s="0" t="s">
        <v>18</v>
      </c>
      <c r="G1576" s="0" t="s">
        <v>4943</v>
      </c>
      <c r="H1576" s="0" t="s">
        <v>4943</v>
      </c>
      <c r="I1576" s="0" t="s">
        <v>947</v>
      </c>
      <c r="J1576" s="0" t="s">
        <v>948</v>
      </c>
      <c r="K1576" s="0" t="s">
        <v>4824</v>
      </c>
      <c r="L1576" s="0" t="str">
        <f aca="false">IFERROR(VLOOKUP(K1576,'Supplier list'!B:C,2,0),"")</f>
        <v>บริษัท ทีโอเอ-ยูเนี่ยน เพ้นท์ (ประเทศไทย) จำกัด</v>
      </c>
      <c r="M1576" s="1" t="s">
        <v>24</v>
      </c>
      <c r="O1576" s="2" t="n">
        <v>3500</v>
      </c>
    </row>
    <row r="1577" customFormat="false" ht="16.4" hidden="false" customHeight="false" outlineLevel="0" collapsed="false">
      <c r="A1577" s="0" t="s">
        <v>15</v>
      </c>
      <c r="B1577" s="0" t="s">
        <v>4944</v>
      </c>
      <c r="C1577" s="0" t="n">
        <v>114001</v>
      </c>
      <c r="D1577" s="0" t="n">
        <v>114001</v>
      </c>
      <c r="E1577" s="0" t="s">
        <v>1417</v>
      </c>
      <c r="F1577" s="0" t="s">
        <v>18</v>
      </c>
      <c r="G1577" s="0" t="s">
        <v>4945</v>
      </c>
      <c r="H1577" s="0" t="s">
        <v>4945</v>
      </c>
      <c r="I1577" s="0" t="s">
        <v>947</v>
      </c>
      <c r="J1577" s="0" t="s">
        <v>948</v>
      </c>
      <c r="K1577" s="0" t="s">
        <v>4824</v>
      </c>
      <c r="L1577" s="0" t="str">
        <f aca="false">IFERROR(VLOOKUP(K1577,'Supplier list'!B:C,2,0),"")</f>
        <v>บริษัท ทีโอเอ-ยูเนี่ยน เพ้นท์ (ประเทศไทย) จำกัด</v>
      </c>
      <c r="M1577" s="1" t="s">
        <v>24</v>
      </c>
      <c r="O1577" s="2" t="n">
        <v>2850</v>
      </c>
    </row>
    <row r="1578" customFormat="false" ht="16.4" hidden="false" customHeight="false" outlineLevel="0" collapsed="false">
      <c r="A1578" s="0" t="s">
        <v>15</v>
      </c>
      <c r="B1578" s="0" t="s">
        <v>4946</v>
      </c>
      <c r="C1578" s="0" t="n">
        <v>114001</v>
      </c>
      <c r="D1578" s="0" t="n">
        <v>114001</v>
      </c>
      <c r="E1578" s="0" t="s">
        <v>1417</v>
      </c>
      <c r="F1578" s="0" t="s">
        <v>18</v>
      </c>
      <c r="G1578" s="0" t="s">
        <v>4947</v>
      </c>
      <c r="H1578" s="0" t="s">
        <v>4947</v>
      </c>
      <c r="I1578" s="0" t="s">
        <v>947</v>
      </c>
      <c r="J1578" s="0" t="s">
        <v>948</v>
      </c>
      <c r="K1578" s="0" t="s">
        <v>4824</v>
      </c>
      <c r="L1578" s="0" t="str">
        <f aca="false">IFERROR(VLOOKUP(K1578,'Supplier list'!B:C,2,0),"")</f>
        <v>บริษัท ทีโอเอ-ยูเนี่ยน เพ้นท์ (ประเทศไทย) จำกัด</v>
      </c>
      <c r="M1578" s="1" t="s">
        <v>24</v>
      </c>
      <c r="O1578" s="2" t="n">
        <v>2590</v>
      </c>
    </row>
    <row r="1579" customFormat="false" ht="16.4" hidden="false" customHeight="false" outlineLevel="0" collapsed="false">
      <c r="A1579" s="0" t="s">
        <v>15</v>
      </c>
      <c r="B1579" s="0" t="s">
        <v>4948</v>
      </c>
      <c r="C1579" s="0" t="n">
        <v>114001</v>
      </c>
      <c r="D1579" s="0" t="n">
        <v>114001</v>
      </c>
      <c r="E1579" s="0" t="s">
        <v>1417</v>
      </c>
      <c r="F1579" s="0" t="s">
        <v>18</v>
      </c>
      <c r="G1579" s="0" t="s">
        <v>4949</v>
      </c>
      <c r="H1579" s="0" t="s">
        <v>4949</v>
      </c>
      <c r="I1579" s="0" t="s">
        <v>947</v>
      </c>
      <c r="J1579" s="0" t="s">
        <v>948</v>
      </c>
      <c r="K1579" s="0" t="s">
        <v>4824</v>
      </c>
      <c r="L1579" s="0" t="str">
        <f aca="false">IFERROR(VLOOKUP(K1579,'Supplier list'!B:C,2,0),"")</f>
        <v>บริษัท ทีโอเอ-ยูเนี่ยน เพ้นท์ (ประเทศไทย) จำกัด</v>
      </c>
      <c r="M1579" s="1" t="s">
        <v>24</v>
      </c>
      <c r="O1579" s="2" t="n">
        <v>2800</v>
      </c>
    </row>
    <row r="1580" customFormat="false" ht="16.4" hidden="false" customHeight="false" outlineLevel="0" collapsed="false">
      <c r="A1580" s="0" t="s">
        <v>15</v>
      </c>
      <c r="B1580" s="0" t="s">
        <v>4950</v>
      </c>
      <c r="C1580" s="0" t="n">
        <v>114001</v>
      </c>
      <c r="D1580" s="0" t="n">
        <v>114001</v>
      </c>
      <c r="E1580" s="0" t="s">
        <v>1417</v>
      </c>
      <c r="F1580" s="0" t="s">
        <v>18</v>
      </c>
      <c r="G1580" s="0" t="s">
        <v>4951</v>
      </c>
      <c r="H1580" s="0" t="s">
        <v>4951</v>
      </c>
      <c r="I1580" s="0" t="s">
        <v>947</v>
      </c>
      <c r="J1580" s="0" t="s">
        <v>948</v>
      </c>
      <c r="K1580" s="0" t="s">
        <v>4824</v>
      </c>
      <c r="L1580" s="0" t="str">
        <f aca="false">IFERROR(VLOOKUP(K1580,'Supplier list'!B:C,2,0),"")</f>
        <v>บริษัท ทีโอเอ-ยูเนี่ยน เพ้นท์ (ประเทศไทย) จำกัด</v>
      </c>
      <c r="M1580" s="1" t="s">
        <v>24</v>
      </c>
      <c r="O1580" s="2" t="n">
        <v>2850</v>
      </c>
    </row>
    <row r="1581" customFormat="false" ht="16.4" hidden="false" customHeight="false" outlineLevel="0" collapsed="false">
      <c r="A1581" s="0" t="s">
        <v>15</v>
      </c>
      <c r="B1581" s="0" t="s">
        <v>4952</v>
      </c>
      <c r="C1581" s="0" t="n">
        <v>114001</v>
      </c>
      <c r="D1581" s="0" t="n">
        <v>114001</v>
      </c>
      <c r="E1581" s="0" t="s">
        <v>1417</v>
      </c>
      <c r="F1581" s="0" t="s">
        <v>18</v>
      </c>
      <c r="G1581" s="0" t="s">
        <v>4953</v>
      </c>
      <c r="H1581" s="0" t="s">
        <v>4953</v>
      </c>
      <c r="I1581" s="0" t="s">
        <v>947</v>
      </c>
      <c r="J1581" s="0" t="s">
        <v>948</v>
      </c>
      <c r="K1581" s="0" t="s">
        <v>4824</v>
      </c>
      <c r="L1581" s="0" t="str">
        <f aca="false">IFERROR(VLOOKUP(K1581,'Supplier list'!B:C,2,0),"")</f>
        <v>บริษัท ทีโอเอ-ยูเนี่ยน เพ้นท์ (ประเทศไทย) จำกัด</v>
      </c>
      <c r="M1581" s="1" t="s">
        <v>24</v>
      </c>
      <c r="O1581" s="2" t="n">
        <v>3500</v>
      </c>
    </row>
    <row r="1582" customFormat="false" ht="16.4" hidden="false" customHeight="false" outlineLevel="0" collapsed="false">
      <c r="A1582" s="0" t="s">
        <v>15</v>
      </c>
      <c r="B1582" s="0" t="s">
        <v>4954</v>
      </c>
      <c r="C1582" s="0" t="n">
        <v>114001</v>
      </c>
      <c r="D1582" s="0" t="n">
        <v>114001</v>
      </c>
      <c r="E1582" s="0" t="s">
        <v>1417</v>
      </c>
      <c r="F1582" s="0" t="s">
        <v>18</v>
      </c>
      <c r="G1582" s="0" t="s">
        <v>4955</v>
      </c>
      <c r="H1582" s="0" t="s">
        <v>4956</v>
      </c>
      <c r="I1582" s="0" t="s">
        <v>947</v>
      </c>
      <c r="J1582" s="0" t="s">
        <v>948</v>
      </c>
      <c r="K1582" s="0" t="s">
        <v>4824</v>
      </c>
      <c r="L1582" s="0" t="str">
        <f aca="false">IFERROR(VLOOKUP(K1582,'Supplier list'!B:C,2,0),"")</f>
        <v>บริษัท ทีโอเอ-ยูเนี่ยน เพ้นท์ (ประเทศไทย) จำกัด</v>
      </c>
      <c r="M1582" s="1" t="s">
        <v>24</v>
      </c>
      <c r="O1582" s="2" t="n">
        <v>2800</v>
      </c>
    </row>
    <row r="1583" customFormat="false" ht="16.4" hidden="false" customHeight="false" outlineLevel="0" collapsed="false">
      <c r="A1583" s="0" t="s">
        <v>15</v>
      </c>
      <c r="B1583" s="0" t="s">
        <v>4957</v>
      </c>
      <c r="C1583" s="0" t="n">
        <v>114001</v>
      </c>
      <c r="D1583" s="0" t="n">
        <v>114001</v>
      </c>
      <c r="E1583" s="0" t="s">
        <v>1417</v>
      </c>
      <c r="F1583" s="0" t="s">
        <v>18</v>
      </c>
      <c r="G1583" s="0" t="s">
        <v>4958</v>
      </c>
      <c r="H1583" s="0" t="s">
        <v>4958</v>
      </c>
      <c r="I1583" s="0" t="s">
        <v>947</v>
      </c>
      <c r="J1583" s="0" t="s">
        <v>948</v>
      </c>
      <c r="K1583" s="0" t="s">
        <v>4824</v>
      </c>
      <c r="L1583" s="0" t="str">
        <f aca="false">IFERROR(VLOOKUP(K1583,'Supplier list'!B:C,2,0),"")</f>
        <v>บริษัท ทีโอเอ-ยูเนี่ยน เพ้นท์ (ประเทศไทย) จำกัด</v>
      </c>
      <c r="M1583" s="1" t="s">
        <v>24</v>
      </c>
      <c r="O1583" s="2" t="n">
        <v>2825</v>
      </c>
    </row>
    <row r="1584" customFormat="false" ht="16.4" hidden="false" customHeight="false" outlineLevel="0" collapsed="false">
      <c r="A1584" s="0" t="s">
        <v>15</v>
      </c>
      <c r="B1584" s="0" t="s">
        <v>4959</v>
      </c>
      <c r="C1584" s="0" t="n">
        <v>114001</v>
      </c>
      <c r="D1584" s="0" t="n">
        <v>114001</v>
      </c>
      <c r="E1584" s="0" t="s">
        <v>1417</v>
      </c>
      <c r="F1584" s="0" t="s">
        <v>18</v>
      </c>
      <c r="G1584" s="0" t="s">
        <v>4960</v>
      </c>
      <c r="H1584" s="0" t="s">
        <v>4960</v>
      </c>
      <c r="I1584" s="0" t="s">
        <v>947</v>
      </c>
      <c r="J1584" s="0" t="s">
        <v>948</v>
      </c>
      <c r="K1584" s="0" t="s">
        <v>4824</v>
      </c>
      <c r="L1584" s="0" t="str">
        <f aca="false">IFERROR(VLOOKUP(K1584,'Supplier list'!B:C,2,0),"")</f>
        <v>บริษัท ทีโอเอ-ยูเนี่ยน เพ้นท์ (ประเทศไทย) จำกัด</v>
      </c>
      <c r="M1584" s="1" t="s">
        <v>24</v>
      </c>
      <c r="O1584" s="2" t="n">
        <v>2800</v>
      </c>
    </row>
    <row r="1585" customFormat="false" ht="16.4" hidden="false" customHeight="false" outlineLevel="0" collapsed="false">
      <c r="A1585" s="0" t="s">
        <v>15</v>
      </c>
      <c r="B1585" s="0" t="s">
        <v>4961</v>
      </c>
      <c r="C1585" s="0" t="n">
        <v>114001</v>
      </c>
      <c r="D1585" s="0" t="n">
        <v>114001</v>
      </c>
      <c r="E1585" s="0" t="s">
        <v>1417</v>
      </c>
      <c r="F1585" s="0" t="s">
        <v>18</v>
      </c>
      <c r="G1585" s="0" t="s">
        <v>4962</v>
      </c>
      <c r="H1585" s="0" t="s">
        <v>4962</v>
      </c>
      <c r="I1585" s="0" t="s">
        <v>947</v>
      </c>
      <c r="J1585" s="0" t="s">
        <v>948</v>
      </c>
      <c r="K1585" s="0" t="s">
        <v>4824</v>
      </c>
      <c r="L1585" s="0" t="str">
        <f aca="false">IFERROR(VLOOKUP(K1585,'Supplier list'!B:C,2,0),"")</f>
        <v>บริษัท ทีโอเอ-ยูเนี่ยน เพ้นท์ (ประเทศไทย) จำกัด</v>
      </c>
      <c r="M1585" s="1" t="s">
        <v>24</v>
      </c>
      <c r="O1585" s="2" t="n">
        <v>2900</v>
      </c>
    </row>
    <row r="1586" customFormat="false" ht="16.4" hidden="false" customHeight="false" outlineLevel="0" collapsed="false">
      <c r="A1586" s="0" t="s">
        <v>15</v>
      </c>
      <c r="B1586" s="0" t="s">
        <v>4963</v>
      </c>
      <c r="C1586" s="0" t="n">
        <v>114001</v>
      </c>
      <c r="D1586" s="0" t="n">
        <v>114001</v>
      </c>
      <c r="E1586" s="0" t="s">
        <v>1417</v>
      </c>
      <c r="F1586" s="0" t="s">
        <v>18</v>
      </c>
      <c r="G1586" s="0" t="s">
        <v>4964</v>
      </c>
      <c r="H1586" s="0" t="s">
        <v>4964</v>
      </c>
      <c r="I1586" s="0" t="s">
        <v>947</v>
      </c>
      <c r="J1586" s="0" t="s">
        <v>948</v>
      </c>
      <c r="K1586" s="0" t="s">
        <v>4824</v>
      </c>
      <c r="L1586" s="0" t="str">
        <f aca="false">IFERROR(VLOOKUP(K1586,'Supplier list'!B:C,2,0),"")</f>
        <v>บริษัท ทีโอเอ-ยูเนี่ยน เพ้นท์ (ประเทศไทย) จำกัด</v>
      </c>
      <c r="M1586" s="1" t="s">
        <v>24</v>
      </c>
      <c r="O1586" s="2" t="n">
        <v>2950</v>
      </c>
    </row>
    <row r="1587" customFormat="false" ht="16.4" hidden="false" customHeight="false" outlineLevel="0" collapsed="false">
      <c r="A1587" s="0" t="s">
        <v>15</v>
      </c>
      <c r="B1587" s="0" t="s">
        <v>4965</v>
      </c>
      <c r="C1587" s="0" t="n">
        <v>114001</v>
      </c>
      <c r="D1587" s="0" t="n">
        <v>114001</v>
      </c>
      <c r="E1587" s="0" t="s">
        <v>1417</v>
      </c>
      <c r="F1587" s="0" t="s">
        <v>18</v>
      </c>
      <c r="G1587" s="0" t="s">
        <v>4966</v>
      </c>
      <c r="H1587" s="0" t="s">
        <v>4966</v>
      </c>
      <c r="I1587" s="0" t="s">
        <v>947</v>
      </c>
      <c r="J1587" s="0" t="s">
        <v>948</v>
      </c>
      <c r="K1587" s="0" t="s">
        <v>4824</v>
      </c>
      <c r="L1587" s="0" t="str">
        <f aca="false">IFERROR(VLOOKUP(K1587,'Supplier list'!B:C,2,0),"")</f>
        <v>บริษัท ทีโอเอ-ยูเนี่ยน เพ้นท์ (ประเทศไทย) จำกัด</v>
      </c>
      <c r="M1587" s="1" t="s">
        <v>24</v>
      </c>
      <c r="O1587" s="2" t="n">
        <v>3000</v>
      </c>
    </row>
    <row r="1588" customFormat="false" ht="16.4" hidden="false" customHeight="false" outlineLevel="0" collapsed="false">
      <c r="A1588" s="0" t="s">
        <v>15</v>
      </c>
      <c r="B1588" s="0" t="s">
        <v>4967</v>
      </c>
      <c r="C1588" s="0" t="n">
        <v>114001</v>
      </c>
      <c r="D1588" s="0" t="n">
        <v>114001</v>
      </c>
      <c r="E1588" s="0" t="s">
        <v>1417</v>
      </c>
      <c r="F1588" s="0" t="s">
        <v>18</v>
      </c>
      <c r="G1588" s="0" t="s">
        <v>4968</v>
      </c>
      <c r="H1588" s="0" t="s">
        <v>4968</v>
      </c>
      <c r="I1588" s="0" t="s">
        <v>947</v>
      </c>
      <c r="J1588" s="0" t="s">
        <v>948</v>
      </c>
      <c r="K1588" s="0" t="s">
        <v>4824</v>
      </c>
      <c r="L1588" s="0" t="str">
        <f aca="false">IFERROR(VLOOKUP(K1588,'Supplier list'!B:C,2,0),"")</f>
        <v>บริษัท ทีโอเอ-ยูเนี่ยน เพ้นท์ (ประเทศไทย) จำกัด</v>
      </c>
      <c r="M1588" s="1" t="s">
        <v>24</v>
      </c>
      <c r="O1588" s="2" t="n">
        <v>3200</v>
      </c>
    </row>
    <row r="1589" customFormat="false" ht="16.4" hidden="false" customHeight="false" outlineLevel="0" collapsed="false">
      <c r="A1589" s="0" t="s">
        <v>15</v>
      </c>
      <c r="B1589" s="0" t="s">
        <v>4969</v>
      </c>
      <c r="C1589" s="0" t="n">
        <v>114001</v>
      </c>
      <c r="D1589" s="0" t="n">
        <v>114001</v>
      </c>
      <c r="E1589" s="0" t="s">
        <v>1417</v>
      </c>
      <c r="F1589" s="0" t="s">
        <v>18</v>
      </c>
      <c r="G1589" s="0" t="s">
        <v>4970</v>
      </c>
      <c r="H1589" s="0" t="s">
        <v>4970</v>
      </c>
      <c r="I1589" s="0" t="s">
        <v>947</v>
      </c>
      <c r="J1589" s="0" t="s">
        <v>948</v>
      </c>
      <c r="K1589" s="0" t="s">
        <v>4824</v>
      </c>
      <c r="L1589" s="0" t="str">
        <f aca="false">IFERROR(VLOOKUP(K1589,'Supplier list'!B:C,2,0),"")</f>
        <v>บริษัท ทีโอเอ-ยูเนี่ยน เพ้นท์ (ประเทศไทย) จำกัด</v>
      </c>
      <c r="M1589" s="1" t="s">
        <v>24</v>
      </c>
      <c r="O1589" s="2" t="n">
        <v>2850</v>
      </c>
    </row>
    <row r="1590" customFormat="false" ht="16.4" hidden="false" customHeight="false" outlineLevel="0" collapsed="false">
      <c r="A1590" s="0" t="s">
        <v>15</v>
      </c>
      <c r="B1590" s="0" t="s">
        <v>4971</v>
      </c>
      <c r="C1590" s="0" t="n">
        <v>114001</v>
      </c>
      <c r="D1590" s="0" t="n">
        <v>114001</v>
      </c>
      <c r="E1590" s="0" t="s">
        <v>4972</v>
      </c>
      <c r="F1590" s="0" t="s">
        <v>18</v>
      </c>
      <c r="G1590" s="0" t="s">
        <v>4973</v>
      </c>
      <c r="H1590" s="0" t="s">
        <v>4974</v>
      </c>
      <c r="I1590" s="0" t="s">
        <v>947</v>
      </c>
      <c r="J1590" s="0" t="s">
        <v>948</v>
      </c>
      <c r="K1590" s="0" t="s">
        <v>4824</v>
      </c>
      <c r="L1590" s="0" t="str">
        <f aca="false">IFERROR(VLOOKUP(K1590,'Supplier list'!B:C,2,0),"")</f>
        <v>บริษัท ทีโอเอ-ยูเนี่ยน เพ้นท์ (ประเทศไทย) จำกัด</v>
      </c>
      <c r="M1590" s="1" t="s">
        <v>24</v>
      </c>
      <c r="O1590" s="2" t="n">
        <v>1200</v>
      </c>
    </row>
    <row r="1591" customFormat="false" ht="16.4" hidden="false" customHeight="false" outlineLevel="0" collapsed="false">
      <c r="A1591" s="0" t="s">
        <v>15</v>
      </c>
      <c r="B1591" s="0" t="s">
        <v>4975</v>
      </c>
      <c r="C1591" s="0" t="n">
        <v>114001</v>
      </c>
      <c r="D1591" s="0" t="n">
        <v>114001</v>
      </c>
      <c r="E1591" s="0" t="s">
        <v>1417</v>
      </c>
      <c r="F1591" s="0" t="s">
        <v>18</v>
      </c>
      <c r="G1591" s="0" t="s">
        <v>4976</v>
      </c>
      <c r="H1591" s="0" t="s">
        <v>4976</v>
      </c>
      <c r="I1591" s="0" t="s">
        <v>947</v>
      </c>
      <c r="J1591" s="0" t="s">
        <v>948</v>
      </c>
      <c r="K1591" s="0" t="s">
        <v>4824</v>
      </c>
      <c r="L1591" s="0" t="str">
        <f aca="false">IFERROR(VLOOKUP(K1591,'Supplier list'!B:C,2,0),"")</f>
        <v>บริษัท ทีโอเอ-ยูเนี่ยน เพ้นท์ (ประเทศไทย) จำกัด</v>
      </c>
      <c r="M1591" s="1" t="s">
        <v>24</v>
      </c>
      <c r="O1591" s="2" t="n">
        <v>2890</v>
      </c>
    </row>
    <row r="1592" customFormat="false" ht="16.4" hidden="false" customHeight="false" outlineLevel="0" collapsed="false">
      <c r="A1592" s="0" t="s">
        <v>15</v>
      </c>
      <c r="B1592" s="0" t="s">
        <v>4977</v>
      </c>
      <c r="C1592" s="0" t="n">
        <v>114001</v>
      </c>
      <c r="D1592" s="0" t="n">
        <v>114001</v>
      </c>
      <c r="E1592" s="0" t="s">
        <v>1417</v>
      </c>
      <c r="F1592" s="0" t="s">
        <v>18</v>
      </c>
      <c r="G1592" s="0" t="s">
        <v>4978</v>
      </c>
      <c r="H1592" s="0" t="s">
        <v>4978</v>
      </c>
      <c r="I1592" s="0" t="s">
        <v>947</v>
      </c>
      <c r="J1592" s="0" t="s">
        <v>948</v>
      </c>
      <c r="K1592" s="0" t="s">
        <v>4824</v>
      </c>
      <c r="L1592" s="0" t="str">
        <f aca="false">IFERROR(VLOOKUP(K1592,'Supplier list'!B:C,2,0),"")</f>
        <v>บริษัท ทีโอเอ-ยูเนี่ยน เพ้นท์ (ประเทศไทย) จำกัด</v>
      </c>
      <c r="M1592" s="1" t="s">
        <v>24</v>
      </c>
      <c r="O1592" s="2" t="n">
        <v>2890</v>
      </c>
    </row>
    <row r="1593" customFormat="false" ht="16.4" hidden="false" customHeight="false" outlineLevel="0" collapsed="false">
      <c r="A1593" s="0" t="s">
        <v>15</v>
      </c>
      <c r="B1593" s="0" t="s">
        <v>4979</v>
      </c>
      <c r="C1593" s="0" t="n">
        <v>114001</v>
      </c>
      <c r="D1593" s="0" t="n">
        <v>114001</v>
      </c>
      <c r="E1593" s="0" t="s">
        <v>1417</v>
      </c>
      <c r="F1593" s="0" t="s">
        <v>18</v>
      </c>
      <c r="G1593" s="0" t="s">
        <v>4980</v>
      </c>
      <c r="H1593" s="0" t="s">
        <v>4980</v>
      </c>
      <c r="I1593" s="0" t="s">
        <v>947</v>
      </c>
      <c r="J1593" s="0" t="s">
        <v>948</v>
      </c>
      <c r="K1593" s="0" t="s">
        <v>4824</v>
      </c>
      <c r="L1593" s="0" t="str">
        <f aca="false">IFERROR(VLOOKUP(K1593,'Supplier list'!B:C,2,0),"")</f>
        <v>บริษัท ทีโอเอ-ยูเนี่ยน เพ้นท์ (ประเทศไทย) จำกัด</v>
      </c>
      <c r="M1593" s="1" t="s">
        <v>24</v>
      </c>
      <c r="O1593" s="2" t="n">
        <v>2890</v>
      </c>
    </row>
    <row r="1594" customFormat="false" ht="16.4" hidden="false" customHeight="false" outlineLevel="0" collapsed="false">
      <c r="A1594" s="0" t="s">
        <v>15</v>
      </c>
      <c r="B1594" s="0" t="s">
        <v>4981</v>
      </c>
      <c r="C1594" s="0" t="n">
        <v>114001</v>
      </c>
      <c r="D1594" s="0" t="n">
        <v>114001</v>
      </c>
      <c r="E1594" s="0" t="s">
        <v>1417</v>
      </c>
      <c r="F1594" s="0" t="s">
        <v>18</v>
      </c>
      <c r="G1594" s="0" t="s">
        <v>4982</v>
      </c>
      <c r="H1594" s="0" t="s">
        <v>4982</v>
      </c>
      <c r="I1594" s="0" t="s">
        <v>947</v>
      </c>
      <c r="J1594" s="0" t="s">
        <v>948</v>
      </c>
      <c r="K1594" s="0" t="s">
        <v>4824</v>
      </c>
      <c r="L1594" s="0" t="str">
        <f aca="false">IFERROR(VLOOKUP(K1594,'Supplier list'!B:C,2,0),"")</f>
        <v>บริษัท ทีโอเอ-ยูเนี่ยน เพ้นท์ (ประเทศไทย) จำกัด</v>
      </c>
      <c r="M1594" s="1" t="s">
        <v>24</v>
      </c>
      <c r="O1594" s="2" t="n">
        <v>2890</v>
      </c>
    </row>
    <row r="1595" customFormat="false" ht="16.4" hidden="false" customHeight="false" outlineLevel="0" collapsed="false">
      <c r="A1595" s="0" t="s">
        <v>15</v>
      </c>
      <c r="B1595" s="0" t="s">
        <v>4983</v>
      </c>
      <c r="C1595" s="0" t="n">
        <v>114001</v>
      </c>
      <c r="D1595" s="0" t="n">
        <v>114001</v>
      </c>
      <c r="E1595" s="0" t="s">
        <v>1417</v>
      </c>
      <c r="F1595" s="0" t="s">
        <v>18</v>
      </c>
      <c r="G1595" s="0" t="s">
        <v>4984</v>
      </c>
      <c r="H1595" s="0" t="s">
        <v>4984</v>
      </c>
      <c r="I1595" s="0" t="s">
        <v>947</v>
      </c>
      <c r="J1595" s="0" t="s">
        <v>948</v>
      </c>
      <c r="K1595" s="0" t="s">
        <v>4824</v>
      </c>
      <c r="L1595" s="0" t="str">
        <f aca="false">IFERROR(VLOOKUP(K1595,'Supplier list'!B:C,2,0),"")</f>
        <v>บริษัท ทีโอเอ-ยูเนี่ยน เพ้นท์ (ประเทศไทย) จำกัด</v>
      </c>
      <c r="M1595" s="1" t="s">
        <v>24</v>
      </c>
      <c r="O1595" s="2" t="n">
        <v>2890</v>
      </c>
    </row>
    <row r="1596" customFormat="false" ht="16.4" hidden="false" customHeight="false" outlineLevel="0" collapsed="false">
      <c r="A1596" s="0" t="s">
        <v>15</v>
      </c>
      <c r="B1596" s="0" t="s">
        <v>4985</v>
      </c>
      <c r="C1596" s="0" t="n">
        <v>114001</v>
      </c>
      <c r="D1596" s="0" t="n">
        <v>114001</v>
      </c>
      <c r="E1596" s="0" t="s">
        <v>1417</v>
      </c>
      <c r="F1596" s="0" t="s">
        <v>18</v>
      </c>
      <c r="G1596" s="0" t="s">
        <v>4986</v>
      </c>
      <c r="H1596" s="0" t="s">
        <v>4987</v>
      </c>
      <c r="I1596" s="0" t="s">
        <v>947</v>
      </c>
      <c r="J1596" s="0" t="s">
        <v>948</v>
      </c>
      <c r="K1596" s="0" t="s">
        <v>4824</v>
      </c>
      <c r="L1596" s="0" t="str">
        <f aca="false">IFERROR(VLOOKUP(K1596,'Supplier list'!B:C,2,0),"")</f>
        <v>บริษัท ทีโอเอ-ยูเนี่ยน เพ้นท์ (ประเทศไทย) จำกัด</v>
      </c>
      <c r="M1596" s="1" t="s">
        <v>24</v>
      </c>
      <c r="O1596" s="2" t="n">
        <v>2790</v>
      </c>
    </row>
    <row r="1597" customFormat="false" ht="16.4" hidden="false" customHeight="false" outlineLevel="0" collapsed="false">
      <c r="A1597" s="0" t="s">
        <v>15</v>
      </c>
      <c r="B1597" s="0" t="s">
        <v>4988</v>
      </c>
      <c r="C1597" s="0" t="n">
        <v>114001</v>
      </c>
      <c r="D1597" s="0" t="n">
        <v>114001</v>
      </c>
      <c r="E1597" s="0" t="s">
        <v>1417</v>
      </c>
      <c r="F1597" s="0" t="s">
        <v>18</v>
      </c>
      <c r="G1597" s="0" t="s">
        <v>4989</v>
      </c>
      <c r="H1597" s="0" t="s">
        <v>4990</v>
      </c>
      <c r="I1597" s="0" t="s">
        <v>947</v>
      </c>
      <c r="J1597" s="0" t="s">
        <v>948</v>
      </c>
      <c r="K1597" s="0" t="s">
        <v>4824</v>
      </c>
      <c r="L1597" s="0" t="str">
        <f aca="false">IFERROR(VLOOKUP(K1597,'Supplier list'!B:C,2,0),"")</f>
        <v>บริษัท ทีโอเอ-ยูเนี่ยน เพ้นท์ (ประเทศไทย) จำกัด</v>
      </c>
      <c r="M1597" s="1" t="s">
        <v>24</v>
      </c>
      <c r="O1597" s="2" t="n">
        <v>650</v>
      </c>
    </row>
    <row r="1598" customFormat="false" ht="16.4" hidden="false" customHeight="false" outlineLevel="0" collapsed="false">
      <c r="A1598" s="0" t="s">
        <v>15</v>
      </c>
      <c r="B1598" s="0" t="s">
        <v>4991</v>
      </c>
      <c r="C1598" s="0" t="n">
        <v>114001</v>
      </c>
      <c r="D1598" s="0" t="n">
        <v>114001</v>
      </c>
      <c r="E1598" s="0" t="s">
        <v>1417</v>
      </c>
      <c r="F1598" s="0" t="s">
        <v>18</v>
      </c>
      <c r="G1598" s="0" t="s">
        <v>4992</v>
      </c>
      <c r="H1598" s="0" t="s">
        <v>4992</v>
      </c>
      <c r="I1598" s="0" t="s">
        <v>947</v>
      </c>
      <c r="J1598" s="0" t="s">
        <v>948</v>
      </c>
      <c r="K1598" s="0" t="s">
        <v>4824</v>
      </c>
      <c r="L1598" s="0" t="str">
        <f aca="false">IFERROR(VLOOKUP(K1598,'Supplier list'!B:C,2,0),"")</f>
        <v>บริษัท ทีโอเอ-ยูเนี่ยน เพ้นท์ (ประเทศไทย) จำกัด</v>
      </c>
      <c r="M1598" s="1" t="s">
        <v>24</v>
      </c>
      <c r="O1598" s="2" t="n">
        <v>2890</v>
      </c>
    </row>
    <row r="1599" customFormat="false" ht="16.4" hidden="false" customHeight="false" outlineLevel="0" collapsed="false">
      <c r="A1599" s="0" t="s">
        <v>15</v>
      </c>
      <c r="B1599" s="0" t="s">
        <v>4993</v>
      </c>
      <c r="C1599" s="0" t="n">
        <v>114001</v>
      </c>
      <c r="D1599" s="0" t="n">
        <v>114001</v>
      </c>
      <c r="E1599" s="0" t="s">
        <v>1417</v>
      </c>
      <c r="F1599" s="0" t="s">
        <v>18</v>
      </c>
      <c r="G1599" s="0" t="s">
        <v>4994</v>
      </c>
      <c r="H1599" s="0" t="s">
        <v>4994</v>
      </c>
      <c r="I1599" s="0" t="s">
        <v>947</v>
      </c>
      <c r="J1599" s="0" t="s">
        <v>948</v>
      </c>
      <c r="K1599" s="0" t="s">
        <v>4824</v>
      </c>
      <c r="L1599" s="0" t="str">
        <f aca="false">IFERROR(VLOOKUP(K1599,'Supplier list'!B:C,2,0),"")</f>
        <v>บริษัท ทีโอเอ-ยูเนี่ยน เพ้นท์ (ประเทศไทย) จำกัด</v>
      </c>
      <c r="M1599" s="1" t="s">
        <v>24</v>
      </c>
      <c r="O1599" s="2" t="n">
        <v>2890</v>
      </c>
    </row>
    <row r="1600" customFormat="false" ht="16.4" hidden="false" customHeight="false" outlineLevel="0" collapsed="false">
      <c r="A1600" s="0" t="s">
        <v>15</v>
      </c>
      <c r="B1600" s="0" t="s">
        <v>4995</v>
      </c>
      <c r="C1600" s="0" t="n">
        <v>114001</v>
      </c>
      <c r="D1600" s="0" t="n">
        <v>114001</v>
      </c>
      <c r="E1600" s="0" t="s">
        <v>1417</v>
      </c>
      <c r="F1600" s="0" t="s">
        <v>18</v>
      </c>
      <c r="G1600" s="0" t="s">
        <v>4996</v>
      </c>
      <c r="H1600" s="0" t="s">
        <v>4996</v>
      </c>
      <c r="I1600" s="0" t="s">
        <v>947</v>
      </c>
      <c r="J1600" s="0" t="s">
        <v>948</v>
      </c>
      <c r="K1600" s="0" t="s">
        <v>4824</v>
      </c>
      <c r="L1600" s="0" t="str">
        <f aca="false">IFERROR(VLOOKUP(K1600,'Supplier list'!B:C,2,0),"")</f>
        <v>บริษัท ทีโอเอ-ยูเนี่ยน เพ้นท์ (ประเทศไทย) จำกัด</v>
      </c>
      <c r="M1600" s="1" t="s">
        <v>24</v>
      </c>
      <c r="O1600" s="2" t="n">
        <v>0</v>
      </c>
    </row>
    <row r="1601" customFormat="false" ht="16.4" hidden="false" customHeight="false" outlineLevel="0" collapsed="false">
      <c r="A1601" s="0" t="s">
        <v>15</v>
      </c>
      <c r="B1601" s="0" t="s">
        <v>4997</v>
      </c>
      <c r="C1601" s="0" t="n">
        <v>114001</v>
      </c>
      <c r="D1601" s="0" t="n">
        <v>114001</v>
      </c>
      <c r="E1601" s="0" t="s">
        <v>1417</v>
      </c>
      <c r="F1601" s="0" t="s">
        <v>18</v>
      </c>
      <c r="G1601" s="0" t="s">
        <v>4998</v>
      </c>
      <c r="H1601" s="0" t="s">
        <v>4998</v>
      </c>
      <c r="I1601" s="0" t="s">
        <v>947</v>
      </c>
      <c r="J1601" s="0" t="s">
        <v>948</v>
      </c>
      <c r="K1601" s="0" t="s">
        <v>4824</v>
      </c>
      <c r="L1601" s="0" t="str">
        <f aca="false">IFERROR(VLOOKUP(K1601,'Supplier list'!B:C,2,0),"")</f>
        <v>บริษัท ทีโอเอ-ยูเนี่ยน เพ้นท์ (ประเทศไทย) จำกัด</v>
      </c>
      <c r="M1601" s="1" t="s">
        <v>24</v>
      </c>
      <c r="O1601" s="2" t="n">
        <v>3900</v>
      </c>
    </row>
    <row r="1602" customFormat="false" ht="16.4" hidden="false" customHeight="false" outlineLevel="0" collapsed="false">
      <c r="A1602" s="0" t="s">
        <v>15</v>
      </c>
      <c r="B1602" s="0" t="s">
        <v>4999</v>
      </c>
      <c r="C1602" s="0" t="n">
        <v>114001</v>
      </c>
      <c r="D1602" s="0" t="n">
        <v>114001</v>
      </c>
      <c r="E1602" s="0" t="s">
        <v>1417</v>
      </c>
      <c r="F1602" s="0" t="s">
        <v>18</v>
      </c>
      <c r="G1602" s="0" t="s">
        <v>5000</v>
      </c>
      <c r="H1602" s="0" t="s">
        <v>5001</v>
      </c>
      <c r="I1602" s="0" t="s">
        <v>947</v>
      </c>
      <c r="J1602" s="0" t="s">
        <v>948</v>
      </c>
      <c r="K1602" s="0" t="s">
        <v>4824</v>
      </c>
      <c r="L1602" s="0" t="str">
        <f aca="false">IFERROR(VLOOKUP(K1602,'Supplier list'!B:C,2,0),"")</f>
        <v>บริษัท ทีโอเอ-ยูเนี่ยน เพ้นท์ (ประเทศไทย) จำกัด</v>
      </c>
      <c r="M1602" s="1" t="s">
        <v>24</v>
      </c>
      <c r="O1602" s="2" t="n">
        <v>0</v>
      </c>
    </row>
    <row r="1603" customFormat="false" ht="16.4" hidden="false" customHeight="false" outlineLevel="0" collapsed="false">
      <c r="A1603" s="0" t="s">
        <v>15</v>
      </c>
      <c r="B1603" s="0" t="s">
        <v>5002</v>
      </c>
      <c r="C1603" s="0" t="n">
        <v>114001</v>
      </c>
      <c r="D1603" s="0" t="n">
        <v>114001</v>
      </c>
      <c r="E1603" s="0" t="s">
        <v>1417</v>
      </c>
      <c r="F1603" s="0" t="s">
        <v>18</v>
      </c>
      <c r="G1603" s="0" t="s">
        <v>5003</v>
      </c>
      <c r="H1603" s="0" t="s">
        <v>5004</v>
      </c>
      <c r="I1603" s="0" t="s">
        <v>947</v>
      </c>
      <c r="J1603" s="0" t="s">
        <v>948</v>
      </c>
      <c r="K1603" s="0" t="s">
        <v>899</v>
      </c>
      <c r="L1603" s="0" t="str">
        <f aca="false">IFERROR(VLOOKUP(K1603,'Supplier list'!B:C,2,0),"")</f>
        <v>บริษัท ไทฟง อินเตอร์เนชั่นแนล จำกัด</v>
      </c>
      <c r="M1603" s="1" t="s">
        <v>24</v>
      </c>
      <c r="O1603" s="2" t="n">
        <v>1400</v>
      </c>
    </row>
    <row r="1604" customFormat="false" ht="16.4" hidden="false" customHeight="false" outlineLevel="0" collapsed="false">
      <c r="A1604" s="0" t="s">
        <v>15</v>
      </c>
      <c r="B1604" s="0" t="s">
        <v>5005</v>
      </c>
      <c r="C1604" s="0" t="n">
        <v>114001</v>
      </c>
      <c r="D1604" s="0" t="n">
        <v>114001</v>
      </c>
      <c r="E1604" s="0" t="s">
        <v>1417</v>
      </c>
      <c r="F1604" s="0" t="s">
        <v>18</v>
      </c>
      <c r="G1604" s="0" t="s">
        <v>5006</v>
      </c>
      <c r="H1604" s="0" t="s">
        <v>5007</v>
      </c>
      <c r="I1604" s="0" t="s">
        <v>947</v>
      </c>
      <c r="J1604" s="0" t="s">
        <v>948</v>
      </c>
      <c r="K1604" s="0" t="s">
        <v>4824</v>
      </c>
      <c r="L1604" s="0" t="str">
        <f aca="false">IFERROR(VLOOKUP(K1604,'Supplier list'!B:C,2,0),"")</f>
        <v>บริษัท ทีโอเอ-ยูเนี่ยน เพ้นท์ (ประเทศไทย) จำกัด</v>
      </c>
      <c r="M1604" s="1" t="s">
        <v>24</v>
      </c>
      <c r="O1604" s="2" t="n">
        <v>2500</v>
      </c>
    </row>
    <row r="1605" customFormat="false" ht="16.4" hidden="false" customHeight="false" outlineLevel="0" collapsed="false">
      <c r="A1605" s="0" t="s">
        <v>15</v>
      </c>
      <c r="B1605" s="0" t="s">
        <v>5008</v>
      </c>
      <c r="C1605" s="0" t="n">
        <v>114001</v>
      </c>
      <c r="D1605" s="0" t="n">
        <v>114001</v>
      </c>
      <c r="E1605" s="0" t="s">
        <v>1417</v>
      </c>
      <c r="F1605" s="0" t="s">
        <v>18</v>
      </c>
      <c r="G1605" s="0" t="s">
        <v>5009</v>
      </c>
      <c r="H1605" s="0" t="s">
        <v>5009</v>
      </c>
      <c r="I1605" s="0" t="s">
        <v>947</v>
      </c>
      <c r="J1605" s="0" t="s">
        <v>948</v>
      </c>
      <c r="K1605" s="0" t="s">
        <v>4824</v>
      </c>
      <c r="L1605" s="0" t="str">
        <f aca="false">IFERROR(VLOOKUP(K1605,'Supplier list'!B:C,2,0),"")</f>
        <v>บริษัท ทีโอเอ-ยูเนี่ยน เพ้นท์ (ประเทศไทย) จำกัด</v>
      </c>
      <c r="M1605" s="1" t="s">
        <v>24</v>
      </c>
      <c r="O1605" s="2" t="n">
        <v>3600</v>
      </c>
    </row>
    <row r="1606" customFormat="false" ht="16.4" hidden="false" customHeight="false" outlineLevel="0" collapsed="false">
      <c r="A1606" s="0" t="s">
        <v>15</v>
      </c>
      <c r="B1606" s="0" t="s">
        <v>5010</v>
      </c>
      <c r="C1606" s="0" t="n">
        <v>114001</v>
      </c>
      <c r="D1606" s="0" t="n">
        <v>114001</v>
      </c>
      <c r="E1606" s="0" t="s">
        <v>1417</v>
      </c>
      <c r="F1606" s="0" t="s">
        <v>18</v>
      </c>
      <c r="G1606" s="0" t="s">
        <v>5011</v>
      </c>
      <c r="H1606" s="0" t="s">
        <v>5011</v>
      </c>
      <c r="I1606" s="0" t="s">
        <v>947</v>
      </c>
      <c r="J1606" s="0" t="s">
        <v>948</v>
      </c>
      <c r="K1606" s="0" t="s">
        <v>4824</v>
      </c>
      <c r="L1606" s="0" t="str">
        <f aca="false">IFERROR(VLOOKUP(K1606,'Supplier list'!B:C,2,0),"")</f>
        <v>บริษัท ทีโอเอ-ยูเนี่ยน เพ้นท์ (ประเทศไทย) จำกัด</v>
      </c>
      <c r="M1606" s="1" t="s">
        <v>24</v>
      </c>
      <c r="O1606" s="2" t="n">
        <v>3600</v>
      </c>
    </row>
    <row r="1607" customFormat="false" ht="16.4" hidden="false" customHeight="false" outlineLevel="0" collapsed="false">
      <c r="A1607" s="0" t="s">
        <v>15</v>
      </c>
      <c r="B1607" s="0" t="s">
        <v>5012</v>
      </c>
      <c r="C1607" s="0" t="n">
        <v>114001</v>
      </c>
      <c r="D1607" s="0" t="n">
        <v>114001</v>
      </c>
      <c r="E1607" s="0" t="s">
        <v>4972</v>
      </c>
      <c r="F1607" s="0" t="s">
        <v>18</v>
      </c>
      <c r="G1607" s="0" t="s">
        <v>5013</v>
      </c>
      <c r="H1607" s="0" t="s">
        <v>5014</v>
      </c>
      <c r="I1607" s="0" t="s">
        <v>947</v>
      </c>
      <c r="J1607" s="0" t="s">
        <v>948</v>
      </c>
      <c r="K1607" s="0" t="s">
        <v>4824</v>
      </c>
      <c r="L1607" s="0" t="str">
        <f aca="false">IFERROR(VLOOKUP(K1607,'Supplier list'!B:C,2,0),"")</f>
        <v>บริษัท ทีโอเอ-ยูเนี่ยน เพ้นท์ (ประเทศไทย) จำกัด</v>
      </c>
      <c r="M1607" s="1" t="s">
        <v>24</v>
      </c>
      <c r="O1607" s="2" t="n">
        <v>1200</v>
      </c>
    </row>
    <row r="1608" customFormat="false" ht="16.4" hidden="false" customHeight="false" outlineLevel="0" collapsed="false">
      <c r="A1608" s="0" t="s">
        <v>15</v>
      </c>
      <c r="B1608" s="0" t="s">
        <v>5015</v>
      </c>
      <c r="C1608" s="0" t="n">
        <v>114001</v>
      </c>
      <c r="D1608" s="0" t="n">
        <v>114001</v>
      </c>
      <c r="E1608" s="0" t="s">
        <v>4972</v>
      </c>
      <c r="F1608" s="0" t="s">
        <v>18</v>
      </c>
      <c r="G1608" s="0" t="s">
        <v>5016</v>
      </c>
      <c r="H1608" s="0" t="s">
        <v>5017</v>
      </c>
      <c r="I1608" s="0" t="s">
        <v>947</v>
      </c>
      <c r="J1608" s="0" t="s">
        <v>948</v>
      </c>
      <c r="K1608" s="0" t="s">
        <v>4824</v>
      </c>
      <c r="L1608" s="0" t="str">
        <f aca="false">IFERROR(VLOOKUP(K1608,'Supplier list'!B:C,2,0),"")</f>
        <v>บริษัท ทีโอเอ-ยูเนี่ยน เพ้นท์ (ประเทศไทย) จำกัด</v>
      </c>
      <c r="M1608" s="1" t="s">
        <v>24</v>
      </c>
      <c r="O1608" s="2" t="n">
        <v>1200</v>
      </c>
    </row>
    <row r="1609" customFormat="false" ht="16.4" hidden="false" customHeight="false" outlineLevel="0" collapsed="false">
      <c r="A1609" s="0" t="s">
        <v>15</v>
      </c>
      <c r="B1609" s="0" t="s">
        <v>5018</v>
      </c>
      <c r="C1609" s="0" t="n">
        <v>114001</v>
      </c>
      <c r="D1609" s="0" t="n">
        <v>114001</v>
      </c>
      <c r="E1609" s="0" t="s">
        <v>4972</v>
      </c>
      <c r="F1609" s="0" t="s">
        <v>18</v>
      </c>
      <c r="G1609" s="0" t="s">
        <v>5019</v>
      </c>
      <c r="H1609" s="0" t="s">
        <v>5020</v>
      </c>
      <c r="I1609" s="0" t="s">
        <v>947</v>
      </c>
      <c r="J1609" s="0" t="s">
        <v>948</v>
      </c>
      <c r="K1609" s="0" t="s">
        <v>4824</v>
      </c>
      <c r="L1609" s="0" t="str">
        <f aca="false">IFERROR(VLOOKUP(K1609,'Supplier list'!B:C,2,0),"")</f>
        <v>บริษัท ทีโอเอ-ยูเนี่ยน เพ้นท์ (ประเทศไทย) จำกัด</v>
      </c>
      <c r="M1609" s="1" t="s">
        <v>24</v>
      </c>
      <c r="O1609" s="2" t="n">
        <v>1200</v>
      </c>
    </row>
    <row r="1610" customFormat="false" ht="16.4" hidden="false" customHeight="false" outlineLevel="0" collapsed="false">
      <c r="A1610" s="0" t="s">
        <v>15</v>
      </c>
      <c r="B1610" s="0" t="s">
        <v>5021</v>
      </c>
      <c r="C1610" s="0" t="n">
        <v>114001</v>
      </c>
      <c r="D1610" s="0" t="n">
        <v>114001</v>
      </c>
      <c r="E1610" s="0" t="s">
        <v>4972</v>
      </c>
      <c r="F1610" s="0" t="s">
        <v>18</v>
      </c>
      <c r="G1610" s="0" t="s">
        <v>5022</v>
      </c>
      <c r="H1610" s="0" t="s">
        <v>5023</v>
      </c>
      <c r="I1610" s="0" t="s">
        <v>947</v>
      </c>
      <c r="J1610" s="0" t="s">
        <v>948</v>
      </c>
      <c r="K1610" s="0" t="s">
        <v>4824</v>
      </c>
      <c r="L1610" s="0" t="str">
        <f aca="false">IFERROR(VLOOKUP(K1610,'Supplier list'!B:C,2,0),"")</f>
        <v>บริษัท ทีโอเอ-ยูเนี่ยน เพ้นท์ (ประเทศไทย) จำกัด</v>
      </c>
      <c r="M1610" s="1" t="s">
        <v>24</v>
      </c>
      <c r="O1610" s="2" t="n">
        <v>1200</v>
      </c>
    </row>
    <row r="1611" customFormat="false" ht="16.4" hidden="false" customHeight="false" outlineLevel="0" collapsed="false">
      <c r="A1611" s="0" t="s">
        <v>15</v>
      </c>
      <c r="B1611" s="0" t="s">
        <v>5024</v>
      </c>
      <c r="C1611" s="0" t="n">
        <v>114001</v>
      </c>
      <c r="D1611" s="0" t="n">
        <v>114001</v>
      </c>
      <c r="E1611" s="0" t="s">
        <v>4972</v>
      </c>
      <c r="F1611" s="0" t="s">
        <v>18</v>
      </c>
      <c r="G1611" s="0" t="s">
        <v>5025</v>
      </c>
      <c r="H1611" s="0" t="s">
        <v>5026</v>
      </c>
      <c r="I1611" s="0" t="s">
        <v>947</v>
      </c>
      <c r="J1611" s="0" t="s">
        <v>948</v>
      </c>
      <c r="K1611" s="0" t="s">
        <v>4824</v>
      </c>
      <c r="L1611" s="0" t="str">
        <f aca="false">IFERROR(VLOOKUP(K1611,'Supplier list'!B:C,2,0),"")</f>
        <v>บริษัท ทีโอเอ-ยูเนี่ยน เพ้นท์ (ประเทศไทย) จำกัด</v>
      </c>
      <c r="M1611" s="1" t="s">
        <v>24</v>
      </c>
      <c r="O1611" s="2" t="n">
        <v>1200</v>
      </c>
    </row>
    <row r="1612" customFormat="false" ht="16.4" hidden="false" customHeight="false" outlineLevel="0" collapsed="false">
      <c r="A1612" s="0" t="s">
        <v>15</v>
      </c>
      <c r="B1612" s="0" t="s">
        <v>5027</v>
      </c>
      <c r="C1612" s="0" t="n">
        <v>114001</v>
      </c>
      <c r="D1612" s="0" t="n">
        <v>114001</v>
      </c>
      <c r="E1612" s="0" t="s">
        <v>4972</v>
      </c>
      <c r="F1612" s="0" t="s">
        <v>18</v>
      </c>
      <c r="G1612" s="0" t="s">
        <v>5028</v>
      </c>
      <c r="H1612" s="0" t="s">
        <v>5029</v>
      </c>
      <c r="I1612" s="0" t="s">
        <v>947</v>
      </c>
      <c r="J1612" s="0" t="s">
        <v>948</v>
      </c>
      <c r="K1612" s="0" t="s">
        <v>4824</v>
      </c>
      <c r="L1612" s="0" t="str">
        <f aca="false">IFERROR(VLOOKUP(K1612,'Supplier list'!B:C,2,0),"")</f>
        <v>บริษัท ทีโอเอ-ยูเนี่ยน เพ้นท์ (ประเทศไทย) จำกัด</v>
      </c>
      <c r="M1612" s="1" t="s">
        <v>24</v>
      </c>
      <c r="O1612" s="2" t="n">
        <v>1200</v>
      </c>
    </row>
    <row r="1613" customFormat="false" ht="16.4" hidden="false" customHeight="false" outlineLevel="0" collapsed="false">
      <c r="A1613" s="0" t="s">
        <v>15</v>
      </c>
      <c r="B1613" s="0" t="s">
        <v>5030</v>
      </c>
      <c r="C1613" s="0" t="n">
        <v>114001</v>
      </c>
      <c r="D1613" s="0" t="n">
        <v>114001</v>
      </c>
      <c r="E1613" s="0" t="s">
        <v>4972</v>
      </c>
      <c r="F1613" s="0" t="s">
        <v>18</v>
      </c>
      <c r="G1613" s="0" t="s">
        <v>5031</v>
      </c>
      <c r="H1613" s="0" t="s">
        <v>5032</v>
      </c>
      <c r="I1613" s="0" t="s">
        <v>947</v>
      </c>
      <c r="J1613" s="0" t="s">
        <v>948</v>
      </c>
      <c r="K1613" s="0" t="s">
        <v>4824</v>
      </c>
      <c r="L1613" s="0" t="str">
        <f aca="false">IFERROR(VLOOKUP(K1613,'Supplier list'!B:C,2,0),"")</f>
        <v>บริษัท ทีโอเอ-ยูเนี่ยน เพ้นท์ (ประเทศไทย) จำกัด</v>
      </c>
      <c r="M1613" s="1" t="s">
        <v>24</v>
      </c>
      <c r="O1613" s="2" t="n">
        <v>1500</v>
      </c>
    </row>
    <row r="1614" customFormat="false" ht="16.4" hidden="false" customHeight="false" outlineLevel="0" collapsed="false">
      <c r="A1614" s="0" t="s">
        <v>15</v>
      </c>
      <c r="B1614" s="0" t="s">
        <v>5033</v>
      </c>
      <c r="C1614" s="0" t="n">
        <v>114001</v>
      </c>
      <c r="D1614" s="0" t="n">
        <v>114001</v>
      </c>
      <c r="E1614" s="0" t="s">
        <v>4972</v>
      </c>
      <c r="F1614" s="0" t="s">
        <v>18</v>
      </c>
      <c r="G1614" s="0" t="s">
        <v>5034</v>
      </c>
      <c r="H1614" s="0" t="s">
        <v>5035</v>
      </c>
      <c r="I1614" s="0" t="s">
        <v>947</v>
      </c>
      <c r="J1614" s="0" t="s">
        <v>948</v>
      </c>
      <c r="K1614" s="0" t="s">
        <v>4824</v>
      </c>
      <c r="L1614" s="0" t="str">
        <f aca="false">IFERROR(VLOOKUP(K1614,'Supplier list'!B:C,2,0),"")</f>
        <v>บริษัท ทีโอเอ-ยูเนี่ยน เพ้นท์ (ประเทศไทย) จำกัด</v>
      </c>
      <c r="M1614" s="1" t="s">
        <v>24</v>
      </c>
      <c r="O1614" s="2" t="n">
        <v>1500</v>
      </c>
    </row>
    <row r="1615" customFormat="false" ht="16.4" hidden="false" customHeight="false" outlineLevel="0" collapsed="false">
      <c r="A1615" s="0" t="s">
        <v>15</v>
      </c>
      <c r="B1615" s="0" t="s">
        <v>5036</v>
      </c>
      <c r="C1615" s="0" t="n">
        <v>114001</v>
      </c>
      <c r="D1615" s="0" t="n">
        <v>114001</v>
      </c>
      <c r="E1615" s="0" t="s">
        <v>4972</v>
      </c>
      <c r="F1615" s="0" t="s">
        <v>18</v>
      </c>
      <c r="G1615" s="0" t="s">
        <v>5037</v>
      </c>
      <c r="H1615" s="0" t="s">
        <v>5038</v>
      </c>
      <c r="I1615" s="0" t="s">
        <v>947</v>
      </c>
      <c r="J1615" s="0" t="s">
        <v>948</v>
      </c>
      <c r="K1615" s="0" t="s">
        <v>4824</v>
      </c>
      <c r="L1615" s="0" t="str">
        <f aca="false">IFERROR(VLOOKUP(K1615,'Supplier list'!B:C,2,0),"")</f>
        <v>บริษัท ทีโอเอ-ยูเนี่ยน เพ้นท์ (ประเทศไทย) จำกัด</v>
      </c>
      <c r="M1615" s="1" t="s">
        <v>24</v>
      </c>
      <c r="O1615" s="2" t="n">
        <v>1700</v>
      </c>
    </row>
    <row r="1616" customFormat="false" ht="16.4" hidden="false" customHeight="false" outlineLevel="0" collapsed="false">
      <c r="A1616" s="0" t="s">
        <v>15</v>
      </c>
      <c r="B1616" s="0" t="s">
        <v>5039</v>
      </c>
      <c r="C1616" s="0" t="n">
        <v>114001</v>
      </c>
      <c r="D1616" s="0" t="n">
        <v>114001</v>
      </c>
      <c r="E1616" s="0" t="s">
        <v>4972</v>
      </c>
      <c r="F1616" s="0" t="s">
        <v>18</v>
      </c>
      <c r="G1616" s="0" t="s">
        <v>5040</v>
      </c>
      <c r="H1616" s="0" t="s">
        <v>5041</v>
      </c>
      <c r="I1616" s="0" t="s">
        <v>947</v>
      </c>
      <c r="J1616" s="0" t="s">
        <v>948</v>
      </c>
      <c r="K1616" s="0" t="s">
        <v>4824</v>
      </c>
      <c r="L1616" s="0" t="str">
        <f aca="false">IFERROR(VLOOKUP(K1616,'Supplier list'!B:C,2,0),"")</f>
        <v>บริษัท ทีโอเอ-ยูเนี่ยน เพ้นท์ (ประเทศไทย) จำกัด</v>
      </c>
      <c r="M1616" s="1" t="s">
        <v>24</v>
      </c>
      <c r="O1616" s="2" t="n">
        <v>1500</v>
      </c>
    </row>
    <row r="1617" customFormat="false" ht="16.4" hidden="false" customHeight="false" outlineLevel="0" collapsed="false">
      <c r="A1617" s="0" t="s">
        <v>15</v>
      </c>
      <c r="B1617" s="0" t="s">
        <v>5042</v>
      </c>
      <c r="C1617" s="0" t="n">
        <v>114001</v>
      </c>
      <c r="D1617" s="0" t="n">
        <v>114001</v>
      </c>
      <c r="E1617" s="0" t="s">
        <v>4972</v>
      </c>
      <c r="F1617" s="0" t="s">
        <v>18</v>
      </c>
      <c r="G1617" s="0" t="s">
        <v>5043</v>
      </c>
      <c r="H1617" s="0" t="s">
        <v>5044</v>
      </c>
      <c r="I1617" s="0" t="s">
        <v>947</v>
      </c>
      <c r="J1617" s="0" t="s">
        <v>948</v>
      </c>
      <c r="K1617" s="0" t="s">
        <v>4824</v>
      </c>
      <c r="L1617" s="0" t="str">
        <f aca="false">IFERROR(VLOOKUP(K1617,'Supplier list'!B:C,2,0),"")</f>
        <v>บริษัท ทีโอเอ-ยูเนี่ยน เพ้นท์ (ประเทศไทย) จำกัด</v>
      </c>
      <c r="M1617" s="1" t="s">
        <v>24</v>
      </c>
      <c r="O1617" s="2" t="n">
        <v>1500</v>
      </c>
    </row>
    <row r="1618" customFormat="false" ht="16.4" hidden="false" customHeight="false" outlineLevel="0" collapsed="false">
      <c r="A1618" s="0" t="s">
        <v>15</v>
      </c>
      <c r="B1618" s="0" t="s">
        <v>5045</v>
      </c>
      <c r="C1618" s="0" t="n">
        <v>114001</v>
      </c>
      <c r="D1618" s="0" t="n">
        <v>114001</v>
      </c>
      <c r="E1618" s="0" t="s">
        <v>4972</v>
      </c>
      <c r="F1618" s="0" t="s">
        <v>18</v>
      </c>
      <c r="G1618" s="0" t="s">
        <v>5046</v>
      </c>
      <c r="H1618" s="0" t="s">
        <v>5047</v>
      </c>
      <c r="I1618" s="0" t="s">
        <v>947</v>
      </c>
      <c r="J1618" s="0" t="s">
        <v>948</v>
      </c>
      <c r="K1618" s="0" t="s">
        <v>4824</v>
      </c>
      <c r="L1618" s="0" t="str">
        <f aca="false">IFERROR(VLOOKUP(K1618,'Supplier list'!B:C,2,0),"")</f>
        <v>บริษัท ทีโอเอ-ยูเนี่ยน เพ้นท์ (ประเทศไทย) จำกัด</v>
      </c>
      <c r="M1618" s="1" t="s">
        <v>24</v>
      </c>
      <c r="O1618" s="2" t="n">
        <v>1200</v>
      </c>
    </row>
    <row r="1619" customFormat="false" ht="16.4" hidden="false" customHeight="false" outlineLevel="0" collapsed="false">
      <c r="A1619" s="0" t="s">
        <v>15</v>
      </c>
      <c r="B1619" s="0" t="s">
        <v>5048</v>
      </c>
      <c r="C1619" s="0" t="n">
        <v>114001</v>
      </c>
      <c r="D1619" s="0" t="n">
        <v>114001</v>
      </c>
      <c r="E1619" s="0" t="s">
        <v>1417</v>
      </c>
      <c r="F1619" s="0" t="s">
        <v>18</v>
      </c>
      <c r="G1619" s="0" t="s">
        <v>5049</v>
      </c>
      <c r="H1619" s="0" t="s">
        <v>5049</v>
      </c>
      <c r="I1619" s="0" t="s">
        <v>947</v>
      </c>
      <c r="J1619" s="0" t="s">
        <v>948</v>
      </c>
      <c r="K1619" s="0" t="s">
        <v>4824</v>
      </c>
      <c r="L1619" s="0" t="str">
        <f aca="false">IFERROR(VLOOKUP(K1619,'Supplier list'!B:C,2,0),"")</f>
        <v>บริษัท ทีโอเอ-ยูเนี่ยน เพ้นท์ (ประเทศไทย) จำกัด</v>
      </c>
      <c r="M1619" s="1" t="s">
        <v>24</v>
      </c>
      <c r="O1619" s="2" t="n">
        <v>1200</v>
      </c>
    </row>
    <row r="1620" customFormat="false" ht="16.4" hidden="false" customHeight="false" outlineLevel="0" collapsed="false">
      <c r="A1620" s="0" t="s">
        <v>15</v>
      </c>
      <c r="B1620" s="0" t="s">
        <v>5050</v>
      </c>
      <c r="C1620" s="0" t="n">
        <v>114001</v>
      </c>
      <c r="D1620" s="0" t="n">
        <v>114001</v>
      </c>
      <c r="E1620" s="0" t="s">
        <v>1417</v>
      </c>
      <c r="F1620" s="0" t="s">
        <v>18</v>
      </c>
      <c r="G1620" s="0" t="s">
        <v>5051</v>
      </c>
      <c r="H1620" s="0" t="s">
        <v>5051</v>
      </c>
      <c r="I1620" s="0" t="s">
        <v>947</v>
      </c>
      <c r="J1620" s="0" t="s">
        <v>948</v>
      </c>
      <c r="K1620" s="0" t="s">
        <v>4824</v>
      </c>
      <c r="L1620" s="0" t="str">
        <f aca="false">IFERROR(VLOOKUP(K1620,'Supplier list'!B:C,2,0),"")</f>
        <v>บริษัท ทีโอเอ-ยูเนี่ยน เพ้นท์ (ประเทศไทย) จำกัด</v>
      </c>
      <c r="M1620" s="1" t="s">
        <v>24</v>
      </c>
      <c r="O1620" s="2" t="n">
        <v>320</v>
      </c>
    </row>
    <row r="1621" customFormat="false" ht="16.4" hidden="false" customHeight="false" outlineLevel="0" collapsed="false">
      <c r="A1621" s="0" t="s">
        <v>15</v>
      </c>
      <c r="B1621" s="0" t="s">
        <v>5052</v>
      </c>
      <c r="C1621" s="0" t="n">
        <v>114001</v>
      </c>
      <c r="D1621" s="0" t="n">
        <v>114001</v>
      </c>
      <c r="E1621" s="0" t="s">
        <v>1417</v>
      </c>
      <c r="F1621" s="0" t="s">
        <v>18</v>
      </c>
      <c r="G1621" s="0" t="s">
        <v>5053</v>
      </c>
      <c r="H1621" s="0" t="s">
        <v>5053</v>
      </c>
      <c r="I1621" s="0" t="s">
        <v>947</v>
      </c>
      <c r="J1621" s="0" t="s">
        <v>948</v>
      </c>
      <c r="K1621" s="0" t="s">
        <v>4824</v>
      </c>
      <c r="L1621" s="0" t="str">
        <f aca="false">IFERROR(VLOOKUP(K1621,'Supplier list'!B:C,2,0),"")</f>
        <v>บริษัท ทีโอเอ-ยูเนี่ยน เพ้นท์ (ประเทศไทย) จำกัด</v>
      </c>
      <c r="M1621" s="1" t="s">
        <v>24</v>
      </c>
      <c r="O1621" s="2" t="n">
        <v>3990</v>
      </c>
    </row>
    <row r="1622" customFormat="false" ht="16.4" hidden="false" customHeight="false" outlineLevel="0" collapsed="false">
      <c r="A1622" s="0" t="s">
        <v>15</v>
      </c>
      <c r="B1622" s="0" t="s">
        <v>5054</v>
      </c>
      <c r="C1622" s="0" t="n">
        <v>114001</v>
      </c>
      <c r="D1622" s="0" t="n">
        <v>114001</v>
      </c>
      <c r="E1622" s="0" t="s">
        <v>1417</v>
      </c>
      <c r="F1622" s="0" t="s">
        <v>18</v>
      </c>
      <c r="G1622" s="0" t="s">
        <v>5055</v>
      </c>
      <c r="H1622" s="0" t="s">
        <v>5055</v>
      </c>
      <c r="I1622" s="0" t="s">
        <v>947</v>
      </c>
      <c r="J1622" s="0" t="s">
        <v>948</v>
      </c>
      <c r="K1622" s="0" t="s">
        <v>4824</v>
      </c>
      <c r="L1622" s="0" t="str">
        <f aca="false">IFERROR(VLOOKUP(K1622,'Supplier list'!B:C,2,0),"")</f>
        <v>บริษัท ทีโอเอ-ยูเนี่ยน เพ้นท์ (ประเทศไทย) จำกัด</v>
      </c>
      <c r="M1622" s="1" t="s">
        <v>24</v>
      </c>
      <c r="O1622" s="2" t="n">
        <v>3200</v>
      </c>
    </row>
    <row r="1623" customFormat="false" ht="16.4" hidden="false" customHeight="false" outlineLevel="0" collapsed="false">
      <c r="A1623" s="0" t="s">
        <v>15</v>
      </c>
      <c r="B1623" s="0" t="s">
        <v>5056</v>
      </c>
      <c r="C1623" s="0" t="n">
        <v>114001</v>
      </c>
      <c r="D1623" s="0" t="n">
        <v>114001</v>
      </c>
      <c r="E1623" s="0" t="s">
        <v>1417</v>
      </c>
      <c r="F1623" s="0" t="s">
        <v>18</v>
      </c>
      <c r="G1623" s="0" t="s">
        <v>5057</v>
      </c>
      <c r="H1623" s="0" t="s">
        <v>5057</v>
      </c>
      <c r="I1623" s="0" t="s">
        <v>947</v>
      </c>
      <c r="J1623" s="0" t="s">
        <v>948</v>
      </c>
      <c r="K1623" s="0" t="s">
        <v>4824</v>
      </c>
      <c r="L1623" s="0" t="str">
        <f aca="false">IFERROR(VLOOKUP(K1623,'Supplier list'!B:C,2,0),"")</f>
        <v>บริษัท ทีโอเอ-ยูเนี่ยน เพ้นท์ (ประเทศไทย) จำกัด</v>
      </c>
      <c r="M1623" s="1" t="s">
        <v>24</v>
      </c>
      <c r="O1623" s="2" t="n">
        <v>3500</v>
      </c>
    </row>
    <row r="1624" customFormat="false" ht="16.4" hidden="false" customHeight="false" outlineLevel="0" collapsed="false">
      <c r="A1624" s="0" t="s">
        <v>15</v>
      </c>
      <c r="B1624" s="0" t="s">
        <v>5058</v>
      </c>
      <c r="C1624" s="0" t="n">
        <v>114002</v>
      </c>
      <c r="D1624" s="0" t="n">
        <v>114002</v>
      </c>
      <c r="E1624" s="0" t="s">
        <v>1328</v>
      </c>
      <c r="F1624" s="0" t="s">
        <v>18</v>
      </c>
      <c r="G1624" s="0" t="s">
        <v>5059</v>
      </c>
      <c r="H1624" s="0" t="s">
        <v>5060</v>
      </c>
      <c r="I1624" s="0" t="s">
        <v>21</v>
      </c>
      <c r="J1624" s="0" t="s">
        <v>22</v>
      </c>
      <c r="L1624" s="0" t="str">
        <f aca="false">IFERROR(VLOOKUP(K1624,'Supplier list'!B:C,2,0),"")</f>
        <v/>
      </c>
      <c r="M1624" s="1" t="s">
        <v>24</v>
      </c>
      <c r="O1624" s="2" t="n">
        <v>0</v>
      </c>
    </row>
    <row r="1625" customFormat="false" ht="16.4" hidden="false" customHeight="false" outlineLevel="0" collapsed="false">
      <c r="A1625" s="0" t="s">
        <v>15</v>
      </c>
      <c r="B1625" s="0" t="s">
        <v>5061</v>
      </c>
      <c r="C1625" s="0" t="n">
        <v>114002</v>
      </c>
      <c r="D1625" s="0" t="n">
        <v>114002</v>
      </c>
      <c r="E1625" s="0" t="s">
        <v>5062</v>
      </c>
      <c r="F1625" s="0" t="s">
        <v>18</v>
      </c>
      <c r="G1625" s="0" t="s">
        <v>5063</v>
      </c>
      <c r="H1625" s="0" t="s">
        <v>5064</v>
      </c>
      <c r="I1625" s="0" t="s">
        <v>102</v>
      </c>
      <c r="J1625" s="0" t="s">
        <v>103</v>
      </c>
      <c r="K1625" s="0" t="s">
        <v>5065</v>
      </c>
      <c r="L1625" s="0" t="str">
        <f aca="false">IFERROR(VLOOKUP(K1625,'Supplier list'!B:C,2,0),"")</f>
        <v>บริษัท ไทยซัมมิท สโตน จำกัด</v>
      </c>
      <c r="M1625" s="1" t="s">
        <v>24</v>
      </c>
      <c r="O1625" s="2" t="n">
        <v>8500</v>
      </c>
    </row>
    <row r="1626" customFormat="false" ht="16.4" hidden="false" customHeight="false" outlineLevel="0" collapsed="false">
      <c r="A1626" s="0" t="s">
        <v>15</v>
      </c>
      <c r="B1626" s="0" t="s">
        <v>5066</v>
      </c>
      <c r="C1626" s="0" t="n">
        <v>114002</v>
      </c>
      <c r="D1626" s="0" t="n">
        <v>114002</v>
      </c>
      <c r="E1626" s="0" t="s">
        <v>5062</v>
      </c>
      <c r="F1626" s="0" t="s">
        <v>18</v>
      </c>
      <c r="G1626" s="0" t="s">
        <v>5067</v>
      </c>
      <c r="H1626" s="0" t="s">
        <v>5068</v>
      </c>
      <c r="I1626" s="0" t="s">
        <v>102</v>
      </c>
      <c r="J1626" s="0" t="s">
        <v>103</v>
      </c>
      <c r="K1626" s="0" t="s">
        <v>5065</v>
      </c>
      <c r="L1626" s="0" t="str">
        <f aca="false">IFERROR(VLOOKUP(K1626,'Supplier list'!B:C,2,0),"")</f>
        <v>บริษัท ไทยซัมมิท สโตน จำกัด</v>
      </c>
      <c r="M1626" s="1" t="s">
        <v>24</v>
      </c>
      <c r="O1626" s="2" t="n">
        <v>8500</v>
      </c>
    </row>
    <row r="1627" customFormat="false" ht="16.4" hidden="false" customHeight="false" outlineLevel="0" collapsed="false">
      <c r="A1627" s="0" t="s">
        <v>15</v>
      </c>
      <c r="B1627" s="0" t="s">
        <v>5069</v>
      </c>
      <c r="C1627" s="0" t="n">
        <v>114002</v>
      </c>
      <c r="D1627" s="0" t="n">
        <v>114002</v>
      </c>
      <c r="E1627" s="0" t="s">
        <v>1328</v>
      </c>
      <c r="F1627" s="0" t="s">
        <v>18</v>
      </c>
      <c r="G1627" s="0" t="s">
        <v>5070</v>
      </c>
      <c r="H1627" s="0" t="s">
        <v>5071</v>
      </c>
      <c r="I1627" s="0" t="s">
        <v>124</v>
      </c>
      <c r="J1627" s="0" t="s">
        <v>125</v>
      </c>
      <c r="L1627" s="0" t="str">
        <f aca="false">IFERROR(VLOOKUP(K1627,'Supplier list'!B:C,2,0),"")</f>
        <v/>
      </c>
      <c r="M1627" s="1" t="s">
        <v>24</v>
      </c>
      <c r="O1627" s="2" t="n">
        <v>0</v>
      </c>
    </row>
    <row r="1628" customFormat="false" ht="16.4" hidden="false" customHeight="false" outlineLevel="0" collapsed="false">
      <c r="A1628" s="0" t="s">
        <v>15</v>
      </c>
      <c r="B1628" s="0" t="s">
        <v>5072</v>
      </c>
      <c r="C1628" s="0" t="n">
        <v>114002</v>
      </c>
      <c r="D1628" s="0" t="n">
        <v>114002</v>
      </c>
      <c r="E1628" s="0" t="s">
        <v>5062</v>
      </c>
      <c r="F1628" s="0" t="s">
        <v>18</v>
      </c>
      <c r="G1628" s="0" t="s">
        <v>5073</v>
      </c>
      <c r="H1628" s="0" t="s">
        <v>5074</v>
      </c>
      <c r="I1628" s="0" t="s">
        <v>102</v>
      </c>
      <c r="J1628" s="0" t="s">
        <v>103</v>
      </c>
      <c r="K1628" s="0" t="s">
        <v>5065</v>
      </c>
      <c r="L1628" s="0" t="str">
        <f aca="false">IFERROR(VLOOKUP(K1628,'Supplier list'!B:C,2,0),"")</f>
        <v>บริษัท ไทยซัมมิท สโตน จำกัด</v>
      </c>
      <c r="M1628" s="1" t="s">
        <v>24</v>
      </c>
      <c r="O1628" s="2" t="n">
        <v>10000</v>
      </c>
    </row>
    <row r="1629" customFormat="false" ht="16.4" hidden="false" customHeight="false" outlineLevel="0" collapsed="false">
      <c r="A1629" s="0" t="s">
        <v>15</v>
      </c>
      <c r="B1629" s="0" t="s">
        <v>5075</v>
      </c>
      <c r="C1629" s="0" t="n">
        <v>114002</v>
      </c>
      <c r="D1629" s="0" t="n">
        <v>114002</v>
      </c>
      <c r="E1629" s="0" t="s">
        <v>1328</v>
      </c>
      <c r="F1629" s="0" t="s">
        <v>18</v>
      </c>
      <c r="G1629" s="0" t="s">
        <v>5076</v>
      </c>
      <c r="H1629" s="0" t="s">
        <v>5077</v>
      </c>
      <c r="I1629" s="0" t="s">
        <v>21</v>
      </c>
      <c r="J1629" s="0" t="s">
        <v>22</v>
      </c>
      <c r="L1629" s="0" t="str">
        <f aca="false">IFERROR(VLOOKUP(K1629,'Supplier list'!B:C,2,0),"")</f>
        <v/>
      </c>
      <c r="M1629" s="1" t="s">
        <v>24</v>
      </c>
      <c r="O1629" s="2" t="n">
        <v>0</v>
      </c>
    </row>
    <row r="1630" customFormat="false" ht="16.4" hidden="false" customHeight="false" outlineLevel="0" collapsed="false">
      <c r="A1630" s="0" t="s">
        <v>15</v>
      </c>
      <c r="B1630" s="0" t="s">
        <v>5078</v>
      </c>
      <c r="C1630" s="0" t="n">
        <v>114002</v>
      </c>
      <c r="D1630" s="0" t="n">
        <v>114002</v>
      </c>
      <c r="E1630" s="0" t="s">
        <v>1328</v>
      </c>
      <c r="F1630" s="0" t="s">
        <v>18</v>
      </c>
      <c r="G1630" s="0" t="s">
        <v>5079</v>
      </c>
      <c r="H1630" s="0" t="s">
        <v>5080</v>
      </c>
      <c r="I1630" s="0" t="s">
        <v>701</v>
      </c>
      <c r="J1630" s="0" t="s">
        <v>22</v>
      </c>
      <c r="L1630" s="0" t="str">
        <f aca="false">IFERROR(VLOOKUP(K1630,'Supplier list'!B:C,2,0),"")</f>
        <v/>
      </c>
      <c r="M1630" s="1" t="s">
        <v>24</v>
      </c>
      <c r="O1630" s="2" t="n">
        <v>0</v>
      </c>
    </row>
    <row r="1631" customFormat="false" ht="16.4" hidden="false" customHeight="false" outlineLevel="0" collapsed="false">
      <c r="A1631" s="0" t="s">
        <v>15</v>
      </c>
      <c r="B1631" s="0" t="s">
        <v>5081</v>
      </c>
      <c r="C1631" s="0" t="n">
        <v>114002</v>
      </c>
      <c r="D1631" s="0" t="n">
        <v>114002</v>
      </c>
      <c r="E1631" s="0" t="s">
        <v>1328</v>
      </c>
      <c r="F1631" s="0" t="s">
        <v>18</v>
      </c>
      <c r="G1631" s="0" t="s">
        <v>5082</v>
      </c>
      <c r="H1631" s="0" t="s">
        <v>5083</v>
      </c>
      <c r="I1631" s="0" t="s">
        <v>701</v>
      </c>
      <c r="J1631" s="0" t="s">
        <v>22</v>
      </c>
      <c r="L1631" s="0" t="str">
        <f aca="false">IFERROR(VLOOKUP(K1631,'Supplier list'!B:C,2,0),"")</f>
        <v/>
      </c>
      <c r="M1631" s="1" t="s">
        <v>24</v>
      </c>
      <c r="O1631" s="2" t="n">
        <v>0</v>
      </c>
    </row>
    <row r="1632" customFormat="false" ht="16.4" hidden="false" customHeight="false" outlineLevel="0" collapsed="false">
      <c r="A1632" s="0" t="s">
        <v>15</v>
      </c>
      <c r="B1632" s="0" t="s">
        <v>5084</v>
      </c>
      <c r="C1632" s="0" t="n">
        <v>114002</v>
      </c>
      <c r="D1632" s="0" t="n">
        <v>114002</v>
      </c>
      <c r="E1632" s="0" t="s">
        <v>1328</v>
      </c>
      <c r="F1632" s="0" t="s">
        <v>18</v>
      </c>
      <c r="G1632" s="0" t="s">
        <v>5085</v>
      </c>
      <c r="H1632" s="0" t="s">
        <v>5086</v>
      </c>
      <c r="I1632" s="0" t="s">
        <v>701</v>
      </c>
      <c r="J1632" s="0" t="s">
        <v>22</v>
      </c>
      <c r="L1632" s="0" t="str">
        <f aca="false">IFERROR(VLOOKUP(K1632,'Supplier list'!B:C,2,0),"")</f>
        <v/>
      </c>
      <c r="M1632" s="1" t="s">
        <v>24</v>
      </c>
      <c r="O1632" s="2" t="n">
        <v>0</v>
      </c>
    </row>
    <row r="1633" customFormat="false" ht="16.4" hidden="false" customHeight="false" outlineLevel="0" collapsed="false">
      <c r="A1633" s="0" t="s">
        <v>15</v>
      </c>
      <c r="B1633" s="0" t="s">
        <v>5087</v>
      </c>
      <c r="C1633" s="0" t="n">
        <v>114002</v>
      </c>
      <c r="D1633" s="0" t="n">
        <v>114002</v>
      </c>
      <c r="E1633" s="0" t="s">
        <v>5088</v>
      </c>
      <c r="F1633" s="0" t="s">
        <v>18</v>
      </c>
      <c r="G1633" s="0" t="s">
        <v>5089</v>
      </c>
      <c r="H1633" s="0" t="s">
        <v>5090</v>
      </c>
      <c r="I1633" s="0" t="s">
        <v>21</v>
      </c>
      <c r="J1633" s="0" t="s">
        <v>22</v>
      </c>
      <c r="L1633" s="0" t="str">
        <f aca="false">IFERROR(VLOOKUP(K1633,'Supplier list'!B:C,2,0),"")</f>
        <v/>
      </c>
      <c r="M1633" s="1" t="s">
        <v>24</v>
      </c>
      <c r="O1633" s="2" t="n">
        <v>339</v>
      </c>
    </row>
    <row r="1634" customFormat="false" ht="16.4" hidden="false" customHeight="false" outlineLevel="0" collapsed="false">
      <c r="A1634" s="0" t="s">
        <v>15</v>
      </c>
      <c r="B1634" s="0" t="s">
        <v>5091</v>
      </c>
      <c r="C1634" s="0" t="n">
        <v>114002</v>
      </c>
      <c r="D1634" s="0" t="n">
        <v>114002</v>
      </c>
      <c r="E1634" s="0" t="s">
        <v>5088</v>
      </c>
      <c r="F1634" s="0" t="s">
        <v>18</v>
      </c>
      <c r="G1634" s="0" t="s">
        <v>5092</v>
      </c>
      <c r="H1634" s="0" t="s">
        <v>5093</v>
      </c>
      <c r="I1634" s="0" t="s">
        <v>21</v>
      </c>
      <c r="J1634" s="0" t="s">
        <v>22</v>
      </c>
      <c r="L1634" s="0" t="str">
        <f aca="false">IFERROR(VLOOKUP(K1634,'Supplier list'!B:C,2,0),"")</f>
        <v/>
      </c>
      <c r="M1634" s="1" t="s">
        <v>24</v>
      </c>
      <c r="O1634" s="2" t="n">
        <v>105</v>
      </c>
    </row>
    <row r="1635" customFormat="false" ht="13.8" hidden="false" customHeight="false" outlineLevel="0" collapsed="false">
      <c r="A1635" s="0" t="s">
        <v>15</v>
      </c>
      <c r="B1635" s="0" t="s">
        <v>5094</v>
      </c>
      <c r="C1635" s="0" t="n">
        <v>114002</v>
      </c>
      <c r="D1635" s="0" t="n">
        <v>114002</v>
      </c>
      <c r="E1635" s="0" t="s">
        <v>5088</v>
      </c>
      <c r="F1635" s="0" t="s">
        <v>18</v>
      </c>
      <c r="G1635" s="0" t="s">
        <v>5095</v>
      </c>
      <c r="H1635" s="0" t="s">
        <v>5096</v>
      </c>
      <c r="I1635" s="0" t="s">
        <v>701</v>
      </c>
      <c r="J1635" s="0" t="s">
        <v>22</v>
      </c>
      <c r="L1635" s="0" t="str">
        <f aca="false">IFERROR(VLOOKUP(K1635,'Supplier list'!B:C,2,0),"")</f>
        <v/>
      </c>
      <c r="M1635" s="1" t="s">
        <v>24</v>
      </c>
      <c r="O1635" s="2" t="n">
        <v>0</v>
      </c>
    </row>
    <row r="1636" customFormat="false" ht="16.4" hidden="false" customHeight="false" outlineLevel="0" collapsed="false">
      <c r="A1636" s="0" t="s">
        <v>15</v>
      </c>
      <c r="B1636" s="0" t="s">
        <v>5097</v>
      </c>
      <c r="C1636" s="0" t="n">
        <v>114002</v>
      </c>
      <c r="D1636" s="0" t="n">
        <v>114002</v>
      </c>
      <c r="E1636" s="0" t="s">
        <v>5088</v>
      </c>
      <c r="F1636" s="0" t="s">
        <v>18</v>
      </c>
      <c r="G1636" s="0" t="s">
        <v>5098</v>
      </c>
      <c r="H1636" s="0" t="s">
        <v>5099</v>
      </c>
      <c r="I1636" s="0" t="s">
        <v>21</v>
      </c>
      <c r="J1636" s="0" t="s">
        <v>22</v>
      </c>
      <c r="L1636" s="0" t="str">
        <f aca="false">IFERROR(VLOOKUP(K1636,'Supplier list'!B:C,2,0),"")</f>
        <v/>
      </c>
      <c r="M1636" s="1" t="s">
        <v>24</v>
      </c>
      <c r="O1636" s="2" t="n">
        <v>0</v>
      </c>
    </row>
    <row r="1637" customFormat="false" ht="16.4" hidden="false" customHeight="false" outlineLevel="0" collapsed="false">
      <c r="A1637" s="0" t="s">
        <v>15</v>
      </c>
      <c r="B1637" s="0" t="s">
        <v>5100</v>
      </c>
      <c r="C1637" s="0" t="n">
        <v>114002</v>
      </c>
      <c r="D1637" s="0" t="n">
        <v>114002</v>
      </c>
      <c r="E1637" s="0" t="s">
        <v>5088</v>
      </c>
      <c r="F1637" s="0" t="s">
        <v>18</v>
      </c>
      <c r="G1637" s="0" t="s">
        <v>5101</v>
      </c>
      <c r="H1637" s="0" t="s">
        <v>5102</v>
      </c>
      <c r="I1637" s="0" t="s">
        <v>21</v>
      </c>
      <c r="J1637" s="0" t="s">
        <v>22</v>
      </c>
      <c r="L1637" s="0" t="str">
        <f aca="false">IFERROR(VLOOKUP(K1637,'Supplier list'!B:C,2,0),"")</f>
        <v/>
      </c>
      <c r="M1637" s="1" t="s">
        <v>24</v>
      </c>
      <c r="O1637" s="2" t="n">
        <v>89.1</v>
      </c>
    </row>
    <row r="1638" customFormat="false" ht="16.4" hidden="false" customHeight="false" outlineLevel="0" collapsed="false">
      <c r="A1638" s="0" t="s">
        <v>15</v>
      </c>
      <c r="B1638" s="0" t="s">
        <v>5103</v>
      </c>
      <c r="C1638" s="0" t="n">
        <v>114002</v>
      </c>
      <c r="D1638" s="0" t="n">
        <v>114002</v>
      </c>
      <c r="E1638" s="0" t="s">
        <v>1417</v>
      </c>
      <c r="F1638" s="0" t="s">
        <v>18</v>
      </c>
      <c r="G1638" s="0" t="s">
        <v>5104</v>
      </c>
      <c r="H1638" s="0" t="s">
        <v>5105</v>
      </c>
      <c r="I1638" s="0" t="s">
        <v>142</v>
      </c>
      <c r="J1638" s="0" t="s">
        <v>143</v>
      </c>
      <c r="L1638" s="0" t="str">
        <f aca="false">IFERROR(VLOOKUP(K1638,'Supplier list'!B:C,2,0),"")</f>
        <v/>
      </c>
      <c r="M1638" s="1" t="s">
        <v>24</v>
      </c>
      <c r="O1638" s="2" t="n">
        <v>0</v>
      </c>
    </row>
    <row r="1639" customFormat="false" ht="16.4" hidden="false" customHeight="false" outlineLevel="0" collapsed="false">
      <c r="A1639" s="0" t="s">
        <v>15</v>
      </c>
      <c r="B1639" s="0" t="s">
        <v>5106</v>
      </c>
      <c r="C1639" s="0" t="n">
        <v>114002</v>
      </c>
      <c r="D1639" s="0" t="n">
        <v>114002</v>
      </c>
      <c r="E1639" s="0" t="s">
        <v>1417</v>
      </c>
      <c r="F1639" s="0" t="s">
        <v>18</v>
      </c>
      <c r="G1639" s="0" t="s">
        <v>5107</v>
      </c>
      <c r="H1639" s="0" t="s">
        <v>5108</v>
      </c>
      <c r="I1639" s="0" t="s">
        <v>142</v>
      </c>
      <c r="J1639" s="0" t="s">
        <v>143</v>
      </c>
      <c r="L1639" s="0" t="str">
        <f aca="false">IFERROR(VLOOKUP(K1639,'Supplier list'!B:C,2,0),"")</f>
        <v/>
      </c>
      <c r="M1639" s="1" t="s">
        <v>24</v>
      </c>
      <c r="O1639" s="2" t="n">
        <v>0</v>
      </c>
    </row>
    <row r="1640" customFormat="false" ht="16.4" hidden="false" customHeight="false" outlineLevel="0" collapsed="false">
      <c r="A1640" s="0" t="s">
        <v>15</v>
      </c>
      <c r="B1640" s="0" t="s">
        <v>5109</v>
      </c>
      <c r="C1640" s="0" t="n">
        <v>114002</v>
      </c>
      <c r="D1640" s="0" t="n">
        <v>114002</v>
      </c>
      <c r="E1640" s="0" t="s">
        <v>1417</v>
      </c>
      <c r="F1640" s="0" t="s">
        <v>18</v>
      </c>
      <c r="G1640" s="0" t="s">
        <v>5110</v>
      </c>
      <c r="H1640" s="0" t="s">
        <v>5111</v>
      </c>
      <c r="I1640" s="0" t="s">
        <v>384</v>
      </c>
      <c r="J1640" s="0" t="s">
        <v>385</v>
      </c>
      <c r="L1640" s="0" t="str">
        <f aca="false">IFERROR(VLOOKUP(K1640,'Supplier list'!B:C,2,0),"")</f>
        <v/>
      </c>
      <c r="M1640" s="1" t="s">
        <v>24</v>
      </c>
      <c r="O1640" s="2" t="n">
        <v>0</v>
      </c>
    </row>
    <row r="1641" customFormat="false" ht="13.8" hidden="false" customHeight="false" outlineLevel="0" collapsed="false">
      <c r="A1641" s="0" t="s">
        <v>15</v>
      </c>
      <c r="B1641" s="0" t="s">
        <v>5112</v>
      </c>
      <c r="C1641" s="0" t="n">
        <v>114002</v>
      </c>
      <c r="D1641" s="0" t="n">
        <v>114002</v>
      </c>
      <c r="E1641" s="0" t="s">
        <v>1417</v>
      </c>
      <c r="F1641" s="0" t="s">
        <v>18</v>
      </c>
      <c r="G1641" s="0" t="s">
        <v>5113</v>
      </c>
      <c r="H1641" s="0" t="s">
        <v>5113</v>
      </c>
      <c r="I1641" s="0" t="s">
        <v>384</v>
      </c>
      <c r="J1641" s="0" t="s">
        <v>385</v>
      </c>
      <c r="K1641" s="0" t="s">
        <v>5114</v>
      </c>
      <c r="L1641" s="0" t="str">
        <f aca="false">IFERROR(VLOOKUP(K1641,'Supplier list'!B:C,2,0),"")</f>
        <v>SHIJIAZHUANG CHENSHI IMPORT AND EXPORT.CO.,LTD</v>
      </c>
      <c r="M1641" s="1" t="s">
        <v>24</v>
      </c>
      <c r="O1641" s="2" t="n">
        <v>0</v>
      </c>
    </row>
    <row r="1642" customFormat="false" ht="13.8" hidden="false" customHeight="false" outlineLevel="0" collapsed="false">
      <c r="A1642" s="0" t="s">
        <v>15</v>
      </c>
      <c r="B1642" s="0" t="s">
        <v>5115</v>
      </c>
      <c r="C1642" s="0" t="n">
        <v>114002</v>
      </c>
      <c r="D1642" s="0" t="n">
        <v>114002</v>
      </c>
      <c r="E1642" s="0" t="s">
        <v>1417</v>
      </c>
      <c r="F1642" s="0" t="s">
        <v>18</v>
      </c>
      <c r="G1642" s="0" t="s">
        <v>5116</v>
      </c>
      <c r="H1642" s="0" t="s">
        <v>5116</v>
      </c>
      <c r="I1642" s="0" t="s">
        <v>384</v>
      </c>
      <c r="J1642" s="0" t="s">
        <v>385</v>
      </c>
      <c r="K1642" s="0" t="s">
        <v>5114</v>
      </c>
      <c r="L1642" s="0" t="str">
        <f aca="false">IFERROR(VLOOKUP(K1642,'Supplier list'!B:C,2,0),"")</f>
        <v>SHIJIAZHUANG CHENSHI IMPORT AND EXPORT.CO.,LTD</v>
      </c>
      <c r="M1642" s="1" t="s">
        <v>24</v>
      </c>
      <c r="O1642" s="2" t="n">
        <v>0</v>
      </c>
    </row>
    <row r="1643" customFormat="false" ht="16.4" hidden="false" customHeight="false" outlineLevel="0" collapsed="false">
      <c r="A1643" s="0" t="s">
        <v>15</v>
      </c>
      <c r="B1643" s="0" t="s">
        <v>5117</v>
      </c>
      <c r="C1643" s="0" t="n">
        <v>114002</v>
      </c>
      <c r="D1643" s="0" t="n">
        <v>114002</v>
      </c>
      <c r="E1643" s="0" t="s">
        <v>1417</v>
      </c>
      <c r="F1643" s="0" t="s">
        <v>18</v>
      </c>
      <c r="G1643" s="0" t="s">
        <v>5118</v>
      </c>
      <c r="H1643" s="0" t="s">
        <v>5119</v>
      </c>
      <c r="I1643" s="0" t="s">
        <v>384</v>
      </c>
      <c r="J1643" s="0" t="s">
        <v>385</v>
      </c>
      <c r="K1643" s="0" t="s">
        <v>56</v>
      </c>
      <c r="L1643" s="0" t="str">
        <f aca="false">IFERROR(VLOOKUP(K1643,'Supplier list'!B:C,2,0),"")</f>
        <v>CO.,LTD QINGDAO NEW LIBERTY INT'L TRADING CO.LTD.</v>
      </c>
      <c r="M1643" s="1" t="s">
        <v>24</v>
      </c>
      <c r="O1643" s="2" t="n">
        <v>0</v>
      </c>
    </row>
    <row r="1644" customFormat="false" ht="16.4" hidden="false" customHeight="false" outlineLevel="0" collapsed="false">
      <c r="A1644" s="0" t="s">
        <v>15</v>
      </c>
      <c r="B1644" s="0" t="s">
        <v>5120</v>
      </c>
      <c r="C1644" s="0" t="n">
        <v>114002</v>
      </c>
      <c r="D1644" s="0" t="n">
        <v>114002</v>
      </c>
      <c r="E1644" s="0" t="s">
        <v>1417</v>
      </c>
      <c r="F1644" s="0" t="s">
        <v>18</v>
      </c>
      <c r="G1644" s="0" t="s">
        <v>5121</v>
      </c>
      <c r="H1644" s="0" t="s">
        <v>5122</v>
      </c>
      <c r="I1644" s="0" t="s">
        <v>384</v>
      </c>
      <c r="J1644" s="0" t="s">
        <v>385</v>
      </c>
      <c r="K1644" s="0" t="s">
        <v>5123</v>
      </c>
      <c r="L1644" s="0" t="str">
        <f aca="false">IFERROR(VLOOKUP(K1644,'Supplier list'!B:C,2,0),"")</f>
        <v>บริษัท เค อินฟินิตี้ กรุ๊ป จำกัด(สำนักงานใหญ่)</v>
      </c>
      <c r="M1644" s="1" t="s">
        <v>24</v>
      </c>
      <c r="O1644" s="2" t="n">
        <v>12</v>
      </c>
    </row>
    <row r="1645" customFormat="false" ht="13.8" hidden="false" customHeight="false" outlineLevel="0" collapsed="false">
      <c r="A1645" s="0" t="s">
        <v>15</v>
      </c>
      <c r="B1645" s="0" t="s">
        <v>5124</v>
      </c>
      <c r="C1645" s="0" t="n">
        <v>114002</v>
      </c>
      <c r="D1645" s="0" t="n">
        <v>114002</v>
      </c>
      <c r="E1645" s="0" t="s">
        <v>1417</v>
      </c>
      <c r="F1645" s="0" t="s">
        <v>18</v>
      </c>
      <c r="G1645" s="0" t="s">
        <v>5125</v>
      </c>
      <c r="H1645" s="0" t="s">
        <v>5125</v>
      </c>
      <c r="I1645" s="0" t="s">
        <v>384</v>
      </c>
      <c r="J1645" s="0" t="s">
        <v>385</v>
      </c>
      <c r="L1645" s="0" t="str">
        <f aca="false">IFERROR(VLOOKUP(K1645,'Supplier list'!B:C,2,0),"")</f>
        <v/>
      </c>
      <c r="M1645" s="1" t="s">
        <v>24</v>
      </c>
      <c r="O1645" s="2" t="n">
        <v>0</v>
      </c>
    </row>
    <row r="1646" customFormat="false" ht="13.8" hidden="false" customHeight="false" outlineLevel="0" collapsed="false">
      <c r="A1646" s="0" t="s">
        <v>15</v>
      </c>
      <c r="B1646" s="0" t="s">
        <v>5126</v>
      </c>
      <c r="C1646" s="0" t="n">
        <v>114002</v>
      </c>
      <c r="D1646" s="0" t="n">
        <v>114002</v>
      </c>
      <c r="E1646" s="0" t="s">
        <v>1417</v>
      </c>
      <c r="F1646" s="0" t="s">
        <v>18</v>
      </c>
      <c r="G1646" s="0" t="s">
        <v>5127</v>
      </c>
      <c r="H1646" s="0" t="s">
        <v>5127</v>
      </c>
      <c r="I1646" s="0" t="s">
        <v>384</v>
      </c>
      <c r="J1646" s="0" t="s">
        <v>385</v>
      </c>
      <c r="K1646" s="0" t="s">
        <v>5128</v>
      </c>
      <c r="L1646" s="0" t="str">
        <f aca="false">IFERROR(VLOOKUP(K1646,'Supplier list'!B:C,2,0),"")</f>
        <v>บริษัท สยามเคมีคอลอินดัสตรี้ จำกัด</v>
      </c>
      <c r="M1646" s="1" t="s">
        <v>24</v>
      </c>
      <c r="O1646" s="2" t="n">
        <v>226</v>
      </c>
    </row>
    <row r="1647" customFormat="false" ht="16.4" hidden="false" customHeight="false" outlineLevel="0" collapsed="false">
      <c r="A1647" s="0" t="s">
        <v>15</v>
      </c>
      <c r="B1647" s="0" t="s">
        <v>5129</v>
      </c>
      <c r="C1647" s="0" t="n">
        <v>114002</v>
      </c>
      <c r="D1647" s="0" t="n">
        <v>114002</v>
      </c>
      <c r="E1647" s="0" t="s">
        <v>1417</v>
      </c>
      <c r="F1647" s="0" t="s">
        <v>18</v>
      </c>
      <c r="G1647" s="0" t="s">
        <v>5130</v>
      </c>
      <c r="H1647" s="0" t="s">
        <v>5131</v>
      </c>
      <c r="I1647" s="0" t="s">
        <v>384</v>
      </c>
      <c r="J1647" s="0" t="s">
        <v>385</v>
      </c>
      <c r="K1647" s="0" t="s">
        <v>5132</v>
      </c>
      <c r="L1647" s="0" t="str">
        <f aca="false">IFERROR(VLOOKUP(K1647,'Supplier list'!B:C,2,0),"")</f>
        <v/>
      </c>
      <c r="M1647" s="1" t="s">
        <v>24</v>
      </c>
      <c r="O1647" s="2" t="n">
        <v>200</v>
      </c>
    </row>
    <row r="1648" customFormat="false" ht="13.8" hidden="false" customHeight="false" outlineLevel="0" collapsed="false">
      <c r="A1648" s="0" t="s">
        <v>15</v>
      </c>
      <c r="B1648" s="0" t="s">
        <v>5133</v>
      </c>
      <c r="C1648" s="0" t="n">
        <v>114002</v>
      </c>
      <c r="D1648" s="0" t="n">
        <v>114002</v>
      </c>
      <c r="E1648" s="0" t="s">
        <v>1417</v>
      </c>
      <c r="F1648" s="0" t="s">
        <v>18</v>
      </c>
      <c r="G1648" s="0" t="s">
        <v>5134</v>
      </c>
      <c r="H1648" s="0" t="s">
        <v>5134</v>
      </c>
      <c r="I1648" s="0" t="s">
        <v>384</v>
      </c>
      <c r="J1648" s="0" t="s">
        <v>385</v>
      </c>
      <c r="L1648" s="0" t="str">
        <f aca="false">IFERROR(VLOOKUP(K1648,'Supplier list'!B:C,2,0),"")</f>
        <v/>
      </c>
      <c r="M1648" s="1" t="s">
        <v>24</v>
      </c>
      <c r="O1648" s="2" t="n">
        <v>0</v>
      </c>
    </row>
    <row r="1649" customFormat="false" ht="13.8" hidden="false" customHeight="false" outlineLevel="0" collapsed="false">
      <c r="A1649" s="0" t="s">
        <v>15</v>
      </c>
      <c r="B1649" s="0" t="s">
        <v>5135</v>
      </c>
      <c r="C1649" s="0" t="n">
        <v>114002</v>
      </c>
      <c r="D1649" s="0" t="n">
        <v>114002</v>
      </c>
      <c r="E1649" s="0" t="s">
        <v>1417</v>
      </c>
      <c r="F1649" s="0" t="s">
        <v>18</v>
      </c>
      <c r="G1649" s="0" t="s">
        <v>5136</v>
      </c>
      <c r="H1649" s="0" t="s">
        <v>5136</v>
      </c>
      <c r="I1649" s="0" t="s">
        <v>384</v>
      </c>
      <c r="J1649" s="0" t="s">
        <v>385</v>
      </c>
      <c r="K1649" s="0" t="s">
        <v>5128</v>
      </c>
      <c r="L1649" s="0" t="str">
        <f aca="false">IFERROR(VLOOKUP(K1649,'Supplier list'!B:C,2,0),"")</f>
        <v>บริษัท สยามเคมีคอลอินดัสตรี้ จำกัด</v>
      </c>
      <c r="M1649" s="1" t="s">
        <v>24</v>
      </c>
      <c r="O1649" s="2" t="n">
        <v>154</v>
      </c>
    </row>
    <row r="1650" customFormat="false" ht="16.4" hidden="false" customHeight="false" outlineLevel="0" collapsed="false">
      <c r="A1650" s="0" t="s">
        <v>15</v>
      </c>
      <c r="B1650" s="0" t="s">
        <v>5137</v>
      </c>
      <c r="C1650" s="0" t="n">
        <v>114002</v>
      </c>
      <c r="D1650" s="0" t="n">
        <v>114002</v>
      </c>
      <c r="E1650" s="0" t="s">
        <v>1417</v>
      </c>
      <c r="F1650" s="0" t="s">
        <v>18</v>
      </c>
      <c r="G1650" s="0" t="s">
        <v>5138</v>
      </c>
      <c r="H1650" s="0" t="s">
        <v>5138</v>
      </c>
      <c r="I1650" s="0" t="s">
        <v>384</v>
      </c>
      <c r="J1650" s="0" t="s">
        <v>385</v>
      </c>
      <c r="K1650" s="0" t="s">
        <v>5139</v>
      </c>
      <c r="L1650" s="0" t="str">
        <f aca="false">IFERROR(VLOOKUP(K1650,'Supplier list'!B:C,2,0),"")</f>
        <v>บริษัท เอส.เค. เคมีคอล อินดัสตรี้ จำกัด</v>
      </c>
      <c r="M1650" s="1" t="s">
        <v>24</v>
      </c>
      <c r="O1650" s="2" t="n">
        <v>190</v>
      </c>
    </row>
    <row r="1651" customFormat="false" ht="16.4" hidden="false" customHeight="false" outlineLevel="0" collapsed="false">
      <c r="A1651" s="0" t="s">
        <v>15</v>
      </c>
      <c r="B1651" s="0" t="s">
        <v>5140</v>
      </c>
      <c r="C1651" s="0" t="n">
        <v>114002</v>
      </c>
      <c r="D1651" s="0" t="n">
        <v>114002</v>
      </c>
      <c r="E1651" s="0" t="s">
        <v>1417</v>
      </c>
      <c r="F1651" s="0" t="s">
        <v>18</v>
      </c>
      <c r="G1651" s="0" t="s">
        <v>5141</v>
      </c>
      <c r="H1651" s="0" t="s">
        <v>5141</v>
      </c>
      <c r="I1651" s="0" t="s">
        <v>384</v>
      </c>
      <c r="J1651" s="0" t="s">
        <v>385</v>
      </c>
      <c r="K1651" s="0" t="s">
        <v>5142</v>
      </c>
      <c r="L1651" s="0" t="str">
        <f aca="false">IFERROR(VLOOKUP(K1651,'Supplier list'!B:C,2,0),"")</f>
        <v>บริษัท ดีไอซี กราฟฟิค (ประเทศไทย)</v>
      </c>
      <c r="M1651" s="1" t="s">
        <v>24</v>
      </c>
      <c r="O1651" s="2" t="n">
        <v>280</v>
      </c>
    </row>
    <row r="1652" customFormat="false" ht="13.8" hidden="false" customHeight="false" outlineLevel="0" collapsed="false">
      <c r="A1652" s="0" t="s">
        <v>15</v>
      </c>
      <c r="B1652" s="0" t="s">
        <v>5143</v>
      </c>
      <c r="C1652" s="0" t="n">
        <v>114002</v>
      </c>
      <c r="D1652" s="0" t="n">
        <v>114002</v>
      </c>
      <c r="E1652" s="0" t="s">
        <v>1417</v>
      </c>
      <c r="F1652" s="0" t="s">
        <v>18</v>
      </c>
      <c r="G1652" s="0" t="s">
        <v>5144</v>
      </c>
      <c r="H1652" s="0" t="s">
        <v>5144</v>
      </c>
      <c r="I1652" s="0" t="s">
        <v>21</v>
      </c>
      <c r="J1652" s="0" t="s">
        <v>22</v>
      </c>
      <c r="L1652" s="0" t="str">
        <f aca="false">IFERROR(VLOOKUP(K1652,'Supplier list'!B:C,2,0),"")</f>
        <v/>
      </c>
      <c r="M1652" s="1" t="s">
        <v>24</v>
      </c>
      <c r="O1652" s="2" t="n">
        <v>0</v>
      </c>
    </row>
    <row r="1653" customFormat="false" ht="16.4" hidden="false" customHeight="false" outlineLevel="0" collapsed="false">
      <c r="A1653" s="0" t="s">
        <v>15</v>
      </c>
      <c r="B1653" s="0" t="s">
        <v>5145</v>
      </c>
      <c r="C1653" s="0" t="n">
        <v>114002</v>
      </c>
      <c r="D1653" s="0" t="n">
        <v>114002</v>
      </c>
      <c r="E1653" s="0" t="s">
        <v>5062</v>
      </c>
      <c r="F1653" s="0" t="s">
        <v>18</v>
      </c>
      <c r="G1653" s="0" t="s">
        <v>5146</v>
      </c>
      <c r="H1653" s="0" t="s">
        <v>5147</v>
      </c>
      <c r="I1653" s="0" t="s">
        <v>21</v>
      </c>
      <c r="J1653" s="0" t="s">
        <v>22</v>
      </c>
      <c r="L1653" s="0" t="str">
        <f aca="false">IFERROR(VLOOKUP(K1653,'Supplier list'!B:C,2,0),"")</f>
        <v/>
      </c>
      <c r="M1653" s="1" t="s">
        <v>24</v>
      </c>
      <c r="O1653" s="2" t="n">
        <v>0</v>
      </c>
    </row>
    <row r="1654" customFormat="false" ht="16.4" hidden="false" customHeight="false" outlineLevel="0" collapsed="false">
      <c r="A1654" s="0" t="s">
        <v>15</v>
      </c>
      <c r="B1654" s="0" t="s">
        <v>5148</v>
      </c>
      <c r="C1654" s="0" t="n">
        <v>114002</v>
      </c>
      <c r="D1654" s="0" t="n">
        <v>114002</v>
      </c>
      <c r="E1654" s="0" t="s">
        <v>5062</v>
      </c>
      <c r="F1654" s="0" t="s">
        <v>18</v>
      </c>
      <c r="G1654" s="0" t="s">
        <v>5149</v>
      </c>
      <c r="H1654" s="0" t="s">
        <v>5150</v>
      </c>
      <c r="I1654" s="0" t="s">
        <v>21</v>
      </c>
      <c r="J1654" s="0" t="s">
        <v>22</v>
      </c>
      <c r="L1654" s="0" t="str">
        <f aca="false">IFERROR(VLOOKUP(K1654,'Supplier list'!B:C,2,0),"")</f>
        <v/>
      </c>
      <c r="M1654" s="1" t="s">
        <v>24</v>
      </c>
      <c r="O1654" s="2" t="n">
        <v>0</v>
      </c>
    </row>
    <row r="1655" customFormat="false" ht="16.4" hidden="false" customHeight="false" outlineLevel="0" collapsed="false">
      <c r="A1655" s="0" t="s">
        <v>15</v>
      </c>
      <c r="B1655" s="0" t="s">
        <v>5151</v>
      </c>
      <c r="C1655" s="0" t="n">
        <v>114002</v>
      </c>
      <c r="D1655" s="0" t="n">
        <v>114002</v>
      </c>
      <c r="E1655" s="0" t="s">
        <v>5152</v>
      </c>
      <c r="F1655" s="0" t="s">
        <v>18</v>
      </c>
      <c r="G1655" s="0" t="s">
        <v>5153</v>
      </c>
      <c r="H1655" s="0" t="s">
        <v>5154</v>
      </c>
      <c r="I1655" s="0" t="s">
        <v>21</v>
      </c>
      <c r="J1655" s="0" t="s">
        <v>22</v>
      </c>
      <c r="L1655" s="0" t="str">
        <f aca="false">IFERROR(VLOOKUP(K1655,'Supplier list'!B:C,2,0),"")</f>
        <v/>
      </c>
      <c r="M1655" s="1" t="s">
        <v>24</v>
      </c>
      <c r="O1655" s="2" t="n">
        <v>0</v>
      </c>
    </row>
    <row r="1656" customFormat="false" ht="16.4" hidden="false" customHeight="false" outlineLevel="0" collapsed="false">
      <c r="A1656" s="0" t="s">
        <v>15</v>
      </c>
      <c r="B1656" s="0" t="s">
        <v>5155</v>
      </c>
      <c r="C1656" s="0" t="n">
        <v>114002</v>
      </c>
      <c r="D1656" s="0" t="n">
        <v>114002</v>
      </c>
      <c r="E1656" s="0" t="s">
        <v>5152</v>
      </c>
      <c r="F1656" s="0" t="s">
        <v>18</v>
      </c>
      <c r="G1656" s="0" t="s">
        <v>5156</v>
      </c>
      <c r="H1656" s="0" t="s">
        <v>5157</v>
      </c>
      <c r="I1656" s="0" t="s">
        <v>21</v>
      </c>
      <c r="J1656" s="0" t="s">
        <v>22</v>
      </c>
      <c r="L1656" s="0" t="str">
        <f aca="false">IFERROR(VLOOKUP(K1656,'Supplier list'!B:C,2,0),"")</f>
        <v/>
      </c>
      <c r="M1656" s="1" t="s">
        <v>24</v>
      </c>
      <c r="O1656" s="2" t="n">
        <v>0</v>
      </c>
    </row>
    <row r="1657" customFormat="false" ht="16.4" hidden="false" customHeight="false" outlineLevel="0" collapsed="false">
      <c r="A1657" s="0" t="s">
        <v>15</v>
      </c>
      <c r="B1657" s="0" t="s">
        <v>5158</v>
      </c>
      <c r="C1657" s="0" t="n">
        <v>114002</v>
      </c>
      <c r="D1657" s="0" t="n">
        <v>114002</v>
      </c>
      <c r="E1657" s="0" t="s">
        <v>5152</v>
      </c>
      <c r="F1657" s="0" t="s">
        <v>18</v>
      </c>
      <c r="G1657" s="0" t="s">
        <v>5159</v>
      </c>
      <c r="H1657" s="0" t="s">
        <v>5160</v>
      </c>
      <c r="I1657" s="0" t="s">
        <v>21</v>
      </c>
      <c r="J1657" s="0" t="s">
        <v>22</v>
      </c>
      <c r="L1657" s="0" t="str">
        <f aca="false">IFERROR(VLOOKUP(K1657,'Supplier list'!B:C,2,0),"")</f>
        <v/>
      </c>
      <c r="M1657" s="1" t="s">
        <v>24</v>
      </c>
      <c r="O1657" s="2" t="n">
        <v>0</v>
      </c>
    </row>
    <row r="1658" customFormat="false" ht="13.8" hidden="false" customHeight="false" outlineLevel="0" collapsed="false">
      <c r="A1658" s="0" t="s">
        <v>15</v>
      </c>
      <c r="B1658" s="0" t="s">
        <v>5161</v>
      </c>
      <c r="C1658" s="0" t="n">
        <v>114002</v>
      </c>
      <c r="D1658" s="0" t="n">
        <v>114002</v>
      </c>
      <c r="E1658" s="0" t="s">
        <v>5152</v>
      </c>
      <c r="F1658" s="0" t="s">
        <v>18</v>
      </c>
      <c r="G1658" s="0" t="s">
        <v>5162</v>
      </c>
      <c r="H1658" s="0" t="s">
        <v>5162</v>
      </c>
      <c r="I1658" s="0" t="s">
        <v>21</v>
      </c>
      <c r="J1658" s="0" t="s">
        <v>22</v>
      </c>
      <c r="L1658" s="0" t="str">
        <f aca="false">IFERROR(VLOOKUP(K1658,'Supplier list'!B:C,2,0),"")</f>
        <v/>
      </c>
      <c r="M1658" s="1" t="s">
        <v>24</v>
      </c>
      <c r="O1658" s="2" t="n">
        <v>0</v>
      </c>
    </row>
    <row r="1659" customFormat="false" ht="16.4" hidden="false" customHeight="false" outlineLevel="0" collapsed="false">
      <c r="A1659" s="0" t="s">
        <v>15</v>
      </c>
      <c r="B1659" s="0" t="s">
        <v>5163</v>
      </c>
      <c r="C1659" s="0" t="n">
        <v>114002</v>
      </c>
      <c r="D1659" s="0" t="n">
        <v>114002</v>
      </c>
      <c r="E1659" s="0" t="s">
        <v>5152</v>
      </c>
      <c r="F1659" s="0" t="s">
        <v>18</v>
      </c>
      <c r="G1659" s="0" t="s">
        <v>5164</v>
      </c>
      <c r="H1659" s="0" t="s">
        <v>5165</v>
      </c>
      <c r="I1659" s="0" t="s">
        <v>21</v>
      </c>
      <c r="J1659" s="0" t="s">
        <v>22</v>
      </c>
      <c r="K1659" s="0" t="s">
        <v>2298</v>
      </c>
      <c r="L1659" s="0" t="str">
        <f aca="false">IFERROR(VLOOKUP(K1659,'Supplier list'!B:C,2,0),"")</f>
        <v>Best Solid Surfaces Corp.</v>
      </c>
      <c r="M1659" s="1" t="s">
        <v>24</v>
      </c>
      <c r="O1659" s="2" t="n">
        <v>0</v>
      </c>
    </row>
    <row r="1660" customFormat="false" ht="16.4" hidden="false" customHeight="false" outlineLevel="0" collapsed="false">
      <c r="A1660" s="0" t="s">
        <v>15</v>
      </c>
      <c r="B1660" s="0" t="s">
        <v>5166</v>
      </c>
      <c r="C1660" s="0" t="n">
        <v>114002</v>
      </c>
      <c r="D1660" s="0" t="n">
        <v>114002</v>
      </c>
      <c r="E1660" s="0" t="s">
        <v>5152</v>
      </c>
      <c r="F1660" s="0" t="s">
        <v>18</v>
      </c>
      <c r="G1660" s="0" t="s">
        <v>5167</v>
      </c>
      <c r="H1660" s="0" t="s">
        <v>5168</v>
      </c>
      <c r="I1660" s="0" t="s">
        <v>21</v>
      </c>
      <c r="J1660" s="0" t="s">
        <v>22</v>
      </c>
      <c r="L1660" s="0" t="str">
        <f aca="false">IFERROR(VLOOKUP(K1660,'Supplier list'!B:C,2,0),"")</f>
        <v/>
      </c>
      <c r="M1660" s="1" t="s">
        <v>24</v>
      </c>
      <c r="O1660" s="2" t="n">
        <v>0</v>
      </c>
    </row>
    <row r="1661" customFormat="false" ht="13.8" hidden="false" customHeight="false" outlineLevel="0" collapsed="false">
      <c r="A1661" s="0" t="s">
        <v>15</v>
      </c>
      <c r="B1661" s="0" t="s">
        <v>5169</v>
      </c>
      <c r="C1661" s="0" t="n">
        <v>114002</v>
      </c>
      <c r="D1661" s="0" t="n">
        <v>114002</v>
      </c>
      <c r="E1661" s="0" t="s">
        <v>5152</v>
      </c>
      <c r="F1661" s="0" t="s">
        <v>18</v>
      </c>
      <c r="G1661" s="0" t="s">
        <v>5170</v>
      </c>
      <c r="H1661" s="0" t="s">
        <v>5171</v>
      </c>
      <c r="I1661" s="0" t="s">
        <v>21</v>
      </c>
      <c r="J1661" s="0" t="s">
        <v>22</v>
      </c>
      <c r="L1661" s="0" t="str">
        <f aca="false">IFERROR(VLOOKUP(K1661,'Supplier list'!B:C,2,0),"")</f>
        <v/>
      </c>
      <c r="M1661" s="1" t="s">
        <v>24</v>
      </c>
      <c r="O1661" s="2" t="n">
        <v>0</v>
      </c>
    </row>
    <row r="1662" customFormat="false" ht="13.8" hidden="false" customHeight="false" outlineLevel="0" collapsed="false">
      <c r="A1662" s="0" t="s">
        <v>15</v>
      </c>
      <c r="B1662" s="0" t="s">
        <v>5172</v>
      </c>
      <c r="C1662" s="0" t="n">
        <v>114002</v>
      </c>
      <c r="D1662" s="0" t="n">
        <v>114002</v>
      </c>
      <c r="E1662" s="0" t="s">
        <v>5152</v>
      </c>
      <c r="F1662" s="0" t="s">
        <v>18</v>
      </c>
      <c r="G1662" s="0" t="s">
        <v>5173</v>
      </c>
      <c r="H1662" s="0" t="s">
        <v>5173</v>
      </c>
      <c r="I1662" s="0" t="s">
        <v>21</v>
      </c>
      <c r="J1662" s="0" t="s">
        <v>22</v>
      </c>
      <c r="L1662" s="0" t="str">
        <f aca="false">IFERROR(VLOOKUP(K1662,'Supplier list'!B:C,2,0),"")</f>
        <v/>
      </c>
      <c r="M1662" s="1" t="s">
        <v>24</v>
      </c>
      <c r="O1662" s="2" t="n">
        <v>0</v>
      </c>
    </row>
    <row r="1663" customFormat="false" ht="16.4" hidden="false" customHeight="false" outlineLevel="0" collapsed="false">
      <c r="A1663" s="0" t="s">
        <v>15</v>
      </c>
      <c r="B1663" s="0" t="s">
        <v>5174</v>
      </c>
      <c r="C1663" s="0" t="n">
        <v>114002</v>
      </c>
      <c r="D1663" s="0" t="n">
        <v>114002</v>
      </c>
      <c r="E1663" s="0" t="s">
        <v>5062</v>
      </c>
      <c r="F1663" s="0" t="s">
        <v>18</v>
      </c>
      <c r="G1663" s="0" t="s">
        <v>5175</v>
      </c>
      <c r="H1663" s="0" t="s">
        <v>5176</v>
      </c>
      <c r="I1663" s="0" t="s">
        <v>21</v>
      </c>
      <c r="J1663" s="0" t="s">
        <v>22</v>
      </c>
      <c r="L1663" s="0" t="str">
        <f aca="false">IFERROR(VLOOKUP(K1663,'Supplier list'!B:C,2,0),"")</f>
        <v/>
      </c>
      <c r="M1663" s="1" t="s">
        <v>24</v>
      </c>
      <c r="O1663" s="2" t="n">
        <v>0</v>
      </c>
    </row>
    <row r="1664" customFormat="false" ht="16.4" hidden="false" customHeight="false" outlineLevel="0" collapsed="false">
      <c r="A1664" s="0" t="s">
        <v>15</v>
      </c>
      <c r="B1664" s="0" t="s">
        <v>5177</v>
      </c>
      <c r="C1664" s="0" t="n">
        <v>114002</v>
      </c>
      <c r="D1664" s="0" t="n">
        <v>114002</v>
      </c>
      <c r="E1664" s="0" t="s">
        <v>5062</v>
      </c>
      <c r="F1664" s="0" t="s">
        <v>18</v>
      </c>
      <c r="G1664" s="0" t="s">
        <v>5178</v>
      </c>
      <c r="H1664" s="0" t="s">
        <v>5179</v>
      </c>
      <c r="I1664" s="0" t="s">
        <v>21</v>
      </c>
      <c r="J1664" s="0" t="s">
        <v>22</v>
      </c>
      <c r="L1664" s="0" t="str">
        <f aca="false">IFERROR(VLOOKUP(K1664,'Supplier list'!B:C,2,0),"")</f>
        <v/>
      </c>
      <c r="M1664" s="1" t="s">
        <v>24</v>
      </c>
      <c r="O1664" s="2" t="n">
        <v>0</v>
      </c>
    </row>
    <row r="1665" customFormat="false" ht="16.4" hidden="false" customHeight="false" outlineLevel="0" collapsed="false">
      <c r="A1665" s="0" t="s">
        <v>15</v>
      </c>
      <c r="B1665" s="0" t="s">
        <v>5180</v>
      </c>
      <c r="C1665" s="0" t="n">
        <v>114002</v>
      </c>
      <c r="D1665" s="0" t="n">
        <v>114002</v>
      </c>
      <c r="E1665" s="0" t="s">
        <v>1612</v>
      </c>
      <c r="F1665" s="0" t="s">
        <v>18</v>
      </c>
      <c r="G1665" s="0" t="s">
        <v>5181</v>
      </c>
      <c r="H1665" s="0" t="s">
        <v>5182</v>
      </c>
      <c r="I1665" s="0" t="s">
        <v>168</v>
      </c>
      <c r="J1665" s="0" t="s">
        <v>169</v>
      </c>
      <c r="K1665" s="0" t="s">
        <v>5183</v>
      </c>
      <c r="L1665" s="0" t="str">
        <f aca="false">IFERROR(VLOOKUP(K1665,'Supplier list'!B:C,2,0),"")</f>
        <v>ร้าน ป.นำชัยโลหะ</v>
      </c>
      <c r="M1665" s="1" t="s">
        <v>24</v>
      </c>
      <c r="O1665" s="2" t="n">
        <v>290</v>
      </c>
    </row>
    <row r="1666" customFormat="false" ht="16.4" hidden="false" customHeight="false" outlineLevel="0" collapsed="false">
      <c r="A1666" s="0" t="s">
        <v>15</v>
      </c>
      <c r="B1666" s="0" t="s">
        <v>5184</v>
      </c>
      <c r="C1666" s="0" t="n">
        <v>114002</v>
      </c>
      <c r="D1666" s="0" t="n">
        <v>114002</v>
      </c>
      <c r="E1666" s="0" t="s">
        <v>5062</v>
      </c>
      <c r="F1666" s="0" t="s">
        <v>18</v>
      </c>
      <c r="G1666" s="0" t="s">
        <v>5185</v>
      </c>
      <c r="H1666" s="0" t="s">
        <v>5186</v>
      </c>
      <c r="I1666" s="0" t="s">
        <v>21</v>
      </c>
      <c r="J1666" s="0" t="s">
        <v>22</v>
      </c>
      <c r="L1666" s="0" t="str">
        <f aca="false">IFERROR(VLOOKUP(K1666,'Supplier list'!B:C,2,0),"")</f>
        <v/>
      </c>
      <c r="M1666" s="1" t="s">
        <v>24</v>
      </c>
      <c r="O1666" s="2" t="n">
        <v>0</v>
      </c>
    </row>
    <row r="1667" customFormat="false" ht="16.4" hidden="false" customHeight="false" outlineLevel="0" collapsed="false">
      <c r="A1667" s="0" t="s">
        <v>15</v>
      </c>
      <c r="B1667" s="0" t="s">
        <v>5187</v>
      </c>
      <c r="C1667" s="0" t="n">
        <v>114002</v>
      </c>
      <c r="D1667" s="0" t="n">
        <v>114002</v>
      </c>
      <c r="E1667" s="0" t="s">
        <v>5062</v>
      </c>
      <c r="F1667" s="0" t="s">
        <v>18</v>
      </c>
      <c r="G1667" s="0" t="s">
        <v>5188</v>
      </c>
      <c r="H1667" s="0" t="s">
        <v>5189</v>
      </c>
      <c r="I1667" s="0" t="s">
        <v>21</v>
      </c>
      <c r="J1667" s="0" t="s">
        <v>22</v>
      </c>
      <c r="L1667" s="0" t="str">
        <f aca="false">IFERROR(VLOOKUP(K1667,'Supplier list'!B:C,2,0),"")</f>
        <v/>
      </c>
      <c r="M1667" s="1" t="s">
        <v>24</v>
      </c>
      <c r="O1667" s="2" t="n">
        <v>0</v>
      </c>
    </row>
    <row r="1668" customFormat="false" ht="16.4" hidden="false" customHeight="false" outlineLevel="0" collapsed="false">
      <c r="A1668" s="0" t="s">
        <v>15</v>
      </c>
      <c r="B1668" s="0" t="s">
        <v>5190</v>
      </c>
      <c r="C1668" s="0" t="n">
        <v>114002</v>
      </c>
      <c r="D1668" s="0" t="n">
        <v>114002</v>
      </c>
      <c r="E1668" s="0" t="s">
        <v>5062</v>
      </c>
      <c r="F1668" s="0" t="s">
        <v>18</v>
      </c>
      <c r="G1668" s="0" t="s">
        <v>5191</v>
      </c>
      <c r="H1668" s="0" t="s">
        <v>5192</v>
      </c>
      <c r="I1668" s="0" t="s">
        <v>21</v>
      </c>
      <c r="J1668" s="0" t="s">
        <v>22</v>
      </c>
      <c r="L1668" s="0" t="str">
        <f aca="false">IFERROR(VLOOKUP(K1668,'Supplier list'!B:C,2,0),"")</f>
        <v/>
      </c>
      <c r="M1668" s="1" t="s">
        <v>24</v>
      </c>
      <c r="O1668" s="2" t="n">
        <v>0</v>
      </c>
    </row>
    <row r="1669" customFormat="false" ht="16.4" hidden="false" customHeight="false" outlineLevel="0" collapsed="false">
      <c r="A1669" s="0" t="s">
        <v>15</v>
      </c>
      <c r="B1669" s="0" t="s">
        <v>5193</v>
      </c>
      <c r="C1669" s="0" t="n">
        <v>114002</v>
      </c>
      <c r="D1669" s="0" t="n">
        <v>114002</v>
      </c>
      <c r="E1669" s="0" t="s">
        <v>5062</v>
      </c>
      <c r="F1669" s="0" t="s">
        <v>18</v>
      </c>
      <c r="G1669" s="0" t="s">
        <v>5194</v>
      </c>
      <c r="H1669" s="0" t="s">
        <v>5195</v>
      </c>
      <c r="I1669" s="0" t="s">
        <v>21</v>
      </c>
      <c r="J1669" s="0" t="s">
        <v>22</v>
      </c>
      <c r="L1669" s="0" t="str">
        <f aca="false">IFERROR(VLOOKUP(K1669,'Supplier list'!B:C,2,0),"")</f>
        <v/>
      </c>
      <c r="M1669" s="1" t="s">
        <v>24</v>
      </c>
      <c r="O1669" s="2" t="n">
        <v>0</v>
      </c>
    </row>
    <row r="1670" customFormat="false" ht="16.4" hidden="false" customHeight="false" outlineLevel="0" collapsed="false">
      <c r="A1670" s="0" t="s">
        <v>15</v>
      </c>
      <c r="B1670" s="0" t="s">
        <v>5196</v>
      </c>
      <c r="C1670" s="0" t="n">
        <v>114002</v>
      </c>
      <c r="D1670" s="0" t="n">
        <v>114002</v>
      </c>
      <c r="E1670" s="0" t="s">
        <v>5062</v>
      </c>
      <c r="F1670" s="0" t="s">
        <v>18</v>
      </c>
      <c r="G1670" s="0" t="s">
        <v>5197</v>
      </c>
      <c r="H1670" s="0" t="s">
        <v>5198</v>
      </c>
      <c r="I1670" s="0" t="s">
        <v>21</v>
      </c>
      <c r="J1670" s="0" t="s">
        <v>22</v>
      </c>
      <c r="L1670" s="0" t="str">
        <f aca="false">IFERROR(VLOOKUP(K1670,'Supplier list'!B:C,2,0),"")</f>
        <v/>
      </c>
      <c r="M1670" s="1" t="s">
        <v>24</v>
      </c>
      <c r="O1670" s="2" t="n">
        <v>0</v>
      </c>
    </row>
    <row r="1671" customFormat="false" ht="16.4" hidden="false" customHeight="false" outlineLevel="0" collapsed="false">
      <c r="A1671" s="0" t="s">
        <v>15</v>
      </c>
      <c r="B1671" s="0" t="s">
        <v>5199</v>
      </c>
      <c r="C1671" s="0" t="n">
        <v>114002</v>
      </c>
      <c r="D1671" s="0" t="n">
        <v>114002</v>
      </c>
      <c r="E1671" s="0" t="s">
        <v>5062</v>
      </c>
      <c r="F1671" s="0" t="s">
        <v>18</v>
      </c>
      <c r="G1671" s="0" t="s">
        <v>5200</v>
      </c>
      <c r="H1671" s="0" t="s">
        <v>5201</v>
      </c>
      <c r="I1671" s="0" t="s">
        <v>21</v>
      </c>
      <c r="J1671" s="0" t="s">
        <v>22</v>
      </c>
      <c r="L1671" s="0" t="str">
        <f aca="false">IFERROR(VLOOKUP(K1671,'Supplier list'!B:C,2,0),"")</f>
        <v/>
      </c>
      <c r="M1671" s="1" t="s">
        <v>24</v>
      </c>
      <c r="O1671" s="2" t="n">
        <v>0</v>
      </c>
    </row>
    <row r="1672" customFormat="false" ht="16.4" hidden="false" customHeight="false" outlineLevel="0" collapsed="false">
      <c r="A1672" s="0" t="s">
        <v>15</v>
      </c>
      <c r="B1672" s="0" t="s">
        <v>5202</v>
      </c>
      <c r="C1672" s="0" t="n">
        <v>114002</v>
      </c>
      <c r="D1672" s="0" t="n">
        <v>114002</v>
      </c>
      <c r="E1672" s="0" t="s">
        <v>31</v>
      </c>
      <c r="F1672" s="0" t="s">
        <v>18</v>
      </c>
      <c r="G1672" s="0" t="s">
        <v>5203</v>
      </c>
      <c r="H1672" s="0" t="s">
        <v>5204</v>
      </c>
      <c r="I1672" s="0" t="s">
        <v>21</v>
      </c>
      <c r="J1672" s="0" t="s">
        <v>22</v>
      </c>
      <c r="K1672" s="0" t="s">
        <v>29</v>
      </c>
      <c r="L1672" s="0" t="str">
        <f aca="false">IFERROR(VLOOKUP(K1672,'Supplier list'!B:C,2,0),"")</f>
        <v/>
      </c>
      <c r="M1672" s="1" t="s">
        <v>24</v>
      </c>
      <c r="O1672" s="2" t="n">
        <v>0</v>
      </c>
    </row>
    <row r="1673" customFormat="false" ht="16.4" hidden="false" customHeight="false" outlineLevel="0" collapsed="false">
      <c r="A1673" s="0" t="s">
        <v>15</v>
      </c>
      <c r="B1673" s="0" t="s">
        <v>5205</v>
      </c>
      <c r="C1673" s="0" t="n">
        <v>114002</v>
      </c>
      <c r="D1673" s="0" t="n">
        <v>114002</v>
      </c>
      <c r="E1673" s="0" t="s">
        <v>4972</v>
      </c>
      <c r="F1673" s="0" t="s">
        <v>18</v>
      </c>
      <c r="G1673" s="0" t="s">
        <v>5206</v>
      </c>
      <c r="H1673" s="0" t="s">
        <v>5207</v>
      </c>
      <c r="I1673" s="0" t="s">
        <v>384</v>
      </c>
      <c r="J1673" s="0" t="s">
        <v>385</v>
      </c>
      <c r="L1673" s="0" t="str">
        <f aca="false">IFERROR(VLOOKUP(K1673,'Supplier list'!B:C,2,0),"")</f>
        <v/>
      </c>
      <c r="M1673" s="1" t="s">
        <v>24</v>
      </c>
      <c r="O1673" s="2" t="n">
        <v>0</v>
      </c>
    </row>
    <row r="1674" customFormat="false" ht="16.4" hidden="false" customHeight="false" outlineLevel="0" collapsed="false">
      <c r="A1674" s="0" t="s">
        <v>15</v>
      </c>
      <c r="B1674" s="0" t="s">
        <v>5208</v>
      </c>
      <c r="C1674" s="0" t="n">
        <v>114002</v>
      </c>
      <c r="D1674" s="0" t="n">
        <v>114002</v>
      </c>
      <c r="E1674" s="0" t="s">
        <v>5062</v>
      </c>
      <c r="F1674" s="0" t="s">
        <v>18</v>
      </c>
      <c r="G1674" s="0" t="s">
        <v>5209</v>
      </c>
      <c r="H1674" s="0" t="s">
        <v>5210</v>
      </c>
      <c r="I1674" s="0" t="s">
        <v>384</v>
      </c>
      <c r="J1674" s="0" t="s">
        <v>385</v>
      </c>
      <c r="K1674" s="0" t="s">
        <v>5065</v>
      </c>
      <c r="L1674" s="0" t="str">
        <f aca="false">IFERROR(VLOOKUP(K1674,'Supplier list'!B:C,2,0),"")</f>
        <v>บริษัท ไทยซัมมิท สโตน จำกัด</v>
      </c>
      <c r="M1674" s="1" t="s">
        <v>24</v>
      </c>
      <c r="O1674" s="2" t="n">
        <v>0</v>
      </c>
    </row>
    <row r="1675" customFormat="false" ht="16.4" hidden="false" customHeight="false" outlineLevel="0" collapsed="false">
      <c r="A1675" s="0" t="s">
        <v>15</v>
      </c>
      <c r="B1675" s="0" t="s">
        <v>5211</v>
      </c>
      <c r="C1675" s="0" t="n">
        <v>114002</v>
      </c>
      <c r="D1675" s="0" t="n">
        <v>114002</v>
      </c>
      <c r="E1675" s="0" t="s">
        <v>4972</v>
      </c>
      <c r="F1675" s="0" t="s">
        <v>18</v>
      </c>
      <c r="G1675" s="0" t="s">
        <v>5212</v>
      </c>
      <c r="H1675" s="0" t="s">
        <v>5213</v>
      </c>
      <c r="I1675" s="0" t="s">
        <v>384</v>
      </c>
      <c r="J1675" s="0" t="s">
        <v>385</v>
      </c>
      <c r="L1675" s="0" t="str">
        <f aca="false">IFERROR(VLOOKUP(K1675,'Supplier list'!B:C,2,0),"")</f>
        <v/>
      </c>
      <c r="M1675" s="1" t="s">
        <v>24</v>
      </c>
      <c r="O1675" s="2" t="n">
        <v>0</v>
      </c>
    </row>
    <row r="1676" customFormat="false" ht="16.4" hidden="false" customHeight="false" outlineLevel="0" collapsed="false">
      <c r="A1676" s="0" t="s">
        <v>15</v>
      </c>
      <c r="B1676" s="0" t="s">
        <v>5214</v>
      </c>
      <c r="C1676" s="0" t="n">
        <v>114002</v>
      </c>
      <c r="D1676" s="0" t="n">
        <v>114002</v>
      </c>
      <c r="E1676" s="0" t="s">
        <v>4972</v>
      </c>
      <c r="F1676" s="0" t="s">
        <v>18</v>
      </c>
      <c r="G1676" s="0" t="s">
        <v>5215</v>
      </c>
      <c r="H1676" s="0" t="s">
        <v>5216</v>
      </c>
      <c r="I1676" s="0" t="s">
        <v>1032</v>
      </c>
      <c r="J1676" s="0" t="s">
        <v>1033</v>
      </c>
      <c r="L1676" s="0" t="str">
        <f aca="false">IFERROR(VLOOKUP(K1676,'Supplier list'!B:C,2,0),"")</f>
        <v/>
      </c>
      <c r="M1676" s="1" t="s">
        <v>24</v>
      </c>
      <c r="O1676" s="2" t="n">
        <v>0</v>
      </c>
    </row>
    <row r="1677" customFormat="false" ht="16.4" hidden="false" customHeight="false" outlineLevel="0" collapsed="false">
      <c r="A1677" s="0" t="s">
        <v>15</v>
      </c>
      <c r="B1677" s="0" t="s">
        <v>5217</v>
      </c>
      <c r="C1677" s="0" t="n">
        <v>114002</v>
      </c>
      <c r="D1677" s="0" t="n">
        <v>114002</v>
      </c>
      <c r="E1677" s="0" t="s">
        <v>1328</v>
      </c>
      <c r="F1677" s="0" t="s">
        <v>18</v>
      </c>
      <c r="G1677" s="0" t="s">
        <v>5218</v>
      </c>
      <c r="H1677" s="0" t="s">
        <v>5219</v>
      </c>
      <c r="I1677" s="0" t="s">
        <v>124</v>
      </c>
      <c r="J1677" s="0" t="s">
        <v>125</v>
      </c>
      <c r="K1677" s="0" t="s">
        <v>56</v>
      </c>
      <c r="L1677" s="0" t="str">
        <f aca="false">IFERROR(VLOOKUP(K1677,'Supplier list'!B:C,2,0),"")</f>
        <v>CO.,LTD QINGDAO NEW LIBERTY INT'L TRADING CO.LTD.</v>
      </c>
      <c r="M1677" s="1" t="s">
        <v>1740</v>
      </c>
      <c r="N1677" s="2" t="n">
        <v>3590</v>
      </c>
      <c r="O1677" s="2" t="n">
        <v>0</v>
      </c>
    </row>
    <row r="1678" customFormat="false" ht="16.4" hidden="false" customHeight="false" outlineLevel="0" collapsed="false">
      <c r="A1678" s="0" t="s">
        <v>15</v>
      </c>
      <c r="B1678" s="0" t="s">
        <v>5220</v>
      </c>
      <c r="C1678" s="0" t="n">
        <v>114002</v>
      </c>
      <c r="D1678" s="0" t="n">
        <v>114002</v>
      </c>
      <c r="E1678" s="0" t="s">
        <v>1328</v>
      </c>
      <c r="F1678" s="0" t="s">
        <v>18</v>
      </c>
      <c r="G1678" s="0" t="s">
        <v>5221</v>
      </c>
      <c r="H1678" s="0" t="s">
        <v>5222</v>
      </c>
      <c r="I1678" s="0" t="s">
        <v>124</v>
      </c>
      <c r="J1678" s="0" t="s">
        <v>125</v>
      </c>
      <c r="K1678" s="0" t="s">
        <v>56</v>
      </c>
      <c r="L1678" s="0" t="str">
        <f aca="false">IFERROR(VLOOKUP(K1678,'Supplier list'!B:C,2,0),"")</f>
        <v>CO.,LTD QINGDAO NEW LIBERTY INT'L TRADING CO.LTD.</v>
      </c>
      <c r="M1678" s="1" t="s">
        <v>1740</v>
      </c>
      <c r="N1678" s="2" t="n">
        <v>5990</v>
      </c>
      <c r="O1678" s="2" t="n">
        <v>0</v>
      </c>
    </row>
    <row r="1679" customFormat="false" ht="16.4" hidden="false" customHeight="false" outlineLevel="0" collapsed="false">
      <c r="A1679" s="0" t="s">
        <v>15</v>
      </c>
      <c r="B1679" s="0" t="s">
        <v>5223</v>
      </c>
      <c r="C1679" s="0" t="n">
        <v>114002</v>
      </c>
      <c r="D1679" s="0" t="n">
        <v>114002</v>
      </c>
      <c r="E1679" s="0" t="s">
        <v>5088</v>
      </c>
      <c r="F1679" s="0" t="s">
        <v>18</v>
      </c>
      <c r="G1679" s="0" t="s">
        <v>5224</v>
      </c>
      <c r="H1679" s="0" t="s">
        <v>5225</v>
      </c>
      <c r="I1679" s="0" t="s">
        <v>21</v>
      </c>
      <c r="J1679" s="0" t="s">
        <v>22</v>
      </c>
      <c r="K1679" s="0" t="s">
        <v>56</v>
      </c>
      <c r="L1679" s="0" t="str">
        <f aca="false">IFERROR(VLOOKUP(K1679,'Supplier list'!B:C,2,0),"")</f>
        <v>CO.,LTD QINGDAO NEW LIBERTY INT'L TRADING CO.LTD.</v>
      </c>
      <c r="M1679" s="1" t="s">
        <v>24</v>
      </c>
      <c r="O1679" s="2" t="n">
        <v>0</v>
      </c>
    </row>
    <row r="1680" customFormat="false" ht="13.8" hidden="false" customHeight="false" outlineLevel="0" collapsed="false">
      <c r="A1680" s="0" t="s">
        <v>15</v>
      </c>
      <c r="B1680" s="0" t="s">
        <v>5226</v>
      </c>
      <c r="C1680" s="0" t="n">
        <v>114002</v>
      </c>
      <c r="D1680" s="0" t="n">
        <v>114002</v>
      </c>
      <c r="E1680" s="0" t="s">
        <v>1417</v>
      </c>
      <c r="F1680" s="0" t="s">
        <v>18</v>
      </c>
      <c r="G1680" s="0" t="s">
        <v>5227</v>
      </c>
      <c r="H1680" s="0" t="s">
        <v>5227</v>
      </c>
      <c r="I1680" s="0" t="s">
        <v>384</v>
      </c>
      <c r="J1680" s="0" t="s">
        <v>385</v>
      </c>
      <c r="K1680" s="0" t="s">
        <v>5228</v>
      </c>
      <c r="L1680" s="0" t="str">
        <f aca="false">IFERROR(VLOOKUP(K1680,'Supplier list'!B:C,2,0),"")</f>
        <v>CHALCO ZIBO INTERNATIONAL TRADING</v>
      </c>
      <c r="M1680" s="1" t="s">
        <v>24</v>
      </c>
      <c r="O1680" s="2" t="n">
        <v>36.5</v>
      </c>
    </row>
    <row r="1681" customFormat="false" ht="13.8" hidden="false" customHeight="false" outlineLevel="0" collapsed="false">
      <c r="A1681" s="0" t="s">
        <v>15</v>
      </c>
      <c r="B1681" s="0" t="s">
        <v>5229</v>
      </c>
      <c r="C1681" s="0" t="n">
        <v>114002</v>
      </c>
      <c r="D1681" s="0" t="n">
        <v>114002</v>
      </c>
      <c r="E1681" s="0" t="s">
        <v>1417</v>
      </c>
      <c r="F1681" s="0" t="s">
        <v>18</v>
      </c>
      <c r="G1681" s="0" t="s">
        <v>5230</v>
      </c>
      <c r="H1681" s="0" t="s">
        <v>5230</v>
      </c>
      <c r="I1681" s="0" t="s">
        <v>384</v>
      </c>
      <c r="J1681" s="0" t="s">
        <v>385</v>
      </c>
      <c r="K1681" s="0" t="s">
        <v>5228</v>
      </c>
      <c r="L1681" s="0" t="str">
        <f aca="false">IFERROR(VLOOKUP(K1681,'Supplier list'!B:C,2,0),"")</f>
        <v>CHALCO ZIBO INTERNATIONAL TRADING</v>
      </c>
      <c r="M1681" s="1" t="s">
        <v>24</v>
      </c>
      <c r="O1681" s="2" t="n">
        <v>38.5</v>
      </c>
    </row>
    <row r="1682" customFormat="false" ht="16.4" hidden="false" customHeight="false" outlineLevel="0" collapsed="false">
      <c r="A1682" s="0" t="s">
        <v>15</v>
      </c>
      <c r="B1682" s="0" t="s">
        <v>5231</v>
      </c>
      <c r="C1682" s="0" t="n">
        <v>114002</v>
      </c>
      <c r="D1682" s="0" t="n">
        <v>114002</v>
      </c>
      <c r="E1682" s="0" t="s">
        <v>1328</v>
      </c>
      <c r="F1682" s="0" t="s">
        <v>18</v>
      </c>
      <c r="G1682" s="0" t="s">
        <v>5232</v>
      </c>
      <c r="H1682" s="0" t="s">
        <v>5233</v>
      </c>
      <c r="I1682" s="0" t="s">
        <v>124</v>
      </c>
      <c r="J1682" s="0" t="s">
        <v>125</v>
      </c>
      <c r="K1682" s="0" t="s">
        <v>56</v>
      </c>
      <c r="L1682" s="0" t="str">
        <f aca="false">IFERROR(VLOOKUP(K1682,'Supplier list'!B:C,2,0),"")</f>
        <v>CO.,LTD QINGDAO NEW LIBERTY INT'L TRADING CO.LTD.</v>
      </c>
      <c r="M1682" s="1" t="s">
        <v>1740</v>
      </c>
      <c r="N1682" s="2" t="n">
        <v>6590</v>
      </c>
      <c r="O1682" s="2" t="n">
        <v>0</v>
      </c>
    </row>
    <row r="1683" customFormat="false" ht="16.4" hidden="false" customHeight="false" outlineLevel="0" collapsed="false">
      <c r="A1683" s="0" t="s">
        <v>15</v>
      </c>
      <c r="B1683" s="0" t="s">
        <v>5234</v>
      </c>
      <c r="C1683" s="0" t="n">
        <v>114002</v>
      </c>
      <c r="D1683" s="0" t="n">
        <v>114002</v>
      </c>
      <c r="E1683" s="0" t="s">
        <v>5088</v>
      </c>
      <c r="F1683" s="0" t="s">
        <v>18</v>
      </c>
      <c r="G1683" s="0" t="s">
        <v>5235</v>
      </c>
      <c r="H1683" s="0" t="s">
        <v>5236</v>
      </c>
      <c r="I1683" s="0" t="s">
        <v>21</v>
      </c>
      <c r="J1683" s="0" t="s">
        <v>22</v>
      </c>
      <c r="K1683" s="0" t="s">
        <v>56</v>
      </c>
      <c r="L1683" s="0" t="str">
        <f aca="false">IFERROR(VLOOKUP(K1683,'Supplier list'!B:C,2,0),"")</f>
        <v>CO.,LTD QINGDAO NEW LIBERTY INT'L TRADING CO.LTD.</v>
      </c>
      <c r="M1683" s="1" t="s">
        <v>24</v>
      </c>
      <c r="O1683" s="2" t="n">
        <v>0</v>
      </c>
    </row>
    <row r="1684" customFormat="false" ht="16.4" hidden="false" customHeight="false" outlineLevel="0" collapsed="false">
      <c r="A1684" s="0" t="s">
        <v>15</v>
      </c>
      <c r="B1684" s="0" t="s">
        <v>5237</v>
      </c>
      <c r="C1684" s="0" t="n">
        <v>114002</v>
      </c>
      <c r="D1684" s="0" t="n">
        <v>114002</v>
      </c>
      <c r="E1684" s="0" t="s">
        <v>4972</v>
      </c>
      <c r="F1684" s="0" t="s">
        <v>18</v>
      </c>
      <c r="G1684" s="0" t="s">
        <v>5238</v>
      </c>
      <c r="H1684" s="0" t="s">
        <v>5239</v>
      </c>
      <c r="I1684" s="0" t="s">
        <v>384</v>
      </c>
      <c r="J1684" s="0" t="s">
        <v>385</v>
      </c>
      <c r="L1684" s="0" t="str">
        <f aca="false">IFERROR(VLOOKUP(K1684,'Supplier list'!B:C,2,0),"")</f>
        <v/>
      </c>
      <c r="M1684" s="1" t="s">
        <v>24</v>
      </c>
      <c r="O1684" s="2" t="n">
        <v>0</v>
      </c>
    </row>
    <row r="1685" customFormat="false" ht="13.8" hidden="false" customHeight="false" outlineLevel="0" collapsed="false">
      <c r="A1685" s="0" t="s">
        <v>15</v>
      </c>
      <c r="B1685" s="0" t="s">
        <v>5240</v>
      </c>
      <c r="C1685" s="0" t="n">
        <v>114002</v>
      </c>
      <c r="D1685" s="0" t="n">
        <v>114002</v>
      </c>
      <c r="E1685" s="0" t="s">
        <v>5088</v>
      </c>
      <c r="F1685" s="0" t="s">
        <v>18</v>
      </c>
      <c r="G1685" s="0" t="s">
        <v>5241</v>
      </c>
      <c r="H1685" s="0" t="s">
        <v>5242</v>
      </c>
      <c r="I1685" s="0" t="s">
        <v>21</v>
      </c>
      <c r="J1685" s="0" t="s">
        <v>22</v>
      </c>
      <c r="L1685" s="0" t="str">
        <f aca="false">IFERROR(VLOOKUP(K1685,'Supplier list'!B:C,2,0),"")</f>
        <v/>
      </c>
      <c r="M1685" s="1" t="s">
        <v>24</v>
      </c>
      <c r="O1685" s="2" t="n">
        <v>60</v>
      </c>
    </row>
    <row r="1686" customFormat="false" ht="16.4" hidden="false" customHeight="false" outlineLevel="0" collapsed="false">
      <c r="A1686" s="0" t="s">
        <v>15</v>
      </c>
      <c r="B1686" s="0" t="s">
        <v>5243</v>
      </c>
      <c r="C1686" s="0" t="n">
        <v>114002</v>
      </c>
      <c r="D1686" s="0" t="n">
        <v>114002</v>
      </c>
      <c r="E1686" s="0" t="s">
        <v>1328</v>
      </c>
      <c r="F1686" s="0" t="s">
        <v>18</v>
      </c>
      <c r="G1686" s="0" t="s">
        <v>5244</v>
      </c>
      <c r="H1686" s="0" t="s">
        <v>5245</v>
      </c>
      <c r="I1686" s="0" t="s">
        <v>21</v>
      </c>
      <c r="J1686" s="0" t="s">
        <v>22</v>
      </c>
      <c r="L1686" s="0" t="str">
        <f aca="false">IFERROR(VLOOKUP(K1686,'Supplier list'!B:C,2,0),"")</f>
        <v/>
      </c>
      <c r="M1686" s="1" t="s">
        <v>1740</v>
      </c>
      <c r="N1686" s="2" t="n">
        <v>7590</v>
      </c>
      <c r="O1686" s="2" t="n">
        <v>0</v>
      </c>
    </row>
    <row r="1687" customFormat="false" ht="16.4" hidden="false" customHeight="false" outlineLevel="0" collapsed="false">
      <c r="A1687" s="0" t="s">
        <v>15</v>
      </c>
      <c r="B1687" s="0" t="s">
        <v>5246</v>
      </c>
      <c r="C1687" s="0" t="n">
        <v>114002</v>
      </c>
      <c r="D1687" s="0" t="n">
        <v>114002</v>
      </c>
      <c r="E1687" s="0" t="s">
        <v>5088</v>
      </c>
      <c r="F1687" s="0" t="s">
        <v>18</v>
      </c>
      <c r="G1687" s="0" t="s">
        <v>5247</v>
      </c>
      <c r="H1687" s="0" t="s">
        <v>5248</v>
      </c>
      <c r="I1687" s="0" t="s">
        <v>21</v>
      </c>
      <c r="J1687" s="0" t="s">
        <v>22</v>
      </c>
      <c r="K1687" s="0" t="s">
        <v>56</v>
      </c>
      <c r="L1687" s="0" t="str">
        <f aca="false">IFERROR(VLOOKUP(K1687,'Supplier list'!B:C,2,0),"")</f>
        <v>CO.,LTD QINGDAO NEW LIBERTY INT'L TRADING CO.LTD.</v>
      </c>
      <c r="M1687" s="1" t="s">
        <v>24</v>
      </c>
      <c r="O1687" s="2" t="n">
        <v>0</v>
      </c>
    </row>
    <row r="1688" customFormat="false" ht="16.4" hidden="false" customHeight="false" outlineLevel="0" collapsed="false">
      <c r="A1688" s="0" t="s">
        <v>15</v>
      </c>
      <c r="B1688" s="0" t="s">
        <v>5249</v>
      </c>
      <c r="C1688" s="0" t="n">
        <v>114002</v>
      </c>
      <c r="D1688" s="0" t="n">
        <v>114002</v>
      </c>
      <c r="E1688" s="0" t="s">
        <v>5250</v>
      </c>
      <c r="F1688" s="0" t="s">
        <v>18</v>
      </c>
      <c r="G1688" s="0" t="s">
        <v>5251</v>
      </c>
      <c r="H1688" s="0" t="s">
        <v>5252</v>
      </c>
      <c r="I1688" s="0" t="s">
        <v>21</v>
      </c>
      <c r="J1688" s="0" t="s">
        <v>22</v>
      </c>
      <c r="L1688" s="0" t="str">
        <f aca="false">IFERROR(VLOOKUP(K1688,'Supplier list'!B:C,2,0),"")</f>
        <v/>
      </c>
      <c r="M1688" s="1" t="s">
        <v>24</v>
      </c>
      <c r="O1688" s="2" t="n">
        <v>560</v>
      </c>
    </row>
    <row r="1689" customFormat="false" ht="16.4" hidden="false" customHeight="false" outlineLevel="0" collapsed="false">
      <c r="A1689" s="0" t="s">
        <v>15</v>
      </c>
      <c r="B1689" s="0" t="s">
        <v>5253</v>
      </c>
      <c r="C1689" s="0" t="n">
        <v>114002</v>
      </c>
      <c r="D1689" s="0" t="n">
        <v>114002</v>
      </c>
      <c r="E1689" s="0" t="s">
        <v>1417</v>
      </c>
      <c r="F1689" s="0" t="s">
        <v>18</v>
      </c>
      <c r="G1689" s="0" t="s">
        <v>5254</v>
      </c>
      <c r="H1689" s="0" t="s">
        <v>5255</v>
      </c>
      <c r="I1689" s="0" t="s">
        <v>384</v>
      </c>
      <c r="J1689" s="0" t="s">
        <v>385</v>
      </c>
      <c r="L1689" s="0" t="str">
        <f aca="false">IFERROR(VLOOKUP(K1689,'Supplier list'!B:C,2,0),"")</f>
        <v/>
      </c>
      <c r="M1689" s="1" t="s">
        <v>24</v>
      </c>
      <c r="O1689" s="2" t="n">
        <v>0</v>
      </c>
    </row>
    <row r="1690" customFormat="false" ht="16.4" hidden="false" customHeight="false" outlineLevel="0" collapsed="false">
      <c r="A1690" s="0" t="s">
        <v>15</v>
      </c>
      <c r="B1690" s="0" t="s">
        <v>5256</v>
      </c>
      <c r="C1690" s="0" t="n">
        <v>114002</v>
      </c>
      <c r="D1690" s="0" t="n">
        <v>114002</v>
      </c>
      <c r="E1690" s="0" t="s">
        <v>5062</v>
      </c>
      <c r="F1690" s="0" t="s">
        <v>18</v>
      </c>
      <c r="G1690" s="0" t="s">
        <v>5257</v>
      </c>
      <c r="H1690" s="0" t="s">
        <v>5258</v>
      </c>
      <c r="I1690" s="0" t="s">
        <v>102</v>
      </c>
      <c r="J1690" s="0" t="s">
        <v>103</v>
      </c>
      <c r="K1690" s="0" t="s">
        <v>5065</v>
      </c>
      <c r="L1690" s="0" t="str">
        <f aca="false">IFERROR(VLOOKUP(K1690,'Supplier list'!B:C,2,0),"")</f>
        <v>บริษัท ไทยซัมมิท สโตน จำกัด</v>
      </c>
      <c r="M1690" s="1" t="s">
        <v>24</v>
      </c>
      <c r="O1690" s="2" t="n">
        <v>0</v>
      </c>
    </row>
    <row r="1691" customFormat="false" ht="16.4" hidden="false" customHeight="false" outlineLevel="0" collapsed="false">
      <c r="A1691" s="0" t="s">
        <v>15</v>
      </c>
      <c r="B1691" s="0" t="s">
        <v>5259</v>
      </c>
      <c r="C1691" s="0" t="n">
        <v>114002</v>
      </c>
      <c r="D1691" s="0" t="n">
        <v>114002</v>
      </c>
      <c r="E1691" s="0" t="s">
        <v>5062</v>
      </c>
      <c r="F1691" s="0" t="s">
        <v>18</v>
      </c>
      <c r="G1691" s="0" t="s">
        <v>5260</v>
      </c>
      <c r="H1691" s="0" t="s">
        <v>5261</v>
      </c>
      <c r="I1691" s="0" t="s">
        <v>102</v>
      </c>
      <c r="J1691" s="0" t="s">
        <v>103</v>
      </c>
      <c r="K1691" s="0" t="s">
        <v>5065</v>
      </c>
      <c r="L1691" s="0" t="str">
        <f aca="false">IFERROR(VLOOKUP(K1691,'Supplier list'!B:C,2,0),"")</f>
        <v>บริษัท ไทยซัมมิท สโตน จำกัด</v>
      </c>
      <c r="M1691" s="1" t="s">
        <v>24</v>
      </c>
      <c r="O1691" s="2" t="n">
        <v>0</v>
      </c>
    </row>
    <row r="1692" customFormat="false" ht="16.4" hidden="false" customHeight="false" outlineLevel="0" collapsed="false">
      <c r="A1692" s="0" t="s">
        <v>15</v>
      </c>
      <c r="B1692" s="0" t="s">
        <v>5262</v>
      </c>
      <c r="C1692" s="0" t="n">
        <v>114002</v>
      </c>
      <c r="D1692" s="0" t="n">
        <v>114002</v>
      </c>
      <c r="E1692" s="0" t="s">
        <v>5062</v>
      </c>
      <c r="F1692" s="0" t="s">
        <v>18</v>
      </c>
      <c r="G1692" s="0" t="s">
        <v>5263</v>
      </c>
      <c r="H1692" s="0" t="s">
        <v>5264</v>
      </c>
      <c r="I1692" s="0" t="s">
        <v>102</v>
      </c>
      <c r="J1692" s="0" t="s">
        <v>103</v>
      </c>
      <c r="K1692" s="0" t="s">
        <v>5065</v>
      </c>
      <c r="L1692" s="0" t="str">
        <f aca="false">IFERROR(VLOOKUP(K1692,'Supplier list'!B:C,2,0),"")</f>
        <v>บริษัท ไทยซัมมิท สโตน จำกัด</v>
      </c>
      <c r="M1692" s="1" t="s">
        <v>24</v>
      </c>
      <c r="O1692" s="2" t="n">
        <v>7500</v>
      </c>
    </row>
    <row r="1693" customFormat="false" ht="16.4" hidden="false" customHeight="false" outlineLevel="0" collapsed="false">
      <c r="A1693" s="0" t="s">
        <v>15</v>
      </c>
      <c r="B1693" s="0" t="s">
        <v>5265</v>
      </c>
      <c r="C1693" s="0" t="n">
        <v>114002</v>
      </c>
      <c r="D1693" s="0" t="n">
        <v>114002</v>
      </c>
      <c r="E1693" s="0" t="s">
        <v>5062</v>
      </c>
      <c r="F1693" s="0" t="s">
        <v>18</v>
      </c>
      <c r="G1693" s="0" t="s">
        <v>5266</v>
      </c>
      <c r="H1693" s="0" t="s">
        <v>5267</v>
      </c>
      <c r="I1693" s="0" t="s">
        <v>102</v>
      </c>
      <c r="J1693" s="0" t="s">
        <v>103</v>
      </c>
      <c r="K1693" s="0" t="s">
        <v>5065</v>
      </c>
      <c r="L1693" s="0" t="str">
        <f aca="false">IFERROR(VLOOKUP(K1693,'Supplier list'!B:C,2,0),"")</f>
        <v>บริษัท ไทยซัมมิท สโตน จำกัด</v>
      </c>
      <c r="M1693" s="1" t="s">
        <v>24</v>
      </c>
      <c r="O1693" s="2" t="n">
        <v>7500</v>
      </c>
    </row>
    <row r="1694" customFormat="false" ht="16.4" hidden="false" customHeight="false" outlineLevel="0" collapsed="false">
      <c r="A1694" s="0" t="s">
        <v>15</v>
      </c>
      <c r="B1694" s="0" t="s">
        <v>5268</v>
      </c>
      <c r="C1694" s="0" t="n">
        <v>114002</v>
      </c>
      <c r="D1694" s="0" t="n">
        <v>114002</v>
      </c>
      <c r="E1694" s="0" t="s">
        <v>4972</v>
      </c>
      <c r="F1694" s="0" t="s">
        <v>18</v>
      </c>
      <c r="G1694" s="0" t="s">
        <v>5269</v>
      </c>
      <c r="H1694" s="0" t="s">
        <v>5270</v>
      </c>
      <c r="I1694" s="0" t="s">
        <v>384</v>
      </c>
      <c r="J1694" s="0" t="s">
        <v>385</v>
      </c>
      <c r="K1694" s="0" t="s">
        <v>5271</v>
      </c>
      <c r="L1694" s="0" t="str">
        <f aca="false">IFERROR(VLOOKUP(K1694,'Supplier list'!B:C,2,0),"")</f>
        <v>บริษัท ไฮ - เคม (ประเทศไทย) จำกัด</v>
      </c>
      <c r="M1694" s="1" t="s">
        <v>24</v>
      </c>
      <c r="O1694" s="2" t="n">
        <v>290</v>
      </c>
    </row>
    <row r="1695" customFormat="false" ht="16.4" hidden="false" customHeight="false" outlineLevel="0" collapsed="false">
      <c r="A1695" s="0" t="s">
        <v>15</v>
      </c>
      <c r="B1695" s="0" t="s">
        <v>5272</v>
      </c>
      <c r="C1695" s="0" t="n">
        <v>114002</v>
      </c>
      <c r="D1695" s="0" t="n">
        <v>114002</v>
      </c>
      <c r="E1695" s="0" t="s">
        <v>5062</v>
      </c>
      <c r="F1695" s="0" t="s">
        <v>18</v>
      </c>
      <c r="G1695" s="0" t="s">
        <v>5273</v>
      </c>
      <c r="H1695" s="0" t="s">
        <v>5274</v>
      </c>
      <c r="I1695" s="0" t="s">
        <v>102</v>
      </c>
      <c r="J1695" s="0" t="s">
        <v>103</v>
      </c>
      <c r="K1695" s="0" t="s">
        <v>5065</v>
      </c>
      <c r="L1695" s="0" t="str">
        <f aca="false">IFERROR(VLOOKUP(K1695,'Supplier list'!B:C,2,0),"")</f>
        <v>บริษัท ไทยซัมมิท สโตน จำกัด</v>
      </c>
      <c r="M1695" s="1" t="s">
        <v>24</v>
      </c>
      <c r="O1695" s="2" t="n">
        <v>7500</v>
      </c>
    </row>
    <row r="1696" customFormat="false" ht="16.4" hidden="false" customHeight="false" outlineLevel="0" collapsed="false">
      <c r="A1696" s="0" t="s">
        <v>15</v>
      </c>
      <c r="B1696" s="0" t="s">
        <v>5275</v>
      </c>
      <c r="C1696" s="0" t="n">
        <v>114002</v>
      </c>
      <c r="D1696" s="0" t="n">
        <v>114002</v>
      </c>
      <c r="E1696" s="0" t="s">
        <v>4972</v>
      </c>
      <c r="F1696" s="0" t="s">
        <v>18</v>
      </c>
      <c r="G1696" s="0" t="s">
        <v>5276</v>
      </c>
      <c r="H1696" s="0" t="s">
        <v>5277</v>
      </c>
      <c r="I1696" s="0" t="s">
        <v>384</v>
      </c>
      <c r="J1696" s="0" t="s">
        <v>385</v>
      </c>
      <c r="K1696" s="0" t="s">
        <v>5142</v>
      </c>
      <c r="L1696" s="0" t="str">
        <f aca="false">IFERROR(VLOOKUP(K1696,'Supplier list'!B:C,2,0),"")</f>
        <v>บริษัท ดีไอซี กราฟฟิค (ประเทศไทย)</v>
      </c>
      <c r="M1696" s="1" t="s">
        <v>24</v>
      </c>
      <c r="O1696" s="2" t="n">
        <v>290</v>
      </c>
    </row>
    <row r="1697" customFormat="false" ht="16.4" hidden="false" customHeight="false" outlineLevel="0" collapsed="false">
      <c r="A1697" s="0" t="s">
        <v>15</v>
      </c>
      <c r="B1697" s="0" t="s">
        <v>5278</v>
      </c>
      <c r="C1697" s="0" t="n">
        <v>114002</v>
      </c>
      <c r="D1697" s="0" t="n">
        <v>114002</v>
      </c>
      <c r="E1697" s="0" t="s">
        <v>1417</v>
      </c>
      <c r="F1697" s="0" t="s">
        <v>18</v>
      </c>
      <c r="G1697" s="0" t="s">
        <v>5279</v>
      </c>
      <c r="H1697" s="0" t="s">
        <v>5280</v>
      </c>
      <c r="I1697" s="0" t="s">
        <v>384</v>
      </c>
      <c r="J1697" s="0" t="s">
        <v>385</v>
      </c>
      <c r="K1697" s="0" t="s">
        <v>5281</v>
      </c>
      <c r="L1697" s="0" t="str">
        <f aca="false">IFERROR(VLOOKUP(K1697,'Supplier list'!B:C,2,0),"")</f>
        <v>บจ. ไมด้า เคมิคอล</v>
      </c>
      <c r="M1697" s="1" t="s">
        <v>24</v>
      </c>
      <c r="O1697" s="2" t="n">
        <v>72</v>
      </c>
    </row>
    <row r="1698" customFormat="false" ht="16.4" hidden="false" customHeight="false" outlineLevel="0" collapsed="false">
      <c r="A1698" s="0" t="s">
        <v>15</v>
      </c>
      <c r="B1698" s="0" t="s">
        <v>5282</v>
      </c>
      <c r="C1698" s="0" t="n">
        <v>114002</v>
      </c>
      <c r="D1698" s="0" t="n">
        <v>114002</v>
      </c>
      <c r="E1698" s="0" t="s">
        <v>5062</v>
      </c>
      <c r="F1698" s="0" t="s">
        <v>18</v>
      </c>
      <c r="G1698" s="0" t="s">
        <v>5283</v>
      </c>
      <c r="H1698" s="0" t="s">
        <v>5284</v>
      </c>
      <c r="I1698" s="0" t="s">
        <v>102</v>
      </c>
      <c r="J1698" s="0" t="s">
        <v>103</v>
      </c>
      <c r="K1698" s="0" t="s">
        <v>5065</v>
      </c>
      <c r="L1698" s="0" t="str">
        <f aca="false">IFERROR(VLOOKUP(K1698,'Supplier list'!B:C,2,0),"")</f>
        <v>บริษัท ไทยซัมมิท สโตน จำกัด</v>
      </c>
      <c r="M1698" s="1" t="s">
        <v>24</v>
      </c>
      <c r="O1698" s="2" t="n">
        <v>7476.6355</v>
      </c>
    </row>
    <row r="1699" customFormat="false" ht="16.4" hidden="false" customHeight="false" outlineLevel="0" collapsed="false">
      <c r="A1699" s="0" t="s">
        <v>15</v>
      </c>
      <c r="B1699" s="0" t="s">
        <v>5285</v>
      </c>
      <c r="C1699" s="0" t="n">
        <v>114002</v>
      </c>
      <c r="D1699" s="0" t="n">
        <v>114002</v>
      </c>
      <c r="E1699" s="0" t="s">
        <v>5062</v>
      </c>
      <c r="F1699" s="0" t="s">
        <v>18</v>
      </c>
      <c r="G1699" s="0" t="s">
        <v>5286</v>
      </c>
      <c r="H1699" s="0" t="s">
        <v>5287</v>
      </c>
      <c r="I1699" s="0" t="s">
        <v>102</v>
      </c>
      <c r="J1699" s="0" t="s">
        <v>103</v>
      </c>
      <c r="K1699" s="0" t="s">
        <v>5065</v>
      </c>
      <c r="L1699" s="0" t="str">
        <f aca="false">IFERROR(VLOOKUP(K1699,'Supplier list'!B:C,2,0),"")</f>
        <v>บริษัท ไทยซัมมิท สโตน จำกัด</v>
      </c>
      <c r="M1699" s="1" t="s">
        <v>24</v>
      </c>
      <c r="O1699" s="2" t="n">
        <v>6074.77</v>
      </c>
    </row>
    <row r="1700" customFormat="false" ht="16.4" hidden="false" customHeight="false" outlineLevel="0" collapsed="false">
      <c r="A1700" s="0" t="s">
        <v>15</v>
      </c>
      <c r="B1700" s="0" t="s">
        <v>5288</v>
      </c>
      <c r="C1700" s="0" t="n">
        <v>114002</v>
      </c>
      <c r="D1700" s="0" t="n">
        <v>114002</v>
      </c>
      <c r="E1700" s="0" t="s">
        <v>5062</v>
      </c>
      <c r="F1700" s="0" t="s">
        <v>18</v>
      </c>
      <c r="G1700" s="0" t="s">
        <v>5289</v>
      </c>
      <c r="H1700" s="0" t="s">
        <v>5290</v>
      </c>
      <c r="I1700" s="0" t="s">
        <v>102</v>
      </c>
      <c r="J1700" s="0" t="s">
        <v>103</v>
      </c>
      <c r="K1700" s="0" t="s">
        <v>5065</v>
      </c>
      <c r="L1700" s="0" t="str">
        <f aca="false">IFERROR(VLOOKUP(K1700,'Supplier list'!B:C,2,0),"")</f>
        <v>บริษัท ไทยซัมมิท สโตน จำกัด</v>
      </c>
      <c r="M1700" s="1" t="s">
        <v>24</v>
      </c>
      <c r="O1700" s="2" t="n">
        <v>7476.64</v>
      </c>
    </row>
    <row r="1701" customFormat="false" ht="16.4" hidden="false" customHeight="false" outlineLevel="0" collapsed="false">
      <c r="A1701" s="0" t="s">
        <v>15</v>
      </c>
      <c r="B1701" s="0" t="s">
        <v>5291</v>
      </c>
      <c r="C1701" s="0" t="n">
        <v>114002</v>
      </c>
      <c r="D1701" s="0" t="n">
        <v>114002</v>
      </c>
      <c r="E1701" s="0" t="s">
        <v>5062</v>
      </c>
      <c r="F1701" s="0" t="s">
        <v>18</v>
      </c>
      <c r="G1701" s="0" t="s">
        <v>5292</v>
      </c>
      <c r="H1701" s="0" t="s">
        <v>5293</v>
      </c>
      <c r="I1701" s="0" t="s">
        <v>102</v>
      </c>
      <c r="J1701" s="0" t="s">
        <v>103</v>
      </c>
      <c r="K1701" s="0" t="s">
        <v>5065</v>
      </c>
      <c r="L1701" s="0" t="str">
        <f aca="false">IFERROR(VLOOKUP(K1701,'Supplier list'!B:C,2,0),"")</f>
        <v>บริษัท ไทยซัมมิท สโตน จำกัด</v>
      </c>
      <c r="M1701" s="1" t="s">
        <v>24</v>
      </c>
      <c r="O1701" s="2" t="n">
        <v>6074.77</v>
      </c>
    </row>
    <row r="1702" customFormat="false" ht="14.9" hidden="false" customHeight="false" outlineLevel="0" collapsed="false">
      <c r="A1702" s="0" t="s">
        <v>15</v>
      </c>
      <c r="B1702" s="0" t="s">
        <v>5294</v>
      </c>
      <c r="C1702" s="0" t="n">
        <v>513007</v>
      </c>
      <c r="D1702" s="0" t="n">
        <v>513007</v>
      </c>
      <c r="E1702" s="0" t="s">
        <v>31</v>
      </c>
      <c r="F1702" s="0" t="s">
        <v>18</v>
      </c>
      <c r="G1702" s="0" t="s">
        <v>5295</v>
      </c>
      <c r="H1702" s="7" t="s">
        <v>5296</v>
      </c>
      <c r="I1702" s="0" t="s">
        <v>34</v>
      </c>
      <c r="J1702" s="0" t="s">
        <v>35</v>
      </c>
      <c r="L1702" s="0" t="str">
        <f aca="false">IFERROR(VLOOKUP(K1702,'Supplier list'!B:C,2,0),"")</f>
        <v/>
      </c>
      <c r="M1702" s="1" t="s">
        <v>1740</v>
      </c>
      <c r="O1702" s="2"/>
    </row>
    <row r="1703" customFormat="false" ht="13.8" hidden="false" customHeight="false" outlineLevel="0" collapsed="false">
      <c r="A1703" s="0" t="s">
        <v>5297</v>
      </c>
      <c r="B1703" s="8" t="s">
        <v>5298</v>
      </c>
      <c r="C1703" s="0" t="n">
        <v>114001</v>
      </c>
      <c r="D1703" s="0" t="n">
        <v>114001</v>
      </c>
      <c r="E1703" s="0" t="s">
        <v>5297</v>
      </c>
      <c r="F1703" s="0" t="s">
        <v>18</v>
      </c>
      <c r="G1703" s="0" t="s">
        <v>5299</v>
      </c>
      <c r="H1703" s="0" t="s">
        <v>5300</v>
      </c>
      <c r="L1703" s="0" t="str">
        <f aca="false">IFERROR(VLOOKUP(K1703,'Supplier list'!B:C,2,0),"")</f>
        <v/>
      </c>
      <c r="M1703" s="1" t="s">
        <v>1740</v>
      </c>
      <c r="O1703" s="2"/>
    </row>
    <row r="1704" customFormat="false" ht="13.8" hidden="false" customHeight="false" outlineLevel="0" collapsed="false">
      <c r="A1704" s="0" t="s">
        <v>5297</v>
      </c>
      <c r="B1704" s="0" t="s">
        <v>5301</v>
      </c>
      <c r="C1704" s="0" t="n">
        <v>532003</v>
      </c>
      <c r="D1704" s="0" t="n">
        <v>532003</v>
      </c>
      <c r="E1704" s="0" t="s">
        <v>5297</v>
      </c>
      <c r="F1704" s="0" t="s">
        <v>18</v>
      </c>
      <c r="G1704" s="0" t="s">
        <v>5302</v>
      </c>
      <c r="H1704" s="0" t="s">
        <v>5303</v>
      </c>
      <c r="L1704" s="0" t="str">
        <f aca="false">IFERROR(VLOOKUP(K1704,'Supplier list'!B:C,2,0),"")</f>
        <v/>
      </c>
      <c r="M1704" s="1" t="s">
        <v>1740</v>
      </c>
      <c r="O1704" s="2"/>
    </row>
    <row r="1705" customFormat="false" ht="13.8" hidden="false" customHeight="false" outlineLevel="0" collapsed="false">
      <c r="A1705" s="0" t="s">
        <v>5297</v>
      </c>
      <c r="B1705" s="7" t="s">
        <v>5304</v>
      </c>
      <c r="C1705" s="0" t="n">
        <v>513025</v>
      </c>
      <c r="D1705" s="0" t="n">
        <v>513025</v>
      </c>
      <c r="E1705" s="0" t="s">
        <v>5297</v>
      </c>
      <c r="F1705" s="0" t="s">
        <v>18</v>
      </c>
      <c r="G1705" s="0" t="s">
        <v>5305</v>
      </c>
      <c r="H1705" s="0" t="s">
        <v>5306</v>
      </c>
      <c r="L1705" s="0" t="str">
        <f aca="false">IFERROR(VLOOKUP(K1705,'Supplier list'!B:C,2,0),"")</f>
        <v/>
      </c>
      <c r="M1705" s="1" t="s">
        <v>1740</v>
      </c>
      <c r="O1705" s="2"/>
    </row>
    <row r="1706" customFormat="false" ht="13.8" hidden="false" customHeight="false" outlineLevel="0" collapsed="false">
      <c r="A1706" s="0" t="s">
        <v>5297</v>
      </c>
      <c r="B1706" s="7" t="s">
        <v>5307</v>
      </c>
      <c r="C1706" s="0" t="n">
        <v>141007</v>
      </c>
      <c r="D1706" s="0" t="n">
        <v>141007</v>
      </c>
      <c r="E1706" s="0" t="s">
        <v>5297</v>
      </c>
      <c r="F1706" s="0" t="s">
        <v>18</v>
      </c>
      <c r="G1706" s="0" t="s">
        <v>5308</v>
      </c>
      <c r="H1706" s="0" t="s">
        <v>5309</v>
      </c>
      <c r="L1706" s="0" t="str">
        <f aca="false">IFERROR(VLOOKUP(K1706,'Supplier list'!B:C,2,0),"")</f>
        <v/>
      </c>
      <c r="M1706" s="1" t="s">
        <v>1740</v>
      </c>
      <c r="O1706" s="2"/>
    </row>
    <row r="1707" customFormat="false" ht="13.8" hidden="false" customHeight="false" outlineLevel="0" collapsed="false">
      <c r="A1707" s="0" t="s">
        <v>5297</v>
      </c>
      <c r="B1707" s="7" t="s">
        <v>5310</v>
      </c>
      <c r="C1707" s="0" t="n">
        <v>141003</v>
      </c>
      <c r="D1707" s="0" t="n">
        <v>141003</v>
      </c>
      <c r="E1707" s="0" t="s">
        <v>5297</v>
      </c>
      <c r="F1707" s="0" t="s">
        <v>18</v>
      </c>
      <c r="G1707" s="0" t="s">
        <v>5311</v>
      </c>
      <c r="H1707" s="0" t="s">
        <v>5312</v>
      </c>
      <c r="L1707" s="0" t="str">
        <f aca="false">IFERROR(VLOOKUP(K1707,'Supplier list'!B:C,2,0),"")</f>
        <v/>
      </c>
      <c r="M1707" s="1" t="s">
        <v>1740</v>
      </c>
      <c r="O1707" s="2"/>
    </row>
    <row r="1708" customFormat="false" ht="13.8" hidden="false" customHeight="false" outlineLevel="0" collapsed="false">
      <c r="A1708" s="0" t="s">
        <v>5297</v>
      </c>
      <c r="B1708" s="0" t="s">
        <v>5313</v>
      </c>
      <c r="C1708" s="0" t="n">
        <v>532008</v>
      </c>
      <c r="D1708" s="0" t="n">
        <v>532008</v>
      </c>
      <c r="E1708" s="0" t="s">
        <v>5297</v>
      </c>
      <c r="F1708" s="0" t="s">
        <v>18</v>
      </c>
      <c r="G1708" s="0" t="s">
        <v>5314</v>
      </c>
      <c r="H1708" s="0" t="s">
        <v>5315</v>
      </c>
      <c r="L1708" s="0" t="str">
        <f aca="false">IFERROR(VLOOKUP(K1708,'Supplier list'!B:C,2,0),"")</f>
        <v/>
      </c>
      <c r="M1708" s="1" t="s">
        <v>1740</v>
      </c>
      <c r="O1708" s="2"/>
    </row>
    <row r="1709" customFormat="false" ht="13.8" hidden="false" customHeight="false" outlineLevel="0" collapsed="false">
      <c r="A1709" s="0" t="s">
        <v>5297</v>
      </c>
      <c r="B1709" s="0" t="s">
        <v>5316</v>
      </c>
      <c r="C1709" s="0" t="n">
        <v>513004</v>
      </c>
      <c r="D1709" s="0" t="n">
        <v>513004</v>
      </c>
      <c r="E1709" s="0" t="s">
        <v>5297</v>
      </c>
      <c r="F1709" s="0" t="s">
        <v>18</v>
      </c>
      <c r="G1709" s="0" t="s">
        <v>5317</v>
      </c>
      <c r="H1709" s="0" t="s">
        <v>5318</v>
      </c>
      <c r="L1709" s="0" t="str">
        <f aca="false">IFERROR(VLOOKUP(K1709,'Supplier list'!B:C,2,0),"")</f>
        <v/>
      </c>
      <c r="M1709" s="1" t="s">
        <v>1740</v>
      </c>
      <c r="O1709" s="2"/>
    </row>
  </sheetData>
  <autoFilter ref="A1:O1709"/>
  <conditionalFormatting sqref="H170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62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2" ySplit="1" topLeftCell="U2" activePane="bottomRight" state="frozen"/>
      <selection pane="topLeft" activeCell="B1" activeCellId="0" sqref="B1"/>
      <selection pane="topRight" activeCell="U1" activeCellId="0" sqref="U1"/>
      <selection pane="bottomLeft" activeCell="B2" activeCellId="0" sqref="B2"/>
      <selection pane="bottomRight" activeCell="Z620" activeCellId="0" sqref="Z620"/>
    </sheetView>
  </sheetViews>
  <sheetFormatPr defaultColWidth="9.6640625" defaultRowHeight="16.85" zeroHeight="false" outlineLevelRow="0" outlineLevelCol="0"/>
  <cols>
    <col collapsed="false" customWidth="false" hidden="false" outlineLevel="0" max="1" min="1" style="9" width="9.66"/>
    <col collapsed="false" customWidth="true" hidden="false" outlineLevel="0" max="2" min="2" style="10" width="14.66"/>
    <col collapsed="false" customWidth="true" hidden="false" outlineLevel="0" max="3" min="3" style="10" width="48.56"/>
    <col collapsed="false" customWidth="true" hidden="false" outlineLevel="0" max="4" min="4" style="10" width="40.69"/>
    <col collapsed="false" customWidth="true" hidden="false" outlineLevel="0" max="5" min="5" style="10" width="15.56"/>
    <col collapsed="false" customWidth="true" hidden="false" outlineLevel="0" max="6" min="6" style="10" width="33.86"/>
    <col collapsed="false" customWidth="true" hidden="false" outlineLevel="0" max="7" min="7" style="10" width="24.34"/>
    <col collapsed="false" customWidth="true" hidden="false" outlineLevel="0" max="8" min="8" style="10" width="16.66"/>
    <col collapsed="false" customWidth="true" hidden="false" outlineLevel="0" max="9" min="9" style="10" width="21"/>
    <col collapsed="false" customWidth="true" hidden="false" outlineLevel="0" max="10" min="10" style="10" width="10"/>
    <col collapsed="false" customWidth="true" hidden="false" outlineLevel="0" max="11" min="11" style="10" width="23.1"/>
    <col collapsed="false" customWidth="true" hidden="false" outlineLevel="0" max="12" min="12" style="10" width="32"/>
    <col collapsed="false" customWidth="true" hidden="false" outlineLevel="0" max="13" min="13" style="10" width="18.89"/>
    <col collapsed="false" customWidth="true" hidden="false" outlineLevel="0" max="14" min="14" style="10" width="27.74"/>
    <col collapsed="false" customWidth="true" hidden="false" outlineLevel="0" max="15" min="15" style="10" width="23.08"/>
    <col collapsed="false" customWidth="true" hidden="false" outlineLevel="0" max="16" min="16" style="10" width="15.34"/>
    <col collapsed="false" customWidth="true" hidden="false" outlineLevel="0" max="17" min="17" style="10" width="35.66"/>
    <col collapsed="false" customWidth="true" hidden="true" outlineLevel="0" max="18" min="18" style="10" width="10.11"/>
    <col collapsed="false" customWidth="true" hidden="false" outlineLevel="0" max="19" min="19" style="10" width="19"/>
    <col collapsed="false" customWidth="true" hidden="false" outlineLevel="0" max="20" min="20" style="10" width="18.34"/>
    <col collapsed="false" customWidth="true" hidden="false" outlineLevel="0" max="21" min="21" style="10" width="10.7"/>
    <col collapsed="false" customWidth="true" hidden="false" outlineLevel="0" max="22" min="22" style="10" width="12.38"/>
    <col collapsed="false" customWidth="false" hidden="true" outlineLevel="0" max="24" min="23" style="11" width="9.66"/>
    <col collapsed="false" customWidth="true" hidden="false" outlineLevel="0" max="25" min="25" style="11" width="22.55"/>
    <col collapsed="false" customWidth="false" hidden="false" outlineLevel="0" max="1024" min="26" style="11" width="9.66"/>
  </cols>
  <sheetData>
    <row r="1" s="15" customFormat="true" ht="21.75" hidden="false" customHeight="true" outlineLevel="0" collapsed="false">
      <c r="A1" s="9"/>
      <c r="B1" s="12" t="s">
        <v>5319</v>
      </c>
      <c r="C1" s="12" t="s">
        <v>5320</v>
      </c>
      <c r="D1" s="12" t="s">
        <v>5321</v>
      </c>
      <c r="E1" s="12" t="s">
        <v>5322</v>
      </c>
      <c r="F1" s="13" t="s">
        <v>5323</v>
      </c>
      <c r="G1" s="13" t="s">
        <v>5324</v>
      </c>
      <c r="H1" s="13" t="s">
        <v>5325</v>
      </c>
      <c r="I1" s="12" t="s">
        <v>5326</v>
      </c>
      <c r="J1" s="12" t="s">
        <v>5327</v>
      </c>
      <c r="K1" s="12" t="s">
        <v>5328</v>
      </c>
      <c r="L1" s="12" t="s">
        <v>5329</v>
      </c>
      <c r="M1" s="12" t="s">
        <v>5330</v>
      </c>
      <c r="N1" s="12" t="s">
        <v>5331</v>
      </c>
      <c r="O1" s="12" t="s">
        <v>5332</v>
      </c>
      <c r="P1" s="12" t="s">
        <v>5333</v>
      </c>
      <c r="Q1" s="12" t="s">
        <v>5334</v>
      </c>
      <c r="R1" s="14" t="s">
        <v>5335</v>
      </c>
      <c r="S1" s="14" t="s">
        <v>5336</v>
      </c>
      <c r="T1" s="14" t="s">
        <v>5337</v>
      </c>
      <c r="U1" s="12" t="s">
        <v>5338</v>
      </c>
      <c r="V1" s="12" t="s">
        <v>5339</v>
      </c>
      <c r="W1" s="12" t="s">
        <v>5340</v>
      </c>
      <c r="X1" s="12" t="s">
        <v>5341</v>
      </c>
      <c r="Y1" s="15" t="s">
        <v>5342</v>
      </c>
      <c r="Z1" s="16" t="s">
        <v>5343</v>
      </c>
    </row>
    <row r="2" customFormat="false" ht="17.9" hidden="false" customHeight="false" outlineLevel="0" collapsed="false">
      <c r="A2" s="9" t="n">
        <v>1</v>
      </c>
      <c r="B2" s="10" t="s">
        <v>4203</v>
      </c>
      <c r="C2" s="10" t="s">
        <v>5344</v>
      </c>
      <c r="D2" s="10" t="s">
        <v>5345</v>
      </c>
      <c r="F2" s="17" t="str">
        <f aca="false">CONCATENATE(G2,", ",H2)</f>
        <v>อ.เมือง, จ.สมุทรสาคร</v>
      </c>
      <c r="G2" s="10" t="s">
        <v>5346</v>
      </c>
      <c r="H2" s="10" t="s">
        <v>5347</v>
      </c>
      <c r="I2" s="10" t="s">
        <v>5348</v>
      </c>
      <c r="J2" s="10" t="n">
        <v>74000</v>
      </c>
      <c r="K2" s="10" t="s">
        <v>5349</v>
      </c>
      <c r="L2" s="10" t="s">
        <v>5350</v>
      </c>
      <c r="M2" s="18" t="s">
        <v>5351</v>
      </c>
      <c r="O2" s="11"/>
      <c r="P2" s="10" t="s">
        <v>5352</v>
      </c>
      <c r="Q2" s="10" t="s">
        <v>5353</v>
      </c>
      <c r="S2" s="10" t="s">
        <v>5354</v>
      </c>
      <c r="T2" s="10" t="s">
        <v>5355</v>
      </c>
      <c r="U2" s="17" t="s">
        <v>5356</v>
      </c>
      <c r="Z2" s="11" t="n">
        <v>1</v>
      </c>
    </row>
    <row r="3" customFormat="false" ht="17.9" hidden="false" customHeight="false" outlineLevel="0" collapsed="false">
      <c r="B3" s="10" t="s">
        <v>5357</v>
      </c>
      <c r="C3" s="10" t="s">
        <v>5358</v>
      </c>
      <c r="D3" s="10" t="s">
        <v>5359</v>
      </c>
      <c r="F3" s="17" t="str">
        <f aca="false">CONCATENATE(G3,", ",H3)</f>
        <v>เขตบางบอน, จ.กรุงเทพฯ</v>
      </c>
      <c r="G3" s="10" t="s">
        <v>5360</v>
      </c>
      <c r="H3" s="10" t="s">
        <v>5361</v>
      </c>
      <c r="I3" s="10" t="s">
        <v>5348</v>
      </c>
      <c r="J3" s="10" t="n">
        <v>10150</v>
      </c>
      <c r="K3" s="10" t="s">
        <v>5362</v>
      </c>
      <c r="L3" s="10" t="s">
        <v>5363</v>
      </c>
      <c r="M3" s="10" t="s">
        <v>5364</v>
      </c>
      <c r="P3" s="10" t="s">
        <v>5352</v>
      </c>
      <c r="Q3" s="19" t="s">
        <v>5365</v>
      </c>
      <c r="S3" s="10" t="s">
        <v>5366</v>
      </c>
      <c r="T3" s="10" t="s">
        <v>29</v>
      </c>
      <c r="U3" s="10" t="s">
        <v>5367</v>
      </c>
      <c r="Z3" s="11" t="n">
        <v>1</v>
      </c>
    </row>
    <row r="4" customFormat="false" ht="17.9" hidden="false" customHeight="false" outlineLevel="0" collapsed="false">
      <c r="B4" s="10" t="s">
        <v>5368</v>
      </c>
      <c r="C4" s="10" t="s">
        <v>5369</v>
      </c>
      <c r="D4" s="10" t="s">
        <v>5370</v>
      </c>
      <c r="F4" s="17" t="str">
        <f aca="false">CONCATENATE(G4,", ",H4)</f>
        <v>อ.ศรีมหาโพธิ, จ.ปราจีนบุรี</v>
      </c>
      <c r="G4" s="10" t="s">
        <v>5371</v>
      </c>
      <c r="H4" s="10" t="s">
        <v>5372</v>
      </c>
      <c r="I4" s="10" t="s">
        <v>5348</v>
      </c>
      <c r="J4" s="10" t="n">
        <v>25140</v>
      </c>
      <c r="K4" s="10" t="s">
        <v>5373</v>
      </c>
      <c r="L4" s="10" t="s">
        <v>5374</v>
      </c>
      <c r="M4" s="10" t="s">
        <v>5375</v>
      </c>
      <c r="P4" s="10" t="s">
        <v>5352</v>
      </c>
      <c r="Q4" s="19" t="s">
        <v>5376</v>
      </c>
      <c r="S4" s="10" t="s">
        <v>29</v>
      </c>
      <c r="T4" s="10" t="s">
        <v>29</v>
      </c>
      <c r="U4" s="10" t="s">
        <v>5377</v>
      </c>
      <c r="Z4" s="11" t="n">
        <v>1</v>
      </c>
    </row>
    <row r="5" customFormat="false" ht="17.9" hidden="false" customHeight="false" outlineLevel="0" collapsed="false">
      <c r="B5" s="10" t="s">
        <v>5378</v>
      </c>
      <c r="C5" s="10" t="s">
        <v>5379</v>
      </c>
      <c r="D5" s="10" t="s">
        <v>5380</v>
      </c>
      <c r="F5" s="17" t="str">
        <f aca="false">CONCATENATE(G5,", ",H5)</f>
        <v>เขตวัฒนา, จ.กรุงเทพฯ</v>
      </c>
      <c r="G5" s="10" t="s">
        <v>5381</v>
      </c>
      <c r="H5" s="10" t="s">
        <v>5361</v>
      </c>
      <c r="I5" s="10" t="s">
        <v>5348</v>
      </c>
      <c r="J5" s="10" t="n">
        <v>10110</v>
      </c>
      <c r="K5" s="10" t="s">
        <v>5382</v>
      </c>
      <c r="L5" s="10" t="s">
        <v>5383</v>
      </c>
      <c r="M5" s="10" t="s">
        <v>5384</v>
      </c>
      <c r="P5" s="10" t="s">
        <v>5352</v>
      </c>
      <c r="Q5" s="19" t="s">
        <v>5385</v>
      </c>
      <c r="S5" s="10" t="s">
        <v>5386</v>
      </c>
      <c r="T5" s="10" t="s">
        <v>5387</v>
      </c>
      <c r="U5" s="10" t="s">
        <v>5377</v>
      </c>
      <c r="Z5" s="11" t="n">
        <v>1</v>
      </c>
    </row>
    <row r="6" customFormat="false" ht="15" hidden="false" customHeight="false" outlineLevel="0" collapsed="false">
      <c r="B6" s="10" t="s">
        <v>5388</v>
      </c>
      <c r="C6" s="10" t="s">
        <v>5389</v>
      </c>
      <c r="D6" s="10" t="s">
        <v>5390</v>
      </c>
      <c r="F6" s="17" t="str">
        <f aca="false">CONCATENATE(G6,", ",H6)</f>
        <v>New Delhi, Delhi</v>
      </c>
      <c r="G6" s="10" t="s">
        <v>5391</v>
      </c>
      <c r="H6" s="10" t="s">
        <v>5392</v>
      </c>
      <c r="I6" s="10" t="s">
        <v>5393</v>
      </c>
      <c r="J6" s="10" t="n">
        <v>110096</v>
      </c>
      <c r="K6" s="10" t="s">
        <v>5394</v>
      </c>
      <c r="L6" s="10" t="s">
        <v>5395</v>
      </c>
      <c r="M6" s="10" t="s">
        <v>5396</v>
      </c>
      <c r="P6" s="10" t="s">
        <v>5352</v>
      </c>
      <c r="Q6" s="19"/>
      <c r="S6" s="10" t="s">
        <v>5397</v>
      </c>
      <c r="T6" s="10" t="s">
        <v>5398</v>
      </c>
      <c r="U6" s="10" t="s">
        <v>5367</v>
      </c>
      <c r="Z6" s="11" t="n">
        <v>1</v>
      </c>
    </row>
    <row r="7" customFormat="false" ht="29.85" hidden="false" customHeight="false" outlineLevel="0" collapsed="false">
      <c r="B7" s="10" t="s">
        <v>5399</v>
      </c>
      <c r="C7" s="10" t="s">
        <v>5400</v>
      </c>
      <c r="D7" s="10" t="s">
        <v>5401</v>
      </c>
      <c r="F7" s="17" t="str">
        <f aca="false">CONCATENATE(G7,", ",H7)</f>
        <v>อ.บางพลี, จ.สมุทรปราการ</v>
      </c>
      <c r="G7" s="10" t="s">
        <v>5402</v>
      </c>
      <c r="H7" s="10" t="s">
        <v>5403</v>
      </c>
      <c r="I7" s="10" t="s">
        <v>5348</v>
      </c>
      <c r="J7" s="10" t="n">
        <v>10540</v>
      </c>
      <c r="K7" s="10" t="s">
        <v>5404</v>
      </c>
      <c r="L7" s="20" t="s">
        <v>5405</v>
      </c>
      <c r="M7" s="10" t="s">
        <v>5406</v>
      </c>
      <c r="P7" s="10" t="s">
        <v>5352</v>
      </c>
      <c r="S7" s="10" t="s">
        <v>5407</v>
      </c>
      <c r="T7" s="10" t="s">
        <v>5408</v>
      </c>
      <c r="U7" s="10" t="s">
        <v>5367</v>
      </c>
      <c r="Z7" s="11" t="n">
        <v>1</v>
      </c>
    </row>
    <row r="8" customFormat="false" ht="17.9" hidden="false" customHeight="false" outlineLevel="0" collapsed="false">
      <c r="B8" s="10" t="s">
        <v>1572</v>
      </c>
      <c r="C8" s="10" t="s">
        <v>5409</v>
      </c>
      <c r="D8" s="10" t="s">
        <v>5410</v>
      </c>
      <c r="F8" s="17" t="str">
        <f aca="false">CONCATENATE(G8,", ",H8)</f>
        <v>อ.บางพลี, จ.สมุทรปราการ</v>
      </c>
      <c r="G8" s="10" t="s">
        <v>5402</v>
      </c>
      <c r="H8" s="10" t="s">
        <v>5403</v>
      </c>
      <c r="I8" s="10" t="s">
        <v>5348</v>
      </c>
      <c r="J8" s="10" t="n">
        <v>10540</v>
      </c>
      <c r="K8" s="10" t="s">
        <v>5411</v>
      </c>
      <c r="L8" s="10" t="s">
        <v>5412</v>
      </c>
      <c r="M8" s="10" t="s">
        <v>5413</v>
      </c>
      <c r="P8" s="10" t="s">
        <v>5352</v>
      </c>
      <c r="Q8" s="19"/>
      <c r="S8" s="10" t="s">
        <v>5414</v>
      </c>
      <c r="T8" s="10" t="s">
        <v>5415</v>
      </c>
      <c r="U8" s="10" t="s">
        <v>5367</v>
      </c>
      <c r="Z8" s="11" t="n">
        <v>1</v>
      </c>
    </row>
    <row r="9" customFormat="false" ht="17.9" hidden="false" customHeight="false" outlineLevel="0" collapsed="false">
      <c r="B9" s="10" t="s">
        <v>5416</v>
      </c>
      <c r="C9" s="10" t="s">
        <v>5417</v>
      </c>
      <c r="D9" s="10" t="s">
        <v>5418</v>
      </c>
      <c r="F9" s="17" t="str">
        <f aca="false">CONCATENATE(G9,", ",H9)</f>
        <v>เขตสายไหม, จ.กรุงเทพฯ</v>
      </c>
      <c r="G9" s="10" t="s">
        <v>5419</v>
      </c>
      <c r="H9" s="10" t="s">
        <v>5361</v>
      </c>
      <c r="I9" s="10" t="s">
        <v>5348</v>
      </c>
      <c r="J9" s="10" t="n">
        <v>10220</v>
      </c>
      <c r="K9" s="10" t="s">
        <v>5420</v>
      </c>
      <c r="L9" s="10" t="s">
        <v>29</v>
      </c>
      <c r="M9" s="10" t="s">
        <v>5421</v>
      </c>
      <c r="P9" s="10" t="s">
        <v>5352</v>
      </c>
      <c r="S9" s="10" t="s">
        <v>29</v>
      </c>
      <c r="T9" s="10" t="s">
        <v>29</v>
      </c>
      <c r="U9" s="10" t="s">
        <v>5377</v>
      </c>
      <c r="Z9" s="11" t="n">
        <v>1</v>
      </c>
    </row>
    <row r="10" customFormat="false" ht="17.9" hidden="false" customHeight="false" outlineLevel="0" collapsed="false">
      <c r="B10" s="10" t="s">
        <v>5422</v>
      </c>
      <c r="C10" s="10" t="s">
        <v>5423</v>
      </c>
      <c r="D10" s="10" t="s">
        <v>5424</v>
      </c>
      <c r="F10" s="17" t="str">
        <f aca="false">CONCATENATE(G10,", ",H10)</f>
        <v>อ.พระประแดง, จ.สมุทรปราการ</v>
      </c>
      <c r="G10" s="10" t="s">
        <v>5425</v>
      </c>
      <c r="H10" s="10" t="s">
        <v>5403</v>
      </c>
      <c r="I10" s="10" t="s">
        <v>5348</v>
      </c>
      <c r="J10" s="10" t="n">
        <v>10130</v>
      </c>
      <c r="K10" s="10" t="s">
        <v>5426</v>
      </c>
      <c r="L10" s="10" t="s">
        <v>29</v>
      </c>
      <c r="M10" s="10" t="s">
        <v>5427</v>
      </c>
      <c r="P10" s="10" t="s">
        <v>5352</v>
      </c>
      <c r="S10" s="10" t="s">
        <v>5428</v>
      </c>
      <c r="T10" s="10" t="s">
        <v>5429</v>
      </c>
      <c r="U10" s="10" t="s">
        <v>5430</v>
      </c>
      <c r="Z10" s="11" t="n">
        <v>1</v>
      </c>
    </row>
    <row r="11" customFormat="false" ht="17.9" hidden="false" customHeight="false" outlineLevel="0" collapsed="false">
      <c r="B11" s="10" t="s">
        <v>5431</v>
      </c>
      <c r="C11" s="10" t="s">
        <v>5432</v>
      </c>
      <c r="D11" s="10" t="s">
        <v>5433</v>
      </c>
      <c r="F11" s="17" t="str">
        <f aca="false">CONCATENATE(G11,", ",H11)</f>
        <v>อ.บางพลี, จ.สมุทรปราการ</v>
      </c>
      <c r="G11" s="10" t="s">
        <v>5434</v>
      </c>
      <c r="H11" s="10" t="s">
        <v>5403</v>
      </c>
      <c r="I11" s="10" t="s">
        <v>5348</v>
      </c>
      <c r="J11" s="10" t="n">
        <v>10540</v>
      </c>
      <c r="K11" s="10" t="s">
        <v>5435</v>
      </c>
      <c r="L11" s="10" t="s">
        <v>5436</v>
      </c>
      <c r="M11" s="10" t="s">
        <v>5437</v>
      </c>
      <c r="P11" s="10" t="s">
        <v>5352</v>
      </c>
      <c r="Q11" s="10" t="s">
        <v>5438</v>
      </c>
      <c r="S11" s="10" t="s">
        <v>29</v>
      </c>
      <c r="T11" s="10" t="s">
        <v>29</v>
      </c>
      <c r="U11" s="10" t="s">
        <v>5439</v>
      </c>
      <c r="V11" s="21" t="n">
        <v>0.2</v>
      </c>
      <c r="Z11" s="11" t="n">
        <v>1</v>
      </c>
    </row>
    <row r="12" customFormat="false" ht="15" hidden="false" customHeight="false" outlineLevel="0" collapsed="false">
      <c r="B12" s="10" t="s">
        <v>2298</v>
      </c>
      <c r="C12" s="10" t="s">
        <v>5440</v>
      </c>
      <c r="D12" s="10" t="s">
        <v>5441</v>
      </c>
      <c r="F12" s="17" t="str">
        <f aca="false">CONCATENATE(G12,", ",H12)</f>
        <v>Wuxi, Jiangsu</v>
      </c>
      <c r="G12" s="10" t="s">
        <v>5442</v>
      </c>
      <c r="H12" s="10" t="s">
        <v>5443</v>
      </c>
      <c r="I12" s="10" t="s">
        <v>5444</v>
      </c>
      <c r="J12" s="10" t="n">
        <v>214101</v>
      </c>
      <c r="K12" s="10" t="s">
        <v>29</v>
      </c>
      <c r="L12" s="10" t="s">
        <v>29</v>
      </c>
      <c r="M12" s="10" t="s">
        <v>29</v>
      </c>
      <c r="P12" s="10" t="s">
        <v>5352</v>
      </c>
      <c r="S12" s="10" t="s">
        <v>29</v>
      </c>
      <c r="T12" s="10" t="s">
        <v>29</v>
      </c>
      <c r="U12" s="10" t="s">
        <v>5367</v>
      </c>
      <c r="Z12" s="11" t="n">
        <v>1</v>
      </c>
    </row>
    <row r="13" customFormat="false" ht="17.9" hidden="false" customHeight="false" outlineLevel="0" collapsed="false">
      <c r="B13" s="10" t="s">
        <v>5445</v>
      </c>
      <c r="C13" s="10" t="s">
        <v>5446</v>
      </c>
      <c r="D13" s="10" t="s">
        <v>5447</v>
      </c>
      <c r="F13" s="17" t="str">
        <f aca="false">CONCATENATE(G13,", ",H13)</f>
        <v>เขตสวนหลวง, กรุงเทพมหานคร</v>
      </c>
      <c r="G13" s="10" t="s">
        <v>5448</v>
      </c>
      <c r="H13" s="10" t="s">
        <v>5449</v>
      </c>
      <c r="I13" s="10" t="s">
        <v>5348</v>
      </c>
      <c r="J13" s="10" t="n">
        <v>10250</v>
      </c>
      <c r="K13" s="10" t="s">
        <v>5450</v>
      </c>
      <c r="L13" s="10" t="s">
        <v>29</v>
      </c>
      <c r="M13" s="10" t="s">
        <v>29</v>
      </c>
      <c r="P13" s="10" t="s">
        <v>5352</v>
      </c>
      <c r="S13" s="10" t="s">
        <v>29</v>
      </c>
      <c r="T13" s="10" t="s">
        <v>29</v>
      </c>
      <c r="U13" s="10" t="s">
        <v>5367</v>
      </c>
      <c r="Z13" s="11" t="n">
        <v>1</v>
      </c>
    </row>
    <row r="14" customFormat="false" ht="17.9" hidden="false" customHeight="false" outlineLevel="0" collapsed="false">
      <c r="B14" s="10" t="s">
        <v>1378</v>
      </c>
      <c r="C14" s="10" t="s">
        <v>5451</v>
      </c>
      <c r="D14" s="10" t="s">
        <v>5452</v>
      </c>
      <c r="F14" s="17" t="str">
        <f aca="false">CONCATENATE(G14,", ",H14)</f>
        <v>อ.บางพลี, จ.สมุทรปราการ</v>
      </c>
      <c r="G14" s="10" t="s">
        <v>5434</v>
      </c>
      <c r="H14" s="10" t="s">
        <v>5403</v>
      </c>
      <c r="I14" s="10" t="s">
        <v>5348</v>
      </c>
      <c r="J14" s="10" t="n">
        <v>10540</v>
      </c>
      <c r="K14" s="10" t="s">
        <v>5453</v>
      </c>
      <c r="L14" s="10" t="s">
        <v>29</v>
      </c>
      <c r="M14" s="10" t="s">
        <v>5454</v>
      </c>
      <c r="P14" s="10" t="s">
        <v>5352</v>
      </c>
      <c r="Q14" s="10" t="s">
        <v>5455</v>
      </c>
      <c r="S14" s="10" t="s">
        <v>29</v>
      </c>
      <c r="T14" s="10" t="s">
        <v>29</v>
      </c>
      <c r="U14" s="10" t="s">
        <v>5367</v>
      </c>
      <c r="Z14" s="11" t="n">
        <v>1</v>
      </c>
    </row>
    <row r="15" customFormat="false" ht="17.9" hidden="false" customHeight="false" outlineLevel="0" collapsed="false">
      <c r="B15" s="10" t="s">
        <v>5456</v>
      </c>
      <c r="C15" s="10" t="s">
        <v>5457</v>
      </c>
      <c r="D15" s="10" t="s">
        <v>5458</v>
      </c>
      <c r="F15" s="17" t="str">
        <f aca="false">CONCATENATE(G15,", ",H15)</f>
        <v>อ.บางพลี, จ.สมุทรปราการ</v>
      </c>
      <c r="G15" s="10" t="s">
        <v>5434</v>
      </c>
      <c r="H15" s="10" t="s">
        <v>5403</v>
      </c>
      <c r="I15" s="10" t="s">
        <v>5348</v>
      </c>
      <c r="J15" s="10" t="n">
        <v>10540</v>
      </c>
      <c r="K15" s="10" t="s">
        <v>5459</v>
      </c>
      <c r="L15" s="10" t="s">
        <v>5460</v>
      </c>
      <c r="M15" s="10" t="s">
        <v>5461</v>
      </c>
      <c r="P15" s="10" t="s">
        <v>5352</v>
      </c>
      <c r="Q15" s="10" t="s">
        <v>5462</v>
      </c>
      <c r="S15" s="10" t="s">
        <v>29</v>
      </c>
      <c r="T15" s="10" t="s">
        <v>29</v>
      </c>
      <c r="U15" s="10" t="s">
        <v>5367</v>
      </c>
      <c r="Z15" s="11" t="n">
        <v>1</v>
      </c>
    </row>
    <row r="16" customFormat="false" ht="17.9" hidden="false" customHeight="false" outlineLevel="0" collapsed="false">
      <c r="B16" s="10" t="s">
        <v>5463</v>
      </c>
      <c r="C16" s="10" t="s">
        <v>5464</v>
      </c>
      <c r="D16" s="10" t="s">
        <v>5465</v>
      </c>
      <c r="F16" s="17" t="str">
        <f aca="false">CONCATENATE(G16,", ",H16)</f>
        <v>อ.บางบ่อ, จ.สมุทรปราการ</v>
      </c>
      <c r="G16" s="10" t="s">
        <v>5466</v>
      </c>
      <c r="H16" s="10" t="s">
        <v>5403</v>
      </c>
      <c r="I16" s="10" t="s">
        <v>5348</v>
      </c>
      <c r="J16" s="10" t="n">
        <v>10560</v>
      </c>
      <c r="K16" s="10" t="s">
        <v>5467</v>
      </c>
      <c r="L16" s="10" t="s">
        <v>29</v>
      </c>
      <c r="M16" s="10" t="s">
        <v>29</v>
      </c>
      <c r="P16" s="10" t="s">
        <v>5352</v>
      </c>
      <c r="S16" s="10" t="s">
        <v>29</v>
      </c>
      <c r="T16" s="10" t="s">
        <v>29</v>
      </c>
      <c r="U16" s="10" t="s">
        <v>5367</v>
      </c>
      <c r="Z16" s="11" t="n">
        <v>1</v>
      </c>
    </row>
    <row r="17" customFormat="false" ht="17.9" hidden="false" customHeight="false" outlineLevel="0" collapsed="false">
      <c r="B17" s="10" t="s">
        <v>2065</v>
      </c>
      <c r="C17" s="10" t="s">
        <v>5468</v>
      </c>
      <c r="D17" s="10" t="s">
        <v>5469</v>
      </c>
      <c r="F17" s="17" t="str">
        <f aca="false">CONCATENATE(G17,", ",H17)</f>
        <v>เขตบางกะปิ, กรุงเทพมหานคร</v>
      </c>
      <c r="G17" s="10" t="s">
        <v>5470</v>
      </c>
      <c r="H17" s="10" t="s">
        <v>5449</v>
      </c>
      <c r="I17" s="10" t="s">
        <v>5348</v>
      </c>
      <c r="J17" s="10" t="n">
        <v>10240</v>
      </c>
      <c r="K17" s="10" t="s">
        <v>5471</v>
      </c>
      <c r="L17" s="10" t="s">
        <v>29</v>
      </c>
      <c r="M17" s="10" t="s">
        <v>5472</v>
      </c>
      <c r="P17" s="10" t="s">
        <v>5352</v>
      </c>
      <c r="S17" s="10" t="s">
        <v>5473</v>
      </c>
      <c r="T17" s="10" t="s">
        <v>5474</v>
      </c>
      <c r="U17" s="10" t="s">
        <v>5377</v>
      </c>
      <c r="V17" s="21" t="n">
        <v>0.2</v>
      </c>
      <c r="Z17" s="11" t="n">
        <v>1</v>
      </c>
    </row>
    <row r="18" customFormat="false" ht="17.9" hidden="false" customHeight="false" outlineLevel="0" collapsed="false">
      <c r="B18" s="10" t="s">
        <v>5475</v>
      </c>
      <c r="C18" s="10" t="s">
        <v>5476</v>
      </c>
      <c r="D18" s="10" t="s">
        <v>5477</v>
      </c>
      <c r="F18" s="17" t="str">
        <f aca="false">CONCATENATE(G18,", ",H18)</f>
        <v>อ.บางพลี, จ.สมุทรปราการ</v>
      </c>
      <c r="G18" s="10" t="s">
        <v>5434</v>
      </c>
      <c r="H18" s="10" t="s">
        <v>5403</v>
      </c>
      <c r="I18" s="10" t="s">
        <v>5348</v>
      </c>
      <c r="J18" s="10" t="n">
        <v>10540</v>
      </c>
      <c r="K18" s="10" t="s">
        <v>5478</v>
      </c>
      <c r="L18" s="10" t="s">
        <v>29</v>
      </c>
      <c r="M18" s="10" t="s">
        <v>5479</v>
      </c>
      <c r="P18" s="10" t="s">
        <v>5352</v>
      </c>
      <c r="S18" s="10" t="s">
        <v>29</v>
      </c>
      <c r="T18" s="10" t="s">
        <v>29</v>
      </c>
      <c r="U18" s="10" t="s">
        <v>5367</v>
      </c>
      <c r="Z18" s="11" t="n">
        <v>1</v>
      </c>
    </row>
    <row r="19" customFormat="false" ht="17.9" hidden="false" customHeight="false" outlineLevel="0" collapsed="false">
      <c r="B19" s="10" t="s">
        <v>5480</v>
      </c>
      <c r="C19" s="10" t="s">
        <v>5481</v>
      </c>
      <c r="D19" s="10" t="s">
        <v>5482</v>
      </c>
      <c r="F19" s="17" t="str">
        <f aca="false">CONCATENATE(G19,", ",H19)</f>
        <v>อ.เมืองสมุทรปราการ, จ.สมุทรปราการ</v>
      </c>
      <c r="G19" s="10" t="s">
        <v>5483</v>
      </c>
      <c r="H19" s="10" t="s">
        <v>5403</v>
      </c>
      <c r="I19" s="10" t="s">
        <v>5348</v>
      </c>
      <c r="J19" s="10" t="n">
        <v>10280</v>
      </c>
      <c r="K19" s="10" t="s">
        <v>5484</v>
      </c>
      <c r="L19" s="10" t="s">
        <v>5485</v>
      </c>
      <c r="M19" s="10" t="s">
        <v>5486</v>
      </c>
      <c r="P19" s="10" t="s">
        <v>5352</v>
      </c>
      <c r="S19" s="10" t="s">
        <v>29</v>
      </c>
      <c r="T19" s="10" t="s">
        <v>29</v>
      </c>
      <c r="U19" s="10" t="s">
        <v>5367</v>
      </c>
      <c r="Z19" s="11" t="n">
        <v>1</v>
      </c>
    </row>
    <row r="20" customFormat="false" ht="17.9" hidden="false" customHeight="false" outlineLevel="0" collapsed="false">
      <c r="B20" s="10" t="s">
        <v>5487</v>
      </c>
      <c r="C20" s="10" t="s">
        <v>5488</v>
      </c>
      <c r="D20" s="10" t="s">
        <v>5489</v>
      </c>
      <c r="F20" s="17" t="str">
        <f aca="false">CONCATENATE(G20,", ",H20)</f>
        <v>อ.เมืองสมุทรปราการ, จ.สมุทรปราการ</v>
      </c>
      <c r="G20" s="10" t="s">
        <v>5483</v>
      </c>
      <c r="H20" s="10" t="s">
        <v>5403</v>
      </c>
      <c r="I20" s="10" t="s">
        <v>5348</v>
      </c>
      <c r="J20" s="10" t="n">
        <v>10280</v>
      </c>
      <c r="K20" s="10" t="s">
        <v>5490</v>
      </c>
      <c r="L20" s="10" t="s">
        <v>29</v>
      </c>
      <c r="M20" s="10" t="s">
        <v>5491</v>
      </c>
      <c r="P20" s="10" t="s">
        <v>5352</v>
      </c>
      <c r="S20" s="10" t="s">
        <v>5492</v>
      </c>
      <c r="T20" s="10" t="s">
        <v>5493</v>
      </c>
      <c r="U20" s="10" t="s">
        <v>5377</v>
      </c>
      <c r="Z20" s="11" t="n">
        <v>1</v>
      </c>
    </row>
    <row r="21" customFormat="false" ht="17.9" hidden="false" customHeight="false" outlineLevel="0" collapsed="false">
      <c r="B21" s="10" t="s">
        <v>5494</v>
      </c>
      <c r="C21" s="10" t="s">
        <v>5495</v>
      </c>
      <c r="D21" s="10" t="s">
        <v>5496</v>
      </c>
      <c r="F21" s="17" t="str">
        <f aca="false">CONCATENATE(G21,", ",H21)</f>
        <v>-, จ.นนทบุรี</v>
      </c>
      <c r="G21" s="10" t="s">
        <v>29</v>
      </c>
      <c r="H21" s="10" t="s">
        <v>5497</v>
      </c>
      <c r="I21" s="10" t="s">
        <v>5348</v>
      </c>
      <c r="J21" s="10" t="n">
        <v>11110</v>
      </c>
      <c r="K21" s="10" t="s">
        <v>5498</v>
      </c>
      <c r="L21" s="10" t="s">
        <v>5499</v>
      </c>
      <c r="M21" s="10" t="s">
        <v>5500</v>
      </c>
      <c r="P21" s="10" t="s">
        <v>5352</v>
      </c>
      <c r="S21" s="10" t="s">
        <v>29</v>
      </c>
      <c r="T21" s="10" t="s">
        <v>29</v>
      </c>
      <c r="U21" s="10" t="s">
        <v>5367</v>
      </c>
      <c r="Z21" s="11" t="n">
        <v>1</v>
      </c>
    </row>
    <row r="22" customFormat="false" ht="17.9" hidden="false" customHeight="false" outlineLevel="0" collapsed="false">
      <c r="B22" s="10" t="s">
        <v>2051</v>
      </c>
      <c r="C22" s="10" t="s">
        <v>5501</v>
      </c>
      <c r="D22" s="10" t="s">
        <v>5502</v>
      </c>
      <c r="F22" s="17" t="str">
        <f aca="false">CONCATENATE(G22,", ",H22)</f>
        <v>เขตลาดกระบัง, กรุงเทพมหานคร</v>
      </c>
      <c r="G22" s="10" t="s">
        <v>5503</v>
      </c>
      <c r="H22" s="10" t="s">
        <v>5449</v>
      </c>
      <c r="I22" s="10" t="s">
        <v>5348</v>
      </c>
      <c r="J22" s="10" t="n">
        <v>10520</v>
      </c>
      <c r="K22" s="10" t="s">
        <v>5504</v>
      </c>
      <c r="L22" s="10" t="s">
        <v>29</v>
      </c>
      <c r="M22" s="10" t="s">
        <v>5505</v>
      </c>
      <c r="P22" s="10" t="s">
        <v>5352</v>
      </c>
      <c r="S22" s="10" t="s">
        <v>29</v>
      </c>
      <c r="T22" s="10" t="s">
        <v>29</v>
      </c>
      <c r="U22" s="10" t="s">
        <v>5377</v>
      </c>
      <c r="Z22" s="11" t="n">
        <v>1</v>
      </c>
    </row>
    <row r="23" customFormat="false" ht="15" hidden="false" customHeight="false" outlineLevel="0" collapsed="false">
      <c r="B23" s="10" t="s">
        <v>5506</v>
      </c>
      <c r="C23" s="10" t="s">
        <v>5507</v>
      </c>
      <c r="D23" s="10" t="s">
        <v>5508</v>
      </c>
      <c r="F23" s="17" t="str">
        <f aca="false">CONCATENATE(G23,", ",H23)</f>
        <v>Changzhou, Jiangsu</v>
      </c>
      <c r="G23" s="10" t="s">
        <v>5509</v>
      </c>
      <c r="H23" s="10" t="s">
        <v>5443</v>
      </c>
      <c r="I23" s="10" t="s">
        <v>5444</v>
      </c>
      <c r="J23" s="10" t="n">
        <v>213127</v>
      </c>
      <c r="K23" s="10" t="s">
        <v>29</v>
      </c>
      <c r="L23" s="10" t="s">
        <v>29</v>
      </c>
      <c r="M23" s="10" t="s">
        <v>29</v>
      </c>
      <c r="P23" s="10" t="s">
        <v>5352</v>
      </c>
      <c r="S23" s="10" t="s">
        <v>29</v>
      </c>
      <c r="T23" s="10" t="s">
        <v>29</v>
      </c>
      <c r="U23" s="10" t="s">
        <v>5367</v>
      </c>
      <c r="Z23" s="11" t="n">
        <v>1</v>
      </c>
    </row>
    <row r="24" customFormat="false" ht="17.9" hidden="false" customHeight="false" outlineLevel="0" collapsed="false">
      <c r="B24" s="10" t="s">
        <v>5510</v>
      </c>
      <c r="C24" s="10" t="s">
        <v>5511</v>
      </c>
      <c r="D24" s="10" t="s">
        <v>5512</v>
      </c>
      <c r="E24" s="10" t="s">
        <v>5513</v>
      </c>
      <c r="F24" s="17" t="str">
        <f aca="false">CONCATENATE(G24,", ",H24)</f>
        <v>เขตปทุมวัน, กรุงเทพมหานคร</v>
      </c>
      <c r="G24" s="10" t="s">
        <v>5514</v>
      </c>
      <c r="H24" s="10" t="s">
        <v>5449</v>
      </c>
      <c r="I24" s="10" t="s">
        <v>5348</v>
      </c>
      <c r="J24" s="10" t="n">
        <v>10330</v>
      </c>
      <c r="K24" s="10" t="s">
        <v>5515</v>
      </c>
      <c r="L24" s="10" t="s">
        <v>5516</v>
      </c>
      <c r="M24" s="10" t="s">
        <v>5517</v>
      </c>
      <c r="P24" s="10" t="s">
        <v>5352</v>
      </c>
      <c r="S24" s="10" t="s">
        <v>29</v>
      </c>
      <c r="T24" s="10" t="s">
        <v>29</v>
      </c>
      <c r="U24" s="10" t="s">
        <v>5367</v>
      </c>
      <c r="Z24" s="11" t="n">
        <v>1</v>
      </c>
    </row>
    <row r="25" customFormat="false" ht="17.9" hidden="false" customHeight="false" outlineLevel="0" collapsed="false">
      <c r="B25" s="10" t="s">
        <v>5518</v>
      </c>
      <c r="C25" s="10" t="s">
        <v>5519</v>
      </c>
      <c r="D25" s="10" t="s">
        <v>5520</v>
      </c>
      <c r="F25" s="17" t="str">
        <f aca="false">CONCATENATE(G25,", ",H25)</f>
        <v>เขตลาดกระบัง , กรุงเทพมหานคร</v>
      </c>
      <c r="G25" s="10" t="s">
        <v>5521</v>
      </c>
      <c r="H25" s="10" t="s">
        <v>5449</v>
      </c>
      <c r="I25" s="10" t="s">
        <v>5348</v>
      </c>
      <c r="J25" s="10" t="n">
        <v>10520</v>
      </c>
      <c r="K25" s="10" t="s">
        <v>5522</v>
      </c>
      <c r="L25" s="10" t="s">
        <v>29</v>
      </c>
      <c r="M25" s="10" t="s">
        <v>5523</v>
      </c>
      <c r="P25" s="10" t="s">
        <v>5352</v>
      </c>
      <c r="S25" s="10" t="s">
        <v>5524</v>
      </c>
      <c r="T25" s="10" t="s">
        <v>29</v>
      </c>
      <c r="U25" s="10" t="s">
        <v>5367</v>
      </c>
      <c r="Z25" s="11" t="n">
        <v>1</v>
      </c>
    </row>
    <row r="26" customFormat="false" ht="13.5" hidden="false" customHeight="true" outlineLevel="0" collapsed="false">
      <c r="B26" s="10" t="s">
        <v>5525</v>
      </c>
      <c r="C26" s="10" t="s">
        <v>5526</v>
      </c>
      <c r="D26" s="10" t="s">
        <v>5527</v>
      </c>
      <c r="F26" s="17" t="str">
        <f aca="false">CONCATENATE(G26,", ",H26)</f>
        <v>เขตพระโขนง , กรุงเทพมหานคร</v>
      </c>
      <c r="G26" s="10" t="s">
        <v>5528</v>
      </c>
      <c r="H26" s="10" t="s">
        <v>5449</v>
      </c>
      <c r="I26" s="10" t="s">
        <v>5348</v>
      </c>
      <c r="J26" s="10" t="n">
        <v>10260</v>
      </c>
      <c r="K26" s="10" t="s">
        <v>5529</v>
      </c>
      <c r="L26" s="10" t="s">
        <v>5530</v>
      </c>
      <c r="M26" s="10" t="s">
        <v>5531</v>
      </c>
      <c r="P26" s="10" t="s">
        <v>5352</v>
      </c>
      <c r="S26" s="10" t="s">
        <v>5532</v>
      </c>
      <c r="T26" s="10" t="s">
        <v>5533</v>
      </c>
      <c r="U26" s="10" t="s">
        <v>5367</v>
      </c>
      <c r="Z26" s="11" t="n">
        <v>1</v>
      </c>
    </row>
    <row r="27" customFormat="false" ht="17.9" hidden="false" customHeight="false" outlineLevel="0" collapsed="false">
      <c r="B27" s="10" t="s">
        <v>5534</v>
      </c>
      <c r="C27" s="10" t="s">
        <v>5535</v>
      </c>
      <c r="D27" s="10" t="s">
        <v>5536</v>
      </c>
      <c r="F27" s="17" t="str">
        <f aca="false">CONCATENATE(G27,", ",H27)</f>
        <v>อ.บางพลี, จ.สมุทรปราการ</v>
      </c>
      <c r="G27" s="10" t="s">
        <v>5434</v>
      </c>
      <c r="H27" s="10" t="s">
        <v>5403</v>
      </c>
      <c r="I27" s="10" t="s">
        <v>5348</v>
      </c>
      <c r="J27" s="10" t="n">
        <v>10540</v>
      </c>
      <c r="K27" s="10" t="s">
        <v>5537</v>
      </c>
      <c r="L27" s="10" t="s">
        <v>29</v>
      </c>
      <c r="M27" s="10" t="s">
        <v>5538</v>
      </c>
      <c r="P27" s="10" t="s">
        <v>5352</v>
      </c>
      <c r="S27" s="10" t="s">
        <v>29</v>
      </c>
      <c r="T27" s="10" t="s">
        <v>29</v>
      </c>
      <c r="U27" s="10" t="s">
        <v>5367</v>
      </c>
      <c r="Z27" s="11" t="n">
        <v>1</v>
      </c>
    </row>
    <row r="28" customFormat="false" ht="17.9" hidden="false" customHeight="false" outlineLevel="0" collapsed="false">
      <c r="B28" s="10" t="s">
        <v>5539</v>
      </c>
      <c r="C28" s="10" t="s">
        <v>5540</v>
      </c>
      <c r="D28" s="10" t="s">
        <v>5541</v>
      </c>
      <c r="F28" s="17" t="str">
        <f aca="false">CONCATENATE(G28,", ",H28)</f>
        <v>อำเภอบางพลี, จ.สมุทรปราการ</v>
      </c>
      <c r="G28" s="10" t="s">
        <v>5542</v>
      </c>
      <c r="H28" s="10" t="s">
        <v>5403</v>
      </c>
      <c r="I28" s="10" t="s">
        <v>5348</v>
      </c>
      <c r="J28" s="10" t="n">
        <v>10540</v>
      </c>
      <c r="K28" s="10" t="s">
        <v>5537</v>
      </c>
      <c r="L28" s="10" t="s">
        <v>29</v>
      </c>
      <c r="M28" s="10" t="s">
        <v>5538</v>
      </c>
      <c r="P28" s="10" t="s">
        <v>5352</v>
      </c>
      <c r="S28" s="10" t="s">
        <v>29</v>
      </c>
      <c r="T28" s="10" t="s">
        <v>29</v>
      </c>
      <c r="U28" s="10" t="s">
        <v>5367</v>
      </c>
      <c r="Z28" s="11" t="n">
        <v>1</v>
      </c>
    </row>
    <row r="29" customFormat="false" ht="17.9" hidden="false" customHeight="false" outlineLevel="0" collapsed="false">
      <c r="B29" s="10" t="s">
        <v>5543</v>
      </c>
      <c r="C29" s="10" t="s">
        <v>5544</v>
      </c>
      <c r="D29" s="10" t="s">
        <v>5545</v>
      </c>
      <c r="F29" s="17" t="str">
        <f aca="false">CONCATENATE(G29,", ",H29)</f>
        <v>อ.บางพลี, จ.สมุทรปราการ</v>
      </c>
      <c r="G29" s="10" t="s">
        <v>5434</v>
      </c>
      <c r="H29" s="10" t="s">
        <v>5403</v>
      </c>
      <c r="I29" s="10" t="s">
        <v>5348</v>
      </c>
      <c r="J29" s="10" t="n">
        <v>10540</v>
      </c>
      <c r="K29" s="10" t="s">
        <v>5546</v>
      </c>
      <c r="L29" s="10" t="s">
        <v>29</v>
      </c>
      <c r="M29" s="10" t="s">
        <v>5547</v>
      </c>
      <c r="P29" s="10" t="s">
        <v>5352</v>
      </c>
      <c r="S29" s="10" t="s">
        <v>29</v>
      </c>
      <c r="T29" s="10" t="s">
        <v>5548</v>
      </c>
      <c r="U29" s="10" t="s">
        <v>5367</v>
      </c>
      <c r="Z29" s="11" t="n">
        <v>1</v>
      </c>
    </row>
    <row r="30" customFormat="false" ht="17.9" hidden="false" customHeight="false" outlineLevel="0" collapsed="false">
      <c r="B30" s="10" t="s">
        <v>5549</v>
      </c>
      <c r="C30" s="10" t="s">
        <v>5550</v>
      </c>
      <c r="D30" s="10" t="s">
        <v>5551</v>
      </c>
      <c r="F30" s="17" t="str">
        <f aca="false">CONCATENATE(G30,", ",H30)</f>
        <v>เขตวังทองหลาง, กรุงเทพมหานคร</v>
      </c>
      <c r="G30" s="10" t="s">
        <v>5552</v>
      </c>
      <c r="H30" s="10" t="s">
        <v>5449</v>
      </c>
      <c r="I30" s="10" t="s">
        <v>5348</v>
      </c>
      <c r="J30" s="10" t="n">
        <v>10310</v>
      </c>
      <c r="K30" s="10" t="s">
        <v>5553</v>
      </c>
      <c r="L30" s="10" t="s">
        <v>5554</v>
      </c>
      <c r="M30" s="10" t="s">
        <v>5555</v>
      </c>
      <c r="P30" s="10" t="s">
        <v>5352</v>
      </c>
      <c r="S30" s="10" t="s">
        <v>29</v>
      </c>
      <c r="T30" s="10" t="s">
        <v>29</v>
      </c>
      <c r="U30" s="10" t="s">
        <v>5367</v>
      </c>
      <c r="Z30" s="11" t="n">
        <v>1</v>
      </c>
    </row>
    <row r="31" customFormat="false" ht="17.9" hidden="false" customHeight="false" outlineLevel="0" collapsed="false">
      <c r="B31" s="10" t="s">
        <v>5556</v>
      </c>
      <c r="C31" s="10" t="s">
        <v>5557</v>
      </c>
      <c r="D31" s="10" t="s">
        <v>5558</v>
      </c>
      <c r="F31" s="17" t="str">
        <f aca="false">CONCATENATE(G31,", ",H31)</f>
        <v>อ.บางพลี, จ.สมุทรปราการ</v>
      </c>
      <c r="G31" s="10" t="s">
        <v>5434</v>
      </c>
      <c r="H31" s="10" t="s">
        <v>5403</v>
      </c>
      <c r="I31" s="10" t="s">
        <v>5348</v>
      </c>
      <c r="J31" s="10" t="n">
        <v>10540</v>
      </c>
      <c r="K31" s="10" t="s">
        <v>5559</v>
      </c>
      <c r="L31" s="10" t="s">
        <v>5560</v>
      </c>
      <c r="M31" s="10" t="s">
        <v>5561</v>
      </c>
      <c r="P31" s="10" t="s">
        <v>5352</v>
      </c>
      <c r="S31" s="10" t="s">
        <v>29</v>
      </c>
      <c r="T31" s="10" t="s">
        <v>29</v>
      </c>
      <c r="U31" s="10" t="s">
        <v>5377</v>
      </c>
      <c r="Z31" s="11" t="n">
        <v>1</v>
      </c>
    </row>
    <row r="32" customFormat="false" ht="15" hidden="false" customHeight="false" outlineLevel="0" collapsed="false">
      <c r="B32" s="10" t="s">
        <v>5228</v>
      </c>
      <c r="C32" s="10" t="s">
        <v>5562</v>
      </c>
      <c r="D32" s="10" t="s">
        <v>5563</v>
      </c>
      <c r="F32" s="17" t="str">
        <f aca="false">CONCATENATE(G32,", ",H32)</f>
        <v>ZIBO, SHANDONG</v>
      </c>
      <c r="G32" s="10" t="s">
        <v>5564</v>
      </c>
      <c r="H32" s="10" t="s">
        <v>5565</v>
      </c>
      <c r="I32" s="10" t="s">
        <v>5444</v>
      </c>
      <c r="J32" s="10" t="n">
        <v>25500</v>
      </c>
      <c r="K32" s="10" t="s">
        <v>29</v>
      </c>
      <c r="L32" s="10" t="s">
        <v>29</v>
      </c>
      <c r="M32" s="10" t="s">
        <v>29</v>
      </c>
      <c r="P32" s="10" t="s">
        <v>5352</v>
      </c>
      <c r="S32" s="10" t="s">
        <v>29</v>
      </c>
      <c r="T32" s="10" t="s">
        <v>29</v>
      </c>
      <c r="U32" s="10" t="s">
        <v>5367</v>
      </c>
      <c r="Z32" s="11" t="n">
        <v>1</v>
      </c>
    </row>
    <row r="33" customFormat="false" ht="17.9" hidden="false" customHeight="false" outlineLevel="0" collapsed="false">
      <c r="B33" s="10" t="s">
        <v>5566</v>
      </c>
      <c r="C33" s="10" t="s">
        <v>5567</v>
      </c>
      <c r="D33" s="10" t="s">
        <v>5568</v>
      </c>
      <c r="F33" s="17" t="str">
        <f aca="false">CONCATENATE(G33,", ",H33)</f>
        <v>อ.พระสมุทรเจดีย์ , จ.สมุทรปราการ</v>
      </c>
      <c r="G33" s="10" t="s">
        <v>5569</v>
      </c>
      <c r="H33" s="10" t="s">
        <v>5403</v>
      </c>
      <c r="I33" s="10" t="s">
        <v>5348</v>
      </c>
      <c r="J33" s="10" t="n">
        <v>10290</v>
      </c>
      <c r="K33" s="10" t="s">
        <v>5570</v>
      </c>
      <c r="L33" s="10" t="s">
        <v>5571</v>
      </c>
      <c r="M33" s="10" t="s">
        <v>5572</v>
      </c>
      <c r="P33" s="10" t="s">
        <v>5352</v>
      </c>
      <c r="S33" s="10" t="s">
        <v>29</v>
      </c>
      <c r="T33" s="10" t="s">
        <v>29</v>
      </c>
      <c r="U33" s="10" t="s">
        <v>5377</v>
      </c>
      <c r="Z33" s="11" t="n">
        <v>1</v>
      </c>
    </row>
    <row r="34" customFormat="false" ht="17.9" hidden="false" customHeight="false" outlineLevel="0" collapsed="false">
      <c r="B34" s="10" t="s">
        <v>5573</v>
      </c>
      <c r="C34" s="10" t="s">
        <v>5574</v>
      </c>
      <c r="D34" s="10" t="s">
        <v>5575</v>
      </c>
      <c r="F34" s="17" t="str">
        <f aca="false">CONCATENATE(G34,", ",H34)</f>
        <v>เขตคลองเตย, กรุงเทพมหานคร</v>
      </c>
      <c r="G34" s="10" t="s">
        <v>5576</v>
      </c>
      <c r="H34" s="10" t="s">
        <v>5449</v>
      </c>
      <c r="I34" s="10" t="s">
        <v>5348</v>
      </c>
      <c r="J34" s="10" t="n">
        <v>10110</v>
      </c>
      <c r="K34" s="10" t="s">
        <v>5577</v>
      </c>
      <c r="L34" s="10" t="s">
        <v>5578</v>
      </c>
      <c r="M34" s="10" t="s">
        <v>5579</v>
      </c>
      <c r="P34" s="10" t="s">
        <v>5352</v>
      </c>
      <c r="S34" s="10" t="s">
        <v>29</v>
      </c>
      <c r="T34" s="10" t="s">
        <v>29</v>
      </c>
      <c r="U34" s="10" t="s">
        <v>5367</v>
      </c>
      <c r="Z34" s="11" t="n">
        <v>1</v>
      </c>
    </row>
    <row r="35" customFormat="false" ht="13.5" hidden="false" customHeight="true" outlineLevel="0" collapsed="false">
      <c r="B35" s="10" t="s">
        <v>5580</v>
      </c>
      <c r="C35" s="10" t="s">
        <v>5581</v>
      </c>
      <c r="D35" s="10" t="s">
        <v>5582</v>
      </c>
      <c r="F35" s="17" t="str">
        <f aca="false">CONCATENATE(G35,", ",H35)</f>
        <v>เขตพระโขนง, กรุงเทพมหานคร</v>
      </c>
      <c r="G35" s="10" t="s">
        <v>5583</v>
      </c>
      <c r="H35" s="10" t="s">
        <v>5449</v>
      </c>
      <c r="I35" s="10" t="s">
        <v>5348</v>
      </c>
      <c r="J35" s="10" t="n">
        <v>10260</v>
      </c>
      <c r="K35" s="10" t="s">
        <v>5584</v>
      </c>
      <c r="L35" s="10" t="s">
        <v>5585</v>
      </c>
      <c r="M35" s="10" t="s">
        <v>5586</v>
      </c>
      <c r="P35" s="10" t="s">
        <v>5352</v>
      </c>
      <c r="S35" s="10" t="s">
        <v>29</v>
      </c>
      <c r="T35" s="10" t="s">
        <v>29</v>
      </c>
      <c r="U35" s="10" t="s">
        <v>5367</v>
      </c>
      <c r="Z35" s="11" t="n">
        <v>1</v>
      </c>
    </row>
    <row r="36" customFormat="false" ht="13.5" hidden="false" customHeight="true" outlineLevel="0" collapsed="false">
      <c r="B36" s="10" t="s">
        <v>5587</v>
      </c>
      <c r="C36" s="10" t="s">
        <v>5588</v>
      </c>
      <c r="D36" s="10" t="s">
        <v>5589</v>
      </c>
      <c r="F36" s="17" t="str">
        <f aca="false">CONCATENATE(G36,", ",H36)</f>
        <v>เขตวัฒนา, กรุงเทพมหานคร</v>
      </c>
      <c r="G36" s="10" t="s">
        <v>5381</v>
      </c>
      <c r="H36" s="10" t="s">
        <v>5449</v>
      </c>
      <c r="I36" s="10" t="s">
        <v>5348</v>
      </c>
      <c r="J36" s="10" t="n">
        <v>10110</v>
      </c>
      <c r="K36" s="10" t="s">
        <v>5590</v>
      </c>
      <c r="L36" s="10" t="s">
        <v>5591</v>
      </c>
      <c r="M36" s="10" t="s">
        <v>5592</v>
      </c>
      <c r="P36" s="10" t="s">
        <v>5352</v>
      </c>
      <c r="S36" s="10" t="s">
        <v>5593</v>
      </c>
      <c r="T36" s="10" t="s">
        <v>29</v>
      </c>
      <c r="U36" s="10" t="s">
        <v>5367</v>
      </c>
      <c r="Z36" s="11" t="n">
        <v>1</v>
      </c>
    </row>
    <row r="37" customFormat="false" ht="17.9" hidden="false" customHeight="false" outlineLevel="0" collapsed="false">
      <c r="B37" s="10" t="s">
        <v>5594</v>
      </c>
      <c r="C37" s="10" t="s">
        <v>5595</v>
      </c>
      <c r="D37" s="10" t="s">
        <v>5596</v>
      </c>
      <c r="F37" s="17" t="str">
        <f aca="false">CONCATENATE(G37,", ",H37)</f>
        <v>อ.บางพลี, จ.สมุทรปราการ</v>
      </c>
      <c r="G37" s="10" t="s">
        <v>5434</v>
      </c>
      <c r="H37" s="10" t="s">
        <v>5403</v>
      </c>
      <c r="I37" s="10" t="s">
        <v>5348</v>
      </c>
      <c r="J37" s="10" t="n">
        <v>10540</v>
      </c>
      <c r="K37" s="10" t="s">
        <v>5597</v>
      </c>
      <c r="L37" s="10" t="s">
        <v>29</v>
      </c>
      <c r="M37" s="10" t="s">
        <v>5598</v>
      </c>
      <c r="P37" s="10" t="s">
        <v>5352</v>
      </c>
      <c r="S37" s="10" t="s">
        <v>5599</v>
      </c>
      <c r="T37" s="10" t="s">
        <v>5600</v>
      </c>
      <c r="U37" s="10" t="s">
        <v>5377</v>
      </c>
      <c r="Z37" s="11" t="n">
        <v>1</v>
      </c>
    </row>
    <row r="38" customFormat="false" ht="17.9" hidden="false" customHeight="false" outlineLevel="0" collapsed="false">
      <c r="B38" s="10" t="s">
        <v>5601</v>
      </c>
      <c r="C38" s="10" t="s">
        <v>5602</v>
      </c>
      <c r="D38" s="10" t="s">
        <v>5603</v>
      </c>
      <c r="F38" s="17" t="str">
        <f aca="false">CONCATENATE(G38,", ",H38)</f>
        <v>เขตบางนา, กรุงเทพมหานคร</v>
      </c>
      <c r="G38" s="10" t="s">
        <v>5604</v>
      </c>
      <c r="H38" s="10" t="s">
        <v>5449</v>
      </c>
      <c r="I38" s="10" t="s">
        <v>5348</v>
      </c>
      <c r="J38" s="10" t="n">
        <v>10260</v>
      </c>
      <c r="K38" s="10" t="s">
        <v>5605</v>
      </c>
      <c r="L38" s="10" t="s">
        <v>5606</v>
      </c>
      <c r="M38" s="10" t="s">
        <v>5607</v>
      </c>
      <c r="P38" s="10" t="s">
        <v>5352</v>
      </c>
      <c r="S38" s="10" t="s">
        <v>29</v>
      </c>
      <c r="T38" s="10" t="s">
        <v>29</v>
      </c>
      <c r="U38" s="10" t="s">
        <v>5367</v>
      </c>
      <c r="Z38" s="11" t="n">
        <v>1</v>
      </c>
    </row>
    <row r="39" customFormat="false" ht="17.9" hidden="false" customHeight="false" outlineLevel="0" collapsed="false">
      <c r="B39" s="10" t="s">
        <v>5608</v>
      </c>
      <c r="C39" s="10" t="s">
        <v>5609</v>
      </c>
      <c r="D39" s="10" t="s">
        <v>5610</v>
      </c>
      <c r="F39" s="17" t="str">
        <f aca="false">CONCATENATE(G39,", ",H39)</f>
        <v>เขตธนบุรี, กรุงเทพมหานคร</v>
      </c>
      <c r="G39" s="10" t="s">
        <v>5611</v>
      </c>
      <c r="H39" s="10" t="s">
        <v>5449</v>
      </c>
      <c r="I39" s="10" t="s">
        <v>5348</v>
      </c>
      <c r="J39" s="10" t="n">
        <v>10600</v>
      </c>
      <c r="K39" s="10" t="s">
        <v>5612</v>
      </c>
      <c r="L39" s="10" t="s">
        <v>5613</v>
      </c>
      <c r="M39" s="10" t="s">
        <v>5614</v>
      </c>
      <c r="P39" s="10" t="s">
        <v>5352</v>
      </c>
      <c r="S39" s="10" t="s">
        <v>5615</v>
      </c>
      <c r="T39" s="10" t="s">
        <v>29</v>
      </c>
      <c r="U39" s="10" t="s">
        <v>5377</v>
      </c>
      <c r="Z39" s="11" t="n">
        <v>1</v>
      </c>
    </row>
    <row r="40" customFormat="false" ht="17.9" hidden="false" customHeight="false" outlineLevel="0" collapsed="false">
      <c r="B40" s="10" t="s">
        <v>4237</v>
      </c>
      <c r="C40" s="10" t="s">
        <v>5616</v>
      </c>
      <c r="D40" s="10" t="s">
        <v>5617</v>
      </c>
      <c r="F40" s="17" t="str">
        <f aca="false">CONCATENATE(G40,", ",H40)</f>
        <v>อ.บางพลี, จ.สมุทรปราการ</v>
      </c>
      <c r="G40" s="10" t="s">
        <v>5434</v>
      </c>
      <c r="H40" s="10" t="s">
        <v>5403</v>
      </c>
      <c r="I40" s="10" t="s">
        <v>5348</v>
      </c>
      <c r="J40" s="10" t="n">
        <v>10540</v>
      </c>
      <c r="K40" s="10" t="s">
        <v>5618</v>
      </c>
      <c r="L40" s="10" t="s">
        <v>5619</v>
      </c>
      <c r="M40" s="10" t="s">
        <v>5620</v>
      </c>
      <c r="P40" s="10" t="s">
        <v>5352</v>
      </c>
      <c r="S40" s="10" t="s">
        <v>5621</v>
      </c>
      <c r="T40" s="10" t="s">
        <v>5622</v>
      </c>
      <c r="U40" s="10" t="s">
        <v>5377</v>
      </c>
      <c r="Z40" s="11" t="n">
        <v>1</v>
      </c>
    </row>
    <row r="41" customFormat="false" ht="17.9" hidden="false" customHeight="false" outlineLevel="0" collapsed="false">
      <c r="B41" s="10" t="s">
        <v>4596</v>
      </c>
      <c r="C41" s="10" t="s">
        <v>5623</v>
      </c>
      <c r="D41" s="10" t="s">
        <v>5624</v>
      </c>
      <c r="F41" s="17" t="str">
        <f aca="false">CONCATENATE(G41,", ",H41)</f>
        <v>เขตบึงกุ่ม , กรุงเทพมหานคร</v>
      </c>
      <c r="G41" s="10" t="s">
        <v>5625</v>
      </c>
      <c r="H41" s="10" t="s">
        <v>5449</v>
      </c>
      <c r="I41" s="10" t="s">
        <v>5348</v>
      </c>
      <c r="J41" s="10" t="n">
        <v>10230</v>
      </c>
      <c r="K41" s="10" t="s">
        <v>5626</v>
      </c>
      <c r="L41" s="10" t="s">
        <v>5627</v>
      </c>
      <c r="M41" s="10" t="s">
        <v>5628</v>
      </c>
      <c r="P41" s="10" t="s">
        <v>5352</v>
      </c>
      <c r="S41" s="10" t="s">
        <v>5629</v>
      </c>
      <c r="T41" s="10" t="s">
        <v>29</v>
      </c>
      <c r="U41" s="10" t="s">
        <v>5367</v>
      </c>
      <c r="Z41" s="11" t="n">
        <v>1</v>
      </c>
    </row>
    <row r="42" customFormat="false" ht="17.9" hidden="false" customHeight="false" outlineLevel="0" collapsed="false">
      <c r="B42" s="10" t="s">
        <v>5630</v>
      </c>
      <c r="C42" s="10" t="s">
        <v>5631</v>
      </c>
      <c r="D42" s="10" t="s">
        <v>5632</v>
      </c>
      <c r="F42" s="17" t="str">
        <f aca="false">CONCATENATE(G42,", ",H42)</f>
        <v>เขตลาดกระบัง, กรุงเทพมหานคร</v>
      </c>
      <c r="G42" s="10" t="s">
        <v>5633</v>
      </c>
      <c r="H42" s="10" t="s">
        <v>5449</v>
      </c>
      <c r="I42" s="10" t="s">
        <v>5348</v>
      </c>
      <c r="J42" s="10" t="n">
        <v>10520</v>
      </c>
      <c r="K42" s="10" t="s">
        <v>29</v>
      </c>
      <c r="L42" s="10" t="s">
        <v>29</v>
      </c>
      <c r="M42" s="10" t="s">
        <v>5634</v>
      </c>
      <c r="P42" s="10" t="s">
        <v>5352</v>
      </c>
      <c r="S42" s="10" t="s">
        <v>29</v>
      </c>
      <c r="T42" s="10" t="s">
        <v>29</v>
      </c>
      <c r="U42" s="10" t="s">
        <v>5367</v>
      </c>
      <c r="Z42" s="11" t="n">
        <v>1</v>
      </c>
    </row>
    <row r="43" customFormat="false" ht="17.9" hidden="false" customHeight="false" outlineLevel="0" collapsed="false">
      <c r="B43" s="10" t="s">
        <v>5635</v>
      </c>
      <c r="C43" s="10" t="s">
        <v>5636</v>
      </c>
      <c r="D43" s="10" t="s">
        <v>5637</v>
      </c>
      <c r="F43" s="17" t="str">
        <f aca="false">CONCATENATE(G43,", ",H43)</f>
        <v>อ.ไทรน้อย, จ.นนทบุรี</v>
      </c>
      <c r="G43" s="10" t="s">
        <v>5638</v>
      </c>
      <c r="H43" s="10" t="s">
        <v>5639</v>
      </c>
      <c r="I43" s="10" t="s">
        <v>5348</v>
      </c>
      <c r="J43" s="10" t="n">
        <v>11150</v>
      </c>
      <c r="K43" s="10" t="s">
        <v>29</v>
      </c>
      <c r="L43" s="10" t="s">
        <v>5640</v>
      </c>
      <c r="M43" s="10" t="s">
        <v>5641</v>
      </c>
      <c r="P43" s="10" t="s">
        <v>5352</v>
      </c>
      <c r="S43" s="10" t="s">
        <v>29</v>
      </c>
      <c r="T43" s="10" t="s">
        <v>29</v>
      </c>
      <c r="U43" s="10" t="s">
        <v>5367</v>
      </c>
      <c r="Z43" s="11" t="n">
        <v>1</v>
      </c>
    </row>
    <row r="44" customFormat="false" ht="17.9" hidden="false" customHeight="false" outlineLevel="0" collapsed="false">
      <c r="B44" s="10" t="s">
        <v>5642</v>
      </c>
      <c r="C44" s="10" t="s">
        <v>5643</v>
      </c>
      <c r="D44" s="10" t="s">
        <v>5644</v>
      </c>
      <c r="F44" s="17" t="str">
        <f aca="false">CONCATENATE(G44,", ",H44)</f>
        <v>เขตวังทองหลาง, กรุงเทพมหานคร</v>
      </c>
      <c r="G44" s="10" t="s">
        <v>5552</v>
      </c>
      <c r="H44" s="10" t="s">
        <v>5449</v>
      </c>
      <c r="I44" s="10" t="s">
        <v>5348</v>
      </c>
      <c r="J44" s="10" t="n">
        <v>10310</v>
      </c>
      <c r="K44" s="10" t="s">
        <v>5645</v>
      </c>
      <c r="L44" s="10" t="s">
        <v>5646</v>
      </c>
      <c r="M44" s="10" t="s">
        <v>5647</v>
      </c>
      <c r="P44" s="10" t="s">
        <v>5352</v>
      </c>
      <c r="S44" s="10" t="s">
        <v>29</v>
      </c>
      <c r="T44" s="10" t="s">
        <v>29</v>
      </c>
      <c r="U44" s="10" t="s">
        <v>5367</v>
      </c>
      <c r="Z44" s="11" t="n">
        <v>1</v>
      </c>
    </row>
    <row r="45" customFormat="false" ht="17.9" hidden="false" customHeight="false" outlineLevel="0" collapsed="false">
      <c r="B45" s="10" t="s">
        <v>5648</v>
      </c>
      <c r="C45" s="10" t="s">
        <v>5649</v>
      </c>
      <c r="D45" s="10" t="s">
        <v>5650</v>
      </c>
      <c r="F45" s="17" t="str">
        <f aca="false">CONCATENATE(G45,", ",H45)</f>
        <v>เขตบึงกุ่ม, กรุงเทพมหานคร</v>
      </c>
      <c r="G45" s="10" t="s">
        <v>5651</v>
      </c>
      <c r="H45" s="10" t="s">
        <v>5449</v>
      </c>
      <c r="I45" s="10" t="s">
        <v>5348</v>
      </c>
      <c r="J45" s="10" t="n">
        <v>10240</v>
      </c>
      <c r="K45" s="10" t="s">
        <v>29</v>
      </c>
      <c r="L45" s="10" t="s">
        <v>5652</v>
      </c>
      <c r="M45" s="10" t="s">
        <v>5653</v>
      </c>
      <c r="P45" s="10" t="s">
        <v>5352</v>
      </c>
      <c r="S45" s="10" t="s">
        <v>5654</v>
      </c>
      <c r="T45" s="10" t="s">
        <v>5655</v>
      </c>
      <c r="U45" s="10" t="s">
        <v>5367</v>
      </c>
      <c r="Z45" s="11" t="n">
        <v>1</v>
      </c>
    </row>
    <row r="46" customFormat="false" ht="17.9" hidden="false" customHeight="false" outlineLevel="0" collapsed="false">
      <c r="B46" s="10" t="s">
        <v>5656</v>
      </c>
      <c r="C46" s="10" t="s">
        <v>5657</v>
      </c>
      <c r="D46" s="10" t="s">
        <v>5658</v>
      </c>
      <c r="F46" s="17" t="str">
        <f aca="false">CONCATENATE(G46,", ",H46)</f>
        <v>เขตจตุจักร, กรุงเทพมหานคร</v>
      </c>
      <c r="G46" s="10" t="s">
        <v>5659</v>
      </c>
      <c r="H46" s="10" t="s">
        <v>5449</v>
      </c>
      <c r="I46" s="10" t="s">
        <v>5348</v>
      </c>
      <c r="J46" s="10" t="n">
        <v>10900</v>
      </c>
      <c r="K46" s="10" t="s">
        <v>5660</v>
      </c>
      <c r="L46" s="10" t="s">
        <v>29</v>
      </c>
      <c r="M46" s="10" t="s">
        <v>5661</v>
      </c>
      <c r="P46" s="10" t="s">
        <v>5352</v>
      </c>
      <c r="S46" s="10" t="s">
        <v>29</v>
      </c>
      <c r="T46" s="10" t="s">
        <v>29</v>
      </c>
      <c r="U46" s="10" t="s">
        <v>5377</v>
      </c>
      <c r="Z46" s="11" t="n">
        <v>1</v>
      </c>
    </row>
    <row r="47" customFormat="false" ht="17.9" hidden="false" customHeight="false" outlineLevel="0" collapsed="false">
      <c r="B47" s="10" t="s">
        <v>5662</v>
      </c>
      <c r="C47" s="10" t="s">
        <v>5663</v>
      </c>
      <c r="D47" s="10" t="s">
        <v>5664</v>
      </c>
      <c r="F47" s="17" t="str">
        <f aca="false">CONCATENATE(G47,", ",H47)</f>
        <v>อ.บางพลี, จ.สมุทรปราการ</v>
      </c>
      <c r="G47" s="10" t="s">
        <v>5434</v>
      </c>
      <c r="H47" s="10" t="s">
        <v>5403</v>
      </c>
      <c r="I47" s="10" t="s">
        <v>5348</v>
      </c>
      <c r="J47" s="10" t="n">
        <v>10540</v>
      </c>
      <c r="K47" s="10" t="s">
        <v>5665</v>
      </c>
      <c r="L47" s="10" t="s">
        <v>5666</v>
      </c>
      <c r="M47" s="10" t="s">
        <v>5667</v>
      </c>
      <c r="P47" s="10" t="s">
        <v>5352</v>
      </c>
      <c r="S47" s="10" t="s">
        <v>5473</v>
      </c>
      <c r="T47" s="10" t="s">
        <v>5668</v>
      </c>
      <c r="U47" s="10" t="s">
        <v>5367</v>
      </c>
      <c r="Z47" s="11" t="n">
        <v>1</v>
      </c>
    </row>
    <row r="48" customFormat="false" ht="17.9" hidden="false" customHeight="false" outlineLevel="0" collapsed="false">
      <c r="B48" s="10" t="s">
        <v>5669</v>
      </c>
      <c r="C48" s="10" t="s">
        <v>5670</v>
      </c>
      <c r="D48" s="10" t="s">
        <v>5671</v>
      </c>
      <c r="F48" s="17" t="str">
        <f aca="false">CONCATENATE(G48,", ",H48)</f>
        <v>เขตวัฒนา, กรุงเทพมหานคร</v>
      </c>
      <c r="G48" s="10" t="s">
        <v>5381</v>
      </c>
      <c r="H48" s="10" t="s">
        <v>5449</v>
      </c>
      <c r="I48" s="10" t="s">
        <v>5348</v>
      </c>
      <c r="J48" s="10" t="n">
        <v>10110</v>
      </c>
      <c r="K48" s="10" t="s">
        <v>5672</v>
      </c>
      <c r="L48" s="10" t="s">
        <v>29</v>
      </c>
      <c r="M48" s="10" t="s">
        <v>5673</v>
      </c>
      <c r="P48" s="10" t="s">
        <v>5352</v>
      </c>
      <c r="S48" s="10" t="s">
        <v>5674</v>
      </c>
      <c r="T48" s="10" t="s">
        <v>5675</v>
      </c>
      <c r="U48" s="10" t="s">
        <v>5367</v>
      </c>
      <c r="Z48" s="11" t="n">
        <v>1</v>
      </c>
    </row>
    <row r="49" customFormat="false" ht="17.9" hidden="false" customHeight="false" outlineLevel="0" collapsed="false">
      <c r="B49" s="10" t="s">
        <v>5676</v>
      </c>
      <c r="C49" s="10" t="s">
        <v>5677</v>
      </c>
      <c r="D49" s="10" t="s">
        <v>5678</v>
      </c>
      <c r="F49" s="17" t="str">
        <f aca="false">CONCATENATE(G49,", ",H49)</f>
        <v>อ.บางเสาธง, จ.สมุทรปราการ</v>
      </c>
      <c r="G49" s="10" t="s">
        <v>5679</v>
      </c>
      <c r="H49" s="10" t="s">
        <v>5403</v>
      </c>
      <c r="I49" s="10" t="s">
        <v>5348</v>
      </c>
      <c r="J49" s="10" t="n">
        <v>10570</v>
      </c>
      <c r="K49" s="10" t="s">
        <v>5680</v>
      </c>
      <c r="L49" s="10" t="s">
        <v>5681</v>
      </c>
      <c r="M49" s="10" t="s">
        <v>5682</v>
      </c>
      <c r="P49" s="10" t="s">
        <v>5352</v>
      </c>
      <c r="S49" s="10" t="s">
        <v>5683</v>
      </c>
      <c r="T49" s="10" t="s">
        <v>5684</v>
      </c>
      <c r="U49" s="10" t="s">
        <v>5377</v>
      </c>
      <c r="Z49" s="11" t="n">
        <v>1</v>
      </c>
    </row>
    <row r="50" customFormat="false" ht="17.9" hidden="false" customHeight="false" outlineLevel="0" collapsed="false">
      <c r="B50" s="10" t="s">
        <v>5685</v>
      </c>
      <c r="C50" s="10" t="s">
        <v>5686</v>
      </c>
      <c r="D50" s="10" t="s">
        <v>5687</v>
      </c>
      <c r="F50" s="17" t="str">
        <f aca="false">CONCATENATE(G50,", ",H50)</f>
        <v>เขตคลองสาน, กรุงเทพมหานคร</v>
      </c>
      <c r="G50" s="10" t="s">
        <v>5688</v>
      </c>
      <c r="H50" s="10" t="s">
        <v>5449</v>
      </c>
      <c r="I50" s="10" t="s">
        <v>5348</v>
      </c>
      <c r="J50" s="10" t="n">
        <v>10600</v>
      </c>
      <c r="K50" s="10" t="s">
        <v>5689</v>
      </c>
      <c r="L50" s="10" t="s">
        <v>29</v>
      </c>
      <c r="M50" s="10" t="s">
        <v>5690</v>
      </c>
      <c r="P50" s="10" t="s">
        <v>5352</v>
      </c>
      <c r="S50" s="10" t="s">
        <v>5691</v>
      </c>
      <c r="T50" s="10" t="s">
        <v>29</v>
      </c>
      <c r="U50" s="10" t="s">
        <v>5367</v>
      </c>
      <c r="Z50" s="11" t="n">
        <v>1</v>
      </c>
    </row>
    <row r="51" customFormat="false" ht="17.9" hidden="false" customHeight="false" outlineLevel="0" collapsed="false">
      <c r="B51" s="10" t="s">
        <v>68</v>
      </c>
      <c r="C51" s="10" t="s">
        <v>5692</v>
      </c>
      <c r="D51" s="10" t="s">
        <v>5693</v>
      </c>
      <c r="F51" s="17" t="str">
        <f aca="false">CONCATENATE(G51,", ",H51)</f>
        <v>เขตวัฒนา, กรุงเทพมหานคร</v>
      </c>
      <c r="G51" s="10" t="s">
        <v>5694</v>
      </c>
      <c r="H51" s="10" t="s">
        <v>5449</v>
      </c>
      <c r="I51" s="10" t="s">
        <v>5348</v>
      </c>
      <c r="J51" s="10" t="n">
        <v>10110</v>
      </c>
      <c r="K51" s="10" t="s">
        <v>5695</v>
      </c>
      <c r="L51" s="10" t="s">
        <v>29</v>
      </c>
      <c r="M51" s="10" t="s">
        <v>5696</v>
      </c>
      <c r="P51" s="10" t="s">
        <v>5352</v>
      </c>
      <c r="S51" s="10" t="s">
        <v>29</v>
      </c>
      <c r="T51" s="10" t="s">
        <v>29</v>
      </c>
      <c r="U51" s="10" t="s">
        <v>5430</v>
      </c>
      <c r="Z51" s="11" t="n">
        <v>1</v>
      </c>
    </row>
    <row r="52" customFormat="false" ht="17.9" hidden="false" customHeight="false" outlineLevel="0" collapsed="false">
      <c r="B52" s="10" t="s">
        <v>5697</v>
      </c>
      <c r="C52" s="10" t="s">
        <v>5698</v>
      </c>
      <c r="D52" s="10" t="s">
        <v>5699</v>
      </c>
      <c r="F52" s="17" t="str">
        <f aca="false">CONCATENATE(G52,", ",H52)</f>
        <v>เขตภาษีเจริญ, กรุงเทพมหานคร</v>
      </c>
      <c r="G52" s="10" t="s">
        <v>5700</v>
      </c>
      <c r="H52" s="10" t="s">
        <v>5449</v>
      </c>
      <c r="I52" s="10" t="s">
        <v>5348</v>
      </c>
      <c r="J52" s="10" t="n">
        <v>10160</v>
      </c>
      <c r="K52" s="10" t="s">
        <v>5701</v>
      </c>
      <c r="L52" s="10" t="s">
        <v>5702</v>
      </c>
      <c r="M52" s="10" t="s">
        <v>5703</v>
      </c>
      <c r="P52" s="10" t="s">
        <v>5352</v>
      </c>
      <c r="S52" s="10" t="s">
        <v>29</v>
      </c>
      <c r="T52" s="10" t="s">
        <v>29</v>
      </c>
      <c r="U52" s="10" t="s">
        <v>5367</v>
      </c>
      <c r="Z52" s="11" t="n">
        <v>1</v>
      </c>
    </row>
    <row r="53" customFormat="false" ht="17.9" hidden="false" customHeight="false" outlineLevel="0" collapsed="false">
      <c r="B53" s="10" t="s">
        <v>5704</v>
      </c>
      <c r="C53" s="10" t="s">
        <v>5705</v>
      </c>
      <c r="D53" s="10" t="s">
        <v>5706</v>
      </c>
      <c r="F53" s="17" t="str">
        <f aca="false">CONCATENATE(G53,", ",H53)</f>
        <v>อ.บางใหญ่, จ.นนทบุรี</v>
      </c>
      <c r="G53" s="10" t="s">
        <v>5707</v>
      </c>
      <c r="H53" s="10" t="s">
        <v>5639</v>
      </c>
      <c r="I53" s="10" t="s">
        <v>5348</v>
      </c>
      <c r="J53" s="10" t="n">
        <v>11140</v>
      </c>
      <c r="K53" s="10" t="s">
        <v>29</v>
      </c>
      <c r="L53" s="10" t="s">
        <v>5708</v>
      </c>
      <c r="M53" s="10" t="s">
        <v>5709</v>
      </c>
      <c r="P53" s="10" t="s">
        <v>5352</v>
      </c>
      <c r="S53" s="10" t="s">
        <v>29</v>
      </c>
      <c r="T53" s="10" t="s">
        <v>29</v>
      </c>
      <c r="U53" s="10" t="s">
        <v>5367</v>
      </c>
      <c r="Z53" s="11" t="n">
        <v>1</v>
      </c>
    </row>
    <row r="54" customFormat="false" ht="17.9" hidden="false" customHeight="false" outlineLevel="0" collapsed="false">
      <c r="B54" s="10" t="s">
        <v>5710</v>
      </c>
      <c r="C54" s="10" t="s">
        <v>5711</v>
      </c>
      <c r="D54" s="10" t="s">
        <v>5712</v>
      </c>
      <c r="F54" s="17" t="str">
        <f aca="false">CONCATENATE(G54,", ",H54)</f>
        <v>อ.กระทุ่มแบน, จ.สมุทรสาคร</v>
      </c>
      <c r="G54" s="10" t="s">
        <v>5713</v>
      </c>
      <c r="H54" s="10" t="s">
        <v>5347</v>
      </c>
      <c r="I54" s="10" t="s">
        <v>5348</v>
      </c>
      <c r="J54" s="10" t="n">
        <v>74130</v>
      </c>
      <c r="K54" s="10" t="s">
        <v>5714</v>
      </c>
      <c r="L54" s="10" t="s">
        <v>5715</v>
      </c>
      <c r="M54" s="10" t="s">
        <v>5716</v>
      </c>
      <c r="P54" s="10" t="s">
        <v>5352</v>
      </c>
      <c r="S54" s="10" t="s">
        <v>5717</v>
      </c>
      <c r="T54" s="10" t="s">
        <v>5718</v>
      </c>
      <c r="U54" s="10" t="s">
        <v>5367</v>
      </c>
      <c r="Z54" s="11" t="n">
        <v>1</v>
      </c>
    </row>
    <row r="55" customFormat="false" ht="17.9" hidden="false" customHeight="false" outlineLevel="0" collapsed="false">
      <c r="B55" s="10" t="s">
        <v>5719</v>
      </c>
      <c r="C55" s="10" t="s">
        <v>5720</v>
      </c>
      <c r="D55" s="10" t="s">
        <v>5721</v>
      </c>
      <c r="F55" s="17" t="str">
        <f aca="false">CONCATENATE(G55,", ",H55)</f>
        <v>เขตหนองแขม, กรุงเทพมหานคร</v>
      </c>
      <c r="G55" s="10" t="s">
        <v>5722</v>
      </c>
      <c r="H55" s="10" t="s">
        <v>5449</v>
      </c>
      <c r="I55" s="10" t="s">
        <v>5348</v>
      </c>
      <c r="J55" s="10" t="n">
        <v>10160</v>
      </c>
      <c r="K55" s="10" t="s">
        <v>5723</v>
      </c>
      <c r="L55" s="10" t="s">
        <v>5724</v>
      </c>
      <c r="M55" s="10" t="s">
        <v>5725</v>
      </c>
      <c r="P55" s="10" t="s">
        <v>5352</v>
      </c>
      <c r="S55" s="10" t="s">
        <v>5726</v>
      </c>
      <c r="T55" s="10" t="s">
        <v>29</v>
      </c>
      <c r="U55" s="10" t="s">
        <v>5367</v>
      </c>
      <c r="Z55" s="11" t="n">
        <v>1</v>
      </c>
    </row>
    <row r="56" customFormat="false" ht="17.9" hidden="false" customHeight="false" outlineLevel="0" collapsed="false">
      <c r="B56" s="10" t="s">
        <v>5727</v>
      </c>
      <c r="C56" s="10" t="s">
        <v>5728</v>
      </c>
      <c r="D56" s="10" t="s">
        <v>5729</v>
      </c>
      <c r="E56" s="10" t="s">
        <v>5513</v>
      </c>
      <c r="F56" s="17" t="str">
        <f aca="false">CONCATENATE(G56,", ",H56)</f>
        <v>อ.เขาย้อย , จ.เพรชบุรี</v>
      </c>
      <c r="G56" s="10" t="s">
        <v>5730</v>
      </c>
      <c r="H56" s="10" t="s">
        <v>5731</v>
      </c>
      <c r="I56" s="10" t="s">
        <v>5348</v>
      </c>
      <c r="J56" s="10" t="n">
        <v>76140</v>
      </c>
      <c r="K56" s="10" t="s">
        <v>5732</v>
      </c>
      <c r="L56" s="10" t="s">
        <v>5733</v>
      </c>
      <c r="M56" s="10" t="s">
        <v>5734</v>
      </c>
      <c r="P56" s="10" t="s">
        <v>5352</v>
      </c>
      <c r="S56" s="10" t="s">
        <v>5735</v>
      </c>
      <c r="T56" s="10" t="s">
        <v>29</v>
      </c>
      <c r="U56" s="10" t="s">
        <v>5367</v>
      </c>
      <c r="Z56" s="11" t="n">
        <v>1</v>
      </c>
    </row>
    <row r="57" customFormat="false" ht="17.9" hidden="false" customHeight="false" outlineLevel="0" collapsed="false">
      <c r="B57" s="10" t="s">
        <v>4180</v>
      </c>
      <c r="C57" s="10" t="s">
        <v>5736</v>
      </c>
      <c r="D57" s="10" t="s">
        <v>5737</v>
      </c>
      <c r="F57" s="17" t="str">
        <f aca="false">CONCATENATE(G57,", ",H57)</f>
        <v>อ.บางกล่ำ,  จ.สงขลา</v>
      </c>
      <c r="G57" s="10" t="s">
        <v>5738</v>
      </c>
      <c r="H57" s="10" t="s">
        <v>5739</v>
      </c>
      <c r="I57" s="10" t="s">
        <v>5348</v>
      </c>
      <c r="J57" s="10" t="n">
        <v>90110</v>
      </c>
      <c r="K57" s="10" t="s">
        <v>5740</v>
      </c>
      <c r="L57" s="10" t="s">
        <v>5741</v>
      </c>
      <c r="M57" s="10" t="s">
        <v>5742</v>
      </c>
      <c r="P57" s="10" t="s">
        <v>5352</v>
      </c>
      <c r="S57" s="10" t="s">
        <v>5743</v>
      </c>
      <c r="T57" s="10" t="s">
        <v>29</v>
      </c>
      <c r="U57" s="10" t="s">
        <v>5367</v>
      </c>
      <c r="Z57" s="11" t="n">
        <v>1</v>
      </c>
    </row>
    <row r="58" customFormat="false" ht="17.9" hidden="false" customHeight="false" outlineLevel="0" collapsed="false">
      <c r="B58" s="10" t="s">
        <v>5744</v>
      </c>
      <c r="C58" s="10" t="s">
        <v>5745</v>
      </c>
      <c r="D58" s="10" t="s">
        <v>5746</v>
      </c>
      <c r="F58" s="17" t="str">
        <f aca="false">CONCATENATE(G58,", ",H58)</f>
        <v>อ.บางพลี, จ.สมุทรปราการ</v>
      </c>
      <c r="G58" s="10" t="s">
        <v>5434</v>
      </c>
      <c r="H58" s="10" t="s">
        <v>5403</v>
      </c>
      <c r="I58" s="10" t="s">
        <v>5348</v>
      </c>
      <c r="J58" s="10" t="n">
        <v>10540</v>
      </c>
      <c r="K58" s="10" t="s">
        <v>5747</v>
      </c>
      <c r="L58" s="10" t="s">
        <v>5748</v>
      </c>
      <c r="M58" s="10" t="s">
        <v>5749</v>
      </c>
      <c r="P58" s="10" t="s">
        <v>5352</v>
      </c>
      <c r="S58" s="10" t="s">
        <v>29</v>
      </c>
      <c r="T58" s="10" t="s">
        <v>29</v>
      </c>
      <c r="U58" s="10" t="s">
        <v>5377</v>
      </c>
      <c r="Z58" s="11" t="n">
        <v>1</v>
      </c>
    </row>
    <row r="59" customFormat="false" ht="17.9" hidden="false" customHeight="false" outlineLevel="0" collapsed="false">
      <c r="B59" s="10" t="s">
        <v>5750</v>
      </c>
      <c r="C59" s="10" t="s">
        <v>5751</v>
      </c>
      <c r="D59" s="10" t="s">
        <v>5752</v>
      </c>
      <c r="F59" s="17" t="str">
        <f aca="false">CONCATENATE(G59,", ",H59)</f>
        <v>เขตราษฏร์บูรณะ, กรุงเทพมหานคร</v>
      </c>
      <c r="G59" s="10" t="s">
        <v>5753</v>
      </c>
      <c r="H59" s="10" t="s">
        <v>5449</v>
      </c>
      <c r="I59" s="10" t="s">
        <v>5348</v>
      </c>
      <c r="J59" s="10" t="n">
        <v>10140</v>
      </c>
      <c r="K59" s="10" t="s">
        <v>5754</v>
      </c>
      <c r="L59" s="10" t="s">
        <v>29</v>
      </c>
      <c r="M59" s="10" t="s">
        <v>5755</v>
      </c>
      <c r="P59" s="10" t="s">
        <v>5352</v>
      </c>
      <c r="S59" s="10" t="s">
        <v>29</v>
      </c>
      <c r="T59" s="10" t="s">
        <v>29</v>
      </c>
      <c r="U59" s="10" t="s">
        <v>5367</v>
      </c>
      <c r="Z59" s="11" t="n">
        <v>1</v>
      </c>
    </row>
    <row r="60" customFormat="false" ht="17.9" hidden="false" customHeight="false" outlineLevel="0" collapsed="false">
      <c r="B60" s="10" t="s">
        <v>5756</v>
      </c>
      <c r="C60" s="10" t="s">
        <v>5757</v>
      </c>
      <c r="D60" s="10" t="s">
        <v>5758</v>
      </c>
      <c r="E60" s="10" t="s">
        <v>5513</v>
      </c>
      <c r="F60" s="17" t="str">
        <f aca="false">CONCATENATE(G60,", ",H60)</f>
        <v>อำเภอบางละมุง, จ.ชลบุรี</v>
      </c>
      <c r="G60" s="10" t="s">
        <v>5759</v>
      </c>
      <c r="H60" s="10" t="s">
        <v>5760</v>
      </c>
      <c r="I60" s="10" t="s">
        <v>5348</v>
      </c>
      <c r="J60" s="10" t="n">
        <v>20150</v>
      </c>
      <c r="K60" s="10" t="s">
        <v>5761</v>
      </c>
      <c r="L60" s="10" t="s">
        <v>29</v>
      </c>
      <c r="M60" s="10" t="s">
        <v>29</v>
      </c>
      <c r="P60" s="10" t="s">
        <v>5352</v>
      </c>
      <c r="S60" s="10" t="s">
        <v>5762</v>
      </c>
      <c r="T60" s="10" t="s">
        <v>29</v>
      </c>
      <c r="U60" s="10" t="s">
        <v>5367</v>
      </c>
      <c r="Z60" s="11" t="n">
        <v>1</v>
      </c>
    </row>
    <row r="61" customFormat="false" ht="17.9" hidden="false" customHeight="false" outlineLevel="0" collapsed="false">
      <c r="B61" s="10" t="s">
        <v>5763</v>
      </c>
      <c r="C61" s="10" t="s">
        <v>5764</v>
      </c>
      <c r="D61" s="10" t="s">
        <v>5765</v>
      </c>
      <c r="F61" s="17" t="str">
        <f aca="false">CONCATENATE(G61,", ",H61)</f>
        <v>เขตบางนา, กรุงเทพมหานคร</v>
      </c>
      <c r="G61" s="10" t="s">
        <v>5604</v>
      </c>
      <c r="H61" s="10" t="s">
        <v>5449</v>
      </c>
      <c r="I61" s="10" t="s">
        <v>5348</v>
      </c>
      <c r="J61" s="10" t="n">
        <v>10260</v>
      </c>
      <c r="K61" s="10" t="s">
        <v>5766</v>
      </c>
      <c r="L61" s="10" t="s">
        <v>29</v>
      </c>
      <c r="M61" s="10" t="s">
        <v>29</v>
      </c>
      <c r="P61" s="10" t="s">
        <v>5352</v>
      </c>
      <c r="S61" s="10" t="s">
        <v>5767</v>
      </c>
      <c r="T61" s="10" t="s">
        <v>29</v>
      </c>
      <c r="U61" s="10" t="s">
        <v>5367</v>
      </c>
      <c r="Z61" s="11" t="n">
        <v>1</v>
      </c>
    </row>
    <row r="62" customFormat="false" ht="17.9" hidden="false" customHeight="false" outlineLevel="0" collapsed="false">
      <c r="B62" s="10" t="s">
        <v>5271</v>
      </c>
      <c r="C62" s="10" t="s">
        <v>5768</v>
      </c>
      <c r="D62" s="10" t="s">
        <v>5769</v>
      </c>
      <c r="F62" s="17" t="str">
        <f aca="false">CONCATENATE(G62,", ",H62)</f>
        <v>เขตประเวศ, กรุงเทพมหานคร</v>
      </c>
      <c r="G62" s="10" t="s">
        <v>5770</v>
      </c>
      <c r="H62" s="10" t="s">
        <v>5449</v>
      </c>
      <c r="I62" s="10" t="s">
        <v>5348</v>
      </c>
      <c r="J62" s="10" t="n">
        <v>10250</v>
      </c>
      <c r="K62" s="10" t="s">
        <v>5771</v>
      </c>
      <c r="L62" s="10" t="s">
        <v>5772</v>
      </c>
      <c r="M62" s="10" t="s">
        <v>5773</v>
      </c>
      <c r="P62" s="10" t="s">
        <v>5352</v>
      </c>
      <c r="S62" s="10" t="s">
        <v>5774</v>
      </c>
      <c r="T62" s="10" t="s">
        <v>29</v>
      </c>
      <c r="U62" s="10" t="s">
        <v>5367</v>
      </c>
      <c r="Z62" s="11" t="n">
        <v>1</v>
      </c>
    </row>
    <row r="63" customFormat="false" ht="15" hidden="false" customHeight="false" outlineLevel="0" collapsed="false">
      <c r="B63" s="10" t="s">
        <v>5775</v>
      </c>
      <c r="C63" s="10" t="s">
        <v>5776</v>
      </c>
      <c r="D63" s="10" t="s">
        <v>5777</v>
      </c>
      <c r="F63" s="17" t="str">
        <f aca="false">CONCATENATE(G63,", ",H63)</f>
        <v>Pravet , กรุงเทพมหานคร</v>
      </c>
      <c r="G63" s="10" t="s">
        <v>5778</v>
      </c>
      <c r="H63" s="10" t="s">
        <v>5449</v>
      </c>
      <c r="I63" s="10" t="s">
        <v>5348</v>
      </c>
      <c r="J63" s="10" t="n">
        <v>10250</v>
      </c>
      <c r="K63" s="10" t="s">
        <v>5779</v>
      </c>
      <c r="L63" s="10" t="s">
        <v>29</v>
      </c>
      <c r="M63" s="10" t="s">
        <v>5780</v>
      </c>
      <c r="P63" s="10" t="s">
        <v>5352</v>
      </c>
      <c r="S63" s="10" t="s">
        <v>29</v>
      </c>
      <c r="T63" s="10" t="s">
        <v>29</v>
      </c>
      <c r="U63" s="10" t="s">
        <v>5367</v>
      </c>
      <c r="Z63" s="11" t="n">
        <v>1</v>
      </c>
    </row>
    <row r="64" customFormat="false" ht="17.9" hidden="false" customHeight="false" outlineLevel="0" collapsed="false">
      <c r="B64" s="10" t="s">
        <v>5781</v>
      </c>
      <c r="C64" s="10" t="s">
        <v>5782</v>
      </c>
      <c r="D64" s="10" t="s">
        <v>5783</v>
      </c>
      <c r="F64" s="17" t="str">
        <f aca="false">CONCATENATE(G64,", ",H64)</f>
        <v>เขตประเวศ, กรุงเทพมหานคร</v>
      </c>
      <c r="G64" s="10" t="s">
        <v>5770</v>
      </c>
      <c r="H64" s="10" t="s">
        <v>5449</v>
      </c>
      <c r="I64" s="10" t="s">
        <v>5348</v>
      </c>
      <c r="J64" s="10" t="n">
        <v>10250</v>
      </c>
      <c r="K64" s="10" t="s">
        <v>5784</v>
      </c>
      <c r="L64" s="10" t="s">
        <v>5785</v>
      </c>
      <c r="M64" s="10" t="s">
        <v>5786</v>
      </c>
      <c r="P64" s="10" t="s">
        <v>5352</v>
      </c>
      <c r="S64" s="10" t="s">
        <v>5787</v>
      </c>
      <c r="T64" s="10" t="s">
        <v>29</v>
      </c>
      <c r="U64" s="10" t="s">
        <v>5367</v>
      </c>
      <c r="Z64" s="11" t="n">
        <v>1</v>
      </c>
    </row>
    <row r="65" customFormat="false" ht="17.9" hidden="false" customHeight="false" outlineLevel="0" collapsed="false">
      <c r="B65" s="10" t="s">
        <v>5788</v>
      </c>
      <c r="C65" s="10" t="s">
        <v>5789</v>
      </c>
      <c r="D65" s="10" t="s">
        <v>5790</v>
      </c>
      <c r="F65" s="17" t="str">
        <f aca="false">CONCATENATE(G65,", ",H65)</f>
        <v>อ.บางพลี, จ.สมุทรปราการ</v>
      </c>
      <c r="G65" s="10" t="s">
        <v>5434</v>
      </c>
      <c r="H65" s="10" t="s">
        <v>5403</v>
      </c>
      <c r="I65" s="10" t="s">
        <v>5348</v>
      </c>
      <c r="J65" s="10" t="n">
        <v>10540</v>
      </c>
      <c r="K65" s="10" t="s">
        <v>29</v>
      </c>
      <c r="L65" s="10" t="s">
        <v>5791</v>
      </c>
      <c r="M65" s="10" t="s">
        <v>5437</v>
      </c>
      <c r="P65" s="10" t="s">
        <v>5352</v>
      </c>
      <c r="S65" s="10" t="s">
        <v>29</v>
      </c>
      <c r="T65" s="10" t="s">
        <v>29</v>
      </c>
      <c r="U65" s="10" t="s">
        <v>5367</v>
      </c>
      <c r="Z65" s="11" t="n">
        <v>1</v>
      </c>
    </row>
    <row r="66" customFormat="false" ht="17.9" hidden="false" customHeight="false" outlineLevel="0" collapsed="false">
      <c r="B66" s="10" t="s">
        <v>5792</v>
      </c>
      <c r="C66" s="10" t="s">
        <v>5793</v>
      </c>
      <c r="D66" s="10" t="s">
        <v>5794</v>
      </c>
      <c r="E66" s="10" t="s">
        <v>5513</v>
      </c>
      <c r="F66" s="17" t="str">
        <f aca="false">CONCATENATE(G66,", ",H66)</f>
        <v>เขตลาดกระบัง, กรุงเทพมหานคร</v>
      </c>
      <c r="G66" s="10" t="s">
        <v>5503</v>
      </c>
      <c r="H66" s="10" t="s">
        <v>5449</v>
      </c>
      <c r="I66" s="10" t="s">
        <v>5348</v>
      </c>
      <c r="J66" s="10" t="n">
        <v>10520</v>
      </c>
      <c r="K66" s="10" t="s">
        <v>5795</v>
      </c>
      <c r="L66" s="10" t="s">
        <v>29</v>
      </c>
      <c r="M66" s="10" t="s">
        <v>5796</v>
      </c>
      <c r="P66" s="10" t="s">
        <v>5352</v>
      </c>
      <c r="S66" s="10" t="s">
        <v>5797</v>
      </c>
      <c r="T66" s="10" t="s">
        <v>29</v>
      </c>
      <c r="U66" s="10" t="s">
        <v>5367</v>
      </c>
      <c r="Z66" s="11" t="n">
        <v>1</v>
      </c>
    </row>
    <row r="67" customFormat="false" ht="17.9" hidden="false" customHeight="false" outlineLevel="0" collapsed="false">
      <c r="B67" s="10" t="s">
        <v>5798</v>
      </c>
      <c r="C67" s="10" t="s">
        <v>5799</v>
      </c>
      <c r="D67" s="10" t="s">
        <v>5800</v>
      </c>
      <c r="F67" s="17" t="str">
        <f aca="false">CONCATENATE(G67,", ",H67)</f>
        <v>อ.เมือง, จ.นนทบุรี</v>
      </c>
      <c r="G67" s="10" t="s">
        <v>5346</v>
      </c>
      <c r="H67" s="10" t="s">
        <v>5497</v>
      </c>
      <c r="I67" s="10" t="s">
        <v>5348</v>
      </c>
      <c r="J67" s="10" t="n">
        <v>11110</v>
      </c>
      <c r="K67" s="10" t="s">
        <v>5801</v>
      </c>
      <c r="L67" s="10" t="s">
        <v>5802</v>
      </c>
      <c r="M67" s="10" t="s">
        <v>5803</v>
      </c>
      <c r="P67" s="10" t="s">
        <v>5352</v>
      </c>
      <c r="S67" s="10" t="s">
        <v>5804</v>
      </c>
      <c r="T67" s="10" t="s">
        <v>5805</v>
      </c>
      <c r="U67" s="10" t="s">
        <v>5367</v>
      </c>
      <c r="Z67" s="11" t="n">
        <v>1</v>
      </c>
    </row>
    <row r="68" customFormat="false" ht="17.9" hidden="false" customHeight="false" outlineLevel="0" collapsed="false">
      <c r="B68" s="10" t="s">
        <v>3143</v>
      </c>
      <c r="C68" s="10" t="s">
        <v>5806</v>
      </c>
      <c r="D68" s="10" t="s">
        <v>5807</v>
      </c>
      <c r="F68" s="17" t="str">
        <f aca="false">CONCATENATE(G68,", ",H68)</f>
        <v>เขตห้วยขวาง , กรุงเทพมหานคร</v>
      </c>
      <c r="G68" s="10" t="s">
        <v>5808</v>
      </c>
      <c r="H68" s="10" t="s">
        <v>5449</v>
      </c>
      <c r="I68" s="10" t="s">
        <v>5348</v>
      </c>
      <c r="J68" s="10" t="n">
        <v>10310</v>
      </c>
      <c r="K68" s="10" t="s">
        <v>5809</v>
      </c>
      <c r="L68" s="10" t="s">
        <v>29</v>
      </c>
      <c r="M68" s="10" t="s">
        <v>5810</v>
      </c>
      <c r="P68" s="10" t="s">
        <v>5352</v>
      </c>
      <c r="S68" s="10" t="s">
        <v>5811</v>
      </c>
      <c r="T68" s="10" t="s">
        <v>29</v>
      </c>
      <c r="U68" s="10" t="s">
        <v>5367</v>
      </c>
      <c r="Z68" s="11" t="n">
        <v>1</v>
      </c>
    </row>
    <row r="69" customFormat="false" ht="17.9" hidden="false" customHeight="false" outlineLevel="0" collapsed="false">
      <c r="B69" s="10" t="s">
        <v>5812</v>
      </c>
      <c r="C69" s="10" t="s">
        <v>5813</v>
      </c>
      <c r="D69" s="10" t="s">
        <v>5814</v>
      </c>
      <c r="F69" s="17" t="str">
        <f aca="false">CONCATENATE(G69,", ",H69)</f>
        <v>เขตประเวศ, กรุงเทพมหานคร</v>
      </c>
      <c r="G69" s="10" t="s">
        <v>5770</v>
      </c>
      <c r="H69" s="10" t="s">
        <v>5449</v>
      </c>
      <c r="I69" s="10" t="s">
        <v>5348</v>
      </c>
      <c r="J69" s="10" t="n">
        <v>10250</v>
      </c>
      <c r="K69" s="10" t="s">
        <v>5815</v>
      </c>
      <c r="L69" s="10" t="s">
        <v>29</v>
      </c>
      <c r="M69" s="10" t="s">
        <v>29</v>
      </c>
      <c r="P69" s="10" t="s">
        <v>5352</v>
      </c>
      <c r="S69" s="10" t="s">
        <v>5767</v>
      </c>
      <c r="T69" s="10" t="s">
        <v>5816</v>
      </c>
      <c r="U69" s="10" t="s">
        <v>5367</v>
      </c>
      <c r="Z69" s="11" t="n">
        <v>1</v>
      </c>
    </row>
    <row r="70" customFormat="false" ht="17.9" hidden="false" customHeight="false" outlineLevel="0" collapsed="false">
      <c r="B70" s="10" t="s">
        <v>5817</v>
      </c>
      <c r="C70" s="10" t="s">
        <v>5818</v>
      </c>
      <c r="D70" s="10" t="s">
        <v>5819</v>
      </c>
      <c r="F70" s="17" t="str">
        <f aca="false">CONCATENATE(G70,", ",H70)</f>
        <v>อ.เมือง, จ.สมุทรปราการ</v>
      </c>
      <c r="G70" s="10" t="s">
        <v>5346</v>
      </c>
      <c r="H70" s="10" t="s">
        <v>5403</v>
      </c>
      <c r="I70" s="10" t="s">
        <v>5348</v>
      </c>
      <c r="J70" s="10" t="n">
        <v>10280</v>
      </c>
      <c r="K70" s="10" t="s">
        <v>5820</v>
      </c>
      <c r="L70" s="10" t="s">
        <v>5821</v>
      </c>
      <c r="M70" s="10" t="s">
        <v>5822</v>
      </c>
      <c r="P70" s="10" t="s">
        <v>5352</v>
      </c>
      <c r="S70" s="10" t="s">
        <v>5823</v>
      </c>
      <c r="T70" s="10" t="s">
        <v>5824</v>
      </c>
      <c r="U70" s="10" t="s">
        <v>5367</v>
      </c>
      <c r="Z70" s="11" t="n">
        <v>1</v>
      </c>
    </row>
    <row r="71" customFormat="false" ht="17.9" hidden="false" customHeight="false" outlineLevel="0" collapsed="false">
      <c r="B71" s="10" t="s">
        <v>5825</v>
      </c>
      <c r="C71" s="10" t="s">
        <v>5826</v>
      </c>
      <c r="D71" s="10" t="s">
        <v>5827</v>
      </c>
      <c r="F71" s="17" t="str">
        <f aca="false">CONCATENATE(G71,", ",H71)</f>
        <v>อ.บางพลี, จ.สมุทรปราการ</v>
      </c>
      <c r="G71" s="10" t="s">
        <v>5434</v>
      </c>
      <c r="H71" s="10" t="s">
        <v>5403</v>
      </c>
      <c r="I71" s="10" t="s">
        <v>5348</v>
      </c>
      <c r="J71" s="10" t="n">
        <v>10540</v>
      </c>
      <c r="K71" s="10" t="s">
        <v>5828</v>
      </c>
      <c r="L71" s="10" t="s">
        <v>5829</v>
      </c>
      <c r="M71" s="10" t="s">
        <v>5830</v>
      </c>
      <c r="P71" s="10" t="s">
        <v>5352</v>
      </c>
      <c r="S71" s="10" t="s">
        <v>29</v>
      </c>
      <c r="T71" s="10" t="s">
        <v>29</v>
      </c>
      <c r="U71" s="10" t="s">
        <v>5367</v>
      </c>
      <c r="Z71" s="11" t="n">
        <v>1</v>
      </c>
    </row>
    <row r="72" customFormat="false" ht="17.9" hidden="false" customHeight="false" outlineLevel="0" collapsed="false">
      <c r="B72" s="10" t="s">
        <v>2006</v>
      </c>
      <c r="C72" s="10" t="s">
        <v>5831</v>
      </c>
      <c r="D72" s="10" t="s">
        <v>5832</v>
      </c>
      <c r="F72" s="17" t="str">
        <f aca="false">CONCATENATE(G72,", ",H72)</f>
        <v>อ.เมือง, จ.สมุทรปราการ</v>
      </c>
      <c r="G72" s="10" t="s">
        <v>5346</v>
      </c>
      <c r="H72" s="10" t="s">
        <v>5403</v>
      </c>
      <c r="I72" s="10" t="s">
        <v>5348</v>
      </c>
      <c r="J72" s="10" t="n">
        <v>10280</v>
      </c>
      <c r="K72" s="10" t="s">
        <v>5833</v>
      </c>
      <c r="L72" s="10" t="s">
        <v>29</v>
      </c>
      <c r="M72" s="10" t="s">
        <v>5834</v>
      </c>
      <c r="P72" s="10" t="s">
        <v>5352</v>
      </c>
      <c r="S72" s="10" t="s">
        <v>5835</v>
      </c>
      <c r="T72" s="10" t="s">
        <v>5836</v>
      </c>
      <c r="U72" s="10" t="s">
        <v>5367</v>
      </c>
      <c r="Z72" s="11" t="n">
        <v>1</v>
      </c>
    </row>
    <row r="73" customFormat="false" ht="17.9" hidden="false" customHeight="false" outlineLevel="0" collapsed="false">
      <c r="B73" s="10" t="s">
        <v>5837</v>
      </c>
      <c r="C73" s="10" t="s">
        <v>5838</v>
      </c>
      <c r="D73" s="10" t="s">
        <v>5839</v>
      </c>
      <c r="F73" s="17" t="str">
        <f aca="false">CONCATENATE(G73,", ",H73)</f>
        <v>เขตลาดพร้าว, กรุงเทพมหานคร</v>
      </c>
      <c r="G73" s="10" t="s">
        <v>5840</v>
      </c>
      <c r="H73" s="10" t="s">
        <v>5449</v>
      </c>
      <c r="I73" s="10" t="s">
        <v>5348</v>
      </c>
      <c r="J73" s="10" t="n">
        <v>10230</v>
      </c>
      <c r="K73" s="10" t="s">
        <v>5841</v>
      </c>
      <c r="L73" s="10" t="s">
        <v>5842</v>
      </c>
      <c r="M73" s="10" t="s">
        <v>5843</v>
      </c>
      <c r="P73" s="10" t="s">
        <v>5352</v>
      </c>
      <c r="S73" s="10" t="s">
        <v>5844</v>
      </c>
      <c r="T73" s="10" t="s">
        <v>5845</v>
      </c>
      <c r="U73" s="10" t="s">
        <v>5367</v>
      </c>
      <c r="Z73" s="11" t="n">
        <v>1</v>
      </c>
    </row>
    <row r="74" customFormat="false" ht="17.9" hidden="false" customHeight="false" outlineLevel="0" collapsed="false">
      <c r="B74" s="10" t="s">
        <v>5846</v>
      </c>
      <c r="C74" s="10" t="s">
        <v>5847</v>
      </c>
      <c r="D74" s="10" t="s">
        <v>5848</v>
      </c>
      <c r="F74" s="17" t="str">
        <f aca="false">CONCATENATE(G74,", ",H74)</f>
        <v>อ.บางพลี, จ.สมุทรปราการ</v>
      </c>
      <c r="G74" s="10" t="s">
        <v>5434</v>
      </c>
      <c r="H74" s="10" t="s">
        <v>5403</v>
      </c>
      <c r="I74" s="10" t="s">
        <v>5348</v>
      </c>
      <c r="J74" s="10" t="n">
        <v>10540</v>
      </c>
      <c r="K74" s="10" t="s">
        <v>5849</v>
      </c>
      <c r="L74" s="10" t="s">
        <v>5850</v>
      </c>
      <c r="M74" s="10" t="s">
        <v>5851</v>
      </c>
      <c r="P74" s="10" t="s">
        <v>5352</v>
      </c>
      <c r="S74" s="10" t="s">
        <v>29</v>
      </c>
      <c r="T74" s="10" t="s">
        <v>29</v>
      </c>
      <c r="U74" s="10" t="s">
        <v>5367</v>
      </c>
      <c r="Z74" s="11" t="n">
        <v>1</v>
      </c>
    </row>
    <row r="75" customFormat="false" ht="17.9" hidden="false" customHeight="false" outlineLevel="0" collapsed="false">
      <c r="B75" s="10" t="s">
        <v>5852</v>
      </c>
      <c r="C75" s="10" t="s">
        <v>5853</v>
      </c>
      <c r="D75" s="10" t="s">
        <v>5854</v>
      </c>
      <c r="F75" s="17" t="str">
        <f aca="false">CONCATENATE(G75,", ",H75)</f>
        <v>เขตดอนเมือง, กรุงเทพมหานคร</v>
      </c>
      <c r="G75" s="10" t="s">
        <v>5855</v>
      </c>
      <c r="H75" s="10" t="s">
        <v>5449</v>
      </c>
      <c r="I75" s="10" t="s">
        <v>5348</v>
      </c>
      <c r="J75" s="10" t="n">
        <v>10210</v>
      </c>
      <c r="K75" s="10" t="s">
        <v>5856</v>
      </c>
      <c r="L75" s="10" t="s">
        <v>29</v>
      </c>
      <c r="M75" s="10" t="s">
        <v>5857</v>
      </c>
      <c r="P75" s="10" t="s">
        <v>5352</v>
      </c>
      <c r="S75" s="10" t="s">
        <v>5858</v>
      </c>
      <c r="T75" s="10" t="s">
        <v>5859</v>
      </c>
      <c r="U75" s="10" t="s">
        <v>5377</v>
      </c>
      <c r="Z75" s="11" t="n">
        <v>1</v>
      </c>
    </row>
    <row r="76" customFormat="false" ht="17.9" hidden="false" customHeight="false" outlineLevel="0" collapsed="false">
      <c r="B76" s="10" t="s">
        <v>5860</v>
      </c>
      <c r="C76" s="10" t="s">
        <v>5861</v>
      </c>
      <c r="D76" s="10" t="s">
        <v>5862</v>
      </c>
      <c r="F76" s="17" t="str">
        <f aca="false">CONCATENATE(G76,", ",H76)</f>
        <v>เขตสาทร , กรุงเทพมหานคร</v>
      </c>
      <c r="G76" s="10" t="s">
        <v>5863</v>
      </c>
      <c r="H76" s="10" t="s">
        <v>5449</v>
      </c>
      <c r="I76" s="10" t="s">
        <v>5348</v>
      </c>
      <c r="J76" s="10" t="n">
        <v>10120</v>
      </c>
      <c r="K76" s="10" t="s">
        <v>29</v>
      </c>
      <c r="L76" s="10" t="s">
        <v>29</v>
      </c>
      <c r="M76" s="10" t="s">
        <v>5864</v>
      </c>
      <c r="P76" s="10" t="s">
        <v>5352</v>
      </c>
      <c r="S76" s="10" t="s">
        <v>29</v>
      </c>
      <c r="T76" s="10" t="s">
        <v>29</v>
      </c>
      <c r="U76" s="10" t="s">
        <v>5367</v>
      </c>
      <c r="Z76" s="11" t="n">
        <v>1</v>
      </c>
    </row>
    <row r="77" customFormat="false" ht="17.9" hidden="false" customHeight="false" outlineLevel="0" collapsed="false">
      <c r="B77" s="10" t="s">
        <v>1753</v>
      </c>
      <c r="C77" s="10" t="s">
        <v>5865</v>
      </c>
      <c r="D77" s="10" t="s">
        <v>5866</v>
      </c>
      <c r="F77" s="17" t="str">
        <f aca="false">CONCATENATE(G77,", ",H77)</f>
        <v>เขตบางขุนเทียน, กรุงเทพมหานคร</v>
      </c>
      <c r="G77" s="10" t="s">
        <v>5867</v>
      </c>
      <c r="H77" s="10" t="s">
        <v>5449</v>
      </c>
      <c r="I77" s="10" t="s">
        <v>5348</v>
      </c>
      <c r="J77" s="10" t="n">
        <v>10150</v>
      </c>
      <c r="K77" s="10" t="s">
        <v>5868</v>
      </c>
      <c r="L77" s="10" t="s">
        <v>5869</v>
      </c>
      <c r="M77" s="10" t="s">
        <v>5870</v>
      </c>
      <c r="P77" s="10" t="s">
        <v>5352</v>
      </c>
      <c r="S77" s="10" t="s">
        <v>5871</v>
      </c>
      <c r="T77" s="10" t="s">
        <v>5872</v>
      </c>
      <c r="U77" s="10" t="s">
        <v>5377</v>
      </c>
      <c r="Z77" s="11" t="n">
        <v>1</v>
      </c>
    </row>
    <row r="78" customFormat="false" ht="17.9" hidden="false" customHeight="false" outlineLevel="0" collapsed="false">
      <c r="B78" s="10" t="s">
        <v>5873</v>
      </c>
      <c r="C78" s="10" t="s">
        <v>5874</v>
      </c>
      <c r="D78" s="10" t="s">
        <v>5875</v>
      </c>
      <c r="F78" s="17" t="str">
        <f aca="false">CONCATENATE(G78,", ",H78)</f>
        <v>เขตบางนา, กรุงเทพมหานคร</v>
      </c>
      <c r="G78" s="10" t="s">
        <v>5604</v>
      </c>
      <c r="H78" s="10" t="s">
        <v>5449</v>
      </c>
      <c r="I78" s="10" t="s">
        <v>5348</v>
      </c>
      <c r="J78" s="10" t="n">
        <v>10260</v>
      </c>
      <c r="K78" s="10" t="s">
        <v>5876</v>
      </c>
      <c r="L78" s="10" t="s">
        <v>5877</v>
      </c>
      <c r="M78" s="10" t="s">
        <v>5878</v>
      </c>
      <c r="P78" s="10" t="s">
        <v>5352</v>
      </c>
      <c r="S78" s="10" t="s">
        <v>5354</v>
      </c>
      <c r="T78" s="10" t="s">
        <v>5879</v>
      </c>
      <c r="U78" s="17" t="s">
        <v>5367</v>
      </c>
      <c r="Z78" s="11" t="n">
        <v>1</v>
      </c>
    </row>
    <row r="79" customFormat="false" ht="17.9" hidden="false" customHeight="false" outlineLevel="0" collapsed="false">
      <c r="B79" s="10" t="s">
        <v>5880</v>
      </c>
      <c r="C79" s="10" t="s">
        <v>5881</v>
      </c>
      <c r="D79" s="10" t="s">
        <v>5882</v>
      </c>
      <c r="F79" s="17" t="str">
        <f aca="false">CONCATENATE(G79,", ",H79)</f>
        <v>เขตสวนหลวง, กรุงเทพมหานคร</v>
      </c>
      <c r="G79" s="10" t="s">
        <v>5448</v>
      </c>
      <c r="H79" s="10" t="s">
        <v>5449</v>
      </c>
      <c r="I79" s="10" t="s">
        <v>5348</v>
      </c>
      <c r="J79" s="10" t="n">
        <v>10250</v>
      </c>
      <c r="K79" s="10" t="s">
        <v>5883</v>
      </c>
      <c r="L79" s="10" t="s">
        <v>5884</v>
      </c>
      <c r="M79" s="10" t="s">
        <v>5885</v>
      </c>
      <c r="P79" s="10" t="s">
        <v>5352</v>
      </c>
      <c r="S79" s="10" t="s">
        <v>5886</v>
      </c>
      <c r="T79" s="10" t="s">
        <v>5887</v>
      </c>
      <c r="U79" s="10" t="s">
        <v>5367</v>
      </c>
      <c r="Z79" s="11" t="n">
        <v>1</v>
      </c>
    </row>
    <row r="80" customFormat="false" ht="17.9" hidden="false" customHeight="false" outlineLevel="0" collapsed="false">
      <c r="B80" s="10" t="s">
        <v>5888</v>
      </c>
      <c r="C80" s="10" t="s">
        <v>5889</v>
      </c>
      <c r="D80" s="10" t="s">
        <v>5890</v>
      </c>
      <c r="F80" s="17" t="str">
        <f aca="false">CONCATENATE(G80,", ",H80)</f>
        <v>เขตบางขุนเทียน, กรุงเทพมหานคร</v>
      </c>
      <c r="G80" s="10" t="s">
        <v>5867</v>
      </c>
      <c r="H80" s="10" t="s">
        <v>5449</v>
      </c>
      <c r="I80" s="10" t="s">
        <v>5348</v>
      </c>
      <c r="J80" s="10" t="n">
        <v>10150</v>
      </c>
      <c r="K80" s="10" t="s">
        <v>5891</v>
      </c>
      <c r="L80" s="10" t="s">
        <v>29</v>
      </c>
      <c r="M80" s="10" t="s">
        <v>5892</v>
      </c>
      <c r="P80" s="10" t="s">
        <v>5352</v>
      </c>
      <c r="S80" s="10" t="s">
        <v>29</v>
      </c>
      <c r="T80" s="10" t="s">
        <v>29</v>
      </c>
      <c r="U80" s="10" t="s">
        <v>5377</v>
      </c>
      <c r="Z80" s="11" t="n">
        <v>1</v>
      </c>
    </row>
    <row r="81" customFormat="false" ht="17.9" hidden="false" customHeight="false" outlineLevel="0" collapsed="false">
      <c r="B81" s="10" t="s">
        <v>5893</v>
      </c>
      <c r="C81" s="10" t="s">
        <v>5894</v>
      </c>
      <c r="D81" s="10" t="s">
        <v>5895</v>
      </c>
      <c r="F81" s="17" t="str">
        <f aca="false">CONCATENATE(G81,", ",H81)</f>
        <v>อ.ปากเกร็ด, จ.นนทบุรี</v>
      </c>
      <c r="G81" s="10" t="s">
        <v>5896</v>
      </c>
      <c r="H81" s="10" t="s">
        <v>5497</v>
      </c>
      <c r="I81" s="10" t="s">
        <v>5348</v>
      </c>
      <c r="J81" s="10" t="n">
        <v>11120</v>
      </c>
      <c r="K81" s="10" t="s">
        <v>5897</v>
      </c>
      <c r="L81" s="10" t="s">
        <v>29</v>
      </c>
      <c r="M81" s="10" t="s">
        <v>5898</v>
      </c>
      <c r="P81" s="10" t="s">
        <v>5352</v>
      </c>
      <c r="Q81" s="10" t="s">
        <v>5899</v>
      </c>
      <c r="S81" s="10" t="s">
        <v>29</v>
      </c>
      <c r="T81" s="10" t="s">
        <v>29</v>
      </c>
      <c r="U81" s="10" t="s">
        <v>5367</v>
      </c>
      <c r="Z81" s="11" t="n">
        <v>1</v>
      </c>
    </row>
    <row r="82" customFormat="false" ht="17.9" hidden="false" customHeight="false" outlineLevel="0" collapsed="false">
      <c r="B82" s="10" t="s">
        <v>5900</v>
      </c>
      <c r="C82" s="10" t="s">
        <v>5901</v>
      </c>
      <c r="D82" s="10" t="s">
        <v>5902</v>
      </c>
      <c r="F82" s="17" t="str">
        <f aca="false">CONCATENATE(G82,", ",H82)</f>
        <v>เขตดอนเมือง, กรุงเทพมหานคร</v>
      </c>
      <c r="G82" s="10" t="s">
        <v>5855</v>
      </c>
      <c r="H82" s="10" t="s">
        <v>5449</v>
      </c>
      <c r="I82" s="10" t="s">
        <v>5348</v>
      </c>
      <c r="J82" s="10" t="n">
        <v>10210</v>
      </c>
      <c r="K82" s="10" t="s">
        <v>5903</v>
      </c>
      <c r="L82" s="10" t="s">
        <v>29</v>
      </c>
      <c r="M82" s="10" t="s">
        <v>5904</v>
      </c>
      <c r="P82" s="10" t="s">
        <v>5352</v>
      </c>
      <c r="Q82" s="10" t="s">
        <v>5905</v>
      </c>
      <c r="S82" s="10" t="s">
        <v>29</v>
      </c>
      <c r="T82" s="10" t="s">
        <v>29</v>
      </c>
      <c r="U82" s="10" t="s">
        <v>5367</v>
      </c>
      <c r="Z82" s="11" t="n">
        <v>1</v>
      </c>
    </row>
    <row r="83" customFormat="false" ht="17.9" hidden="false" customHeight="false" outlineLevel="0" collapsed="false">
      <c r="B83" s="10" t="s">
        <v>5906</v>
      </c>
      <c r="C83" s="10" t="s">
        <v>5907</v>
      </c>
      <c r="D83" s="10" t="s">
        <v>5908</v>
      </c>
      <c r="F83" s="17" t="str">
        <f aca="false">CONCATENATE(G83,", ",H83)</f>
        <v>อ.เมือง, จ.สมุทรปราการ</v>
      </c>
      <c r="G83" s="10" t="s">
        <v>5346</v>
      </c>
      <c r="H83" s="10" t="s">
        <v>5403</v>
      </c>
      <c r="I83" s="10" t="s">
        <v>5348</v>
      </c>
      <c r="J83" s="10" t="n">
        <v>10280</v>
      </c>
      <c r="K83" s="10" t="s">
        <v>5909</v>
      </c>
      <c r="L83" s="10" t="s">
        <v>5910</v>
      </c>
      <c r="M83" s="10" t="s">
        <v>5911</v>
      </c>
      <c r="P83" s="10" t="s">
        <v>5352</v>
      </c>
      <c r="Q83" s="10" t="s">
        <v>5912</v>
      </c>
      <c r="S83" s="10" t="s">
        <v>29</v>
      </c>
      <c r="T83" s="10" t="s">
        <v>29</v>
      </c>
      <c r="U83" s="10" t="s">
        <v>5367</v>
      </c>
      <c r="Z83" s="11" t="n">
        <v>1</v>
      </c>
    </row>
    <row r="84" customFormat="false" ht="17.9" hidden="false" customHeight="false" outlineLevel="0" collapsed="false">
      <c r="B84" s="10" t="s">
        <v>5913</v>
      </c>
      <c r="C84" s="10" t="s">
        <v>5914</v>
      </c>
      <c r="D84" s="10" t="s">
        <v>5915</v>
      </c>
      <c r="F84" s="17" t="str">
        <f aca="false">CONCATENATE(G84,", ",H84)</f>
        <v>อ.เมือง, จ.สมุทรปราการ</v>
      </c>
      <c r="G84" s="10" t="s">
        <v>5346</v>
      </c>
      <c r="H84" s="10" t="s">
        <v>5403</v>
      </c>
      <c r="I84" s="10" t="s">
        <v>5348</v>
      </c>
      <c r="J84" s="10" t="n">
        <v>10280</v>
      </c>
      <c r="K84" s="10" t="s">
        <v>5916</v>
      </c>
      <c r="L84" s="10" t="s">
        <v>29</v>
      </c>
      <c r="M84" s="10" t="s">
        <v>29</v>
      </c>
      <c r="P84" s="10" t="s">
        <v>5352</v>
      </c>
      <c r="S84" s="10" t="s">
        <v>5917</v>
      </c>
      <c r="T84" s="10" t="s">
        <v>5918</v>
      </c>
      <c r="U84" s="10" t="s">
        <v>5367</v>
      </c>
      <c r="Z84" s="11" t="n">
        <v>1</v>
      </c>
    </row>
    <row r="85" customFormat="false" ht="17.9" hidden="false" customHeight="false" outlineLevel="0" collapsed="false">
      <c r="B85" s="10" t="s">
        <v>4502</v>
      </c>
      <c r="C85" s="10" t="s">
        <v>5919</v>
      </c>
      <c r="D85" s="10" t="s">
        <v>5920</v>
      </c>
      <c r="F85" s="17" t="str">
        <f aca="false">CONCATENATE(G85,", ",H85)</f>
        <v>เขตประเวศ, กรุงเทพมหานคร</v>
      </c>
      <c r="G85" s="10" t="s">
        <v>5770</v>
      </c>
      <c r="H85" s="10" t="s">
        <v>5449</v>
      </c>
      <c r="I85" s="10" t="s">
        <v>5348</v>
      </c>
      <c r="J85" s="10" t="n">
        <v>10250</v>
      </c>
      <c r="K85" s="10" t="s">
        <v>5921</v>
      </c>
      <c r="L85" s="10" t="s">
        <v>5922</v>
      </c>
      <c r="M85" s="10" t="s">
        <v>5923</v>
      </c>
      <c r="P85" s="10" t="s">
        <v>5352</v>
      </c>
      <c r="Q85" s="10" t="s">
        <v>5924</v>
      </c>
      <c r="S85" s="10" t="s">
        <v>29</v>
      </c>
      <c r="T85" s="10" t="s">
        <v>29</v>
      </c>
      <c r="U85" s="10" t="s">
        <v>5367</v>
      </c>
      <c r="Z85" s="11" t="n">
        <v>1</v>
      </c>
    </row>
    <row r="86" customFormat="false" ht="17.9" hidden="false" customHeight="false" outlineLevel="0" collapsed="false">
      <c r="B86" s="10" t="s">
        <v>1444</v>
      </c>
      <c r="C86" s="10" t="s">
        <v>5925</v>
      </c>
      <c r="D86" s="10" t="s">
        <v>5926</v>
      </c>
      <c r="F86" s="17" t="str">
        <f aca="false">CONCATENATE(G86,", ",H86)</f>
        <v>อ.เมือง,  จ.สมุทรสาคร</v>
      </c>
      <c r="G86" s="10" t="s">
        <v>5346</v>
      </c>
      <c r="H86" s="10" t="s">
        <v>5927</v>
      </c>
      <c r="I86" s="10" t="s">
        <v>5348</v>
      </c>
      <c r="J86" s="10" t="n">
        <v>74000</v>
      </c>
      <c r="K86" s="10" t="s">
        <v>5928</v>
      </c>
      <c r="L86" s="10" t="s">
        <v>5929</v>
      </c>
      <c r="M86" s="10" t="s">
        <v>5930</v>
      </c>
      <c r="P86" s="10" t="s">
        <v>5352</v>
      </c>
      <c r="Q86" s="10" t="s">
        <v>5931</v>
      </c>
      <c r="S86" s="10" t="s">
        <v>5932</v>
      </c>
      <c r="T86" s="10" t="s">
        <v>5933</v>
      </c>
      <c r="U86" s="10" t="s">
        <v>5367</v>
      </c>
      <c r="Z86" s="11" t="n">
        <v>1</v>
      </c>
    </row>
    <row r="87" customFormat="false" ht="15" hidden="false" customHeight="false" outlineLevel="0" collapsed="false">
      <c r="B87" s="10" t="s">
        <v>5934</v>
      </c>
      <c r="C87" s="10" t="s">
        <v>5935</v>
      </c>
      <c r="D87" s="10" t="s">
        <v>5936</v>
      </c>
      <c r="F87" s="17" t="str">
        <f aca="false">CONCATENATE(G87,", ",H87)</f>
        <v>Foshan, Guangdong</v>
      </c>
      <c r="G87" s="10" t="s">
        <v>5937</v>
      </c>
      <c r="H87" s="10" t="s">
        <v>5938</v>
      </c>
      <c r="I87" s="10" t="s">
        <v>5444</v>
      </c>
      <c r="J87" s="10" t="n">
        <v>528322</v>
      </c>
      <c r="K87" s="10" t="s">
        <v>29</v>
      </c>
      <c r="L87" s="10" t="s">
        <v>29</v>
      </c>
      <c r="M87" s="10" t="s">
        <v>29</v>
      </c>
      <c r="P87" s="10" t="s">
        <v>5352</v>
      </c>
      <c r="S87" s="10" t="s">
        <v>29</v>
      </c>
      <c r="T87" s="10" t="s">
        <v>29</v>
      </c>
      <c r="U87" s="10" t="s">
        <v>5367</v>
      </c>
      <c r="Z87" s="11" t="n">
        <v>1</v>
      </c>
    </row>
    <row r="88" customFormat="false" ht="17.9" hidden="false" customHeight="false" outlineLevel="0" collapsed="false">
      <c r="B88" s="10" t="s">
        <v>1440</v>
      </c>
      <c r="C88" s="10" t="s">
        <v>5939</v>
      </c>
      <c r="D88" s="10" t="s">
        <v>5940</v>
      </c>
      <c r="F88" s="17" t="str">
        <f aca="false">CONCATENATE(G88,", ",H88)</f>
        <v>อ.เมืองสมุทรปราการ, จ.สมุทรปราการ</v>
      </c>
      <c r="G88" s="10" t="s">
        <v>5483</v>
      </c>
      <c r="H88" s="10" t="s">
        <v>5403</v>
      </c>
      <c r="I88" s="10" t="s">
        <v>5348</v>
      </c>
      <c r="J88" s="10" t="n">
        <v>10280</v>
      </c>
      <c r="K88" s="10" t="s">
        <v>5941</v>
      </c>
      <c r="L88" s="10" t="s">
        <v>29</v>
      </c>
      <c r="M88" s="10" t="s">
        <v>5942</v>
      </c>
      <c r="P88" s="10" t="s">
        <v>5352</v>
      </c>
      <c r="Q88" s="10" t="s">
        <v>5943</v>
      </c>
      <c r="S88" s="10" t="s">
        <v>5944</v>
      </c>
      <c r="T88" s="10" t="s">
        <v>29</v>
      </c>
      <c r="U88" s="10" t="s">
        <v>5377</v>
      </c>
      <c r="Z88" s="11" t="n">
        <v>1</v>
      </c>
    </row>
    <row r="89" customFormat="false" ht="17.9" hidden="false" customHeight="false" outlineLevel="0" collapsed="false">
      <c r="B89" s="10" t="s">
        <v>5945</v>
      </c>
      <c r="C89" s="10" t="s">
        <v>5946</v>
      </c>
      <c r="D89" s="10" t="s">
        <v>5947</v>
      </c>
      <c r="F89" s="17" t="str">
        <f aca="false">CONCATENATE(G89,", ",H89)</f>
        <v>เขตบางเขน , กรุงเทพมหานคร</v>
      </c>
      <c r="G89" s="10" t="s">
        <v>5948</v>
      </c>
      <c r="H89" s="10" t="s">
        <v>5449</v>
      </c>
      <c r="I89" s="10" t="s">
        <v>5348</v>
      </c>
      <c r="J89" s="10" t="n">
        <v>10220</v>
      </c>
      <c r="K89" s="10" t="s">
        <v>5949</v>
      </c>
      <c r="L89" s="10" t="s">
        <v>5950</v>
      </c>
      <c r="M89" s="10" t="s">
        <v>5951</v>
      </c>
      <c r="P89" s="10" t="s">
        <v>5352</v>
      </c>
      <c r="Q89" s="10" t="s">
        <v>5952</v>
      </c>
      <c r="S89" s="10" t="s">
        <v>5953</v>
      </c>
      <c r="T89" s="10" t="s">
        <v>29</v>
      </c>
      <c r="U89" s="10" t="s">
        <v>5377</v>
      </c>
      <c r="Z89" s="11" t="n">
        <v>1</v>
      </c>
    </row>
    <row r="90" customFormat="false" ht="17.9" hidden="false" customHeight="false" outlineLevel="0" collapsed="false">
      <c r="B90" s="10" t="s">
        <v>5123</v>
      </c>
      <c r="C90" s="10" t="s">
        <v>5954</v>
      </c>
      <c r="D90" s="10" t="s">
        <v>5955</v>
      </c>
      <c r="F90" s="17" t="str">
        <f aca="false">CONCATENATE(G90,", ",H90)</f>
        <v>อ.สามพราน, จ.นครปฐม</v>
      </c>
      <c r="G90" s="10" t="s">
        <v>5956</v>
      </c>
      <c r="H90" s="10" t="s">
        <v>5957</v>
      </c>
      <c r="I90" s="10" t="s">
        <v>5348</v>
      </c>
      <c r="J90" s="10" t="n">
        <v>73210</v>
      </c>
      <c r="K90" s="10" t="s">
        <v>5958</v>
      </c>
      <c r="L90" s="10" t="s">
        <v>5959</v>
      </c>
      <c r="M90" s="10" t="s">
        <v>5960</v>
      </c>
      <c r="P90" s="10" t="s">
        <v>5352</v>
      </c>
      <c r="S90" s="10" t="s">
        <v>5961</v>
      </c>
      <c r="T90" s="10" t="s">
        <v>29</v>
      </c>
      <c r="U90" s="10" t="s">
        <v>5367</v>
      </c>
      <c r="Z90" s="11" t="n">
        <v>1</v>
      </c>
    </row>
    <row r="91" customFormat="false" ht="17.9" hidden="false" customHeight="false" outlineLevel="0" collapsed="false">
      <c r="B91" s="10" t="s">
        <v>5962</v>
      </c>
      <c r="C91" s="10" t="s">
        <v>5963</v>
      </c>
      <c r="D91" s="10" t="s">
        <v>5964</v>
      </c>
      <c r="F91" s="17" t="str">
        <f aca="false">CONCATENATE(G91,", ",H91)</f>
        <v>อ.บางพลี, จ.สมุทรปราการ</v>
      </c>
      <c r="G91" s="10" t="s">
        <v>5434</v>
      </c>
      <c r="H91" s="10" t="s">
        <v>5965</v>
      </c>
      <c r="I91" s="10" t="s">
        <v>5348</v>
      </c>
      <c r="J91" s="10" t="n">
        <v>10540</v>
      </c>
      <c r="K91" s="10" t="s">
        <v>29</v>
      </c>
      <c r="L91" s="10" t="s">
        <v>29</v>
      </c>
      <c r="M91" s="10" t="s">
        <v>29</v>
      </c>
      <c r="P91" s="10" t="s">
        <v>5352</v>
      </c>
      <c r="S91" s="10" t="s">
        <v>29</v>
      </c>
      <c r="T91" s="10" t="s">
        <v>29</v>
      </c>
      <c r="U91" s="10" t="s">
        <v>5367</v>
      </c>
      <c r="Z91" s="11" t="n">
        <v>1</v>
      </c>
    </row>
    <row r="92" customFormat="false" ht="17.9" hidden="false" customHeight="false" outlineLevel="0" collapsed="false">
      <c r="B92" s="10" t="s">
        <v>5966</v>
      </c>
      <c r="C92" s="10" t="s">
        <v>5963</v>
      </c>
      <c r="D92" s="10" t="s">
        <v>5967</v>
      </c>
      <c r="F92" s="17" t="str">
        <f aca="false">CONCATENATE(G92,", ",H92)</f>
        <v>อ.บางพลี, จ.สมุทรปราการ</v>
      </c>
      <c r="G92" s="10" t="s">
        <v>5434</v>
      </c>
      <c r="H92" s="10" t="s">
        <v>5965</v>
      </c>
      <c r="I92" s="10" t="s">
        <v>5348</v>
      </c>
      <c r="J92" s="10" t="n">
        <v>10540</v>
      </c>
      <c r="K92" s="10" t="s">
        <v>29</v>
      </c>
      <c r="L92" s="10" t="s">
        <v>29</v>
      </c>
      <c r="M92" s="10" t="s">
        <v>29</v>
      </c>
      <c r="P92" s="10" t="s">
        <v>5352</v>
      </c>
      <c r="S92" s="10" t="s">
        <v>29</v>
      </c>
      <c r="T92" s="10" t="s">
        <v>29</v>
      </c>
      <c r="U92" s="10" t="s">
        <v>5367</v>
      </c>
      <c r="Z92" s="11" t="n">
        <v>1</v>
      </c>
    </row>
    <row r="93" customFormat="false" ht="15" hidden="false" customHeight="false" outlineLevel="0" collapsed="false">
      <c r="B93" s="10" t="s">
        <v>5968</v>
      </c>
      <c r="C93" s="10" t="s">
        <v>5969</v>
      </c>
      <c r="D93" s="10" t="s">
        <v>5970</v>
      </c>
      <c r="F93" s="17" t="str">
        <f aca="false">CONCATENATE(G93,", ",H93)</f>
        <v>Longhua District,, Shenzhen,</v>
      </c>
      <c r="G93" s="10" t="s">
        <v>5971</v>
      </c>
      <c r="H93" s="10" t="s">
        <v>5972</v>
      </c>
      <c r="I93" s="10" t="s">
        <v>5444</v>
      </c>
      <c r="J93" s="10" t="n">
        <v>518000</v>
      </c>
      <c r="K93" s="10" t="s">
        <v>5973</v>
      </c>
      <c r="L93" s="10" t="s">
        <v>5974</v>
      </c>
      <c r="M93" s="10" t="s">
        <v>29</v>
      </c>
      <c r="P93" s="10" t="s">
        <v>5352</v>
      </c>
      <c r="S93" s="10" t="s">
        <v>5975</v>
      </c>
      <c r="T93" s="10" t="s">
        <v>29</v>
      </c>
      <c r="U93" s="10" t="s">
        <v>5367</v>
      </c>
      <c r="Z93" s="11" t="n">
        <v>1</v>
      </c>
    </row>
    <row r="94" customFormat="false" ht="17.9" hidden="false" customHeight="false" outlineLevel="0" collapsed="false">
      <c r="B94" s="10" t="s">
        <v>5976</v>
      </c>
      <c r="C94" s="10" t="s">
        <v>5977</v>
      </c>
      <c r="D94" s="10" t="s">
        <v>5978</v>
      </c>
      <c r="F94" s="17" t="str">
        <f aca="false">CONCATENATE(G94,", ",H94)</f>
        <v>อ.บางพลี, จ.สมุทรปราการ</v>
      </c>
      <c r="G94" s="10" t="s">
        <v>5434</v>
      </c>
      <c r="H94" s="10" t="s">
        <v>5403</v>
      </c>
      <c r="I94" s="10" t="s">
        <v>5348</v>
      </c>
      <c r="J94" s="10" t="n">
        <v>10540</v>
      </c>
      <c r="K94" s="10" t="s">
        <v>5979</v>
      </c>
      <c r="L94" s="10" t="s">
        <v>29</v>
      </c>
      <c r="M94" s="10" t="s">
        <v>5980</v>
      </c>
      <c r="P94" s="10" t="s">
        <v>5352</v>
      </c>
      <c r="Q94" s="10" t="s">
        <v>5981</v>
      </c>
      <c r="S94" s="10" t="s">
        <v>29</v>
      </c>
      <c r="T94" s="10" t="s">
        <v>29</v>
      </c>
      <c r="U94" s="10" t="s">
        <v>5367</v>
      </c>
      <c r="Z94" s="11" t="n">
        <v>1</v>
      </c>
    </row>
    <row r="95" customFormat="false" ht="17.9" hidden="false" customHeight="false" outlineLevel="0" collapsed="false">
      <c r="B95" s="10" t="s">
        <v>938</v>
      </c>
      <c r="C95" s="10" t="s">
        <v>5982</v>
      </c>
      <c r="D95" s="10" t="s">
        <v>5983</v>
      </c>
      <c r="F95" s="17" t="str">
        <f aca="false">CONCATENATE(G95,", ",H95)</f>
        <v>เขตสวนหลวง, กรุงเทพมหานคร</v>
      </c>
      <c r="G95" s="10" t="s">
        <v>5448</v>
      </c>
      <c r="H95" s="10" t="s">
        <v>5449</v>
      </c>
      <c r="I95" s="10" t="s">
        <v>5348</v>
      </c>
      <c r="J95" s="10" t="n">
        <v>10250</v>
      </c>
      <c r="K95" s="10" t="s">
        <v>5984</v>
      </c>
      <c r="L95" s="10" t="s">
        <v>5985</v>
      </c>
      <c r="M95" s="10" t="s">
        <v>5986</v>
      </c>
      <c r="P95" s="10" t="s">
        <v>5352</v>
      </c>
      <c r="Q95" s="10" t="s">
        <v>5987</v>
      </c>
      <c r="S95" s="10" t="s">
        <v>5988</v>
      </c>
      <c r="T95" s="10" t="s">
        <v>29</v>
      </c>
      <c r="U95" s="10" t="s">
        <v>5377</v>
      </c>
      <c r="Z95" s="11" t="n">
        <v>1</v>
      </c>
    </row>
    <row r="96" customFormat="false" ht="17.9" hidden="false" customHeight="false" outlineLevel="0" collapsed="false">
      <c r="B96" s="10" t="s">
        <v>5989</v>
      </c>
      <c r="C96" s="10" t="s">
        <v>5990</v>
      </c>
      <c r="D96" s="10" t="s">
        <v>5991</v>
      </c>
      <c r="F96" s="17" t="str">
        <f aca="false">CONCATENATE(G96,", ",H96)</f>
        <v>อ.บางพลี, จ.สมุทรปราการ</v>
      </c>
      <c r="G96" s="10" t="s">
        <v>5434</v>
      </c>
      <c r="H96" s="10" t="s">
        <v>5403</v>
      </c>
      <c r="I96" s="10" t="s">
        <v>5348</v>
      </c>
      <c r="J96" s="10" t="n">
        <v>10540</v>
      </c>
      <c r="K96" s="10" t="s">
        <v>5992</v>
      </c>
      <c r="L96" s="10" t="s">
        <v>29</v>
      </c>
      <c r="M96" s="10" t="s">
        <v>5993</v>
      </c>
      <c r="P96" s="10" t="s">
        <v>5352</v>
      </c>
      <c r="Q96" s="10" t="s">
        <v>5994</v>
      </c>
      <c r="S96" s="10" t="s">
        <v>29</v>
      </c>
      <c r="T96" s="10" t="s">
        <v>29</v>
      </c>
      <c r="U96" s="10" t="s">
        <v>5367</v>
      </c>
      <c r="Z96" s="11" t="n">
        <v>1</v>
      </c>
    </row>
    <row r="97" customFormat="false" ht="17.9" hidden="false" customHeight="false" outlineLevel="0" collapsed="false">
      <c r="B97" s="10" t="s">
        <v>5995</v>
      </c>
      <c r="C97" s="10" t="s">
        <v>5996</v>
      </c>
      <c r="D97" s="10" t="s">
        <v>5997</v>
      </c>
      <c r="F97" s="17" t="str">
        <f aca="false">CONCATENATE(G97,", ",H97)</f>
        <v>อ.คลองหลวง,  จ.ปทุมธานี</v>
      </c>
      <c r="G97" s="10" t="s">
        <v>5998</v>
      </c>
      <c r="H97" s="10" t="s">
        <v>5999</v>
      </c>
      <c r="I97" s="10" t="s">
        <v>5348</v>
      </c>
      <c r="J97" s="10" t="n">
        <v>12120</v>
      </c>
      <c r="K97" s="10" t="s">
        <v>6000</v>
      </c>
      <c r="L97" s="10" t="s">
        <v>29</v>
      </c>
      <c r="M97" s="10" t="s">
        <v>29</v>
      </c>
      <c r="P97" s="10" t="s">
        <v>5352</v>
      </c>
      <c r="S97" s="10" t="s">
        <v>29</v>
      </c>
      <c r="T97" s="10" t="s">
        <v>29</v>
      </c>
      <c r="U97" s="10" t="s">
        <v>5367</v>
      </c>
      <c r="Z97" s="11" t="n">
        <v>1</v>
      </c>
    </row>
    <row r="98" customFormat="false" ht="17.9" hidden="false" customHeight="false" outlineLevel="0" collapsed="false">
      <c r="B98" s="10" t="s">
        <v>6001</v>
      </c>
      <c r="C98" s="10" t="s">
        <v>6002</v>
      </c>
      <c r="D98" s="10" t="s">
        <v>6003</v>
      </c>
      <c r="F98" s="17" t="str">
        <f aca="false">CONCATENATE(G98,", ",H98)</f>
        <v>อ.บางพลี, จ.สมุทรปราการ</v>
      </c>
      <c r="G98" s="10" t="s">
        <v>5434</v>
      </c>
      <c r="H98" s="10" t="s">
        <v>5403</v>
      </c>
      <c r="I98" s="10" t="s">
        <v>5348</v>
      </c>
      <c r="J98" s="10" t="n">
        <v>10540</v>
      </c>
      <c r="K98" s="10" t="s">
        <v>6004</v>
      </c>
      <c r="L98" s="10" t="s">
        <v>29</v>
      </c>
      <c r="M98" s="10" t="s">
        <v>6005</v>
      </c>
      <c r="P98" s="10" t="s">
        <v>5352</v>
      </c>
      <c r="S98" s="10" t="s">
        <v>29</v>
      </c>
      <c r="T98" s="10" t="s">
        <v>29</v>
      </c>
      <c r="U98" s="10" t="s">
        <v>5367</v>
      </c>
      <c r="Z98" s="11" t="n">
        <v>1</v>
      </c>
    </row>
    <row r="99" customFormat="false" ht="17.9" hidden="false" customHeight="false" outlineLevel="0" collapsed="false">
      <c r="B99" s="10" t="s">
        <v>6006</v>
      </c>
      <c r="C99" s="10" t="s">
        <v>6007</v>
      </c>
      <c r="D99" s="10" t="s">
        <v>6008</v>
      </c>
      <c r="F99" s="17" t="str">
        <f aca="false">CONCATENATE(G99,", ",H99)</f>
        <v>เขตลาดพร้าว, กรุงเทพมหานคร</v>
      </c>
      <c r="G99" s="10" t="s">
        <v>6009</v>
      </c>
      <c r="H99" s="10" t="s">
        <v>5449</v>
      </c>
      <c r="I99" s="10" t="s">
        <v>5348</v>
      </c>
      <c r="J99" s="10" t="n">
        <v>10230</v>
      </c>
      <c r="K99" s="10" t="s">
        <v>29</v>
      </c>
      <c r="L99" s="10" t="s">
        <v>29</v>
      </c>
      <c r="M99" s="10" t="s">
        <v>6010</v>
      </c>
      <c r="P99" s="10" t="s">
        <v>5352</v>
      </c>
      <c r="S99" s="10" t="s">
        <v>29</v>
      </c>
      <c r="T99" s="10" t="s">
        <v>29</v>
      </c>
      <c r="U99" s="10" t="s">
        <v>5367</v>
      </c>
      <c r="Z99" s="11" t="n">
        <v>1</v>
      </c>
    </row>
    <row r="100" customFormat="false" ht="17.9" hidden="false" customHeight="false" outlineLevel="0" collapsed="false">
      <c r="B100" s="10" t="s">
        <v>6011</v>
      </c>
      <c r="C100" s="10" t="s">
        <v>6012</v>
      </c>
      <c r="D100" s="10" t="s">
        <v>6013</v>
      </c>
      <c r="F100" s="17" t="str">
        <f aca="false">CONCATENATE(G100,", ",H100)</f>
        <v>อำเภอเมือง, จ.สมุทรปราการ</v>
      </c>
      <c r="G100" s="10" t="s">
        <v>6014</v>
      </c>
      <c r="H100" s="10" t="s">
        <v>5403</v>
      </c>
      <c r="I100" s="10" t="s">
        <v>5348</v>
      </c>
      <c r="J100" s="10" t="n">
        <v>10280</v>
      </c>
      <c r="K100" s="10" t="s">
        <v>6015</v>
      </c>
      <c r="L100" s="10" t="s">
        <v>6016</v>
      </c>
      <c r="M100" s="10" t="s">
        <v>6017</v>
      </c>
      <c r="P100" s="10" t="s">
        <v>5352</v>
      </c>
      <c r="Q100" s="10" t="s">
        <v>6018</v>
      </c>
      <c r="S100" s="10" t="s">
        <v>29</v>
      </c>
      <c r="T100" s="10" t="s">
        <v>29</v>
      </c>
      <c r="U100" s="10" t="s">
        <v>5377</v>
      </c>
      <c r="Z100" s="11" t="n">
        <v>1</v>
      </c>
    </row>
    <row r="101" customFormat="false" ht="17.9" hidden="false" customHeight="false" outlineLevel="0" collapsed="false">
      <c r="B101" s="10" t="s">
        <v>6019</v>
      </c>
      <c r="C101" s="10" t="s">
        <v>6020</v>
      </c>
      <c r="D101" s="10" t="s">
        <v>6021</v>
      </c>
      <c r="F101" s="17" t="str">
        <f aca="false">CONCATENATE(G101,", ",H101)</f>
        <v>เขตบางซื่อ, กรุงเทพมหานคร</v>
      </c>
      <c r="G101" s="10" t="s">
        <v>6022</v>
      </c>
      <c r="H101" s="10" t="s">
        <v>5449</v>
      </c>
      <c r="I101" s="10" t="s">
        <v>5348</v>
      </c>
      <c r="J101" s="10" t="n">
        <v>10800</v>
      </c>
      <c r="K101" s="10" t="s">
        <v>6023</v>
      </c>
      <c r="L101" s="10" t="s">
        <v>29</v>
      </c>
      <c r="M101" s="10" t="s">
        <v>6024</v>
      </c>
      <c r="P101" s="10" t="s">
        <v>5352</v>
      </c>
      <c r="Q101" s="10" t="s">
        <v>6025</v>
      </c>
      <c r="S101" s="10" t="s">
        <v>6026</v>
      </c>
      <c r="T101" s="10" t="s">
        <v>29</v>
      </c>
      <c r="U101" s="10" t="s">
        <v>5377</v>
      </c>
      <c r="Z101" s="11" t="n">
        <v>1</v>
      </c>
    </row>
    <row r="102" customFormat="false" ht="17.9" hidden="false" customHeight="false" outlineLevel="0" collapsed="false">
      <c r="B102" s="10" t="s">
        <v>82</v>
      </c>
      <c r="C102" s="10" t="s">
        <v>6027</v>
      </c>
      <c r="D102" s="10" t="s">
        <v>6028</v>
      </c>
      <c r="F102" s="17" t="str">
        <f aca="false">CONCATENATE(G102,", ",H102)</f>
        <v>อ.บางพลี, จ.สมุทรปราการ</v>
      </c>
      <c r="G102" s="10" t="s">
        <v>5434</v>
      </c>
      <c r="H102" s="10" t="s">
        <v>5403</v>
      </c>
      <c r="I102" s="10" t="s">
        <v>5348</v>
      </c>
      <c r="J102" s="10" t="n">
        <v>10540</v>
      </c>
      <c r="K102" s="10" t="s">
        <v>6029</v>
      </c>
      <c r="L102" s="10" t="s">
        <v>6030</v>
      </c>
      <c r="M102" s="10" t="s">
        <v>6031</v>
      </c>
      <c r="P102" s="10" t="s">
        <v>5352</v>
      </c>
      <c r="Q102" s="10" t="s">
        <v>6032</v>
      </c>
      <c r="S102" s="10" t="s">
        <v>6033</v>
      </c>
      <c r="T102" s="10" t="s">
        <v>29</v>
      </c>
      <c r="U102" s="10" t="s">
        <v>5377</v>
      </c>
      <c r="Z102" s="11" t="n">
        <v>1</v>
      </c>
    </row>
    <row r="103" customFormat="false" ht="17.9" hidden="false" customHeight="false" outlineLevel="0" collapsed="false">
      <c r="B103" s="10" t="s">
        <v>6034</v>
      </c>
      <c r="C103" s="10" t="s">
        <v>6035</v>
      </c>
      <c r="D103" s="10" t="s">
        <v>6036</v>
      </c>
      <c r="F103" s="17" t="str">
        <f aca="false">CONCATENATE(G103,", ",H103)</f>
        <v>อ.พระประแดง , จ.สมุทรปราการ</v>
      </c>
      <c r="G103" s="10" t="s">
        <v>6037</v>
      </c>
      <c r="H103" s="10" t="s">
        <v>5403</v>
      </c>
      <c r="I103" s="10" t="s">
        <v>5348</v>
      </c>
      <c r="J103" s="10" t="n">
        <v>10130</v>
      </c>
      <c r="K103" s="10" t="s">
        <v>6038</v>
      </c>
      <c r="L103" s="10" t="s">
        <v>6039</v>
      </c>
      <c r="M103" s="10" t="s">
        <v>6040</v>
      </c>
      <c r="P103" s="10" t="s">
        <v>5352</v>
      </c>
      <c r="Q103" s="10" t="s">
        <v>6041</v>
      </c>
      <c r="S103" s="10" t="s">
        <v>29</v>
      </c>
      <c r="T103" s="10" t="s">
        <v>29</v>
      </c>
      <c r="U103" s="10" t="s">
        <v>5367</v>
      </c>
      <c r="Z103" s="11" t="n">
        <v>1</v>
      </c>
    </row>
    <row r="104" customFormat="false" ht="17.9" hidden="false" customHeight="false" outlineLevel="0" collapsed="false">
      <c r="B104" s="10" t="s">
        <v>6042</v>
      </c>
      <c r="C104" s="10" t="s">
        <v>6043</v>
      </c>
      <c r="D104" s="10" t="s">
        <v>6044</v>
      </c>
      <c r="F104" s="17" t="str">
        <f aca="false">CONCATENATE(G104,", ",H104)</f>
        <v>เขตวังทองหลาง, กรุงเทพมหานคร</v>
      </c>
      <c r="G104" s="10" t="s">
        <v>5552</v>
      </c>
      <c r="H104" s="10" t="s">
        <v>5449</v>
      </c>
      <c r="I104" s="10" t="s">
        <v>5348</v>
      </c>
      <c r="J104" s="10" t="n">
        <v>10310</v>
      </c>
      <c r="K104" s="10" t="s">
        <v>6045</v>
      </c>
      <c r="L104" s="10" t="s">
        <v>6046</v>
      </c>
      <c r="M104" s="10" t="s">
        <v>6047</v>
      </c>
      <c r="P104" s="10" t="s">
        <v>5352</v>
      </c>
      <c r="S104" s="10" t="s">
        <v>29</v>
      </c>
      <c r="T104" s="10" t="s">
        <v>29</v>
      </c>
      <c r="U104" s="10" t="s">
        <v>5367</v>
      </c>
      <c r="Z104" s="11" t="n">
        <v>1</v>
      </c>
    </row>
    <row r="105" customFormat="false" ht="17.9" hidden="false" customHeight="false" outlineLevel="0" collapsed="false">
      <c r="B105" s="10" t="s">
        <v>6048</v>
      </c>
      <c r="C105" s="10" t="s">
        <v>6049</v>
      </c>
      <c r="D105" s="10" t="s">
        <v>6050</v>
      </c>
      <c r="F105" s="17" t="str">
        <f aca="false">CONCATENATE(G105,", ",H105)</f>
        <v>อ.บางบ่อ, จ.สมุทรปราการ</v>
      </c>
      <c r="G105" s="10" t="s">
        <v>5466</v>
      </c>
      <c r="H105" s="10" t="s">
        <v>5403</v>
      </c>
      <c r="I105" s="10" t="s">
        <v>5348</v>
      </c>
      <c r="J105" s="10" t="n">
        <v>10560</v>
      </c>
      <c r="K105" s="10" t="s">
        <v>6051</v>
      </c>
      <c r="L105" s="10" t="s">
        <v>6052</v>
      </c>
      <c r="M105" s="10" t="s">
        <v>6053</v>
      </c>
      <c r="P105" s="10" t="s">
        <v>5352</v>
      </c>
      <c r="Q105" s="10" t="s">
        <v>6054</v>
      </c>
      <c r="S105" s="10" t="s">
        <v>6055</v>
      </c>
      <c r="T105" s="10" t="s">
        <v>6056</v>
      </c>
      <c r="U105" s="10" t="s">
        <v>5367</v>
      </c>
      <c r="Z105" s="11" t="n">
        <v>1</v>
      </c>
    </row>
    <row r="106" customFormat="false" ht="17.9" hidden="false" customHeight="false" outlineLevel="0" collapsed="false">
      <c r="B106" s="10" t="s">
        <v>6057</v>
      </c>
      <c r="C106" s="10" t="s">
        <v>6058</v>
      </c>
      <c r="D106" s="10" t="s">
        <v>6059</v>
      </c>
      <c r="F106" s="17" t="str">
        <f aca="false">CONCATENATE(G106,", ",H106)</f>
        <v>อ.เมือง, จ.สมุทรปราการ</v>
      </c>
      <c r="G106" s="10" t="s">
        <v>5346</v>
      </c>
      <c r="H106" s="10" t="s">
        <v>5403</v>
      </c>
      <c r="I106" s="10" t="s">
        <v>5348</v>
      </c>
      <c r="J106" s="10" t="n">
        <v>10270</v>
      </c>
      <c r="K106" s="10" t="s">
        <v>6060</v>
      </c>
      <c r="L106" s="10" t="s">
        <v>6061</v>
      </c>
      <c r="M106" s="10" t="s">
        <v>6062</v>
      </c>
      <c r="P106" s="10" t="s">
        <v>5352</v>
      </c>
      <c r="Q106" s="10" t="s">
        <v>6063</v>
      </c>
      <c r="S106" s="10" t="s">
        <v>29</v>
      </c>
      <c r="T106" s="10" t="s">
        <v>29</v>
      </c>
      <c r="U106" s="10" t="s">
        <v>5367</v>
      </c>
      <c r="Z106" s="11" t="n">
        <v>1</v>
      </c>
    </row>
    <row r="107" customFormat="false" ht="17.9" hidden="false" customHeight="false" outlineLevel="0" collapsed="false">
      <c r="B107" s="10" t="s">
        <v>6064</v>
      </c>
      <c r="C107" s="10" t="s">
        <v>6065</v>
      </c>
      <c r="D107" s="10" t="s">
        <v>6066</v>
      </c>
      <c r="F107" s="17" t="str">
        <f aca="false">CONCATENATE(G107,", ",H107)</f>
        <v>เขตประเวศ, กรุงเทพมหานคร</v>
      </c>
      <c r="G107" s="10" t="s">
        <v>5770</v>
      </c>
      <c r="H107" s="10" t="s">
        <v>5449</v>
      </c>
      <c r="I107" s="10" t="s">
        <v>5348</v>
      </c>
      <c r="J107" s="10" t="n">
        <v>10250</v>
      </c>
      <c r="K107" s="10" t="s">
        <v>6067</v>
      </c>
      <c r="L107" s="10" t="s">
        <v>29</v>
      </c>
      <c r="M107" s="10" t="s">
        <v>6068</v>
      </c>
      <c r="P107" s="10" t="s">
        <v>5352</v>
      </c>
      <c r="Q107" s="10" t="s">
        <v>6069</v>
      </c>
      <c r="S107" s="10" t="s">
        <v>29</v>
      </c>
      <c r="T107" s="10" t="s">
        <v>29</v>
      </c>
      <c r="U107" s="10" t="s">
        <v>5367</v>
      </c>
      <c r="Z107" s="11" t="n">
        <v>1</v>
      </c>
    </row>
    <row r="108" customFormat="false" ht="17.9" hidden="false" customHeight="false" outlineLevel="0" collapsed="false">
      <c r="B108" s="10" t="s">
        <v>6070</v>
      </c>
      <c r="C108" s="10" t="s">
        <v>6071</v>
      </c>
      <c r="D108" s="10" t="s">
        <v>6072</v>
      </c>
      <c r="F108" s="17" t="str">
        <f aca="false">CONCATENATE(G108,", ",H108)</f>
        <v>เขตบางนา, กรุงเทพมหานคร</v>
      </c>
      <c r="G108" s="10" t="s">
        <v>5604</v>
      </c>
      <c r="H108" s="10" t="s">
        <v>5449</v>
      </c>
      <c r="I108" s="10" t="s">
        <v>5348</v>
      </c>
      <c r="J108" s="10" t="n">
        <v>10200</v>
      </c>
      <c r="K108" s="10" t="s">
        <v>6073</v>
      </c>
      <c r="L108" s="10" t="s">
        <v>29</v>
      </c>
      <c r="M108" s="10" t="s">
        <v>6074</v>
      </c>
      <c r="P108" s="10" t="s">
        <v>5352</v>
      </c>
      <c r="Q108" s="10" t="s">
        <v>6075</v>
      </c>
      <c r="S108" s="10" t="s">
        <v>6076</v>
      </c>
      <c r="T108" s="10" t="s">
        <v>6077</v>
      </c>
      <c r="U108" s="10" t="s">
        <v>5377</v>
      </c>
      <c r="Z108" s="11" t="n">
        <v>1</v>
      </c>
    </row>
    <row r="109" customFormat="false" ht="16.5" hidden="false" customHeight="true" outlineLevel="0" collapsed="false">
      <c r="B109" s="10" t="s">
        <v>6078</v>
      </c>
      <c r="C109" s="22" t="s">
        <v>6079</v>
      </c>
      <c r="D109" s="10" t="s">
        <v>6080</v>
      </c>
      <c r="F109" s="17" t="str">
        <f aca="false">CONCATENATE(G109,", ",H109)</f>
        <v>เขตบางซื่อ, กรุงเทพมหานคร</v>
      </c>
      <c r="G109" s="10" t="s">
        <v>6022</v>
      </c>
      <c r="H109" s="10" t="s">
        <v>5449</v>
      </c>
      <c r="I109" s="10" t="s">
        <v>5348</v>
      </c>
      <c r="J109" s="10" t="n">
        <v>10800</v>
      </c>
      <c r="K109" s="10" t="s">
        <v>6081</v>
      </c>
      <c r="L109" s="10" t="s">
        <v>6082</v>
      </c>
      <c r="M109" s="10" t="s">
        <v>6083</v>
      </c>
      <c r="P109" s="10" t="s">
        <v>5352</v>
      </c>
      <c r="Q109" s="10" t="s">
        <v>6084</v>
      </c>
      <c r="S109" s="10" t="s">
        <v>29</v>
      </c>
      <c r="T109" s="10" t="s">
        <v>29</v>
      </c>
      <c r="U109" s="10" t="s">
        <v>5367</v>
      </c>
      <c r="Z109" s="11" t="n">
        <v>1</v>
      </c>
    </row>
    <row r="110" customFormat="false" ht="17.9" hidden="false" customHeight="false" outlineLevel="0" collapsed="false">
      <c r="B110" s="10" t="s">
        <v>6085</v>
      </c>
      <c r="C110" s="10" t="s">
        <v>6086</v>
      </c>
      <c r="D110" s="10" t="s">
        <v>6087</v>
      </c>
      <c r="F110" s="17" t="str">
        <f aca="false">CONCATENATE(G110,", ",H110)</f>
        <v>เขตราษฏร์บูรณะ, กรุงเทพมหานคร</v>
      </c>
      <c r="G110" s="10" t="s">
        <v>5753</v>
      </c>
      <c r="H110" s="10" t="s">
        <v>5449</v>
      </c>
      <c r="I110" s="10" t="s">
        <v>5348</v>
      </c>
      <c r="J110" s="10" t="n">
        <v>10140</v>
      </c>
      <c r="K110" s="10" t="s">
        <v>6088</v>
      </c>
      <c r="L110" s="10" t="s">
        <v>29</v>
      </c>
      <c r="M110" s="10" t="s">
        <v>6089</v>
      </c>
      <c r="P110" s="10" t="s">
        <v>5352</v>
      </c>
      <c r="Q110" s="10" t="s">
        <v>6090</v>
      </c>
      <c r="S110" s="10" t="s">
        <v>29</v>
      </c>
      <c r="T110" s="10" t="s">
        <v>29</v>
      </c>
      <c r="U110" s="10" t="s">
        <v>5367</v>
      </c>
      <c r="Z110" s="11" t="n">
        <v>1</v>
      </c>
    </row>
    <row r="111" customFormat="false" ht="17.9" hidden="false" customHeight="false" outlineLevel="0" collapsed="false">
      <c r="B111" s="10" t="s">
        <v>6091</v>
      </c>
      <c r="C111" s="10" t="s">
        <v>6092</v>
      </c>
      <c r="D111" s="10" t="s">
        <v>6093</v>
      </c>
      <c r="F111" s="17" t="str">
        <f aca="false">CONCATENATE(G111,", ",H111)</f>
        <v>เขตจตุจักร, กรุงเทพมหานคร</v>
      </c>
      <c r="G111" s="10" t="s">
        <v>5659</v>
      </c>
      <c r="H111" s="10" t="s">
        <v>5449</v>
      </c>
      <c r="I111" s="10" t="s">
        <v>5348</v>
      </c>
      <c r="J111" s="10" t="n">
        <v>10900</v>
      </c>
      <c r="K111" s="10" t="s">
        <v>6094</v>
      </c>
      <c r="L111" s="10" t="s">
        <v>6095</v>
      </c>
      <c r="M111" s="10" t="s">
        <v>6096</v>
      </c>
      <c r="P111" s="10" t="s">
        <v>5352</v>
      </c>
      <c r="Q111" s="10" t="s">
        <v>6097</v>
      </c>
      <c r="S111" s="10" t="s">
        <v>29</v>
      </c>
      <c r="T111" s="10" t="s">
        <v>29</v>
      </c>
      <c r="U111" s="10" t="s">
        <v>5367</v>
      </c>
      <c r="Z111" s="11" t="n">
        <v>1</v>
      </c>
    </row>
    <row r="112" customFormat="false" ht="17.9" hidden="false" customHeight="false" outlineLevel="0" collapsed="false">
      <c r="B112" s="10" t="s">
        <v>6098</v>
      </c>
      <c r="C112" s="22" t="s">
        <v>6099</v>
      </c>
      <c r="D112" s="10" t="s">
        <v>6100</v>
      </c>
      <c r="F112" s="17" t="str">
        <f aca="false">CONCATENATE(G112,", ",H112)</f>
        <v>อ.เมือง, จ.สมุทรปราการ</v>
      </c>
      <c r="G112" s="10" t="s">
        <v>5346</v>
      </c>
      <c r="H112" s="10" t="s">
        <v>5403</v>
      </c>
      <c r="I112" s="10" t="s">
        <v>5348</v>
      </c>
      <c r="J112" s="10" t="n">
        <v>10280</v>
      </c>
      <c r="K112" s="10" t="s">
        <v>6101</v>
      </c>
      <c r="L112" s="10" t="s">
        <v>29</v>
      </c>
      <c r="M112" s="10" t="s">
        <v>29</v>
      </c>
      <c r="P112" s="10" t="s">
        <v>5352</v>
      </c>
      <c r="S112" s="10" t="s">
        <v>6102</v>
      </c>
      <c r="T112" s="10" t="s">
        <v>29</v>
      </c>
      <c r="U112" s="10" t="s">
        <v>5367</v>
      </c>
      <c r="Z112" s="11" t="n">
        <v>1</v>
      </c>
    </row>
    <row r="113" customFormat="false" ht="15" hidden="false" customHeight="true" outlineLevel="0" collapsed="false">
      <c r="B113" s="10" t="s">
        <v>6103</v>
      </c>
      <c r="C113" s="10" t="s">
        <v>6104</v>
      </c>
      <c r="D113" s="10" t="s">
        <v>6105</v>
      </c>
      <c r="F113" s="17" t="str">
        <f aca="false">CONCATENATE(G113,", ",H113)</f>
        <v>อ.บางกรวย, จ.นนทบุรี</v>
      </c>
      <c r="G113" s="10" t="s">
        <v>6106</v>
      </c>
      <c r="H113" s="10" t="s">
        <v>5497</v>
      </c>
      <c r="I113" s="10" t="s">
        <v>5348</v>
      </c>
      <c r="J113" s="10" t="n">
        <v>11130</v>
      </c>
      <c r="K113" s="10" t="s">
        <v>6107</v>
      </c>
      <c r="L113" s="10" t="s">
        <v>29</v>
      </c>
      <c r="M113" s="10" t="s">
        <v>6108</v>
      </c>
      <c r="P113" s="10" t="s">
        <v>5352</v>
      </c>
      <c r="S113" s="10" t="s">
        <v>6109</v>
      </c>
      <c r="T113" s="10" t="s">
        <v>29</v>
      </c>
      <c r="U113" s="10" t="s">
        <v>5367</v>
      </c>
      <c r="Z113" s="11" t="n">
        <v>1</v>
      </c>
    </row>
    <row r="114" customFormat="false" ht="17.9" hidden="false" customHeight="false" outlineLevel="0" collapsed="false">
      <c r="B114" s="10" t="s">
        <v>6110</v>
      </c>
      <c r="C114" s="10" t="s">
        <v>6111</v>
      </c>
      <c r="D114" s="10" t="s">
        <v>6112</v>
      </c>
      <c r="F114" s="17" t="str">
        <f aca="false">CONCATENATE(G114,", ",H114)</f>
        <v>เขตคลองเตย, กรุงเทพมหานคร</v>
      </c>
      <c r="G114" s="10" t="s">
        <v>5576</v>
      </c>
      <c r="H114" s="10" t="s">
        <v>5449</v>
      </c>
      <c r="I114" s="10" t="s">
        <v>5348</v>
      </c>
      <c r="J114" s="10" t="n">
        <v>10110</v>
      </c>
      <c r="K114" s="10" t="s">
        <v>6113</v>
      </c>
      <c r="L114" s="10" t="s">
        <v>29</v>
      </c>
      <c r="M114" s="10" t="s">
        <v>6114</v>
      </c>
      <c r="P114" s="10" t="s">
        <v>5352</v>
      </c>
      <c r="Q114" s="10" t="s">
        <v>6115</v>
      </c>
      <c r="S114" s="10" t="s">
        <v>29</v>
      </c>
      <c r="T114" s="10" t="s">
        <v>29</v>
      </c>
      <c r="U114" s="10" t="s">
        <v>5367</v>
      </c>
      <c r="Z114" s="11" t="n">
        <v>1</v>
      </c>
    </row>
    <row r="115" customFormat="false" ht="17.9" hidden="false" customHeight="false" outlineLevel="0" collapsed="false">
      <c r="B115" s="10" t="s">
        <v>6116</v>
      </c>
      <c r="C115" s="10" t="s">
        <v>6117</v>
      </c>
      <c r="D115" s="10" t="s">
        <v>6118</v>
      </c>
      <c r="F115" s="17" t="str">
        <f aca="false">CONCATENATE(G115,", ",H115)</f>
        <v>อ.บางพลี, จ.สมุทรปราการ</v>
      </c>
      <c r="G115" s="10" t="s">
        <v>5434</v>
      </c>
      <c r="H115" s="10" t="s">
        <v>5403</v>
      </c>
      <c r="I115" s="10" t="s">
        <v>5348</v>
      </c>
      <c r="J115" s="10" t="n">
        <v>10540</v>
      </c>
      <c r="K115" s="10" t="s">
        <v>6119</v>
      </c>
      <c r="L115" s="10" t="s">
        <v>6120</v>
      </c>
      <c r="M115" s="10" t="s">
        <v>6121</v>
      </c>
      <c r="P115" s="10" t="s">
        <v>5352</v>
      </c>
      <c r="Q115" s="10" t="s">
        <v>6122</v>
      </c>
      <c r="S115" s="10" t="s">
        <v>6123</v>
      </c>
      <c r="T115" s="10" t="s">
        <v>6124</v>
      </c>
      <c r="U115" s="10" t="s">
        <v>5367</v>
      </c>
      <c r="Z115" s="11" t="n">
        <v>1</v>
      </c>
    </row>
    <row r="116" customFormat="false" ht="17.9" hidden="false" customHeight="false" outlineLevel="0" collapsed="false">
      <c r="B116" s="10" t="s">
        <v>6125</v>
      </c>
      <c r="C116" s="10" t="s">
        <v>6126</v>
      </c>
      <c r="D116" s="10" t="s">
        <v>6127</v>
      </c>
      <c r="F116" s="17" t="str">
        <f aca="false">CONCATENATE(G116,", ",H116)</f>
        <v>เขตวัฒนา, กรุงเทพมหานคร</v>
      </c>
      <c r="G116" s="10" t="s">
        <v>5694</v>
      </c>
      <c r="H116" s="10" t="s">
        <v>5449</v>
      </c>
      <c r="I116" s="10" t="s">
        <v>5348</v>
      </c>
      <c r="J116" s="10" t="n">
        <v>10110</v>
      </c>
      <c r="K116" s="10" t="s">
        <v>6128</v>
      </c>
      <c r="L116" s="10" t="s">
        <v>6129</v>
      </c>
      <c r="M116" s="10" t="s">
        <v>6130</v>
      </c>
      <c r="P116" s="10" t="s">
        <v>5352</v>
      </c>
      <c r="Q116" s="10" t="s">
        <v>6131</v>
      </c>
      <c r="S116" s="10" t="s">
        <v>6132</v>
      </c>
      <c r="T116" s="10" t="s">
        <v>29</v>
      </c>
      <c r="U116" s="10" t="s">
        <v>5367</v>
      </c>
      <c r="Z116" s="11" t="n">
        <v>1</v>
      </c>
    </row>
    <row r="117" customFormat="false" ht="17.9" hidden="false" customHeight="false" outlineLevel="0" collapsed="false">
      <c r="B117" s="10" t="s">
        <v>5281</v>
      </c>
      <c r="C117" s="10" t="s">
        <v>6133</v>
      </c>
      <c r="D117" s="10" t="s">
        <v>6134</v>
      </c>
      <c r="F117" s="17" t="str">
        <f aca="false">CONCATENATE(G117,", ",H117)</f>
        <v>อ.บางพลี, จ.สมุทรปราการ</v>
      </c>
      <c r="G117" s="10" t="s">
        <v>5434</v>
      </c>
      <c r="H117" s="10" t="s">
        <v>5403</v>
      </c>
      <c r="I117" s="10" t="s">
        <v>5348</v>
      </c>
      <c r="J117" s="10" t="n">
        <v>10540</v>
      </c>
      <c r="K117" s="10" t="s">
        <v>6135</v>
      </c>
      <c r="L117" s="10" t="s">
        <v>6136</v>
      </c>
      <c r="M117" s="10" t="s">
        <v>6137</v>
      </c>
      <c r="P117" s="10" t="s">
        <v>5352</v>
      </c>
      <c r="Q117" s="10" t="s">
        <v>6131</v>
      </c>
      <c r="S117" s="10" t="s">
        <v>6138</v>
      </c>
      <c r="T117" s="10" t="s">
        <v>29</v>
      </c>
      <c r="U117" s="10" t="s">
        <v>5377</v>
      </c>
      <c r="Z117" s="11" t="n">
        <v>1</v>
      </c>
    </row>
    <row r="118" customFormat="false" ht="17.9" hidden="false" customHeight="false" outlineLevel="0" collapsed="false">
      <c r="B118" s="10" t="s">
        <v>6139</v>
      </c>
      <c r="C118" s="10" t="s">
        <v>6140</v>
      </c>
      <c r="D118" s="10" t="s">
        <v>6141</v>
      </c>
      <c r="F118" s="17" t="str">
        <f aca="false">CONCATENATE(G118,", ",H118)</f>
        <v>เขตลาดกระบัง, กรุงเทพมหานคร</v>
      </c>
      <c r="G118" s="10" t="s">
        <v>5633</v>
      </c>
      <c r="H118" s="10" t="s">
        <v>5449</v>
      </c>
      <c r="I118" s="10" t="s">
        <v>5348</v>
      </c>
      <c r="J118" s="10" t="n">
        <v>10520</v>
      </c>
      <c r="K118" s="10" t="s">
        <v>6142</v>
      </c>
      <c r="L118" s="10" t="s">
        <v>6143</v>
      </c>
      <c r="M118" s="10" t="s">
        <v>6144</v>
      </c>
      <c r="P118" s="10" t="s">
        <v>5352</v>
      </c>
      <c r="Q118" s="10" t="s">
        <v>6145</v>
      </c>
      <c r="S118" s="10" t="s">
        <v>6146</v>
      </c>
      <c r="T118" s="10" t="s">
        <v>29</v>
      </c>
      <c r="U118" s="10" t="s">
        <v>5367</v>
      </c>
      <c r="Z118" s="11" t="n">
        <v>1</v>
      </c>
    </row>
    <row r="119" customFormat="false" ht="17.9" hidden="false" customHeight="false" outlineLevel="0" collapsed="false">
      <c r="B119" s="10" t="s">
        <v>6147</v>
      </c>
      <c r="C119" s="10" t="s">
        <v>6148</v>
      </c>
      <c r="D119" s="10" t="s">
        <v>6149</v>
      </c>
      <c r="F119" s="17" t="str">
        <f aca="false">CONCATENATE(G119,", ",H119)</f>
        <v>เขตคลองเตย, กรุงเทพมหานคร</v>
      </c>
      <c r="G119" s="10" t="s">
        <v>5576</v>
      </c>
      <c r="H119" s="10" t="s">
        <v>5449</v>
      </c>
      <c r="I119" s="10" t="s">
        <v>5348</v>
      </c>
      <c r="J119" s="10" t="n">
        <v>10110</v>
      </c>
      <c r="K119" s="10" t="s">
        <v>29</v>
      </c>
      <c r="L119" s="10" t="s">
        <v>6150</v>
      </c>
      <c r="M119" s="10" t="s">
        <v>6151</v>
      </c>
      <c r="P119" s="10" t="s">
        <v>5352</v>
      </c>
      <c r="Q119" s="10" t="s">
        <v>6152</v>
      </c>
      <c r="S119" s="10" t="s">
        <v>29</v>
      </c>
      <c r="T119" s="10" t="s">
        <v>29</v>
      </c>
      <c r="U119" s="10" t="s">
        <v>5367</v>
      </c>
      <c r="Z119" s="11" t="n">
        <v>1</v>
      </c>
    </row>
    <row r="120" customFormat="false" ht="17.9" hidden="false" customHeight="false" outlineLevel="0" collapsed="false">
      <c r="B120" s="10" t="s">
        <v>1064</v>
      </c>
      <c r="C120" s="10" t="s">
        <v>6153</v>
      </c>
      <c r="D120" s="10" t="s">
        <v>6154</v>
      </c>
      <c r="F120" s="17" t="str">
        <f aca="false">CONCATENATE(G120,", ",H120)</f>
        <v>เขตบางรัก , กรุงเทพมหานคร</v>
      </c>
      <c r="G120" s="10" t="s">
        <v>6155</v>
      </c>
      <c r="H120" s="10" t="s">
        <v>5449</v>
      </c>
      <c r="I120" s="10" t="s">
        <v>5348</v>
      </c>
      <c r="J120" s="10" t="n">
        <v>10500</v>
      </c>
      <c r="K120" s="10" t="s">
        <v>6156</v>
      </c>
      <c r="L120" s="10" t="s">
        <v>6157</v>
      </c>
      <c r="M120" s="10" t="s">
        <v>6158</v>
      </c>
      <c r="P120" s="10" t="s">
        <v>5352</v>
      </c>
      <c r="Q120" s="10" t="s">
        <v>6159</v>
      </c>
      <c r="S120" s="10" t="s">
        <v>6160</v>
      </c>
      <c r="T120" s="10" t="s">
        <v>6161</v>
      </c>
      <c r="U120" s="10" t="s">
        <v>5377</v>
      </c>
      <c r="Z120" s="11" t="n">
        <v>1</v>
      </c>
    </row>
    <row r="121" customFormat="false" ht="17.9" hidden="false" customHeight="false" outlineLevel="0" collapsed="false">
      <c r="B121" s="10" t="s">
        <v>6162</v>
      </c>
      <c r="C121" s="10" t="s">
        <v>6163</v>
      </c>
      <c r="D121" s="10" t="s">
        <v>6164</v>
      </c>
      <c r="F121" s="17" t="str">
        <f aca="false">CONCATENATE(G121,", ",H121)</f>
        <v>เขตคลองเตย, กรุงเทพมหานคร</v>
      </c>
      <c r="G121" s="10" t="s">
        <v>5576</v>
      </c>
      <c r="H121" s="10" t="s">
        <v>5449</v>
      </c>
      <c r="I121" s="10" t="s">
        <v>5348</v>
      </c>
      <c r="J121" s="10" t="n">
        <v>10110</v>
      </c>
      <c r="K121" s="10" t="s">
        <v>6165</v>
      </c>
      <c r="L121" s="10" t="s">
        <v>6166</v>
      </c>
      <c r="M121" s="10" t="s">
        <v>6167</v>
      </c>
      <c r="P121" s="10" t="s">
        <v>5352</v>
      </c>
      <c r="Q121" s="10" t="s">
        <v>6168</v>
      </c>
      <c r="S121" s="10" t="s">
        <v>6169</v>
      </c>
      <c r="T121" s="10" t="s">
        <v>6170</v>
      </c>
      <c r="U121" s="10" t="s">
        <v>5367</v>
      </c>
      <c r="Z121" s="11" t="n">
        <v>1</v>
      </c>
    </row>
    <row r="122" customFormat="false" ht="17.9" hidden="false" customHeight="false" outlineLevel="0" collapsed="false">
      <c r="B122" s="10" t="s">
        <v>6171</v>
      </c>
      <c r="C122" s="10" t="s">
        <v>6172</v>
      </c>
      <c r="D122" s="10" t="s">
        <v>6173</v>
      </c>
      <c r="F122" s="17" t="str">
        <f aca="false">CONCATENATE(G122,", ",H122)</f>
        <v>อำเภอไทรน้อย , จ.นนทบุรี</v>
      </c>
      <c r="G122" s="10" t="s">
        <v>6174</v>
      </c>
      <c r="H122" s="10" t="s">
        <v>5497</v>
      </c>
      <c r="I122" s="10" t="s">
        <v>5348</v>
      </c>
      <c r="J122" s="10" t="n">
        <v>11150</v>
      </c>
      <c r="K122" s="10" t="s">
        <v>6175</v>
      </c>
      <c r="L122" s="10" t="s">
        <v>6176</v>
      </c>
      <c r="M122" s="10" t="s">
        <v>6177</v>
      </c>
      <c r="P122" s="10" t="s">
        <v>5352</v>
      </c>
      <c r="Q122" s="10" t="s">
        <v>6178</v>
      </c>
      <c r="S122" s="10" t="s">
        <v>6179</v>
      </c>
      <c r="T122" s="10" t="s">
        <v>6180</v>
      </c>
      <c r="U122" s="10" t="s">
        <v>5367</v>
      </c>
      <c r="Z122" s="11" t="n">
        <v>1</v>
      </c>
    </row>
    <row r="123" customFormat="false" ht="17.9" hidden="false" customHeight="false" outlineLevel="0" collapsed="false">
      <c r="B123" s="10" t="s">
        <v>6181</v>
      </c>
      <c r="C123" s="10" t="s">
        <v>6182</v>
      </c>
      <c r="D123" s="10" t="s">
        <v>6183</v>
      </c>
      <c r="F123" s="17" t="str">
        <f aca="false">CONCATENATE(G123,", ",H123)</f>
        <v>อ.เมืองสมุทรปราการ, จ.สมุทรปราการ</v>
      </c>
      <c r="G123" s="10" t="s">
        <v>5483</v>
      </c>
      <c r="H123" s="10" t="s">
        <v>5403</v>
      </c>
      <c r="I123" s="10" t="s">
        <v>5348</v>
      </c>
      <c r="J123" s="10" t="n">
        <v>10280</v>
      </c>
      <c r="K123" s="10" t="s">
        <v>6184</v>
      </c>
      <c r="L123" s="10" t="s">
        <v>29</v>
      </c>
      <c r="M123" s="10" t="s">
        <v>6185</v>
      </c>
      <c r="P123" s="10" t="s">
        <v>5352</v>
      </c>
      <c r="Q123" s="10" t="s">
        <v>6186</v>
      </c>
      <c r="S123" s="10" t="s">
        <v>29</v>
      </c>
      <c r="T123" s="10" t="s">
        <v>29</v>
      </c>
      <c r="U123" s="10" t="s">
        <v>5367</v>
      </c>
      <c r="Z123" s="11" t="n">
        <v>1</v>
      </c>
    </row>
    <row r="124" customFormat="false" ht="16.5" hidden="false" customHeight="true" outlineLevel="0" collapsed="false">
      <c r="B124" s="10" t="s">
        <v>6187</v>
      </c>
      <c r="C124" s="10" t="s">
        <v>6188</v>
      </c>
      <c r="D124" s="10" t="s">
        <v>6189</v>
      </c>
      <c r="F124" s="17" t="str">
        <f aca="false">CONCATENATE(G124,", ",H124)</f>
        <v>เขตคลองสามวา, กรุงเทพมหานคร</v>
      </c>
      <c r="G124" s="10" t="s">
        <v>6190</v>
      </c>
      <c r="H124" s="10" t="s">
        <v>5449</v>
      </c>
      <c r="I124" s="10" t="s">
        <v>5348</v>
      </c>
      <c r="J124" s="10" t="n">
        <v>10510</v>
      </c>
      <c r="K124" s="10" t="s">
        <v>29</v>
      </c>
      <c r="L124" s="10" t="s">
        <v>6191</v>
      </c>
      <c r="M124" s="10" t="s">
        <v>6192</v>
      </c>
      <c r="P124" s="10" t="s">
        <v>5352</v>
      </c>
      <c r="S124" s="10" t="s">
        <v>29</v>
      </c>
      <c r="T124" s="10" t="s">
        <v>29</v>
      </c>
      <c r="U124" s="10" t="s">
        <v>5367</v>
      </c>
      <c r="Z124" s="11" t="n">
        <v>1</v>
      </c>
    </row>
    <row r="125" customFormat="false" ht="15" hidden="false" customHeight="true" outlineLevel="0" collapsed="false">
      <c r="B125" s="10" t="s">
        <v>6193</v>
      </c>
      <c r="C125" s="10" t="s">
        <v>6194</v>
      </c>
      <c r="D125" s="10" t="s">
        <v>6195</v>
      </c>
      <c r="F125" s="17" t="str">
        <f aca="false">CONCATENATE(G125,", ",H125)</f>
        <v>อ.เมือง, จ.สมุทรปราการ</v>
      </c>
      <c r="G125" s="10" t="s">
        <v>5346</v>
      </c>
      <c r="H125" s="10" t="s">
        <v>5403</v>
      </c>
      <c r="I125" s="10" t="s">
        <v>5348</v>
      </c>
      <c r="J125" s="10" t="n">
        <v>10280</v>
      </c>
      <c r="K125" s="10" t="s">
        <v>6196</v>
      </c>
      <c r="L125" s="10" t="s">
        <v>29</v>
      </c>
      <c r="M125" s="10" t="s">
        <v>6197</v>
      </c>
      <c r="P125" s="10" t="s">
        <v>5352</v>
      </c>
      <c r="S125" s="23" t="s">
        <v>29</v>
      </c>
      <c r="T125" s="10" t="s">
        <v>29</v>
      </c>
      <c r="U125" s="10" t="s">
        <v>5377</v>
      </c>
      <c r="Z125" s="11" t="n">
        <v>1</v>
      </c>
    </row>
    <row r="126" customFormat="false" ht="17.9" hidden="false" customHeight="false" outlineLevel="0" collapsed="false">
      <c r="B126" s="10" t="s">
        <v>6198</v>
      </c>
      <c r="C126" s="10" t="s">
        <v>6199</v>
      </c>
      <c r="D126" s="10" t="s">
        <v>6200</v>
      </c>
      <c r="F126" s="17" t="str">
        <f aca="false">CONCATENATE(G126,", ",H126)</f>
        <v>อ.เมือง,  จ.สมุทรสาคร</v>
      </c>
      <c r="G126" s="10" t="s">
        <v>5346</v>
      </c>
      <c r="H126" s="10" t="s">
        <v>6201</v>
      </c>
      <c r="I126" s="10" t="s">
        <v>5348</v>
      </c>
      <c r="J126" s="10" t="n">
        <v>74000</v>
      </c>
      <c r="K126" s="10" t="s">
        <v>6202</v>
      </c>
      <c r="L126" s="10" t="s">
        <v>6203</v>
      </c>
      <c r="M126" s="10" t="s">
        <v>6204</v>
      </c>
      <c r="P126" s="10" t="s">
        <v>5352</v>
      </c>
      <c r="Q126" s="10" t="s">
        <v>6205</v>
      </c>
      <c r="S126" s="10" t="s">
        <v>6206</v>
      </c>
      <c r="T126" s="10" t="s">
        <v>29</v>
      </c>
      <c r="U126" s="10" t="s">
        <v>5367</v>
      </c>
      <c r="Z126" s="11" t="n">
        <v>1</v>
      </c>
    </row>
    <row r="127" customFormat="false" ht="17.9" hidden="false" customHeight="false" outlineLevel="0" collapsed="false">
      <c r="B127" s="10" t="s">
        <v>303</v>
      </c>
      <c r="C127" s="10" t="s">
        <v>6207</v>
      </c>
      <c r="D127" s="10" t="s">
        <v>6208</v>
      </c>
      <c r="F127" s="17" t="str">
        <f aca="false">CONCATENATE(G127,", ",H127)</f>
        <v>อ.กระทุ่มแบน, จ.สมุทรสาคร</v>
      </c>
      <c r="G127" s="10" t="s">
        <v>5713</v>
      </c>
      <c r="H127" s="10" t="s">
        <v>5347</v>
      </c>
      <c r="I127" s="10" t="s">
        <v>5348</v>
      </c>
      <c r="J127" s="10" t="n">
        <v>74110</v>
      </c>
      <c r="K127" s="10" t="s">
        <v>6209</v>
      </c>
      <c r="L127" s="10" t="s">
        <v>6210</v>
      </c>
      <c r="M127" s="10" t="s">
        <v>6211</v>
      </c>
      <c r="P127" s="10" t="s">
        <v>5352</v>
      </c>
      <c r="Q127" s="10" t="s">
        <v>6212</v>
      </c>
      <c r="S127" s="10" t="s">
        <v>6213</v>
      </c>
      <c r="T127" s="10" t="s">
        <v>6214</v>
      </c>
      <c r="U127" s="10" t="s">
        <v>5430</v>
      </c>
      <c r="Z127" s="11" t="n">
        <v>1</v>
      </c>
    </row>
    <row r="128" customFormat="false" ht="17.9" hidden="false" customHeight="false" outlineLevel="0" collapsed="false">
      <c r="B128" s="10" t="s">
        <v>4556</v>
      </c>
      <c r="C128" s="10" t="s">
        <v>6215</v>
      </c>
      <c r="D128" s="10" t="s">
        <v>6216</v>
      </c>
      <c r="F128" s="17" t="str">
        <f aca="false">CONCATENATE(G128,", ",H128)</f>
        <v>อ.เมือง, จ.สมุทรสาคร</v>
      </c>
      <c r="G128" s="10" t="s">
        <v>5346</v>
      </c>
      <c r="H128" s="10" t="s">
        <v>5347</v>
      </c>
      <c r="I128" s="10" t="s">
        <v>5348</v>
      </c>
      <c r="J128" s="10" t="n">
        <v>74000</v>
      </c>
      <c r="K128" s="10" t="s">
        <v>6217</v>
      </c>
      <c r="L128" s="10" t="s">
        <v>6218</v>
      </c>
      <c r="M128" s="10" t="s">
        <v>6219</v>
      </c>
      <c r="P128" s="10" t="s">
        <v>5352</v>
      </c>
      <c r="Q128" s="10" t="s">
        <v>6220</v>
      </c>
      <c r="S128" s="10" t="s">
        <v>29</v>
      </c>
      <c r="T128" s="10" t="s">
        <v>29</v>
      </c>
      <c r="U128" s="10" t="s">
        <v>6221</v>
      </c>
      <c r="Z128" s="11" t="n">
        <v>1</v>
      </c>
    </row>
    <row r="129" customFormat="false" ht="17.9" hidden="false" customHeight="false" outlineLevel="0" collapsed="false">
      <c r="B129" s="10" t="s">
        <v>6222</v>
      </c>
      <c r="C129" s="10" t="s">
        <v>6223</v>
      </c>
      <c r="D129" s="10" t="s">
        <v>6224</v>
      </c>
      <c r="F129" s="17" t="str">
        <f aca="false">CONCATENATE(G129,", ",H129)</f>
        <v>อ.เมือง, จ.สมุทรปราการ</v>
      </c>
      <c r="G129" s="10" t="s">
        <v>5346</v>
      </c>
      <c r="H129" s="10" t="s">
        <v>5403</v>
      </c>
      <c r="I129" s="10" t="s">
        <v>5348</v>
      </c>
      <c r="J129" s="10" t="n">
        <v>10280</v>
      </c>
      <c r="K129" s="10" t="s">
        <v>6225</v>
      </c>
      <c r="L129" s="10" t="s">
        <v>6226</v>
      </c>
      <c r="M129" s="10" t="s">
        <v>6227</v>
      </c>
      <c r="P129" s="10" t="s">
        <v>5352</v>
      </c>
      <c r="Q129" s="10" t="s">
        <v>6228</v>
      </c>
      <c r="S129" s="10" t="s">
        <v>29</v>
      </c>
      <c r="T129" s="10" t="s">
        <v>29</v>
      </c>
      <c r="U129" s="10" t="s">
        <v>5367</v>
      </c>
      <c r="Z129" s="11" t="n">
        <v>1</v>
      </c>
    </row>
    <row r="130" customFormat="false" ht="17.9" hidden="false" customHeight="false" outlineLevel="0" collapsed="false">
      <c r="B130" s="10" t="s">
        <v>6229</v>
      </c>
      <c r="C130" s="10" t="s">
        <v>6230</v>
      </c>
      <c r="D130" s="10" t="s">
        <v>6231</v>
      </c>
      <c r="F130" s="17" t="str">
        <f aca="false">CONCATENATE(G130,", ",H130)</f>
        <v>เขตคันนายาว, กรุงเทพมหานคร</v>
      </c>
      <c r="G130" s="10" t="s">
        <v>6232</v>
      </c>
      <c r="H130" s="10" t="s">
        <v>5449</v>
      </c>
      <c r="I130" s="10" t="s">
        <v>5348</v>
      </c>
      <c r="J130" s="10" t="n">
        <v>10230</v>
      </c>
      <c r="K130" s="10" t="s">
        <v>6233</v>
      </c>
      <c r="L130" s="10" t="s">
        <v>6234</v>
      </c>
      <c r="M130" s="10" t="s">
        <v>6235</v>
      </c>
      <c r="P130" s="10" t="s">
        <v>5352</v>
      </c>
      <c r="Q130" s="10" t="s">
        <v>5905</v>
      </c>
      <c r="S130" s="10" t="s">
        <v>6236</v>
      </c>
      <c r="T130" s="10" t="s">
        <v>6237</v>
      </c>
      <c r="U130" s="10" t="s">
        <v>5367</v>
      </c>
      <c r="Z130" s="11" t="n">
        <v>1</v>
      </c>
    </row>
    <row r="131" customFormat="false" ht="14.25" hidden="false" customHeight="true" outlineLevel="0" collapsed="false">
      <c r="B131" s="10" t="s">
        <v>6238</v>
      </c>
      <c r="C131" s="10" t="s">
        <v>6239</v>
      </c>
      <c r="D131" s="10" t="s">
        <v>6240</v>
      </c>
      <c r="F131" s="17" t="str">
        <f aca="false">CONCATENATE(G131,", ",H131)</f>
        <v>อ.หัวหิน , จ.ประจวบคีรีขันธ์</v>
      </c>
      <c r="G131" s="10" t="s">
        <v>6241</v>
      </c>
      <c r="H131" s="10" t="s">
        <v>6242</v>
      </c>
      <c r="I131" s="10" t="s">
        <v>5348</v>
      </c>
      <c r="J131" s="10" t="n">
        <v>77110</v>
      </c>
      <c r="K131" s="10" t="s">
        <v>29</v>
      </c>
      <c r="L131" s="10" t="s">
        <v>29</v>
      </c>
      <c r="M131" s="10" t="s">
        <v>6243</v>
      </c>
      <c r="P131" s="10" t="s">
        <v>5352</v>
      </c>
      <c r="Q131" s="10" t="s">
        <v>6244</v>
      </c>
      <c r="S131" s="10" t="s">
        <v>29</v>
      </c>
      <c r="T131" s="10" t="s">
        <v>29</v>
      </c>
      <c r="U131" s="10" t="s">
        <v>5367</v>
      </c>
      <c r="Z131" s="11" t="n">
        <v>1</v>
      </c>
    </row>
    <row r="132" customFormat="false" ht="17.9" hidden="false" customHeight="false" outlineLevel="0" collapsed="false">
      <c r="B132" s="10" t="s">
        <v>6245</v>
      </c>
      <c r="C132" s="10" t="s">
        <v>6246</v>
      </c>
      <c r="D132" s="10" t="s">
        <v>6247</v>
      </c>
      <c r="F132" s="17" t="str">
        <f aca="false">CONCATENATE(G132,", ",H132)</f>
        <v>อ.ปลวกแดง, จ.ระยอง</v>
      </c>
      <c r="G132" s="10" t="s">
        <v>6248</v>
      </c>
      <c r="H132" s="10" t="s">
        <v>6249</v>
      </c>
      <c r="I132" s="10" t="s">
        <v>5348</v>
      </c>
      <c r="J132" s="10" t="n">
        <v>21140</v>
      </c>
      <c r="K132" s="10" t="s">
        <v>6250</v>
      </c>
      <c r="L132" s="10" t="s">
        <v>29</v>
      </c>
      <c r="M132" s="10" t="s">
        <v>6251</v>
      </c>
      <c r="P132" s="10" t="s">
        <v>5352</v>
      </c>
      <c r="Q132" s="10" t="s">
        <v>6252</v>
      </c>
      <c r="S132" s="10" t="s">
        <v>29</v>
      </c>
      <c r="T132" s="10" t="s">
        <v>29</v>
      </c>
      <c r="U132" s="10" t="s">
        <v>5367</v>
      </c>
      <c r="Z132" s="11" t="n">
        <v>1</v>
      </c>
    </row>
    <row r="133" customFormat="false" ht="17.9" hidden="false" customHeight="false" outlineLevel="0" collapsed="false">
      <c r="B133" s="10" t="s">
        <v>6253</v>
      </c>
      <c r="C133" s="10" t="s">
        <v>6254</v>
      </c>
      <c r="D133" s="10" t="s">
        <v>6255</v>
      </c>
      <c r="F133" s="17" t="str">
        <f aca="false">CONCATENATE(G133,", ",H133)</f>
        <v>เขตพระโขนง, กรุงเทพมหานคร</v>
      </c>
      <c r="G133" s="10" t="s">
        <v>5583</v>
      </c>
      <c r="H133" s="10" t="s">
        <v>5449</v>
      </c>
      <c r="I133" s="10" t="s">
        <v>5348</v>
      </c>
      <c r="J133" s="10" t="n">
        <v>10110</v>
      </c>
      <c r="K133" s="10" t="s">
        <v>6256</v>
      </c>
      <c r="L133" s="10" t="s">
        <v>29</v>
      </c>
      <c r="M133" s="10" t="s">
        <v>6257</v>
      </c>
      <c r="P133" s="10" t="s">
        <v>5352</v>
      </c>
      <c r="Q133" s="10" t="s">
        <v>6258</v>
      </c>
      <c r="S133" s="10" t="s">
        <v>6259</v>
      </c>
      <c r="T133" s="10" t="s">
        <v>29</v>
      </c>
      <c r="U133" s="10" t="s">
        <v>5377</v>
      </c>
      <c r="Z133" s="11" t="n">
        <v>1</v>
      </c>
    </row>
    <row r="134" customFormat="false" ht="17.9" hidden="false" customHeight="false" outlineLevel="0" collapsed="false">
      <c r="B134" s="10" t="s">
        <v>6260</v>
      </c>
      <c r="C134" s="10" t="s">
        <v>6261</v>
      </c>
      <c r="D134" s="10" t="s">
        <v>6262</v>
      </c>
      <c r="E134" s="10" t="s">
        <v>6263</v>
      </c>
      <c r="F134" s="17" t="str">
        <f aca="false">CONCATENATE(G134,", ",H134)</f>
        <v>อ.ท่ามะกา , จ.กาญจนบุรี</v>
      </c>
      <c r="G134" s="10" t="s">
        <v>6264</v>
      </c>
      <c r="H134" s="10" t="s">
        <v>6265</v>
      </c>
      <c r="I134" s="10" t="s">
        <v>5348</v>
      </c>
      <c r="J134" s="10" t="n">
        <v>71120</v>
      </c>
      <c r="K134" s="10" t="s">
        <v>6266</v>
      </c>
      <c r="L134" s="10" t="s">
        <v>6176</v>
      </c>
      <c r="M134" s="10" t="s">
        <v>6267</v>
      </c>
      <c r="P134" s="10" t="s">
        <v>5352</v>
      </c>
      <c r="Q134" s="10" t="s">
        <v>6268</v>
      </c>
      <c r="S134" s="10" t="s">
        <v>6269</v>
      </c>
      <c r="T134" s="10" t="s">
        <v>6266</v>
      </c>
      <c r="U134" s="10" t="s">
        <v>5367</v>
      </c>
      <c r="Z134" s="11" t="n">
        <v>1</v>
      </c>
    </row>
    <row r="135" customFormat="false" ht="17.9" hidden="false" customHeight="false" outlineLevel="0" collapsed="false">
      <c r="B135" s="10" t="s">
        <v>6270</v>
      </c>
      <c r="C135" s="10" t="s">
        <v>6271</v>
      </c>
      <c r="D135" s="10" t="s">
        <v>6272</v>
      </c>
      <c r="F135" s="17" t="str">
        <f aca="false">CONCATENATE(G135,", ",H135)</f>
        <v>อ.สามพราน , จ.นครปฐม</v>
      </c>
      <c r="G135" s="10" t="s">
        <v>6273</v>
      </c>
      <c r="H135" s="10" t="s">
        <v>6274</v>
      </c>
      <c r="I135" s="10" t="s">
        <v>5348</v>
      </c>
      <c r="J135" s="10" t="n">
        <v>73220</v>
      </c>
      <c r="K135" s="10" t="s">
        <v>6275</v>
      </c>
      <c r="L135" s="10" t="s">
        <v>6276</v>
      </c>
      <c r="M135" s="10" t="s">
        <v>6277</v>
      </c>
      <c r="P135" s="10" t="s">
        <v>5352</v>
      </c>
      <c r="Q135" s="10" t="s">
        <v>6278</v>
      </c>
      <c r="S135" s="10" t="s">
        <v>6279</v>
      </c>
      <c r="T135" s="10" t="s">
        <v>6280</v>
      </c>
      <c r="U135" s="10" t="s">
        <v>5377</v>
      </c>
      <c r="Z135" s="11" t="n">
        <v>1</v>
      </c>
    </row>
    <row r="136" customFormat="false" ht="17.9" hidden="false" customHeight="false" outlineLevel="0" collapsed="false">
      <c r="B136" s="10" t="s">
        <v>4363</v>
      </c>
      <c r="C136" s="10" t="s">
        <v>6281</v>
      </c>
      <c r="D136" s="10" t="s">
        <v>6282</v>
      </c>
      <c r="F136" s="17" t="str">
        <f aca="false">CONCATENATE(G136,", ",H136)</f>
        <v>อ.เมืองนนทบุรี, จ.นนทบุรี</v>
      </c>
      <c r="G136" s="10" t="s">
        <v>6283</v>
      </c>
      <c r="H136" s="10" t="s">
        <v>5497</v>
      </c>
      <c r="I136" s="10" t="s">
        <v>5348</v>
      </c>
      <c r="J136" s="10" t="n">
        <v>11000</v>
      </c>
      <c r="K136" s="10" t="s">
        <v>6284</v>
      </c>
      <c r="L136" s="10" t="s">
        <v>29</v>
      </c>
      <c r="M136" s="10" t="s">
        <v>6285</v>
      </c>
      <c r="P136" s="10" t="s">
        <v>5352</v>
      </c>
      <c r="Q136" s="10" t="s">
        <v>6286</v>
      </c>
      <c r="S136" s="10" t="s">
        <v>6287</v>
      </c>
      <c r="T136" s="10" t="s">
        <v>6284</v>
      </c>
      <c r="U136" s="10" t="s">
        <v>5367</v>
      </c>
      <c r="Z136" s="11" t="n">
        <v>1</v>
      </c>
    </row>
    <row r="137" customFormat="false" ht="17.9" hidden="false" customHeight="false" outlineLevel="0" collapsed="false">
      <c r="B137" s="10" t="s">
        <v>6288</v>
      </c>
      <c r="C137" s="10" t="s">
        <v>6172</v>
      </c>
      <c r="D137" s="10" t="s">
        <v>6289</v>
      </c>
      <c r="F137" s="17" t="str">
        <f aca="false">CONCATENATE(G137,", ",H137)</f>
        <v>อ.ไทรน้อย, จ.นนทบุรี</v>
      </c>
      <c r="G137" s="10" t="s">
        <v>5638</v>
      </c>
      <c r="H137" s="10" t="s">
        <v>5497</v>
      </c>
      <c r="I137" s="10" t="s">
        <v>5348</v>
      </c>
      <c r="J137" s="10" t="n">
        <v>11150</v>
      </c>
      <c r="K137" s="10" t="s">
        <v>6290</v>
      </c>
      <c r="L137" s="10" t="s">
        <v>6176</v>
      </c>
      <c r="M137" s="10" t="s">
        <v>6291</v>
      </c>
      <c r="P137" s="10" t="s">
        <v>5352</v>
      </c>
      <c r="Q137" s="10" t="s">
        <v>6286</v>
      </c>
      <c r="S137" s="10" t="s">
        <v>29</v>
      </c>
      <c r="T137" s="10" t="s">
        <v>29</v>
      </c>
      <c r="U137" s="10" t="s">
        <v>5367</v>
      </c>
      <c r="Z137" s="11" t="n">
        <v>1</v>
      </c>
    </row>
    <row r="138" customFormat="false" ht="17.9" hidden="false" customHeight="false" outlineLevel="0" collapsed="false">
      <c r="B138" s="10" t="s">
        <v>6292</v>
      </c>
      <c r="C138" s="10" t="s">
        <v>6293</v>
      </c>
      <c r="D138" s="10" t="s">
        <v>6294</v>
      </c>
      <c r="F138" s="17" t="str">
        <f aca="false">CONCATENATE(G138,", ",H138)</f>
        <v>-, กรุงเทพมหานคร</v>
      </c>
      <c r="G138" s="10" t="s">
        <v>29</v>
      </c>
      <c r="H138" s="10" t="s">
        <v>5449</v>
      </c>
      <c r="I138" s="10" t="s">
        <v>5348</v>
      </c>
      <c r="J138" s="10" t="n">
        <v>10210</v>
      </c>
      <c r="K138" s="10" t="s">
        <v>29</v>
      </c>
      <c r="L138" s="10" t="s">
        <v>6295</v>
      </c>
      <c r="M138" s="10" t="s">
        <v>6296</v>
      </c>
      <c r="P138" s="10" t="s">
        <v>5352</v>
      </c>
      <c r="Q138" s="10" t="s">
        <v>6297</v>
      </c>
      <c r="S138" s="10" t="s">
        <v>29</v>
      </c>
      <c r="T138" s="10" t="s">
        <v>29</v>
      </c>
      <c r="U138" s="10" t="s">
        <v>5367</v>
      </c>
      <c r="Z138" s="11" t="n">
        <v>1</v>
      </c>
    </row>
    <row r="139" customFormat="false" ht="17.9" hidden="false" customHeight="false" outlineLevel="0" collapsed="false">
      <c r="B139" s="10" t="s">
        <v>6298</v>
      </c>
      <c r="C139" s="10" t="s">
        <v>6299</v>
      </c>
      <c r="D139" s="10" t="s">
        <v>6300</v>
      </c>
      <c r="F139" s="17" t="str">
        <f aca="false">CONCATENATE(G139,", ",H139)</f>
        <v>เขตดอนเมือง, กรุงเทพมหานคร</v>
      </c>
      <c r="G139" s="10" t="s">
        <v>5855</v>
      </c>
      <c r="H139" s="10" t="s">
        <v>5449</v>
      </c>
      <c r="I139" s="10" t="s">
        <v>5348</v>
      </c>
      <c r="J139" s="10" t="n">
        <v>10210</v>
      </c>
      <c r="K139" s="10" t="s">
        <v>6301</v>
      </c>
      <c r="L139" s="10" t="s">
        <v>6302</v>
      </c>
      <c r="M139" s="10" t="s">
        <v>6303</v>
      </c>
      <c r="P139" s="10" t="s">
        <v>5352</v>
      </c>
      <c r="Q139" s="10" t="s">
        <v>6304</v>
      </c>
      <c r="S139" s="10" t="s">
        <v>29</v>
      </c>
      <c r="T139" s="10" t="s">
        <v>29</v>
      </c>
      <c r="U139" s="10" t="s">
        <v>5377</v>
      </c>
      <c r="Z139" s="11" t="n">
        <v>1</v>
      </c>
    </row>
    <row r="140" customFormat="false" ht="17.9" hidden="false" customHeight="false" outlineLevel="0" collapsed="false">
      <c r="B140" s="10" t="s">
        <v>6305</v>
      </c>
      <c r="C140" s="10" t="s">
        <v>6306</v>
      </c>
      <c r="D140" s="10" t="s">
        <v>6307</v>
      </c>
      <c r="F140" s="17" t="str">
        <f aca="false">CONCATENATE(G140,", ",H140)</f>
        <v>เขตบางบอน , กรุงเทพมหานคร</v>
      </c>
      <c r="G140" s="10" t="s">
        <v>6308</v>
      </c>
      <c r="H140" s="10" t="s">
        <v>5449</v>
      </c>
      <c r="I140" s="10" t="s">
        <v>5348</v>
      </c>
      <c r="J140" s="10" t="n">
        <v>10150</v>
      </c>
      <c r="K140" s="10" t="s">
        <v>6309</v>
      </c>
      <c r="L140" s="10" t="s">
        <v>6310</v>
      </c>
      <c r="M140" s="10" t="s">
        <v>6311</v>
      </c>
      <c r="P140" s="10" t="s">
        <v>5352</v>
      </c>
      <c r="S140" s="10" t="s">
        <v>29</v>
      </c>
      <c r="T140" s="10" t="s">
        <v>29</v>
      </c>
      <c r="U140" s="10" t="s">
        <v>5367</v>
      </c>
      <c r="Z140" s="11" t="n">
        <v>1</v>
      </c>
    </row>
    <row r="141" customFormat="false" ht="17.9" hidden="false" customHeight="false" outlineLevel="0" collapsed="false">
      <c r="B141" s="10" t="s">
        <v>6312</v>
      </c>
      <c r="C141" s="10" t="s">
        <v>6313</v>
      </c>
      <c r="D141" s="10" t="s">
        <v>6314</v>
      </c>
      <c r="F141" s="17" t="str">
        <f aca="false">CONCATENATE(G141,", ",H141)</f>
        <v>เขตห้วยขวาง, กรุงเทพมหานคร</v>
      </c>
      <c r="G141" s="10" t="s">
        <v>6315</v>
      </c>
      <c r="H141" s="10" t="s">
        <v>5449</v>
      </c>
      <c r="I141" s="10" t="s">
        <v>5348</v>
      </c>
      <c r="J141" s="10" t="n">
        <v>10310</v>
      </c>
      <c r="K141" s="10" t="s">
        <v>29</v>
      </c>
      <c r="L141" s="10" t="s">
        <v>6316</v>
      </c>
      <c r="M141" s="10" t="s">
        <v>6317</v>
      </c>
      <c r="P141" s="10" t="s">
        <v>5352</v>
      </c>
      <c r="S141" s="10" t="s">
        <v>29</v>
      </c>
      <c r="T141" s="10" t="s">
        <v>29</v>
      </c>
      <c r="U141" s="10" t="s">
        <v>5367</v>
      </c>
      <c r="Z141" s="11" t="n">
        <v>1</v>
      </c>
    </row>
    <row r="142" customFormat="false" ht="17.9" hidden="false" customHeight="false" outlineLevel="0" collapsed="false">
      <c r="B142" s="10" t="s">
        <v>6318</v>
      </c>
      <c r="C142" s="10" t="s">
        <v>6319</v>
      </c>
      <c r="D142" s="10" t="s">
        <v>6320</v>
      </c>
      <c r="F142" s="17" t="str">
        <f aca="false">CONCATENATE(G142,", ",H142)</f>
        <v>เขตบางบอน, กรุงเทพมหานคร</v>
      </c>
      <c r="G142" s="10" t="s">
        <v>5360</v>
      </c>
      <c r="H142" s="10" t="s">
        <v>5449</v>
      </c>
      <c r="I142" s="10" t="s">
        <v>5348</v>
      </c>
      <c r="J142" s="10" t="n">
        <v>10150</v>
      </c>
      <c r="K142" s="10" t="s">
        <v>6309</v>
      </c>
      <c r="L142" s="10" t="s">
        <v>6310</v>
      </c>
      <c r="M142" s="10" t="s">
        <v>6311</v>
      </c>
      <c r="P142" s="10" t="s">
        <v>5352</v>
      </c>
      <c r="Q142" s="10" t="s">
        <v>6321</v>
      </c>
      <c r="S142" s="10" t="s">
        <v>29</v>
      </c>
      <c r="T142" s="10" t="s">
        <v>29</v>
      </c>
      <c r="U142" s="10" t="s">
        <v>5367</v>
      </c>
      <c r="Z142" s="11" t="n">
        <v>1</v>
      </c>
    </row>
    <row r="143" customFormat="false" ht="17.9" hidden="false" customHeight="false" outlineLevel="0" collapsed="false">
      <c r="B143" s="10" t="s">
        <v>6322</v>
      </c>
      <c r="C143" s="10" t="s">
        <v>6323</v>
      </c>
      <c r="D143" s="10" t="s">
        <v>6324</v>
      </c>
      <c r="F143" s="17" t="str">
        <f aca="false">CONCATENATE(G143,", ",H143)</f>
        <v>อ.ป้อมปราบศัตรูพ่าย , กรุงเทพมหานคร</v>
      </c>
      <c r="G143" s="10" t="s">
        <v>6325</v>
      </c>
      <c r="H143" s="10" t="s">
        <v>5449</v>
      </c>
      <c r="I143" s="10" t="s">
        <v>5348</v>
      </c>
      <c r="J143" s="10" t="n">
        <v>10100</v>
      </c>
      <c r="K143" s="10" t="s">
        <v>6326</v>
      </c>
      <c r="L143" s="10" t="s">
        <v>6327</v>
      </c>
      <c r="M143" s="10" t="s">
        <v>6328</v>
      </c>
      <c r="P143" s="10" t="s">
        <v>5352</v>
      </c>
      <c r="Q143" s="10" t="s">
        <v>6329</v>
      </c>
      <c r="S143" s="10" t="s">
        <v>29</v>
      </c>
      <c r="T143" s="10" t="s">
        <v>29</v>
      </c>
      <c r="U143" s="10" t="s">
        <v>5367</v>
      </c>
      <c r="Z143" s="11" t="n">
        <v>1</v>
      </c>
    </row>
    <row r="144" customFormat="false" ht="17.9" hidden="false" customHeight="false" outlineLevel="0" collapsed="false">
      <c r="B144" s="10" t="s">
        <v>6330</v>
      </c>
      <c r="C144" s="10" t="s">
        <v>6331</v>
      </c>
      <c r="D144" s="10" t="s">
        <v>6332</v>
      </c>
      <c r="F144" s="17" t="str">
        <f aca="false">CONCATENATE(G144,", ",H144)</f>
        <v>เขตบางรัก , กรุงเทพมหานคร</v>
      </c>
      <c r="G144" s="10" t="s">
        <v>6155</v>
      </c>
      <c r="H144" s="10" t="s">
        <v>5449</v>
      </c>
      <c r="I144" s="10" t="s">
        <v>5348</v>
      </c>
      <c r="J144" s="10" t="n">
        <v>10500</v>
      </c>
      <c r="K144" s="10" t="s">
        <v>6333</v>
      </c>
      <c r="L144" s="10" t="s">
        <v>29</v>
      </c>
      <c r="M144" s="10" t="s">
        <v>6334</v>
      </c>
      <c r="P144" s="10" t="s">
        <v>5352</v>
      </c>
      <c r="Q144" s="10" t="s">
        <v>6335</v>
      </c>
      <c r="S144" s="10" t="s">
        <v>29</v>
      </c>
      <c r="T144" s="10" t="s">
        <v>29</v>
      </c>
      <c r="U144" s="10" t="s">
        <v>5367</v>
      </c>
      <c r="Z144" s="11" t="n">
        <v>1</v>
      </c>
    </row>
    <row r="145" customFormat="false" ht="17.9" hidden="false" customHeight="false" outlineLevel="0" collapsed="false">
      <c r="B145" s="10" t="s">
        <v>6336</v>
      </c>
      <c r="C145" s="10" t="s">
        <v>6337</v>
      </c>
      <c r="D145" s="10" t="s">
        <v>6338</v>
      </c>
      <c r="F145" s="17" t="str">
        <f aca="false">CONCATENATE(G145,", ",H145)</f>
        <v>เขตบางกอกน้อย, กรุงเทพมหานคร</v>
      </c>
      <c r="G145" s="10" t="s">
        <v>6339</v>
      </c>
      <c r="H145" s="10" t="s">
        <v>5449</v>
      </c>
      <c r="I145" s="10" t="s">
        <v>5348</v>
      </c>
      <c r="J145" s="10" t="n">
        <v>10700</v>
      </c>
      <c r="K145" s="10" t="s">
        <v>6340</v>
      </c>
      <c r="L145" s="10" t="s">
        <v>29</v>
      </c>
      <c r="M145" s="10" t="s">
        <v>6341</v>
      </c>
      <c r="P145" s="10" t="s">
        <v>5352</v>
      </c>
      <c r="S145" s="10" t="s">
        <v>6342</v>
      </c>
      <c r="T145" s="10" t="s">
        <v>29</v>
      </c>
      <c r="U145" s="10" t="s">
        <v>5367</v>
      </c>
      <c r="Z145" s="11" t="n">
        <v>1</v>
      </c>
    </row>
    <row r="146" customFormat="false" ht="17.9" hidden="false" customHeight="false" outlineLevel="0" collapsed="false">
      <c r="B146" s="10" t="s">
        <v>6343</v>
      </c>
      <c r="C146" s="10" t="s">
        <v>6344</v>
      </c>
      <c r="D146" s="10" t="s">
        <v>6345</v>
      </c>
      <c r="F146" s="17" t="str">
        <f aca="false">CONCATENATE(G146,", ",H146)</f>
        <v>เขตตลิ่งชัน, กรุงเทพมหานคร</v>
      </c>
      <c r="G146" s="10" t="s">
        <v>6346</v>
      </c>
      <c r="H146" s="10" t="s">
        <v>5449</v>
      </c>
      <c r="I146" s="10" t="s">
        <v>5348</v>
      </c>
      <c r="J146" s="10" t="n">
        <v>10170</v>
      </c>
      <c r="K146" s="10" t="s">
        <v>6347</v>
      </c>
      <c r="L146" s="10" t="s">
        <v>29</v>
      </c>
      <c r="M146" s="10" t="s">
        <v>29</v>
      </c>
      <c r="P146" s="10" t="s">
        <v>5352</v>
      </c>
      <c r="S146" s="10" t="s">
        <v>29</v>
      </c>
      <c r="T146" s="10" t="s">
        <v>29</v>
      </c>
      <c r="U146" s="10" t="s">
        <v>5367</v>
      </c>
      <c r="Z146" s="11" t="n">
        <v>1</v>
      </c>
    </row>
    <row r="147" customFormat="false" ht="17.9" hidden="false" customHeight="false" outlineLevel="0" collapsed="false">
      <c r="B147" s="10" t="s">
        <v>6348</v>
      </c>
      <c r="C147" s="10" t="s">
        <v>6349</v>
      </c>
      <c r="D147" s="10" t="s">
        <v>6350</v>
      </c>
      <c r="F147" s="17" t="str">
        <f aca="false">CONCATENATE(G147,", ",H147)</f>
        <v>เขตประเวศ, กรุงเทพมหานคร</v>
      </c>
      <c r="G147" s="10" t="s">
        <v>5770</v>
      </c>
      <c r="H147" s="10" t="s">
        <v>5449</v>
      </c>
      <c r="I147" s="10" t="s">
        <v>5348</v>
      </c>
      <c r="J147" s="10" t="n">
        <v>10250</v>
      </c>
      <c r="K147" s="10" t="s">
        <v>6351</v>
      </c>
      <c r="L147" s="10" t="s">
        <v>29</v>
      </c>
      <c r="M147" s="10" t="s">
        <v>6352</v>
      </c>
      <c r="P147" s="10" t="s">
        <v>5352</v>
      </c>
      <c r="Q147" s="10" t="s">
        <v>6353</v>
      </c>
      <c r="S147" s="10" t="s">
        <v>6354</v>
      </c>
      <c r="T147" s="10" t="s">
        <v>29</v>
      </c>
      <c r="U147" s="10" t="s">
        <v>5367</v>
      </c>
      <c r="Z147" s="11" t="n">
        <v>1</v>
      </c>
    </row>
    <row r="148" customFormat="false" ht="17.9" hidden="false" customHeight="false" outlineLevel="0" collapsed="false">
      <c r="B148" s="10" t="s">
        <v>6355</v>
      </c>
      <c r="C148" s="10" t="s">
        <v>6356</v>
      </c>
      <c r="D148" s="10" t="s">
        <v>6357</v>
      </c>
      <c r="E148" s="10" t="s">
        <v>5513</v>
      </c>
      <c r="F148" s="17" t="str">
        <f aca="false">CONCATENATE(G148,", ",H148)</f>
        <v>เขตธนบุรี , กรุงเทพมหานคร</v>
      </c>
      <c r="G148" s="10" t="s">
        <v>6358</v>
      </c>
      <c r="H148" s="10" t="s">
        <v>5449</v>
      </c>
      <c r="I148" s="10" t="s">
        <v>5348</v>
      </c>
      <c r="J148" s="10" t="n">
        <v>10600</v>
      </c>
      <c r="K148" s="10" t="s">
        <v>6359</v>
      </c>
      <c r="L148" s="10" t="s">
        <v>6360</v>
      </c>
      <c r="M148" s="10" t="s">
        <v>6361</v>
      </c>
      <c r="P148" s="10" t="s">
        <v>5352</v>
      </c>
      <c r="Q148" s="10" t="s">
        <v>6362</v>
      </c>
      <c r="S148" s="10" t="s">
        <v>29</v>
      </c>
      <c r="T148" s="10" t="s">
        <v>29</v>
      </c>
      <c r="U148" s="10" t="s">
        <v>5367</v>
      </c>
      <c r="Z148" s="11" t="n">
        <v>1</v>
      </c>
    </row>
    <row r="149" customFormat="false" ht="17.9" hidden="false" customHeight="false" outlineLevel="0" collapsed="false">
      <c r="B149" s="10" t="s">
        <v>6363</v>
      </c>
      <c r="C149" s="10" t="s">
        <v>6364</v>
      </c>
      <c r="D149" s="10" t="s">
        <v>6365</v>
      </c>
      <c r="F149" s="17" t="str">
        <f aca="false">CONCATENATE(G149,", ",H149)</f>
        <v>เขตบางขุนเทียน, กรุงเทพมหานคร</v>
      </c>
      <c r="G149" s="10" t="s">
        <v>5867</v>
      </c>
      <c r="H149" s="10" t="s">
        <v>5449</v>
      </c>
      <c r="I149" s="10" t="s">
        <v>5348</v>
      </c>
      <c r="J149" s="10" t="n">
        <v>10150</v>
      </c>
      <c r="K149" s="10" t="s">
        <v>6366</v>
      </c>
      <c r="L149" s="10" t="s">
        <v>29</v>
      </c>
      <c r="M149" s="10" t="s">
        <v>6367</v>
      </c>
      <c r="P149" s="10" t="s">
        <v>5352</v>
      </c>
      <c r="Q149" s="10" t="s">
        <v>6368</v>
      </c>
      <c r="S149" s="10" t="s">
        <v>29</v>
      </c>
      <c r="T149" s="10" t="s">
        <v>29</v>
      </c>
      <c r="U149" s="10" t="s">
        <v>5367</v>
      </c>
      <c r="Z149" s="11" t="n">
        <v>1</v>
      </c>
    </row>
    <row r="150" customFormat="false" ht="17.9" hidden="false" customHeight="false" outlineLevel="0" collapsed="false">
      <c r="B150" s="10" t="s">
        <v>1725</v>
      </c>
      <c r="C150" s="10" t="s">
        <v>6369</v>
      </c>
      <c r="D150" s="10" t="s">
        <v>6370</v>
      </c>
      <c r="F150" s="17" t="str">
        <f aca="false">CONCATENATE(G150,", ",H150)</f>
        <v>อ.ลำลูกกา ,  จ.ปทุมธานี</v>
      </c>
      <c r="G150" s="10" t="s">
        <v>6371</v>
      </c>
      <c r="H150" s="10" t="s">
        <v>6372</v>
      </c>
      <c r="I150" s="10" t="s">
        <v>5348</v>
      </c>
      <c r="J150" s="10" t="n">
        <v>12150</v>
      </c>
      <c r="K150" s="10" t="s">
        <v>6373</v>
      </c>
      <c r="L150" s="10" t="s">
        <v>6374</v>
      </c>
      <c r="M150" s="10" t="s">
        <v>6375</v>
      </c>
      <c r="P150" s="10" t="s">
        <v>5352</v>
      </c>
      <c r="Q150" s="10" t="s">
        <v>6376</v>
      </c>
      <c r="S150" s="10" t="s">
        <v>29</v>
      </c>
      <c r="T150" s="10" t="s">
        <v>29</v>
      </c>
      <c r="U150" s="10" t="s">
        <v>5430</v>
      </c>
      <c r="Z150" s="11" t="n">
        <v>1</v>
      </c>
    </row>
    <row r="151" customFormat="false" ht="17.9" hidden="false" customHeight="false" outlineLevel="0" collapsed="false">
      <c r="B151" s="10" t="s">
        <v>6377</v>
      </c>
      <c r="C151" s="10" t="s">
        <v>6378</v>
      </c>
      <c r="D151" s="10" t="s">
        <v>6379</v>
      </c>
      <c r="F151" s="17" t="str">
        <f aca="false">CONCATENATE(G151,", ",H151)</f>
        <v>เขตคลองเตย, กรุงเทพมหานคร</v>
      </c>
      <c r="G151" s="10" t="s">
        <v>5576</v>
      </c>
      <c r="H151" s="10" t="s">
        <v>5449</v>
      </c>
      <c r="I151" s="10" t="s">
        <v>5348</v>
      </c>
      <c r="J151" s="10" t="n">
        <v>10260</v>
      </c>
      <c r="K151" s="10" t="s">
        <v>29</v>
      </c>
      <c r="L151" s="10" t="s">
        <v>6380</v>
      </c>
      <c r="M151" s="10" t="s">
        <v>6381</v>
      </c>
      <c r="P151" s="10" t="s">
        <v>5352</v>
      </c>
      <c r="Q151" s="10" t="s">
        <v>6382</v>
      </c>
      <c r="S151" s="10" t="s">
        <v>6383</v>
      </c>
      <c r="T151" s="10" t="s">
        <v>29</v>
      </c>
      <c r="U151" s="10" t="s">
        <v>5367</v>
      </c>
      <c r="Z151" s="11" t="n">
        <v>1</v>
      </c>
    </row>
    <row r="152" customFormat="false" ht="17.9" hidden="false" customHeight="false" outlineLevel="0" collapsed="false">
      <c r="B152" s="10" t="s">
        <v>6384</v>
      </c>
      <c r="C152" s="10" t="s">
        <v>6385</v>
      </c>
      <c r="D152" s="10" t="s">
        <v>6386</v>
      </c>
      <c r="F152" s="17" t="str">
        <f aca="false">CONCATENATE(G152,", ",H152)</f>
        <v>อ.บางพลี, จ.สมุทรปราการ</v>
      </c>
      <c r="G152" s="10" t="s">
        <v>5434</v>
      </c>
      <c r="H152" s="10" t="s">
        <v>5403</v>
      </c>
      <c r="I152" s="10" t="s">
        <v>5348</v>
      </c>
      <c r="J152" s="10" t="n">
        <v>10540</v>
      </c>
      <c r="K152" s="10" t="s">
        <v>6387</v>
      </c>
      <c r="L152" s="10" t="s">
        <v>6388</v>
      </c>
      <c r="M152" s="10" t="s">
        <v>6389</v>
      </c>
      <c r="P152" s="10" t="s">
        <v>5352</v>
      </c>
      <c r="S152" s="10" t="s">
        <v>6390</v>
      </c>
      <c r="T152" s="10" t="s">
        <v>29</v>
      </c>
      <c r="U152" s="10" t="s">
        <v>5367</v>
      </c>
      <c r="Z152" s="11" t="n">
        <v>1</v>
      </c>
    </row>
    <row r="153" customFormat="false" ht="17.9" hidden="false" customHeight="false" outlineLevel="0" collapsed="false">
      <c r="B153" s="10" t="s">
        <v>6391</v>
      </c>
      <c r="C153" s="10" t="s">
        <v>6392</v>
      </c>
      <c r="D153" s="10" t="s">
        <v>6393</v>
      </c>
      <c r="F153" s="17" t="str">
        <f aca="false">CONCATENATE(G153,", ",H153)</f>
        <v>เขตวัฒนา, กรุงเทพมหานคร</v>
      </c>
      <c r="G153" s="10" t="s">
        <v>5381</v>
      </c>
      <c r="H153" s="10" t="s">
        <v>5449</v>
      </c>
      <c r="I153" s="10" t="s">
        <v>5348</v>
      </c>
      <c r="J153" s="10" t="n">
        <v>10110</v>
      </c>
      <c r="K153" s="10" t="s">
        <v>5979</v>
      </c>
      <c r="L153" s="10" t="s">
        <v>29</v>
      </c>
      <c r="M153" s="10" t="s">
        <v>6394</v>
      </c>
      <c r="P153" s="10" t="s">
        <v>5352</v>
      </c>
      <c r="Q153" s="10" t="s">
        <v>6395</v>
      </c>
      <c r="S153" s="10" t="s">
        <v>6396</v>
      </c>
      <c r="T153" s="10" t="s">
        <v>29</v>
      </c>
      <c r="U153" s="10" t="s">
        <v>5367</v>
      </c>
      <c r="Z153" s="11" t="n">
        <v>1</v>
      </c>
    </row>
    <row r="154" customFormat="false" ht="15" hidden="false" customHeight="false" outlineLevel="0" collapsed="false">
      <c r="B154" s="10" t="s">
        <v>6397</v>
      </c>
      <c r="C154" s="10" t="s">
        <v>6398</v>
      </c>
      <c r="D154" s="10" t="s">
        <v>29</v>
      </c>
      <c r="F154" s="17" t="str">
        <f aca="false">CONCATENATE(G154,", ",H154)</f>
        <v>-, -</v>
      </c>
      <c r="G154" s="10" t="s">
        <v>29</v>
      </c>
      <c r="H154" s="10" t="s">
        <v>29</v>
      </c>
      <c r="I154" s="10" t="s">
        <v>5348</v>
      </c>
      <c r="J154" s="10" t="s">
        <v>29</v>
      </c>
      <c r="K154" s="10" t="s">
        <v>29</v>
      </c>
      <c r="L154" s="10" t="s">
        <v>6399</v>
      </c>
      <c r="M154" s="10" t="s">
        <v>29</v>
      </c>
      <c r="P154" s="10" t="s">
        <v>5352</v>
      </c>
      <c r="S154" s="10" t="s">
        <v>29</v>
      </c>
      <c r="T154" s="10" t="s">
        <v>29</v>
      </c>
      <c r="U154" s="10" t="s">
        <v>5367</v>
      </c>
      <c r="Z154" s="11" t="n">
        <v>1</v>
      </c>
    </row>
    <row r="155" customFormat="false" ht="17.9" hidden="false" customHeight="false" outlineLevel="0" collapsed="false">
      <c r="B155" s="10" t="s">
        <v>6400</v>
      </c>
      <c r="C155" s="10" t="s">
        <v>6401</v>
      </c>
      <c r="D155" s="10" t="s">
        <v>6402</v>
      </c>
      <c r="F155" s="17" t="str">
        <f aca="false">CONCATENATE(G155,", ",H155)</f>
        <v>อ.เมืองปทุมธานี, จ.ปทุมธานี</v>
      </c>
      <c r="G155" s="10" t="s">
        <v>6403</v>
      </c>
      <c r="H155" s="10" t="s">
        <v>6404</v>
      </c>
      <c r="I155" s="10" t="s">
        <v>5348</v>
      </c>
      <c r="J155" s="10" t="n">
        <v>12000</v>
      </c>
      <c r="K155" s="10" t="s">
        <v>6405</v>
      </c>
      <c r="L155" s="10" t="s">
        <v>6406</v>
      </c>
      <c r="M155" s="10" t="s">
        <v>6407</v>
      </c>
      <c r="P155" s="10" t="s">
        <v>5352</v>
      </c>
      <c r="Q155" s="10" t="s">
        <v>6408</v>
      </c>
      <c r="S155" s="10" t="s">
        <v>6409</v>
      </c>
      <c r="T155" s="10" t="s">
        <v>6410</v>
      </c>
      <c r="U155" s="10" t="s">
        <v>5377</v>
      </c>
      <c r="Z155" s="11" t="n">
        <v>1</v>
      </c>
    </row>
    <row r="156" customFormat="false" ht="17.9" hidden="false" customHeight="false" outlineLevel="0" collapsed="false">
      <c r="B156" s="10" t="s">
        <v>5183</v>
      </c>
      <c r="C156" s="10" t="s">
        <v>6411</v>
      </c>
      <c r="D156" s="10" t="s">
        <v>6412</v>
      </c>
      <c r="F156" s="17" t="str">
        <f aca="false">CONCATENATE(G156,", ",H156)</f>
        <v>เขตปทุมวัน, กรุงเทพมหานคร</v>
      </c>
      <c r="G156" s="10" t="s">
        <v>5514</v>
      </c>
      <c r="H156" s="10" t="s">
        <v>5449</v>
      </c>
      <c r="I156" s="10" t="s">
        <v>5348</v>
      </c>
      <c r="J156" s="10" t="n">
        <v>10330</v>
      </c>
      <c r="K156" s="10" t="s">
        <v>6413</v>
      </c>
      <c r="L156" s="10" t="s">
        <v>29</v>
      </c>
      <c r="M156" s="10" t="s">
        <v>6414</v>
      </c>
      <c r="P156" s="10" t="s">
        <v>5352</v>
      </c>
      <c r="S156" s="10" t="s">
        <v>6415</v>
      </c>
      <c r="T156" s="10" t="s">
        <v>29</v>
      </c>
      <c r="U156" s="10" t="s">
        <v>6416</v>
      </c>
      <c r="Z156" s="11" t="n">
        <v>1</v>
      </c>
    </row>
    <row r="157" customFormat="false" ht="17.9" hidden="false" customHeight="false" outlineLevel="0" collapsed="false">
      <c r="B157" s="10" t="s">
        <v>6417</v>
      </c>
      <c r="C157" s="10" t="s">
        <v>6418</v>
      </c>
      <c r="D157" s="10" t="s">
        <v>6419</v>
      </c>
      <c r="F157" s="17" t="str">
        <f aca="false">CONCATENATE(G157,", ",H157)</f>
        <v>อ.บางพลี, จ.สมุทรปราการ</v>
      </c>
      <c r="G157" s="10" t="s">
        <v>5434</v>
      </c>
      <c r="H157" s="10" t="s">
        <v>5403</v>
      </c>
      <c r="I157" s="10" t="s">
        <v>5348</v>
      </c>
      <c r="J157" s="10" t="n">
        <v>10540</v>
      </c>
      <c r="K157" s="10" t="s">
        <v>6420</v>
      </c>
      <c r="L157" s="10" t="s">
        <v>6421</v>
      </c>
      <c r="M157" s="10" t="s">
        <v>6422</v>
      </c>
      <c r="P157" s="10" t="s">
        <v>5352</v>
      </c>
      <c r="Q157" s="10" t="s">
        <v>6423</v>
      </c>
      <c r="S157" s="10" t="s">
        <v>6424</v>
      </c>
      <c r="T157" s="10" t="s">
        <v>6425</v>
      </c>
      <c r="U157" s="10" t="s">
        <v>5367</v>
      </c>
      <c r="Z157" s="11" t="n">
        <v>1</v>
      </c>
    </row>
    <row r="158" customFormat="false" ht="17.9" hidden="false" customHeight="false" outlineLevel="0" collapsed="false">
      <c r="B158" s="10" t="s">
        <v>6426</v>
      </c>
      <c r="C158" s="22" t="s">
        <v>6427</v>
      </c>
      <c r="D158" s="10" t="s">
        <v>6428</v>
      </c>
      <c r="F158" s="17" t="str">
        <f aca="false">CONCATENATE(G158,", ",H158)</f>
        <v>เขตคลองเตย, กรุงเทพมหานคร</v>
      </c>
      <c r="G158" s="10" t="s">
        <v>5576</v>
      </c>
      <c r="H158" s="10" t="s">
        <v>5449</v>
      </c>
      <c r="I158" s="10" t="s">
        <v>5348</v>
      </c>
      <c r="J158" s="10" t="n">
        <v>10110</v>
      </c>
      <c r="K158" s="10" t="s">
        <v>6429</v>
      </c>
      <c r="L158" s="10" t="s">
        <v>29</v>
      </c>
      <c r="M158" s="10" t="s">
        <v>6430</v>
      </c>
      <c r="P158" s="10" t="s">
        <v>5352</v>
      </c>
      <c r="Q158" s="10" t="s">
        <v>6431</v>
      </c>
      <c r="S158" s="10" t="s">
        <v>29</v>
      </c>
      <c r="T158" s="10" t="s">
        <v>29</v>
      </c>
      <c r="U158" s="10" t="s">
        <v>5377</v>
      </c>
      <c r="Z158" s="11" t="n">
        <v>1</v>
      </c>
    </row>
    <row r="159" customFormat="false" ht="17.9" hidden="false" customHeight="false" outlineLevel="0" collapsed="false">
      <c r="B159" s="10" t="s">
        <v>6432</v>
      </c>
      <c r="C159" s="22" t="s">
        <v>6433</v>
      </c>
      <c r="D159" s="10" t="s">
        <v>6434</v>
      </c>
      <c r="F159" s="17" t="str">
        <f aca="false">CONCATENATE(G159,", ",H159)</f>
        <v>อ.เมืองสมุทรปราการ, จ.สมุทรปราการ</v>
      </c>
      <c r="G159" s="10" t="s">
        <v>5483</v>
      </c>
      <c r="H159" s="10" t="s">
        <v>5403</v>
      </c>
      <c r="I159" s="10" t="s">
        <v>5348</v>
      </c>
      <c r="J159" s="10" t="n">
        <v>10270</v>
      </c>
      <c r="K159" s="10" t="s">
        <v>6435</v>
      </c>
      <c r="L159" s="10" t="s">
        <v>6436</v>
      </c>
      <c r="M159" s="10" t="s">
        <v>6437</v>
      </c>
      <c r="P159" s="10" t="s">
        <v>5352</v>
      </c>
      <c r="Q159" s="10" t="s">
        <v>6438</v>
      </c>
      <c r="S159" s="10" t="s">
        <v>6439</v>
      </c>
      <c r="T159" s="10" t="s">
        <v>6440</v>
      </c>
      <c r="U159" s="10" t="s">
        <v>5367</v>
      </c>
      <c r="Z159" s="11" t="n">
        <v>1</v>
      </c>
    </row>
    <row r="160" customFormat="false" ht="17.9" hidden="false" customHeight="false" outlineLevel="0" collapsed="false">
      <c r="B160" s="10" t="s">
        <v>6441</v>
      </c>
      <c r="C160" s="10" t="s">
        <v>6442</v>
      </c>
      <c r="D160" s="10" t="s">
        <v>6443</v>
      </c>
      <c r="F160" s="17" t="str">
        <f aca="false">CONCATENATE(G160,", ",H160)</f>
        <v>เขตพระโขนง , กรุงเทพมหานคร</v>
      </c>
      <c r="G160" s="10" t="s">
        <v>5528</v>
      </c>
      <c r="H160" s="10" t="s">
        <v>5449</v>
      </c>
      <c r="I160" s="10" t="s">
        <v>5348</v>
      </c>
      <c r="J160" s="10" t="n">
        <v>10260</v>
      </c>
      <c r="K160" s="10" t="s">
        <v>6444</v>
      </c>
      <c r="L160" s="10" t="s">
        <v>6445</v>
      </c>
      <c r="M160" s="10" t="s">
        <v>6446</v>
      </c>
      <c r="P160" s="10" t="s">
        <v>5352</v>
      </c>
      <c r="Q160" s="10" t="s">
        <v>6447</v>
      </c>
      <c r="S160" s="10" t="s">
        <v>29</v>
      </c>
      <c r="T160" s="10" t="s">
        <v>29</v>
      </c>
      <c r="U160" s="10" t="s">
        <v>5367</v>
      </c>
      <c r="Z160" s="11" t="n">
        <v>1</v>
      </c>
    </row>
    <row r="161" customFormat="false" ht="17.9" hidden="false" customHeight="false" outlineLevel="0" collapsed="false">
      <c r="B161" s="10" t="s">
        <v>6448</v>
      </c>
      <c r="C161" s="10" t="s">
        <v>6449</v>
      </c>
      <c r="D161" s="10" t="s">
        <v>6450</v>
      </c>
      <c r="F161" s="17" t="str">
        <f aca="false">CONCATENATE(G161,", ",H161)</f>
        <v>เขตบางขุนเทียน, กรุงเทพมหานคร</v>
      </c>
      <c r="G161" s="10" t="s">
        <v>5867</v>
      </c>
      <c r="H161" s="10" t="s">
        <v>5449</v>
      </c>
      <c r="I161" s="10" t="s">
        <v>5348</v>
      </c>
      <c r="J161" s="10" t="n">
        <v>10150</v>
      </c>
      <c r="K161" s="10" t="s">
        <v>6451</v>
      </c>
      <c r="L161" s="10" t="s">
        <v>6452</v>
      </c>
      <c r="M161" s="10" t="s">
        <v>6453</v>
      </c>
      <c r="P161" s="10" t="s">
        <v>5352</v>
      </c>
      <c r="Q161" s="10" t="s">
        <v>6454</v>
      </c>
      <c r="S161" s="10" t="s">
        <v>29</v>
      </c>
      <c r="T161" s="10" t="s">
        <v>29</v>
      </c>
      <c r="U161" s="10" t="s">
        <v>5367</v>
      </c>
      <c r="Z161" s="11" t="n">
        <v>1</v>
      </c>
    </row>
    <row r="162" customFormat="false" ht="17.9" hidden="false" customHeight="false" outlineLevel="0" collapsed="false">
      <c r="B162" s="10" t="s">
        <v>6455</v>
      </c>
      <c r="C162" s="10" t="s">
        <v>6456</v>
      </c>
      <c r="D162" s="10" t="s">
        <v>6457</v>
      </c>
      <c r="F162" s="17" t="str">
        <f aca="false">CONCATENATE(G162,", ",H162)</f>
        <v>อ.เมืองสมุทรปราการ, จ.สมุทรปราการ</v>
      </c>
      <c r="G162" s="10" t="s">
        <v>5483</v>
      </c>
      <c r="H162" s="10" t="s">
        <v>5403</v>
      </c>
      <c r="I162" s="10" t="s">
        <v>5348</v>
      </c>
      <c r="J162" s="10" t="n">
        <v>10280</v>
      </c>
      <c r="K162" s="10" t="s">
        <v>29</v>
      </c>
      <c r="L162" s="10" t="s">
        <v>29</v>
      </c>
      <c r="M162" s="10" t="s">
        <v>6458</v>
      </c>
      <c r="P162" s="10" t="s">
        <v>5352</v>
      </c>
      <c r="S162" s="10" t="s">
        <v>6459</v>
      </c>
      <c r="T162" s="10" t="s">
        <v>29</v>
      </c>
      <c r="U162" s="10" t="s">
        <v>5367</v>
      </c>
      <c r="Z162" s="11" t="n">
        <v>1</v>
      </c>
    </row>
    <row r="163" customFormat="false" ht="17.9" hidden="false" customHeight="false" outlineLevel="0" collapsed="false">
      <c r="B163" s="10" t="s">
        <v>6460</v>
      </c>
      <c r="C163" s="10" t="s">
        <v>6461</v>
      </c>
      <c r="D163" s="10" t="s">
        <v>6462</v>
      </c>
      <c r="F163" s="17" t="str">
        <f aca="false">CONCATENATE(G163,", ",H163)</f>
        <v>อ.บางพลี, จ.สมุทรปราการ</v>
      </c>
      <c r="G163" s="10" t="s">
        <v>5434</v>
      </c>
      <c r="H163" s="10" t="s">
        <v>5403</v>
      </c>
      <c r="I163" s="10" t="s">
        <v>5348</v>
      </c>
      <c r="J163" s="10" t="n">
        <v>10540</v>
      </c>
      <c r="K163" s="10" t="s">
        <v>6463</v>
      </c>
      <c r="L163" s="10" t="s">
        <v>29</v>
      </c>
      <c r="M163" s="10" t="s">
        <v>6464</v>
      </c>
      <c r="P163" s="10" t="s">
        <v>5352</v>
      </c>
      <c r="Q163" s="10" t="s">
        <v>6465</v>
      </c>
      <c r="S163" s="10" t="s">
        <v>6466</v>
      </c>
      <c r="T163" s="10" t="s">
        <v>6467</v>
      </c>
      <c r="U163" s="10" t="s">
        <v>5367</v>
      </c>
      <c r="Z163" s="11" t="n">
        <v>1</v>
      </c>
    </row>
    <row r="164" customFormat="false" ht="17.9" hidden="false" customHeight="false" outlineLevel="0" collapsed="false">
      <c r="B164" s="10" t="s">
        <v>6468</v>
      </c>
      <c r="C164" s="10" t="s">
        <v>6469</v>
      </c>
      <c r="D164" s="10" t="s">
        <v>6470</v>
      </c>
      <c r="F164" s="17" t="str">
        <f aca="false">CONCATENATE(G164,", ",H164)</f>
        <v>เขตบางบอน, กรุงเทพมหานคร</v>
      </c>
      <c r="G164" s="10" t="s">
        <v>5360</v>
      </c>
      <c r="H164" s="10" t="s">
        <v>5449</v>
      </c>
      <c r="I164" s="10" t="s">
        <v>5348</v>
      </c>
      <c r="J164" s="10" t="n">
        <v>10150</v>
      </c>
      <c r="K164" s="10" t="s">
        <v>6471</v>
      </c>
      <c r="L164" s="10" t="s">
        <v>6472</v>
      </c>
      <c r="M164" s="10" t="s">
        <v>6473</v>
      </c>
      <c r="P164" s="10" t="s">
        <v>5352</v>
      </c>
      <c r="Q164" s="10" t="s">
        <v>6474</v>
      </c>
      <c r="S164" s="10" t="s">
        <v>6033</v>
      </c>
      <c r="T164" s="10" t="s">
        <v>29</v>
      </c>
      <c r="U164" s="10" t="s">
        <v>5367</v>
      </c>
      <c r="Z164" s="11" t="n">
        <v>1</v>
      </c>
    </row>
    <row r="165" customFormat="false" ht="17.9" hidden="false" customHeight="false" outlineLevel="0" collapsed="false">
      <c r="B165" s="10" t="s">
        <v>6475</v>
      </c>
      <c r="C165" s="10" t="s">
        <v>6476</v>
      </c>
      <c r="D165" s="10" t="s">
        <v>6477</v>
      </c>
      <c r="F165" s="17" t="str">
        <f aca="false">CONCATENATE(G165,", ",H165)</f>
        <v>อ.เมืองสมุทรปราการ, จ.สมุทรปราการ</v>
      </c>
      <c r="G165" s="10" t="s">
        <v>5483</v>
      </c>
      <c r="H165" s="10" t="s">
        <v>5403</v>
      </c>
      <c r="I165" s="10" t="s">
        <v>5348</v>
      </c>
      <c r="J165" s="10" t="n">
        <v>10270</v>
      </c>
      <c r="K165" s="10" t="s">
        <v>6478</v>
      </c>
      <c r="L165" s="10" t="s">
        <v>29</v>
      </c>
      <c r="M165" s="10" t="s">
        <v>6479</v>
      </c>
      <c r="P165" s="10" t="s">
        <v>5352</v>
      </c>
      <c r="Q165" s="10" t="s">
        <v>6480</v>
      </c>
      <c r="S165" s="10" t="s">
        <v>29</v>
      </c>
      <c r="T165" s="10" t="s">
        <v>29</v>
      </c>
      <c r="U165" s="10" t="s">
        <v>5367</v>
      </c>
      <c r="Z165" s="11" t="n">
        <v>1</v>
      </c>
    </row>
    <row r="166" customFormat="false" ht="17.9" hidden="false" customHeight="false" outlineLevel="0" collapsed="false">
      <c r="B166" s="10" t="s">
        <v>6481</v>
      </c>
      <c r="C166" s="10" t="s">
        <v>6482</v>
      </c>
      <c r="D166" s="10" t="s">
        <v>6483</v>
      </c>
      <c r="F166" s="17" t="str">
        <f aca="false">CONCATENATE(G166,", ",H166)</f>
        <v>เขตบางขุนเทียน, กรุงเทพมหานคร</v>
      </c>
      <c r="G166" s="10" t="s">
        <v>5867</v>
      </c>
      <c r="H166" s="10" t="s">
        <v>5449</v>
      </c>
      <c r="I166" s="10" t="s">
        <v>5348</v>
      </c>
      <c r="J166" s="10" t="n">
        <v>10150</v>
      </c>
      <c r="K166" s="10" t="s">
        <v>6484</v>
      </c>
      <c r="L166" s="10" t="s">
        <v>6485</v>
      </c>
      <c r="M166" s="10" t="s">
        <v>6486</v>
      </c>
      <c r="P166" s="10" t="s">
        <v>5352</v>
      </c>
      <c r="Q166" s="10" t="s">
        <v>6487</v>
      </c>
      <c r="S166" s="10" t="s">
        <v>6488</v>
      </c>
      <c r="T166" s="10" t="s">
        <v>29</v>
      </c>
      <c r="U166" s="10" t="s">
        <v>5377</v>
      </c>
      <c r="Z166" s="11" t="n">
        <v>1</v>
      </c>
    </row>
    <row r="167" customFormat="false" ht="17.9" hidden="false" customHeight="false" outlineLevel="0" collapsed="false">
      <c r="B167" s="10" t="s">
        <v>6489</v>
      </c>
      <c r="C167" s="10" t="s">
        <v>6490</v>
      </c>
      <c r="D167" s="10" t="s">
        <v>6491</v>
      </c>
      <c r="F167" s="17" t="str">
        <f aca="false">CONCATENATE(G167,", ",H167)</f>
        <v>เขตประเวศ, กรุงเทพมหานคร</v>
      </c>
      <c r="G167" s="10" t="s">
        <v>5770</v>
      </c>
      <c r="H167" s="10" t="s">
        <v>5449</v>
      </c>
      <c r="I167" s="10" t="s">
        <v>5348</v>
      </c>
      <c r="J167" s="10" t="n">
        <v>10250</v>
      </c>
      <c r="K167" s="10" t="s">
        <v>6492</v>
      </c>
      <c r="L167" s="10" t="s">
        <v>6493</v>
      </c>
      <c r="M167" s="10" t="s">
        <v>6494</v>
      </c>
      <c r="P167" s="10" t="s">
        <v>5352</v>
      </c>
      <c r="Q167" s="10" t="s">
        <v>6495</v>
      </c>
      <c r="S167" s="10" t="s">
        <v>29</v>
      </c>
      <c r="T167" s="10" t="s">
        <v>29</v>
      </c>
      <c r="U167" s="10" t="s">
        <v>5377</v>
      </c>
      <c r="Z167" s="11" t="n">
        <v>1</v>
      </c>
    </row>
    <row r="168" customFormat="false" ht="17.9" hidden="false" customHeight="false" outlineLevel="0" collapsed="false">
      <c r="B168" s="10" t="s">
        <v>6496</v>
      </c>
      <c r="C168" s="10" t="s">
        <v>6497</v>
      </c>
      <c r="D168" s="10" t="s">
        <v>6498</v>
      </c>
      <c r="F168" s="17" t="str">
        <f aca="false">CONCATENATE(G168,", ",H168)</f>
        <v>อ.บางพลี, จ.สมุทรปราการ</v>
      </c>
      <c r="G168" s="10" t="s">
        <v>5434</v>
      </c>
      <c r="H168" s="10" t="s">
        <v>5403</v>
      </c>
      <c r="I168" s="10" t="s">
        <v>5348</v>
      </c>
      <c r="J168" s="10" t="n">
        <v>10540</v>
      </c>
      <c r="K168" s="10" t="s">
        <v>6499</v>
      </c>
      <c r="L168" s="10" t="s">
        <v>29</v>
      </c>
      <c r="M168" s="10" t="s">
        <v>6500</v>
      </c>
      <c r="P168" s="10" t="s">
        <v>5352</v>
      </c>
      <c r="Q168" s="10" t="s">
        <v>6501</v>
      </c>
      <c r="S168" s="10" t="s">
        <v>29</v>
      </c>
      <c r="T168" s="10" t="s">
        <v>29</v>
      </c>
      <c r="U168" s="10" t="s">
        <v>5367</v>
      </c>
      <c r="Z168" s="11" t="n">
        <v>1</v>
      </c>
    </row>
    <row r="169" customFormat="false" ht="17.9" hidden="false" customHeight="false" outlineLevel="0" collapsed="false">
      <c r="B169" s="10" t="s">
        <v>6502</v>
      </c>
      <c r="C169" s="10" t="s">
        <v>6503</v>
      </c>
      <c r="D169" s="10" t="s">
        <v>6504</v>
      </c>
      <c r="F169" s="17" t="str">
        <f aca="false">CONCATENATE(G169,", ",H169)</f>
        <v>อ.เมืองสมุทรปราการ, จ.สมุทรปราการ</v>
      </c>
      <c r="G169" s="10" t="s">
        <v>5483</v>
      </c>
      <c r="H169" s="10" t="s">
        <v>5403</v>
      </c>
      <c r="I169" s="10" t="s">
        <v>5348</v>
      </c>
      <c r="J169" s="10" t="n">
        <v>10280</v>
      </c>
      <c r="K169" s="10" t="s">
        <v>6505</v>
      </c>
      <c r="L169" s="10" t="s">
        <v>6506</v>
      </c>
      <c r="M169" s="10" t="s">
        <v>6507</v>
      </c>
      <c r="P169" s="10" t="s">
        <v>5352</v>
      </c>
      <c r="Q169" s="10" t="s">
        <v>6508</v>
      </c>
      <c r="S169" s="10" t="s">
        <v>6509</v>
      </c>
      <c r="T169" s="10" t="s">
        <v>29</v>
      </c>
      <c r="U169" s="10" t="s">
        <v>5367</v>
      </c>
      <c r="Z169" s="11" t="n">
        <v>1</v>
      </c>
    </row>
    <row r="170" customFormat="false" ht="17.9" hidden="false" customHeight="false" outlineLevel="0" collapsed="false">
      <c r="B170" s="10" t="s">
        <v>6510</v>
      </c>
      <c r="C170" s="10" t="s">
        <v>6511</v>
      </c>
      <c r="D170" s="10" t="s">
        <v>6512</v>
      </c>
      <c r="F170" s="17" t="str">
        <f aca="false">CONCATENATE(G170,", ",H170)</f>
        <v>อ.เมืองสมุทรปราการ, จ.สมุทรปราการ</v>
      </c>
      <c r="G170" s="10" t="s">
        <v>5483</v>
      </c>
      <c r="H170" s="10" t="s">
        <v>5403</v>
      </c>
      <c r="I170" s="10" t="s">
        <v>5348</v>
      </c>
      <c r="J170" s="10" t="n">
        <v>10270</v>
      </c>
      <c r="K170" s="10" t="s">
        <v>6513</v>
      </c>
      <c r="L170" s="10" t="s">
        <v>29</v>
      </c>
      <c r="M170" s="10" t="s">
        <v>6514</v>
      </c>
      <c r="P170" s="10" t="s">
        <v>5352</v>
      </c>
      <c r="Q170" s="10" t="s">
        <v>6515</v>
      </c>
      <c r="S170" s="10" t="s">
        <v>6516</v>
      </c>
      <c r="T170" s="10" t="s">
        <v>6517</v>
      </c>
      <c r="U170" s="10" t="s">
        <v>5367</v>
      </c>
      <c r="Z170" s="11" t="n">
        <v>1</v>
      </c>
    </row>
    <row r="171" customFormat="false" ht="17.9" hidden="false" customHeight="false" outlineLevel="0" collapsed="false">
      <c r="B171" s="10" t="s">
        <v>6518</v>
      </c>
      <c r="C171" s="10" t="s">
        <v>6519</v>
      </c>
      <c r="D171" s="10" t="s">
        <v>6520</v>
      </c>
      <c r="F171" s="17" t="str">
        <f aca="false">CONCATENATE(G171,", ",H171)</f>
        <v>อ.บางพลี, จ.สมุทรปราการ</v>
      </c>
      <c r="G171" s="10" t="s">
        <v>5434</v>
      </c>
      <c r="H171" s="10" t="s">
        <v>5403</v>
      </c>
      <c r="I171" s="10" t="s">
        <v>5348</v>
      </c>
      <c r="J171" s="10" t="n">
        <v>10540</v>
      </c>
      <c r="K171" s="10" t="s">
        <v>6521</v>
      </c>
      <c r="L171" s="10" t="s">
        <v>6522</v>
      </c>
      <c r="M171" s="10" t="s">
        <v>6523</v>
      </c>
      <c r="P171" s="10" t="s">
        <v>5352</v>
      </c>
      <c r="Q171" s="10" t="s">
        <v>6524</v>
      </c>
      <c r="S171" s="10" t="s">
        <v>29</v>
      </c>
      <c r="T171" s="10" t="s">
        <v>29</v>
      </c>
      <c r="U171" s="10" t="s">
        <v>5367</v>
      </c>
      <c r="Z171" s="11" t="n">
        <v>1</v>
      </c>
    </row>
    <row r="172" customFormat="false" ht="17.9" hidden="false" customHeight="false" outlineLevel="0" collapsed="false">
      <c r="B172" s="10" t="s">
        <v>6525</v>
      </c>
      <c r="C172" s="10" t="s">
        <v>6526</v>
      </c>
      <c r="D172" s="10" t="s">
        <v>6527</v>
      </c>
      <c r="F172" s="17" t="str">
        <f aca="false">CONCATENATE(G172,", ",H172)</f>
        <v>อ.เมืองสมุทรปราการ, จ.สมุทรปราการ</v>
      </c>
      <c r="G172" s="10" t="s">
        <v>5483</v>
      </c>
      <c r="H172" s="10" t="s">
        <v>5403</v>
      </c>
      <c r="I172" s="10" t="s">
        <v>5348</v>
      </c>
      <c r="J172" s="10" t="n">
        <v>10270</v>
      </c>
      <c r="K172" s="10" t="s">
        <v>6528</v>
      </c>
      <c r="L172" s="10" t="s">
        <v>6529</v>
      </c>
      <c r="M172" s="10" t="s">
        <v>6530</v>
      </c>
      <c r="P172" s="10" t="s">
        <v>5352</v>
      </c>
      <c r="Q172" s="10" t="s">
        <v>6531</v>
      </c>
      <c r="S172" s="10" t="s">
        <v>29</v>
      </c>
      <c r="T172" s="10" t="s">
        <v>29</v>
      </c>
      <c r="U172" s="10" t="s">
        <v>5367</v>
      </c>
      <c r="Z172" s="11" t="n">
        <v>1</v>
      </c>
    </row>
    <row r="173" customFormat="false" ht="17.9" hidden="false" customHeight="false" outlineLevel="0" collapsed="false">
      <c r="B173" s="10" t="s">
        <v>6532</v>
      </c>
      <c r="C173" s="10" t="s">
        <v>6533</v>
      </c>
      <c r="D173" s="10" t="s">
        <v>6534</v>
      </c>
      <c r="F173" s="17" t="str">
        <f aca="false">CONCATENATE(G173,", ",H173)</f>
        <v>อ.บางบัวทอง , จ.นนทบุรี</v>
      </c>
      <c r="G173" s="10" t="s">
        <v>6535</v>
      </c>
      <c r="H173" s="10" t="s">
        <v>5497</v>
      </c>
      <c r="I173" s="10" t="s">
        <v>5348</v>
      </c>
      <c r="J173" s="10" t="n">
        <v>11110</v>
      </c>
      <c r="K173" s="10" t="s">
        <v>6536</v>
      </c>
      <c r="L173" s="10" t="s">
        <v>6537</v>
      </c>
      <c r="M173" s="10" t="s">
        <v>6538</v>
      </c>
      <c r="P173" s="10" t="s">
        <v>5352</v>
      </c>
      <c r="Q173" s="10" t="s">
        <v>6539</v>
      </c>
      <c r="S173" s="10" t="s">
        <v>6540</v>
      </c>
      <c r="T173" s="10" t="s">
        <v>6541</v>
      </c>
      <c r="U173" s="10" t="s">
        <v>5367</v>
      </c>
      <c r="Z173" s="11" t="n">
        <v>1</v>
      </c>
    </row>
    <row r="174" customFormat="false" ht="17.9" hidden="false" customHeight="false" outlineLevel="0" collapsed="false">
      <c r="B174" s="10" t="s">
        <v>6542</v>
      </c>
      <c r="C174" s="10" t="s">
        <v>6543</v>
      </c>
      <c r="D174" s="10" t="s">
        <v>6544</v>
      </c>
      <c r="F174" s="17" t="str">
        <f aca="false">CONCATENATE(G174,", ",H174)</f>
        <v>อ.บางพลี, จ.สมุทรปราการ</v>
      </c>
      <c r="G174" s="10" t="s">
        <v>5434</v>
      </c>
      <c r="H174" s="10" t="s">
        <v>5403</v>
      </c>
      <c r="I174" s="10" t="s">
        <v>5348</v>
      </c>
      <c r="J174" s="10" t="n">
        <v>10540</v>
      </c>
      <c r="K174" s="10" t="s">
        <v>6545</v>
      </c>
      <c r="L174" s="10" t="s">
        <v>6546</v>
      </c>
      <c r="M174" s="10" t="s">
        <v>6547</v>
      </c>
      <c r="P174" s="10" t="s">
        <v>5352</v>
      </c>
      <c r="Q174" s="10" t="s">
        <v>6548</v>
      </c>
      <c r="S174" s="10" t="s">
        <v>29</v>
      </c>
      <c r="T174" s="10" t="s">
        <v>29</v>
      </c>
      <c r="U174" s="10" t="s">
        <v>5367</v>
      </c>
      <c r="Z174" s="11" t="n">
        <v>1</v>
      </c>
    </row>
    <row r="175" customFormat="false" ht="17.9" hidden="false" customHeight="false" outlineLevel="0" collapsed="false">
      <c r="B175" s="10" t="s">
        <v>2594</v>
      </c>
      <c r="C175" s="10" t="s">
        <v>6549</v>
      </c>
      <c r="D175" s="10" t="s">
        <v>6550</v>
      </c>
      <c r="F175" s="17" t="str">
        <f aca="false">CONCATENATE(G175,", ",H175)</f>
        <v>เขตบางซื่อ, กรุงเทพมหานคร</v>
      </c>
      <c r="G175" s="10" t="s">
        <v>6022</v>
      </c>
      <c r="H175" s="10" t="s">
        <v>5449</v>
      </c>
      <c r="I175" s="10" t="s">
        <v>5348</v>
      </c>
      <c r="J175" s="10" t="n">
        <v>10800</v>
      </c>
      <c r="K175" s="10" t="s">
        <v>6551</v>
      </c>
      <c r="L175" s="10" t="s">
        <v>6552</v>
      </c>
      <c r="M175" s="10" t="s">
        <v>6553</v>
      </c>
      <c r="P175" s="10" t="s">
        <v>5352</v>
      </c>
      <c r="Q175" s="10" t="s">
        <v>6554</v>
      </c>
      <c r="S175" s="10" t="s">
        <v>29</v>
      </c>
      <c r="T175" s="10" t="s">
        <v>29</v>
      </c>
      <c r="U175" s="10" t="s">
        <v>5367</v>
      </c>
      <c r="Z175" s="11" t="n">
        <v>1</v>
      </c>
    </row>
    <row r="176" customFormat="false" ht="17.9" hidden="false" customHeight="false" outlineLevel="0" collapsed="false">
      <c r="B176" s="10" t="s">
        <v>6555</v>
      </c>
      <c r="C176" s="10" t="s">
        <v>6556</v>
      </c>
      <c r="D176" s="10" t="s">
        <v>6557</v>
      </c>
      <c r="F176" s="17" t="str">
        <f aca="false">CONCATENATE(G176,", ",H176)</f>
        <v>อ.เมือง, จ.ลพบุรี</v>
      </c>
      <c r="G176" s="10" t="s">
        <v>5346</v>
      </c>
      <c r="H176" s="10" t="s">
        <v>6558</v>
      </c>
      <c r="I176" s="10" t="s">
        <v>5348</v>
      </c>
      <c r="J176" s="10" t="n">
        <v>15000</v>
      </c>
      <c r="K176" s="10" t="s">
        <v>6559</v>
      </c>
      <c r="L176" s="10" t="s">
        <v>29</v>
      </c>
      <c r="M176" s="10" t="s">
        <v>29</v>
      </c>
      <c r="P176" s="10" t="s">
        <v>5352</v>
      </c>
      <c r="S176" s="10" t="s">
        <v>29</v>
      </c>
      <c r="T176" s="10" t="s">
        <v>29</v>
      </c>
      <c r="U176" s="10" t="s">
        <v>5367</v>
      </c>
      <c r="Z176" s="11" t="n">
        <v>1</v>
      </c>
    </row>
    <row r="177" customFormat="false" ht="17.9" hidden="false" customHeight="false" outlineLevel="0" collapsed="false">
      <c r="B177" s="10" t="s">
        <v>6560</v>
      </c>
      <c r="C177" s="10" t="s">
        <v>6561</v>
      </c>
      <c r="D177" s="10" t="s">
        <v>6562</v>
      </c>
      <c r="F177" s="17" t="str">
        <f aca="false">CONCATENATE(G177,", ",H177)</f>
        <v>อ.บางพลี, จ.สมุทรปราการ</v>
      </c>
      <c r="G177" s="10" t="s">
        <v>5434</v>
      </c>
      <c r="H177" s="10" t="s">
        <v>5403</v>
      </c>
      <c r="I177" s="10" t="s">
        <v>5348</v>
      </c>
      <c r="J177" s="10" t="n">
        <v>10540</v>
      </c>
      <c r="K177" s="10" t="s">
        <v>6563</v>
      </c>
      <c r="L177" s="10" t="s">
        <v>6564</v>
      </c>
      <c r="M177" s="10" t="s">
        <v>6565</v>
      </c>
      <c r="P177" s="10" t="s">
        <v>5352</v>
      </c>
      <c r="Q177" s="10" t="s">
        <v>6566</v>
      </c>
      <c r="S177" s="10" t="s">
        <v>29</v>
      </c>
      <c r="T177" s="10" t="s">
        <v>29</v>
      </c>
      <c r="U177" s="10" t="s">
        <v>5367</v>
      </c>
      <c r="Z177" s="11" t="n">
        <v>1</v>
      </c>
    </row>
    <row r="178" customFormat="false" ht="17.9" hidden="false" customHeight="false" outlineLevel="0" collapsed="false">
      <c r="B178" s="10" t="s">
        <v>6567</v>
      </c>
      <c r="C178" s="10" t="s">
        <v>6568</v>
      </c>
      <c r="D178" s="10" t="s">
        <v>6569</v>
      </c>
      <c r="F178" s="17" t="str">
        <f aca="false">CONCATENATE(G178,", ",H178)</f>
        <v>เขตบางซื่อ, กรุงเทพมหานคร</v>
      </c>
      <c r="G178" s="10" t="s">
        <v>6022</v>
      </c>
      <c r="H178" s="10" t="s">
        <v>5449</v>
      </c>
      <c r="I178" s="10" t="s">
        <v>5348</v>
      </c>
      <c r="J178" s="10" t="n">
        <v>10800</v>
      </c>
      <c r="K178" s="10" t="s">
        <v>6570</v>
      </c>
      <c r="L178" s="10" t="s">
        <v>29</v>
      </c>
      <c r="M178" s="10" t="s">
        <v>6571</v>
      </c>
      <c r="P178" s="10" t="s">
        <v>5352</v>
      </c>
      <c r="Q178" s="10" t="s">
        <v>6572</v>
      </c>
      <c r="S178" s="10" t="s">
        <v>29</v>
      </c>
      <c r="T178" s="10" t="s">
        <v>29</v>
      </c>
      <c r="U178" s="10" t="s">
        <v>5367</v>
      </c>
      <c r="Z178" s="11" t="n">
        <v>1</v>
      </c>
    </row>
    <row r="179" customFormat="false" ht="17.9" hidden="false" customHeight="false" outlineLevel="0" collapsed="false">
      <c r="B179" s="10" t="s">
        <v>6573</v>
      </c>
      <c r="C179" s="10" t="s">
        <v>6574</v>
      </c>
      <c r="D179" s="10" t="s">
        <v>6575</v>
      </c>
      <c r="F179" s="17" t="str">
        <f aca="false">CONCATENATE(G179,", ",H179)</f>
        <v>อ.บางพลี, จ.สมุทรปราการ</v>
      </c>
      <c r="G179" s="10" t="s">
        <v>5434</v>
      </c>
      <c r="H179" s="10" t="s">
        <v>5403</v>
      </c>
      <c r="I179" s="10" t="s">
        <v>5348</v>
      </c>
      <c r="J179" s="10" t="n">
        <v>10540</v>
      </c>
      <c r="K179" s="10" t="s">
        <v>6576</v>
      </c>
      <c r="L179" s="10" t="s">
        <v>29</v>
      </c>
      <c r="M179" s="10" t="s">
        <v>6577</v>
      </c>
      <c r="P179" s="10" t="s">
        <v>5352</v>
      </c>
      <c r="S179" s="10" t="s">
        <v>29</v>
      </c>
      <c r="T179" s="10" t="s">
        <v>29</v>
      </c>
      <c r="U179" s="10" t="s">
        <v>5367</v>
      </c>
      <c r="Z179" s="11" t="n">
        <v>1</v>
      </c>
    </row>
    <row r="180" customFormat="false" ht="17.9" hidden="false" customHeight="false" outlineLevel="0" collapsed="false">
      <c r="B180" s="10" t="s">
        <v>6578</v>
      </c>
      <c r="C180" s="10" t="s">
        <v>6579</v>
      </c>
      <c r="D180" s="10" t="s">
        <v>6580</v>
      </c>
      <c r="F180" s="17" t="str">
        <f aca="false">CONCATENATE(G180,", ",H180)</f>
        <v>อ.ตาพระยา, จ.สระแก้ว</v>
      </c>
      <c r="G180" s="10" t="s">
        <v>6581</v>
      </c>
      <c r="H180" s="10" t="s">
        <v>6582</v>
      </c>
      <c r="I180" s="10" t="s">
        <v>5348</v>
      </c>
      <c r="J180" s="10" t="n">
        <v>21780</v>
      </c>
      <c r="K180" s="10" t="s">
        <v>6583</v>
      </c>
      <c r="L180" s="10" t="s">
        <v>29</v>
      </c>
      <c r="M180" s="10" t="s">
        <v>6584</v>
      </c>
      <c r="P180" s="10" t="s">
        <v>5352</v>
      </c>
      <c r="S180" s="10" t="s">
        <v>6585</v>
      </c>
      <c r="T180" s="10" t="s">
        <v>29</v>
      </c>
      <c r="U180" s="10" t="s">
        <v>5367</v>
      </c>
      <c r="Z180" s="11" t="n">
        <v>1</v>
      </c>
    </row>
    <row r="181" customFormat="false" ht="17.9" hidden="false" customHeight="false" outlineLevel="0" collapsed="false">
      <c r="B181" s="10" t="s">
        <v>6586</v>
      </c>
      <c r="C181" s="10" t="s">
        <v>6587</v>
      </c>
      <c r="D181" s="10" t="s">
        <v>6588</v>
      </c>
      <c r="F181" s="17" t="str">
        <f aca="false">CONCATENATE(G181,", ",H181)</f>
        <v>เขตประเวศ, กรุงเทพมหานคร</v>
      </c>
      <c r="G181" s="10" t="s">
        <v>5770</v>
      </c>
      <c r="H181" s="10" t="s">
        <v>5449</v>
      </c>
      <c r="I181" s="10" t="s">
        <v>5348</v>
      </c>
      <c r="J181" s="10" t="n">
        <v>10250</v>
      </c>
      <c r="K181" s="10" t="s">
        <v>6589</v>
      </c>
      <c r="L181" s="10" t="s">
        <v>6590</v>
      </c>
      <c r="M181" s="10" t="s">
        <v>6591</v>
      </c>
      <c r="P181" s="10" t="s">
        <v>5352</v>
      </c>
      <c r="Q181" s="10" t="s">
        <v>6592</v>
      </c>
      <c r="S181" s="10" t="s">
        <v>29</v>
      </c>
      <c r="T181" s="10" t="s">
        <v>29</v>
      </c>
      <c r="U181" s="10" t="s">
        <v>5377</v>
      </c>
      <c r="Z181" s="11" t="n">
        <v>1</v>
      </c>
    </row>
    <row r="182" customFormat="false" ht="17.9" hidden="false" customHeight="false" outlineLevel="0" collapsed="false">
      <c r="B182" s="10" t="s">
        <v>6593</v>
      </c>
      <c r="C182" s="10" t="s">
        <v>6594</v>
      </c>
      <c r="D182" s="10" t="s">
        <v>6595</v>
      </c>
      <c r="F182" s="17" t="str">
        <f aca="false">CONCATENATE(G182,", ",H182)</f>
        <v>อ.บางพลี, จ.สมุทรปราการ</v>
      </c>
      <c r="G182" s="10" t="s">
        <v>5434</v>
      </c>
      <c r="H182" s="10" t="s">
        <v>5403</v>
      </c>
      <c r="I182" s="10" t="s">
        <v>5348</v>
      </c>
      <c r="J182" s="10" t="n">
        <v>10540</v>
      </c>
      <c r="K182" s="10" t="s">
        <v>6596</v>
      </c>
      <c r="L182" s="10" t="s">
        <v>29</v>
      </c>
      <c r="M182" s="10" t="s">
        <v>6597</v>
      </c>
      <c r="P182" s="10" t="s">
        <v>5352</v>
      </c>
      <c r="S182" s="10" t="s">
        <v>29</v>
      </c>
      <c r="T182" s="10" t="s">
        <v>29</v>
      </c>
      <c r="U182" s="10" t="s">
        <v>5367</v>
      </c>
      <c r="Z182" s="11" t="n">
        <v>1</v>
      </c>
    </row>
    <row r="183" customFormat="false" ht="17.9" hidden="false" customHeight="false" outlineLevel="0" collapsed="false">
      <c r="B183" s="10" t="s">
        <v>6598</v>
      </c>
      <c r="C183" s="10" t="s">
        <v>6599</v>
      </c>
      <c r="D183" s="10" t="s">
        <v>6600</v>
      </c>
      <c r="F183" s="17" t="str">
        <f aca="false">CONCATENATE(G183,", ",H183)</f>
        <v>อ.บางพลี, จ.สมุทรปราการ</v>
      </c>
      <c r="G183" s="10" t="s">
        <v>5434</v>
      </c>
      <c r="H183" s="10" t="s">
        <v>5403</v>
      </c>
      <c r="I183" s="10" t="s">
        <v>5348</v>
      </c>
      <c r="J183" s="10" t="n">
        <v>10540</v>
      </c>
      <c r="K183" s="10" t="s">
        <v>6601</v>
      </c>
      <c r="L183" s="10" t="s">
        <v>29</v>
      </c>
      <c r="M183" s="10" t="s">
        <v>6602</v>
      </c>
      <c r="P183" s="10" t="s">
        <v>5352</v>
      </c>
      <c r="Q183" s="10" t="s">
        <v>6603</v>
      </c>
      <c r="S183" s="10" t="s">
        <v>6604</v>
      </c>
      <c r="T183" s="10" t="s">
        <v>6605</v>
      </c>
      <c r="U183" s="10" t="s">
        <v>5367</v>
      </c>
      <c r="Z183" s="11" t="n">
        <v>1</v>
      </c>
    </row>
    <row r="184" customFormat="false" ht="17.9" hidden="false" customHeight="false" outlineLevel="0" collapsed="false">
      <c r="B184" s="10" t="s">
        <v>6606</v>
      </c>
      <c r="C184" s="10" t="s">
        <v>6607</v>
      </c>
      <c r="D184" s="10" t="s">
        <v>6608</v>
      </c>
      <c r="F184" s="17" t="str">
        <f aca="false">CONCATENATE(G184,", ",H184)</f>
        <v>อ.เขาฉกรรจ์,  จ.สระแก้ว</v>
      </c>
      <c r="G184" s="10" t="s">
        <v>6609</v>
      </c>
      <c r="H184" s="10" t="s">
        <v>6610</v>
      </c>
      <c r="I184" s="10" t="s">
        <v>5348</v>
      </c>
      <c r="J184" s="10" t="n">
        <v>27000</v>
      </c>
      <c r="K184" s="10" t="s">
        <v>6611</v>
      </c>
      <c r="L184" s="10" t="s">
        <v>6612</v>
      </c>
      <c r="M184" s="10" t="s">
        <v>6613</v>
      </c>
      <c r="P184" s="10" t="s">
        <v>5352</v>
      </c>
      <c r="Q184" s="10" t="s">
        <v>6614</v>
      </c>
      <c r="S184" s="10" t="s">
        <v>6615</v>
      </c>
      <c r="T184" s="10" t="s">
        <v>29</v>
      </c>
      <c r="U184" s="10" t="s">
        <v>5367</v>
      </c>
      <c r="Z184" s="11" t="n">
        <v>1</v>
      </c>
    </row>
    <row r="185" customFormat="false" ht="17.9" hidden="false" customHeight="false" outlineLevel="0" collapsed="false">
      <c r="B185" s="10" t="s">
        <v>6616</v>
      </c>
      <c r="C185" s="10" t="s">
        <v>6617</v>
      </c>
      <c r="D185" s="10" t="s">
        <v>6618</v>
      </c>
      <c r="F185" s="17" t="str">
        <f aca="false">CONCATENATE(G185,", ",H185)</f>
        <v>เขตลาดพร้าว, กรุงเทพมหานคร</v>
      </c>
      <c r="G185" s="10" t="s">
        <v>5840</v>
      </c>
      <c r="H185" s="10" t="s">
        <v>5449</v>
      </c>
      <c r="I185" s="10" t="s">
        <v>5348</v>
      </c>
      <c r="J185" s="10" t="n">
        <v>10230</v>
      </c>
      <c r="K185" s="10" t="s">
        <v>6619</v>
      </c>
      <c r="L185" s="10" t="s">
        <v>29</v>
      </c>
      <c r="M185" s="10" t="s">
        <v>29</v>
      </c>
      <c r="P185" s="10" t="s">
        <v>5352</v>
      </c>
      <c r="S185" s="10" t="s">
        <v>6620</v>
      </c>
      <c r="T185" s="10" t="s">
        <v>29</v>
      </c>
      <c r="U185" s="10" t="s">
        <v>5377</v>
      </c>
      <c r="Z185" s="11" t="n">
        <v>1</v>
      </c>
    </row>
    <row r="186" customFormat="false" ht="17.9" hidden="false" customHeight="false" outlineLevel="0" collapsed="false">
      <c r="B186" s="10" t="s">
        <v>6621</v>
      </c>
      <c r="C186" s="10" t="s">
        <v>6622</v>
      </c>
      <c r="D186" s="10" t="s">
        <v>6623</v>
      </c>
      <c r="F186" s="17" t="str">
        <f aca="false">CONCATENATE(G186,", ",H186)</f>
        <v>เขตบางบอน, กรุงเทพมหานคร</v>
      </c>
      <c r="G186" s="10" t="s">
        <v>5360</v>
      </c>
      <c r="H186" s="10" t="s">
        <v>5449</v>
      </c>
      <c r="I186" s="10" t="s">
        <v>5348</v>
      </c>
      <c r="J186" s="10" t="n">
        <v>10150</v>
      </c>
      <c r="K186" s="10" t="s">
        <v>6624</v>
      </c>
      <c r="L186" s="10" t="s">
        <v>29</v>
      </c>
      <c r="M186" s="10" t="s">
        <v>6625</v>
      </c>
      <c r="P186" s="10" t="s">
        <v>5352</v>
      </c>
      <c r="Q186" s="10" t="s">
        <v>6626</v>
      </c>
      <c r="S186" s="10" t="s">
        <v>29</v>
      </c>
      <c r="T186" s="10" t="s">
        <v>29</v>
      </c>
      <c r="U186" s="10" t="s">
        <v>5367</v>
      </c>
      <c r="Z186" s="11" t="n">
        <v>1</v>
      </c>
    </row>
    <row r="187" customFormat="false" ht="17.9" hidden="false" customHeight="false" outlineLevel="0" collapsed="false">
      <c r="B187" s="10" t="s">
        <v>6627</v>
      </c>
      <c r="C187" s="10" t="s">
        <v>6628</v>
      </c>
      <c r="D187" s="10" t="s">
        <v>6629</v>
      </c>
      <c r="F187" s="17" t="str">
        <f aca="false">CONCATENATE(G187,", ",H187)</f>
        <v>อ.บางพลี, จ.สมุทรปราการ</v>
      </c>
      <c r="G187" s="10" t="s">
        <v>5434</v>
      </c>
      <c r="H187" s="10" t="s">
        <v>5403</v>
      </c>
      <c r="I187" s="10" t="s">
        <v>5348</v>
      </c>
      <c r="J187" s="10" t="n">
        <v>10540</v>
      </c>
      <c r="K187" s="10" t="s">
        <v>6630</v>
      </c>
      <c r="L187" s="10" t="s">
        <v>6631</v>
      </c>
      <c r="M187" s="10" t="s">
        <v>6632</v>
      </c>
      <c r="P187" s="10" t="s">
        <v>5352</v>
      </c>
      <c r="Q187" s="10" t="s">
        <v>6633</v>
      </c>
      <c r="S187" s="10" t="s">
        <v>5473</v>
      </c>
      <c r="T187" s="10" t="s">
        <v>29</v>
      </c>
      <c r="U187" s="10" t="s">
        <v>5377</v>
      </c>
      <c r="Z187" s="11" t="n">
        <v>1</v>
      </c>
    </row>
    <row r="188" customFormat="false" ht="17.9" hidden="false" customHeight="false" outlineLevel="0" collapsed="false">
      <c r="B188" s="10" t="s">
        <v>6634</v>
      </c>
      <c r="C188" s="10" t="s">
        <v>6635</v>
      </c>
      <c r="D188" s="10" t="s">
        <v>6636</v>
      </c>
      <c r="E188" s="10" t="s">
        <v>5513</v>
      </c>
      <c r="F188" s="17" t="str">
        <f aca="false">CONCATENATE(G188,", ",H188)</f>
        <v>อ.บางพลี, จ.สมุทรปราการ</v>
      </c>
      <c r="G188" s="10" t="s">
        <v>5434</v>
      </c>
      <c r="H188" s="10" t="s">
        <v>5403</v>
      </c>
      <c r="I188" s="10" t="s">
        <v>5348</v>
      </c>
      <c r="J188" s="10" t="n">
        <v>10540</v>
      </c>
      <c r="K188" s="10" t="s">
        <v>6637</v>
      </c>
      <c r="L188" s="10" t="s">
        <v>6399</v>
      </c>
      <c r="M188" s="10" t="s">
        <v>6638</v>
      </c>
      <c r="P188" s="10" t="s">
        <v>5352</v>
      </c>
      <c r="S188" s="10" t="s">
        <v>29</v>
      </c>
      <c r="T188" s="10" t="s">
        <v>29</v>
      </c>
      <c r="U188" s="10" t="s">
        <v>5367</v>
      </c>
      <c r="Z188" s="11" t="n">
        <v>1</v>
      </c>
    </row>
    <row r="189" customFormat="false" ht="17.9" hidden="false" customHeight="false" outlineLevel="0" collapsed="false">
      <c r="B189" s="10" t="s">
        <v>6639</v>
      </c>
      <c r="C189" s="10" t="s">
        <v>6640</v>
      </c>
      <c r="D189" s="10" t="s">
        <v>6641</v>
      </c>
      <c r="F189" s="17" t="str">
        <f aca="false">CONCATENATE(G189,", ",H189)</f>
        <v>เขตบึงกุ่ม, กรุงเทพมหานคร</v>
      </c>
      <c r="G189" s="10" t="s">
        <v>5651</v>
      </c>
      <c r="H189" s="10" t="s">
        <v>5449</v>
      </c>
      <c r="I189" s="10" t="s">
        <v>5348</v>
      </c>
      <c r="J189" s="10" t="n">
        <v>10240</v>
      </c>
      <c r="K189" s="10" t="s">
        <v>6642</v>
      </c>
      <c r="L189" s="10" t="s">
        <v>6643</v>
      </c>
      <c r="M189" s="10" t="s">
        <v>6644</v>
      </c>
      <c r="P189" s="10" t="s">
        <v>5352</v>
      </c>
      <c r="Q189" s="10" t="s">
        <v>6645</v>
      </c>
      <c r="S189" s="10" t="s">
        <v>6646</v>
      </c>
      <c r="T189" s="10" t="s">
        <v>29</v>
      </c>
      <c r="U189" s="10" t="s">
        <v>5367</v>
      </c>
      <c r="Z189" s="11" t="n">
        <v>1</v>
      </c>
    </row>
    <row r="190" customFormat="false" ht="17.9" hidden="false" customHeight="false" outlineLevel="0" collapsed="false">
      <c r="B190" s="10" t="s">
        <v>6647</v>
      </c>
      <c r="C190" s="10" t="s">
        <v>6648</v>
      </c>
      <c r="D190" s="10" t="s">
        <v>6649</v>
      </c>
      <c r="F190" s="17" t="str">
        <f aca="false">CONCATENATE(G190,", ",H190)</f>
        <v>เขตจตุจักร, กรุงเทพมหานคร</v>
      </c>
      <c r="G190" s="10" t="s">
        <v>5659</v>
      </c>
      <c r="H190" s="10" t="s">
        <v>5449</v>
      </c>
      <c r="I190" s="10" t="s">
        <v>5348</v>
      </c>
      <c r="J190" s="10" t="n">
        <v>10900</v>
      </c>
      <c r="K190" s="10" t="s">
        <v>6650</v>
      </c>
      <c r="L190" s="10" t="s">
        <v>29</v>
      </c>
      <c r="M190" s="10" t="s">
        <v>6651</v>
      </c>
      <c r="P190" s="10" t="s">
        <v>5352</v>
      </c>
      <c r="Q190" s="10" t="s">
        <v>6652</v>
      </c>
      <c r="S190" s="10" t="s">
        <v>29</v>
      </c>
      <c r="T190" s="10" t="s">
        <v>29</v>
      </c>
      <c r="U190" s="10" t="s">
        <v>5367</v>
      </c>
      <c r="Z190" s="11" t="n">
        <v>1</v>
      </c>
    </row>
    <row r="191" customFormat="false" ht="17.9" hidden="false" customHeight="false" outlineLevel="0" collapsed="false">
      <c r="B191" s="10" t="s">
        <v>5128</v>
      </c>
      <c r="C191" s="10" t="s">
        <v>6653</v>
      </c>
      <c r="D191" s="10" t="s">
        <v>6654</v>
      </c>
      <c r="F191" s="17" t="str">
        <f aca="false">CONCATENATE(G191,", ",H191)</f>
        <v>เขตวัฒนา, กรุงเทพมหานคร</v>
      </c>
      <c r="G191" s="10" t="s">
        <v>5694</v>
      </c>
      <c r="H191" s="10" t="s">
        <v>5449</v>
      </c>
      <c r="I191" s="10" t="s">
        <v>5348</v>
      </c>
      <c r="J191" s="10" t="n">
        <v>10110</v>
      </c>
      <c r="K191" s="10" t="s">
        <v>6655</v>
      </c>
      <c r="L191" s="10" t="s">
        <v>6656</v>
      </c>
      <c r="M191" s="10" t="s">
        <v>6657</v>
      </c>
      <c r="P191" s="10" t="s">
        <v>5352</v>
      </c>
      <c r="Q191" s="10" t="s">
        <v>6658</v>
      </c>
      <c r="S191" s="10" t="s">
        <v>6659</v>
      </c>
      <c r="T191" s="10" t="s">
        <v>6660</v>
      </c>
      <c r="U191" s="10" t="s">
        <v>5377</v>
      </c>
      <c r="Z191" s="11" t="n">
        <v>1</v>
      </c>
    </row>
    <row r="192" customFormat="false" ht="17.9" hidden="false" customHeight="false" outlineLevel="0" collapsed="false">
      <c r="B192" s="10" t="s">
        <v>6661</v>
      </c>
      <c r="C192" s="22" t="s">
        <v>6662</v>
      </c>
      <c r="D192" s="10" t="s">
        <v>6663</v>
      </c>
      <c r="F192" s="17" t="str">
        <f aca="false">CONCATENATE(G192,", ",H192)</f>
        <v>เขตห้วยขวาง , กรุงเทพมหานคร</v>
      </c>
      <c r="G192" s="10" t="s">
        <v>6664</v>
      </c>
      <c r="H192" s="10" t="s">
        <v>5449</v>
      </c>
      <c r="I192" s="10" t="s">
        <v>5348</v>
      </c>
      <c r="J192" s="10" t="n">
        <v>10310</v>
      </c>
      <c r="K192" s="10" t="s">
        <v>29</v>
      </c>
      <c r="L192" s="10" t="s">
        <v>29</v>
      </c>
      <c r="M192" s="10" t="s">
        <v>29</v>
      </c>
      <c r="P192" s="10" t="s">
        <v>5352</v>
      </c>
      <c r="S192" s="10" t="s">
        <v>29</v>
      </c>
      <c r="T192" s="10" t="s">
        <v>29</v>
      </c>
      <c r="U192" s="10" t="s">
        <v>5367</v>
      </c>
      <c r="Z192" s="11" t="n">
        <v>1</v>
      </c>
    </row>
    <row r="193" customFormat="false" ht="17.9" hidden="false" customHeight="false" outlineLevel="0" collapsed="false">
      <c r="B193" s="10" t="s">
        <v>6665</v>
      </c>
      <c r="C193" s="10" t="s">
        <v>6666</v>
      </c>
      <c r="D193" s="10" t="s">
        <v>6667</v>
      </c>
      <c r="F193" s="17" t="str">
        <f aca="false">CONCATENATE(G193,", ",H193)</f>
        <v>เขตจตุจักร, กรุงเทพมหานคร</v>
      </c>
      <c r="G193" s="10" t="s">
        <v>5659</v>
      </c>
      <c r="H193" s="10" t="s">
        <v>5449</v>
      </c>
      <c r="I193" s="10" t="s">
        <v>5348</v>
      </c>
      <c r="J193" s="10" t="n">
        <v>10900</v>
      </c>
      <c r="K193" s="10" t="s">
        <v>6668</v>
      </c>
      <c r="L193" s="10" t="s">
        <v>6669</v>
      </c>
      <c r="M193" s="10" t="s">
        <v>6670</v>
      </c>
      <c r="P193" s="10" t="s">
        <v>5352</v>
      </c>
      <c r="Q193" s="10" t="s">
        <v>6671</v>
      </c>
      <c r="S193" s="10" t="s">
        <v>29</v>
      </c>
      <c r="T193" s="10" t="s">
        <v>29</v>
      </c>
      <c r="U193" s="10" t="s">
        <v>5377</v>
      </c>
      <c r="Z193" s="11" t="n">
        <v>1</v>
      </c>
    </row>
    <row r="194" customFormat="false" ht="17.9" hidden="false" customHeight="false" outlineLevel="0" collapsed="false">
      <c r="B194" s="10" t="s">
        <v>4600</v>
      </c>
      <c r="C194" s="10" t="s">
        <v>6672</v>
      </c>
      <c r="D194" s="10" t="s">
        <v>6673</v>
      </c>
      <c r="F194" s="17" t="str">
        <f aca="false">CONCATENATE(G194,", ",H194)</f>
        <v>อ.เมืองสมุทรปราการ, จ.สมุทรปราการ</v>
      </c>
      <c r="G194" s="10" t="s">
        <v>5483</v>
      </c>
      <c r="H194" s="10" t="s">
        <v>5403</v>
      </c>
      <c r="I194" s="10" t="s">
        <v>5348</v>
      </c>
      <c r="J194" s="10" t="n">
        <v>10280</v>
      </c>
      <c r="K194" s="10" t="s">
        <v>6674</v>
      </c>
      <c r="L194" s="10" t="s">
        <v>6675</v>
      </c>
      <c r="M194" s="10" t="s">
        <v>6676</v>
      </c>
      <c r="P194" s="10" t="s">
        <v>5352</v>
      </c>
      <c r="Q194" s="10" t="s">
        <v>6677</v>
      </c>
      <c r="S194" s="10" t="s">
        <v>29</v>
      </c>
      <c r="T194" s="10" t="s">
        <v>29</v>
      </c>
      <c r="U194" s="10" t="s">
        <v>5367</v>
      </c>
      <c r="Z194" s="11" t="n">
        <v>1</v>
      </c>
    </row>
    <row r="195" customFormat="false" ht="17.9" hidden="false" customHeight="false" outlineLevel="0" collapsed="false">
      <c r="B195" s="10" t="s">
        <v>6678</v>
      </c>
      <c r="C195" s="10" t="s">
        <v>6679</v>
      </c>
      <c r="D195" s="10" t="s">
        <v>6680</v>
      </c>
      <c r="F195" s="17" t="str">
        <f aca="false">CONCATENATE(G195,", ",H195)</f>
        <v>อ.บางเสาธง , จ.สมุทรปราการ</v>
      </c>
      <c r="G195" s="10" t="s">
        <v>6681</v>
      </c>
      <c r="H195" s="10" t="s">
        <v>5403</v>
      </c>
      <c r="I195" s="10" t="s">
        <v>5348</v>
      </c>
      <c r="J195" s="10" t="n">
        <v>10570</v>
      </c>
      <c r="K195" s="10" t="s">
        <v>6682</v>
      </c>
      <c r="L195" s="10" t="s">
        <v>6683</v>
      </c>
      <c r="M195" s="10" t="s">
        <v>6684</v>
      </c>
      <c r="P195" s="10" t="s">
        <v>5352</v>
      </c>
      <c r="Q195" s="10" t="s">
        <v>6685</v>
      </c>
      <c r="S195" s="10" t="s">
        <v>29</v>
      </c>
      <c r="T195" s="10" t="s">
        <v>29</v>
      </c>
      <c r="U195" s="10" t="s">
        <v>5377</v>
      </c>
      <c r="Z195" s="11" t="n">
        <v>1</v>
      </c>
    </row>
    <row r="196" customFormat="false" ht="15" hidden="false" customHeight="false" outlineLevel="0" collapsed="false">
      <c r="B196" s="10" t="s">
        <v>6686</v>
      </c>
      <c r="C196" s="10" t="s">
        <v>6687</v>
      </c>
      <c r="D196" s="10" t="s">
        <v>29</v>
      </c>
      <c r="F196" s="17" t="str">
        <f aca="false">CONCATENATE(G196,", ",H196)</f>
        <v>-, -</v>
      </c>
      <c r="G196" s="10" t="s">
        <v>29</v>
      </c>
      <c r="H196" s="10" t="s">
        <v>29</v>
      </c>
      <c r="I196" s="10" t="s">
        <v>5348</v>
      </c>
      <c r="J196" s="10" t="s">
        <v>29</v>
      </c>
      <c r="K196" s="10" t="s">
        <v>29</v>
      </c>
      <c r="L196" s="10" t="s">
        <v>6688</v>
      </c>
      <c r="M196" s="10" t="s">
        <v>29</v>
      </c>
      <c r="P196" s="10" t="s">
        <v>5352</v>
      </c>
      <c r="S196" s="10" t="s">
        <v>29</v>
      </c>
      <c r="T196" s="10" t="s">
        <v>29</v>
      </c>
      <c r="U196" s="10" t="s">
        <v>5367</v>
      </c>
      <c r="Z196" s="11" t="n">
        <v>1</v>
      </c>
    </row>
    <row r="197" customFormat="false" ht="17.9" hidden="false" customHeight="false" outlineLevel="0" collapsed="false">
      <c r="B197" s="10" t="s">
        <v>6689</v>
      </c>
      <c r="C197" s="10" t="s">
        <v>6690</v>
      </c>
      <c r="D197" s="10" t="s">
        <v>6691</v>
      </c>
      <c r="F197" s="17" t="str">
        <f aca="false">CONCATENATE(G197,", ",H197)</f>
        <v>อ.เมืองร้อยเอ็ด, จ.ร้อยเอ็ด</v>
      </c>
      <c r="G197" s="10" t="s">
        <v>6692</v>
      </c>
      <c r="H197" s="10" t="s">
        <v>6693</v>
      </c>
      <c r="I197" s="10" t="s">
        <v>5348</v>
      </c>
      <c r="J197" s="10" t="n">
        <v>45000</v>
      </c>
      <c r="K197" s="10" t="s">
        <v>6694</v>
      </c>
      <c r="L197" s="10" t="s">
        <v>6695</v>
      </c>
      <c r="M197" s="10" t="s">
        <v>6696</v>
      </c>
      <c r="P197" s="10" t="s">
        <v>5352</v>
      </c>
      <c r="Q197" s="10" t="s">
        <v>6697</v>
      </c>
      <c r="S197" s="10" t="s">
        <v>29</v>
      </c>
      <c r="T197" s="10" t="s">
        <v>29</v>
      </c>
      <c r="U197" s="10" t="s">
        <v>5367</v>
      </c>
      <c r="Z197" s="11" t="n">
        <v>1</v>
      </c>
    </row>
    <row r="198" customFormat="false" ht="15" hidden="false" customHeight="false" outlineLevel="0" collapsed="false">
      <c r="B198" s="10" t="s">
        <v>6698</v>
      </c>
      <c r="C198" s="10" t="s">
        <v>6699</v>
      </c>
      <c r="D198" s="10" t="s">
        <v>29</v>
      </c>
      <c r="F198" s="17" t="str">
        <f aca="false">CONCATENATE(G198,", ",H198)</f>
        <v>-, -</v>
      </c>
      <c r="G198" s="10" t="s">
        <v>29</v>
      </c>
      <c r="H198" s="10" t="s">
        <v>29</v>
      </c>
      <c r="I198" s="10" t="s">
        <v>5348</v>
      </c>
      <c r="J198" s="10" t="s">
        <v>29</v>
      </c>
      <c r="K198" s="10" t="s">
        <v>29</v>
      </c>
      <c r="L198" s="10" t="s">
        <v>29</v>
      </c>
      <c r="M198" s="10" t="s">
        <v>29</v>
      </c>
      <c r="P198" s="10" t="s">
        <v>5352</v>
      </c>
      <c r="S198" s="10" t="s">
        <v>6700</v>
      </c>
      <c r="T198" s="10" t="s">
        <v>29</v>
      </c>
      <c r="U198" s="10" t="s">
        <v>5367</v>
      </c>
      <c r="Z198" s="11" t="n">
        <v>1</v>
      </c>
    </row>
    <row r="199" customFormat="false" ht="15" hidden="false" customHeight="false" outlineLevel="0" collapsed="false">
      <c r="B199" s="10" t="s">
        <v>6701</v>
      </c>
      <c r="C199" s="10" t="s">
        <v>6702</v>
      </c>
      <c r="D199" s="10" t="s">
        <v>6703</v>
      </c>
      <c r="F199" s="17" t="str">
        <f aca="false">CONCATENATE(G199,", ",H199)</f>
        <v>PUDONG DIST , SHANGHAI,</v>
      </c>
      <c r="G199" s="10" t="s">
        <v>6704</v>
      </c>
      <c r="H199" s="10" t="s">
        <v>6705</v>
      </c>
      <c r="I199" s="10" t="s">
        <v>5444</v>
      </c>
      <c r="J199" s="10" t="n">
        <v>200122</v>
      </c>
      <c r="K199" s="10" t="s">
        <v>29</v>
      </c>
      <c r="L199" s="10" t="s">
        <v>29</v>
      </c>
      <c r="M199" s="10" t="s">
        <v>29</v>
      </c>
      <c r="P199" s="10" t="s">
        <v>5352</v>
      </c>
      <c r="S199" s="10" t="s">
        <v>29</v>
      </c>
      <c r="T199" s="10" t="s">
        <v>29</v>
      </c>
      <c r="U199" s="10" t="s">
        <v>5367</v>
      </c>
      <c r="Z199" s="11" t="n">
        <v>1</v>
      </c>
    </row>
    <row r="200" customFormat="false" ht="14.25" hidden="false" customHeight="true" outlineLevel="0" collapsed="false">
      <c r="B200" s="10" t="s">
        <v>6706</v>
      </c>
      <c r="C200" s="10" t="s">
        <v>6707</v>
      </c>
      <c r="D200" s="10" t="s">
        <v>6708</v>
      </c>
      <c r="F200" s="17" t="str">
        <f aca="false">CONCATENATE(G200,", ",H200)</f>
        <v>อ.แกลง,  จ.ระยอง</v>
      </c>
      <c r="G200" s="10" t="s">
        <v>6709</v>
      </c>
      <c r="H200" s="10" t="s">
        <v>6710</v>
      </c>
      <c r="I200" s="10" t="s">
        <v>5348</v>
      </c>
      <c r="J200" s="10" t="n">
        <v>21110</v>
      </c>
      <c r="K200" s="10" t="s">
        <v>6711</v>
      </c>
      <c r="L200" s="10" t="s">
        <v>29</v>
      </c>
      <c r="M200" s="10" t="s">
        <v>6712</v>
      </c>
      <c r="P200" s="10" t="s">
        <v>5352</v>
      </c>
      <c r="Q200" s="10" t="s">
        <v>6713</v>
      </c>
      <c r="S200" s="10" t="s">
        <v>6714</v>
      </c>
      <c r="T200" s="10" t="s">
        <v>29</v>
      </c>
      <c r="U200" s="10" t="s">
        <v>5367</v>
      </c>
      <c r="Z200" s="11" t="n">
        <v>1</v>
      </c>
    </row>
    <row r="201" customFormat="false" ht="17.9" hidden="false" customHeight="false" outlineLevel="0" collapsed="false">
      <c r="B201" s="10" t="s">
        <v>6715</v>
      </c>
      <c r="C201" s="10" t="s">
        <v>6716</v>
      </c>
      <c r="D201" s="10" t="s">
        <v>6717</v>
      </c>
      <c r="F201" s="17" t="str">
        <f aca="false">CONCATENATE(G201,", ",H201)</f>
        <v>อ.บางพลี, จ.สมุทรปราการ</v>
      </c>
      <c r="G201" s="10" t="s">
        <v>5434</v>
      </c>
      <c r="H201" s="10" t="s">
        <v>5403</v>
      </c>
      <c r="I201" s="10" t="s">
        <v>5348</v>
      </c>
      <c r="J201" s="10" t="n">
        <v>10540</v>
      </c>
      <c r="K201" s="10" t="s">
        <v>6718</v>
      </c>
      <c r="L201" s="10" t="s">
        <v>29</v>
      </c>
      <c r="M201" s="10" t="s">
        <v>6719</v>
      </c>
      <c r="P201" s="10" t="s">
        <v>5352</v>
      </c>
      <c r="Q201" s="10" t="s">
        <v>6720</v>
      </c>
      <c r="S201" s="10" t="s">
        <v>29</v>
      </c>
      <c r="T201" s="10" t="s">
        <v>29</v>
      </c>
      <c r="U201" s="10" t="s">
        <v>5377</v>
      </c>
      <c r="Z201" s="11" t="n">
        <v>1</v>
      </c>
    </row>
    <row r="202" customFormat="false" ht="15.75" hidden="false" customHeight="true" outlineLevel="0" collapsed="false">
      <c r="B202" s="10" t="s">
        <v>6721</v>
      </c>
      <c r="C202" s="10" t="s">
        <v>6722</v>
      </c>
      <c r="D202" s="10" t="s">
        <v>6723</v>
      </c>
      <c r="F202" s="17" t="str">
        <f aca="false">CONCATENATE(G202,", ",H202)</f>
        <v>เขตราษฏร์บูรณะ, กรุงเทพมหานคร</v>
      </c>
      <c r="G202" s="10" t="s">
        <v>5753</v>
      </c>
      <c r="H202" s="10" t="s">
        <v>5449</v>
      </c>
      <c r="I202" s="10" t="s">
        <v>5348</v>
      </c>
      <c r="J202" s="10" t="n">
        <v>10140</v>
      </c>
      <c r="K202" s="10" t="s">
        <v>6724</v>
      </c>
      <c r="L202" s="10" t="s">
        <v>29</v>
      </c>
      <c r="M202" s="10" t="s">
        <v>6725</v>
      </c>
      <c r="P202" s="10" t="s">
        <v>5352</v>
      </c>
      <c r="Q202" s="10" t="s">
        <v>6726</v>
      </c>
      <c r="S202" s="10" t="s">
        <v>6727</v>
      </c>
      <c r="T202" s="10" t="s">
        <v>29</v>
      </c>
      <c r="U202" s="10" t="s">
        <v>5367</v>
      </c>
      <c r="Z202" s="11" t="n">
        <v>1</v>
      </c>
    </row>
    <row r="203" customFormat="false" ht="17.9" hidden="false" customHeight="false" outlineLevel="0" collapsed="false">
      <c r="B203" s="10" t="s">
        <v>6728</v>
      </c>
      <c r="C203" s="10" t="s">
        <v>6456</v>
      </c>
      <c r="D203" s="10" t="s">
        <v>6457</v>
      </c>
      <c r="F203" s="17" t="str">
        <f aca="false">CONCATENATE(G203,", ",H203)</f>
        <v>อ.เมืองสมุทรปราการ, จ.สมุทรปราการ</v>
      </c>
      <c r="G203" s="10" t="s">
        <v>5483</v>
      </c>
      <c r="H203" s="10" t="s">
        <v>5403</v>
      </c>
      <c r="I203" s="10" t="s">
        <v>5348</v>
      </c>
      <c r="J203" s="10" t="n">
        <v>10270</v>
      </c>
      <c r="K203" s="10" t="s">
        <v>29</v>
      </c>
      <c r="L203" s="10" t="s">
        <v>29</v>
      </c>
      <c r="M203" s="10" t="s">
        <v>6458</v>
      </c>
      <c r="P203" s="10" t="s">
        <v>5352</v>
      </c>
      <c r="S203" s="10" t="s">
        <v>6729</v>
      </c>
      <c r="T203" s="10" t="s">
        <v>29</v>
      </c>
      <c r="U203" s="10" t="s">
        <v>5367</v>
      </c>
      <c r="Z203" s="11" t="n">
        <v>1</v>
      </c>
    </row>
    <row r="204" customFormat="false" ht="17.9" hidden="false" customHeight="false" outlineLevel="0" collapsed="false">
      <c r="B204" s="10" t="s">
        <v>6730</v>
      </c>
      <c r="C204" s="10" t="s">
        <v>6456</v>
      </c>
      <c r="D204" s="10" t="s">
        <v>6457</v>
      </c>
      <c r="F204" s="17" t="str">
        <f aca="false">CONCATENATE(G204,", ",H204)</f>
        <v>อ.เมืองสมุทรปราการ, จ.สมุทรปราการ</v>
      </c>
      <c r="G204" s="10" t="s">
        <v>5483</v>
      </c>
      <c r="H204" s="10" t="s">
        <v>5403</v>
      </c>
      <c r="I204" s="10" t="s">
        <v>5348</v>
      </c>
      <c r="J204" s="10" t="n">
        <v>10270</v>
      </c>
      <c r="K204" s="10" t="s">
        <v>29</v>
      </c>
      <c r="L204" s="10" t="s">
        <v>29</v>
      </c>
      <c r="M204" s="10" t="s">
        <v>6458</v>
      </c>
      <c r="P204" s="10" t="s">
        <v>5352</v>
      </c>
      <c r="S204" s="10" t="s">
        <v>6729</v>
      </c>
      <c r="T204" s="10" t="s">
        <v>29</v>
      </c>
      <c r="U204" s="10" t="s">
        <v>5367</v>
      </c>
      <c r="Z204" s="11" t="n">
        <v>1</v>
      </c>
    </row>
    <row r="205" customFormat="false" ht="17.9" hidden="false" customHeight="false" outlineLevel="0" collapsed="false">
      <c r="B205" s="10" t="s">
        <v>6731</v>
      </c>
      <c r="C205" s="10" t="s">
        <v>6732</v>
      </c>
      <c r="D205" s="10" t="s">
        <v>6733</v>
      </c>
      <c r="F205" s="17" t="str">
        <f aca="false">CONCATENATE(G205,", ",H205)</f>
        <v>อ.บางพลี, จ.สมุทรปราการ</v>
      </c>
      <c r="G205" s="10" t="s">
        <v>5434</v>
      </c>
      <c r="H205" s="10" t="s">
        <v>5403</v>
      </c>
      <c r="I205" s="10" t="s">
        <v>5348</v>
      </c>
      <c r="J205" s="10" t="n">
        <v>10540</v>
      </c>
      <c r="K205" s="10" t="s">
        <v>6734</v>
      </c>
      <c r="L205" s="10" t="s">
        <v>29</v>
      </c>
      <c r="M205" s="10" t="s">
        <v>29</v>
      </c>
      <c r="P205" s="10" t="s">
        <v>5352</v>
      </c>
      <c r="S205" s="10" t="s">
        <v>29</v>
      </c>
      <c r="T205" s="10" t="s">
        <v>29</v>
      </c>
      <c r="U205" s="10" t="s">
        <v>5367</v>
      </c>
      <c r="Z205" s="11" t="n">
        <v>1</v>
      </c>
    </row>
    <row r="206" customFormat="false" ht="15" hidden="false" customHeight="false" outlineLevel="0" collapsed="false">
      <c r="B206" s="10" t="s">
        <v>6735</v>
      </c>
      <c r="C206" s="10" t="s">
        <v>6736</v>
      </c>
      <c r="D206" s="10" t="s">
        <v>29</v>
      </c>
      <c r="F206" s="17" t="str">
        <f aca="false">CONCATENATE(G206,", ",H206)</f>
        <v>-, -</v>
      </c>
      <c r="G206" s="10" t="s">
        <v>29</v>
      </c>
      <c r="H206" s="10" t="s">
        <v>29</v>
      </c>
      <c r="I206" s="10" t="s">
        <v>5348</v>
      </c>
      <c r="J206" s="10" t="s">
        <v>29</v>
      </c>
      <c r="K206" s="10" t="s">
        <v>29</v>
      </c>
      <c r="L206" s="10" t="s">
        <v>6737</v>
      </c>
      <c r="M206" s="10" t="s">
        <v>29</v>
      </c>
      <c r="P206" s="10" t="s">
        <v>5352</v>
      </c>
      <c r="S206" s="10" t="s">
        <v>29</v>
      </c>
      <c r="T206" s="10" t="s">
        <v>29</v>
      </c>
      <c r="U206" s="10" t="s">
        <v>5367</v>
      </c>
      <c r="Z206" s="11" t="n">
        <v>1</v>
      </c>
    </row>
    <row r="207" customFormat="false" ht="17.9" hidden="false" customHeight="false" outlineLevel="0" collapsed="false">
      <c r="B207" s="10" t="s">
        <v>5139</v>
      </c>
      <c r="C207" s="10" t="s">
        <v>6738</v>
      </c>
      <c r="D207" s="10" t="s">
        <v>6739</v>
      </c>
      <c r="F207" s="17" t="str">
        <f aca="false">CONCATENATE(G207,", ",H207)</f>
        <v>เขตประเวศ, กรุงเทพมหานคร</v>
      </c>
      <c r="G207" s="10" t="s">
        <v>5770</v>
      </c>
      <c r="H207" s="10" t="s">
        <v>5449</v>
      </c>
      <c r="I207" s="10" t="s">
        <v>5348</v>
      </c>
      <c r="J207" s="10" t="n">
        <v>10250</v>
      </c>
      <c r="K207" s="10" t="s">
        <v>6740</v>
      </c>
      <c r="L207" s="10" t="s">
        <v>6741</v>
      </c>
      <c r="M207" s="10" t="s">
        <v>6742</v>
      </c>
      <c r="P207" s="10" t="s">
        <v>5352</v>
      </c>
      <c r="Q207" s="10" t="s">
        <v>6743</v>
      </c>
      <c r="S207" s="10" t="s">
        <v>6744</v>
      </c>
      <c r="T207" s="10" t="s">
        <v>6745</v>
      </c>
      <c r="U207" s="10" t="s">
        <v>5367</v>
      </c>
      <c r="Z207" s="11" t="n">
        <v>1</v>
      </c>
    </row>
    <row r="208" customFormat="false" ht="17.9" hidden="false" customHeight="false" outlineLevel="0" collapsed="false">
      <c r="B208" s="10" t="s">
        <v>6746</v>
      </c>
      <c r="C208" s="10" t="s">
        <v>6747</v>
      </c>
      <c r="D208" s="10" t="s">
        <v>6748</v>
      </c>
      <c r="E208" s="10" t="s">
        <v>5513</v>
      </c>
      <c r="F208" s="17" t="str">
        <f aca="false">CONCATENATE(G208,", ",H208)</f>
        <v>เขตปทุมวัน, กรุงเทพมหานคร</v>
      </c>
      <c r="G208" s="10" t="s">
        <v>5514</v>
      </c>
      <c r="H208" s="10" t="s">
        <v>5449</v>
      </c>
      <c r="I208" s="10" t="s">
        <v>5348</v>
      </c>
      <c r="J208" s="10" t="n">
        <v>10300</v>
      </c>
      <c r="K208" s="10" t="s">
        <v>6749</v>
      </c>
      <c r="L208" s="10" t="s">
        <v>6750</v>
      </c>
      <c r="M208" s="10" t="s">
        <v>6751</v>
      </c>
      <c r="P208" s="10" t="s">
        <v>5352</v>
      </c>
      <c r="Q208" s="10" t="s">
        <v>6752</v>
      </c>
      <c r="S208" s="10" t="s">
        <v>6753</v>
      </c>
      <c r="T208" s="10" t="s">
        <v>6754</v>
      </c>
      <c r="U208" s="10" t="s">
        <v>5367</v>
      </c>
      <c r="Z208" s="11" t="n">
        <v>1</v>
      </c>
    </row>
    <row r="209" customFormat="false" ht="17.9" hidden="false" customHeight="false" outlineLevel="0" collapsed="false">
      <c r="B209" s="10" t="s">
        <v>6755</v>
      </c>
      <c r="C209" s="10" t="s">
        <v>6756</v>
      </c>
      <c r="D209" s="10" t="s">
        <v>6757</v>
      </c>
      <c r="F209" s="17" t="str">
        <f aca="false">CONCATENATE(G209,", ",H209)</f>
        <v>เขตบางขุนเทียน, กรุงเทพมหานคร</v>
      </c>
      <c r="G209" s="10" t="s">
        <v>5867</v>
      </c>
      <c r="H209" s="10" t="s">
        <v>5449</v>
      </c>
      <c r="I209" s="10" t="s">
        <v>5348</v>
      </c>
      <c r="J209" s="10" t="n">
        <v>10150</v>
      </c>
      <c r="K209" s="10" t="s">
        <v>6758</v>
      </c>
      <c r="L209" s="10" t="s">
        <v>6759</v>
      </c>
      <c r="M209" s="10" t="s">
        <v>6760</v>
      </c>
      <c r="P209" s="10" t="s">
        <v>5352</v>
      </c>
      <c r="Q209" s="10" t="s">
        <v>6761</v>
      </c>
      <c r="S209" s="10" t="s">
        <v>29</v>
      </c>
      <c r="T209" s="10" t="s">
        <v>29</v>
      </c>
      <c r="U209" s="10" t="s">
        <v>5377</v>
      </c>
      <c r="Z209" s="11" t="n">
        <v>1</v>
      </c>
    </row>
    <row r="210" customFormat="false" ht="17.9" hidden="false" customHeight="false" outlineLevel="0" collapsed="false">
      <c r="B210" s="10" t="s">
        <v>6762</v>
      </c>
      <c r="C210" s="10" t="s">
        <v>6763</v>
      </c>
      <c r="D210" s="10" t="s">
        <v>6764</v>
      </c>
      <c r="F210" s="17" t="str">
        <f aca="false">CONCATENATE(G210,", ",H210)</f>
        <v>อ.เมือง, จ.ชลบุรี</v>
      </c>
      <c r="G210" s="10" t="s">
        <v>5346</v>
      </c>
      <c r="H210" s="10" t="s">
        <v>5760</v>
      </c>
      <c r="I210" s="10" t="s">
        <v>5348</v>
      </c>
      <c r="J210" s="10" t="n">
        <v>200000</v>
      </c>
      <c r="K210" s="10" t="s">
        <v>6765</v>
      </c>
      <c r="L210" s="10" t="s">
        <v>6766</v>
      </c>
      <c r="M210" s="10" t="s">
        <v>6767</v>
      </c>
      <c r="P210" s="10" t="s">
        <v>5352</v>
      </c>
      <c r="Q210" s="10" t="s">
        <v>6768</v>
      </c>
      <c r="S210" s="10" t="s">
        <v>6769</v>
      </c>
      <c r="T210" s="10" t="s">
        <v>29</v>
      </c>
      <c r="U210" s="10" t="s">
        <v>5367</v>
      </c>
      <c r="Z210" s="11" t="n">
        <v>1</v>
      </c>
    </row>
    <row r="211" customFormat="false" ht="17.9" hidden="false" customHeight="false" outlineLevel="0" collapsed="false">
      <c r="B211" s="10" t="s">
        <v>6770</v>
      </c>
      <c r="C211" s="10" t="s">
        <v>6771</v>
      </c>
      <c r="D211" s="10" t="s">
        <v>6772</v>
      </c>
      <c r="F211" s="17" t="str">
        <f aca="false">CONCATENATE(G211,", ",H211)</f>
        <v>เขตบางกอกใหญ่, กรุงเทพมหานคร</v>
      </c>
      <c r="G211" s="10" t="s">
        <v>6773</v>
      </c>
      <c r="H211" s="10" t="s">
        <v>5449</v>
      </c>
      <c r="I211" s="10" t="s">
        <v>5348</v>
      </c>
      <c r="J211" s="10" t="n">
        <v>10600</v>
      </c>
      <c r="K211" s="10" t="s">
        <v>6774</v>
      </c>
      <c r="L211" s="10" t="s">
        <v>29</v>
      </c>
      <c r="M211" s="10" t="s">
        <v>6775</v>
      </c>
      <c r="P211" s="10" t="s">
        <v>5352</v>
      </c>
      <c r="Q211" s="10" t="s">
        <v>6776</v>
      </c>
      <c r="S211" s="10" t="s">
        <v>29</v>
      </c>
      <c r="T211" s="10" t="s">
        <v>29</v>
      </c>
      <c r="U211" s="10" t="s">
        <v>5367</v>
      </c>
      <c r="Z211" s="11" t="n">
        <v>1</v>
      </c>
    </row>
    <row r="212" customFormat="false" ht="17.9" hidden="false" customHeight="false" outlineLevel="0" collapsed="false">
      <c r="B212" s="10" t="s">
        <v>151</v>
      </c>
      <c r="C212" s="10" t="s">
        <v>6777</v>
      </c>
      <c r="D212" s="10" t="s">
        <v>6778</v>
      </c>
      <c r="F212" s="17" t="str">
        <f aca="false">CONCATENATE(G212,", ",H212)</f>
        <v>อ.บางพลี, จ.สมุทรปราการ</v>
      </c>
      <c r="G212" s="10" t="s">
        <v>5434</v>
      </c>
      <c r="H212" s="10" t="s">
        <v>5403</v>
      </c>
      <c r="I212" s="10" t="s">
        <v>5348</v>
      </c>
      <c r="J212" s="10" t="n">
        <v>10540</v>
      </c>
      <c r="K212" s="10" t="s">
        <v>6779</v>
      </c>
      <c r="L212" s="10" t="s">
        <v>29</v>
      </c>
      <c r="M212" s="10" t="s">
        <v>6780</v>
      </c>
      <c r="P212" s="10" t="s">
        <v>5352</v>
      </c>
      <c r="Q212" s="10" t="s">
        <v>6781</v>
      </c>
      <c r="S212" s="10" t="s">
        <v>29</v>
      </c>
      <c r="T212" s="10" t="s">
        <v>29</v>
      </c>
      <c r="U212" s="10" t="s">
        <v>5367</v>
      </c>
      <c r="Z212" s="11" t="n">
        <v>1</v>
      </c>
    </row>
    <row r="213" customFormat="false" ht="17.9" hidden="false" customHeight="false" outlineLevel="0" collapsed="false">
      <c r="B213" s="10" t="s">
        <v>6782</v>
      </c>
      <c r="C213" s="10" t="s">
        <v>6783</v>
      </c>
      <c r="D213" s="10" t="s">
        <v>6784</v>
      </c>
      <c r="F213" s="17" t="str">
        <f aca="false">CONCATENATE(G213,", ",H213)</f>
        <v>เขตบางขุนเทียน, กรุงเทพมหานคร</v>
      </c>
      <c r="G213" s="10" t="s">
        <v>5867</v>
      </c>
      <c r="H213" s="10" t="s">
        <v>5449</v>
      </c>
      <c r="I213" s="10" t="s">
        <v>5348</v>
      </c>
      <c r="J213" s="10" t="n">
        <v>10150</v>
      </c>
      <c r="K213" s="10" t="s">
        <v>6785</v>
      </c>
      <c r="L213" s="10" t="s">
        <v>29</v>
      </c>
      <c r="M213" s="10" t="s">
        <v>6786</v>
      </c>
      <c r="P213" s="10" t="s">
        <v>5352</v>
      </c>
      <c r="Q213" s="10" t="s">
        <v>6787</v>
      </c>
      <c r="S213" s="10" t="s">
        <v>6788</v>
      </c>
      <c r="T213" s="10" t="s">
        <v>29</v>
      </c>
      <c r="U213" s="10" t="s">
        <v>5367</v>
      </c>
      <c r="Z213" s="11" t="n">
        <v>1</v>
      </c>
    </row>
    <row r="214" customFormat="false" ht="17.9" hidden="false" customHeight="false" outlineLevel="0" collapsed="false">
      <c r="B214" s="10" t="s">
        <v>6789</v>
      </c>
      <c r="C214" s="10" t="s">
        <v>6790</v>
      </c>
      <c r="D214" s="10" t="s">
        <v>6791</v>
      </c>
      <c r="F214" s="17" t="str">
        <f aca="false">CONCATENATE(G214,", ",H214)</f>
        <v>เขตสะพานสูง, กรุงเทพมหานคร</v>
      </c>
      <c r="G214" s="10" t="s">
        <v>6792</v>
      </c>
      <c r="H214" s="10" t="s">
        <v>5449</v>
      </c>
      <c r="I214" s="10" t="s">
        <v>5348</v>
      </c>
      <c r="J214" s="10" t="n">
        <v>10250</v>
      </c>
      <c r="K214" s="10" t="s">
        <v>6793</v>
      </c>
      <c r="L214" s="10" t="s">
        <v>29</v>
      </c>
      <c r="M214" s="10" t="s">
        <v>29</v>
      </c>
      <c r="P214" s="10" t="s">
        <v>5352</v>
      </c>
      <c r="S214" s="10" t="s">
        <v>6794</v>
      </c>
      <c r="T214" s="10" t="s">
        <v>29</v>
      </c>
      <c r="U214" s="10" t="s">
        <v>5377</v>
      </c>
      <c r="Z214" s="11" t="n">
        <v>1</v>
      </c>
    </row>
    <row r="215" customFormat="false" ht="17.9" hidden="false" customHeight="false" outlineLevel="0" collapsed="false">
      <c r="B215" s="10" t="s">
        <v>6795</v>
      </c>
      <c r="C215" s="10" t="s">
        <v>6796</v>
      </c>
      <c r="D215" s="10" t="s">
        <v>6797</v>
      </c>
      <c r="F215" s="17" t="str">
        <f aca="false">CONCATENATE(G215,", ",H215)</f>
        <v>ถ.เพรชเกษม, จ.ประจวบคีรีขันธ์</v>
      </c>
      <c r="G215" s="10" t="s">
        <v>6798</v>
      </c>
      <c r="H215" s="10" t="s">
        <v>6242</v>
      </c>
      <c r="I215" s="10" t="s">
        <v>5348</v>
      </c>
      <c r="J215" s="10" t="n">
        <v>77110</v>
      </c>
      <c r="K215" s="10" t="s">
        <v>6799</v>
      </c>
      <c r="L215" s="10" t="s">
        <v>29</v>
      </c>
      <c r="M215" s="10" t="s">
        <v>6800</v>
      </c>
      <c r="P215" s="10" t="s">
        <v>5352</v>
      </c>
      <c r="Q215" s="10" t="s">
        <v>6801</v>
      </c>
      <c r="S215" s="10" t="s">
        <v>29</v>
      </c>
      <c r="T215" s="10" t="s">
        <v>29</v>
      </c>
      <c r="U215" s="10" t="s">
        <v>5367</v>
      </c>
      <c r="Z215" s="11" t="n">
        <v>1</v>
      </c>
    </row>
    <row r="216" customFormat="false" ht="17.9" hidden="false" customHeight="false" outlineLevel="0" collapsed="false">
      <c r="B216" s="10" t="s">
        <v>6802</v>
      </c>
      <c r="C216" s="10" t="s">
        <v>6803</v>
      </c>
      <c r="D216" s="10" t="s">
        <v>6804</v>
      </c>
      <c r="F216" s="17" t="str">
        <f aca="false">CONCATENATE(G216,", ",H216)</f>
        <v>อ.เมืองสมุทรปราการ, จ.สมุทรปราการ</v>
      </c>
      <c r="G216" s="10" t="s">
        <v>5483</v>
      </c>
      <c r="H216" s="10" t="s">
        <v>5403</v>
      </c>
      <c r="I216" s="10" t="s">
        <v>5348</v>
      </c>
      <c r="J216" s="10" t="n">
        <v>10280</v>
      </c>
      <c r="K216" s="10" t="s">
        <v>29</v>
      </c>
      <c r="L216" s="10" t="s">
        <v>29</v>
      </c>
      <c r="M216" s="10" t="s">
        <v>6805</v>
      </c>
      <c r="P216" s="10" t="s">
        <v>5352</v>
      </c>
      <c r="Q216" s="10" t="s">
        <v>6768</v>
      </c>
      <c r="S216" s="10" t="s">
        <v>29</v>
      </c>
      <c r="T216" s="10" t="s">
        <v>29</v>
      </c>
      <c r="U216" s="10" t="s">
        <v>5367</v>
      </c>
      <c r="Z216" s="11" t="n">
        <v>1</v>
      </c>
    </row>
    <row r="217" customFormat="false" ht="17.9" hidden="false" customHeight="false" outlineLevel="0" collapsed="false">
      <c r="B217" s="10" t="s">
        <v>6806</v>
      </c>
      <c r="C217" s="10" t="s">
        <v>6807</v>
      </c>
      <c r="D217" s="10" t="s">
        <v>6808</v>
      </c>
      <c r="F217" s="17" t="str">
        <f aca="false">CONCATENATE(G217,", ",H217)</f>
        <v>อ.เมืองสมุทรปราการ, จ.สมุทรปราการ</v>
      </c>
      <c r="G217" s="10" t="s">
        <v>5483</v>
      </c>
      <c r="H217" s="10" t="s">
        <v>5403</v>
      </c>
      <c r="I217" s="10" t="s">
        <v>5348</v>
      </c>
      <c r="J217" s="10" t="n">
        <v>10280</v>
      </c>
      <c r="K217" s="10" t="s">
        <v>6809</v>
      </c>
      <c r="L217" s="10" t="s">
        <v>29</v>
      </c>
      <c r="M217" s="10" t="s">
        <v>6810</v>
      </c>
      <c r="P217" s="10" t="s">
        <v>5352</v>
      </c>
      <c r="Q217" s="10" t="s">
        <v>6811</v>
      </c>
      <c r="S217" s="10" t="s">
        <v>6812</v>
      </c>
      <c r="T217" s="10" t="s">
        <v>6813</v>
      </c>
      <c r="U217" s="10" t="s">
        <v>5367</v>
      </c>
      <c r="Z217" s="11" t="n">
        <v>1</v>
      </c>
    </row>
    <row r="218" customFormat="false" ht="17.9" hidden="false" customHeight="false" outlineLevel="0" collapsed="false">
      <c r="B218" s="10" t="s">
        <v>6814</v>
      </c>
      <c r="C218" s="10" t="s">
        <v>6815</v>
      </c>
      <c r="D218" s="10" t="s">
        <v>6816</v>
      </c>
      <c r="F218" s="17" t="str">
        <f aca="false">CONCATENATE(G218,", ",H218)</f>
        <v>อ.เมืองสมุทรปราการ, จ.สมุทรปราการ</v>
      </c>
      <c r="G218" s="10" t="s">
        <v>5483</v>
      </c>
      <c r="H218" s="10" t="s">
        <v>5403</v>
      </c>
      <c r="I218" s="10" t="s">
        <v>5348</v>
      </c>
      <c r="J218" s="10" t="n">
        <v>10280</v>
      </c>
      <c r="K218" s="10" t="s">
        <v>6817</v>
      </c>
      <c r="L218" s="10" t="s">
        <v>6818</v>
      </c>
      <c r="M218" s="10" t="s">
        <v>6819</v>
      </c>
      <c r="P218" s="10" t="s">
        <v>5352</v>
      </c>
      <c r="Q218" s="10" t="s">
        <v>6820</v>
      </c>
      <c r="S218" s="10" t="s">
        <v>5654</v>
      </c>
      <c r="T218" s="10" t="s">
        <v>6821</v>
      </c>
      <c r="U218" s="10" t="s">
        <v>5367</v>
      </c>
      <c r="Z218" s="11" t="n">
        <v>1</v>
      </c>
    </row>
    <row r="219" customFormat="false" ht="17.9" hidden="false" customHeight="false" outlineLevel="0" collapsed="false">
      <c r="B219" s="10" t="s">
        <v>6822</v>
      </c>
      <c r="C219" s="10" t="s">
        <v>6823</v>
      </c>
      <c r="D219" s="10" t="s">
        <v>6824</v>
      </c>
      <c r="F219" s="17" t="str">
        <f aca="false">CONCATENATE(G219,", ",H219)</f>
        <v>เขตพระโขนง , กรุงเทพมหานคร</v>
      </c>
      <c r="G219" s="10" t="s">
        <v>6825</v>
      </c>
      <c r="H219" s="10" t="s">
        <v>5449</v>
      </c>
      <c r="I219" s="10" t="s">
        <v>5348</v>
      </c>
      <c r="J219" s="10" t="n">
        <v>10200</v>
      </c>
      <c r="K219" s="10" t="s">
        <v>6826</v>
      </c>
      <c r="L219" s="10" t="s">
        <v>29</v>
      </c>
      <c r="M219" s="10" t="s">
        <v>6827</v>
      </c>
      <c r="P219" s="10" t="s">
        <v>5352</v>
      </c>
      <c r="Q219" s="10" t="s">
        <v>6828</v>
      </c>
      <c r="S219" s="10" t="s">
        <v>6829</v>
      </c>
      <c r="T219" s="10" t="s">
        <v>29</v>
      </c>
      <c r="U219" s="10" t="s">
        <v>5377</v>
      </c>
      <c r="Z219" s="11" t="n">
        <v>1</v>
      </c>
    </row>
    <row r="220" customFormat="false" ht="17.9" hidden="false" customHeight="false" outlineLevel="0" collapsed="false">
      <c r="B220" s="10" t="s">
        <v>4388</v>
      </c>
      <c r="C220" s="10" t="s">
        <v>6830</v>
      </c>
      <c r="D220" s="10" t="s">
        <v>6831</v>
      </c>
      <c r="F220" s="17" t="str">
        <f aca="false">CONCATENATE(G220,", ",H220)</f>
        <v>อ.เมืองฉะเชิงเทรา,  จ.ฉะเชิงเทรา</v>
      </c>
      <c r="G220" s="10" t="s">
        <v>6832</v>
      </c>
      <c r="H220" s="10" t="s">
        <v>6833</v>
      </c>
      <c r="I220" s="10" t="s">
        <v>5348</v>
      </c>
      <c r="J220" s="10" t="n">
        <v>24000</v>
      </c>
      <c r="K220" s="10" t="s">
        <v>6834</v>
      </c>
      <c r="L220" s="10" t="s">
        <v>29</v>
      </c>
      <c r="M220" s="10" t="s">
        <v>29</v>
      </c>
      <c r="P220" s="10" t="s">
        <v>5352</v>
      </c>
      <c r="S220" s="10" t="s">
        <v>6835</v>
      </c>
      <c r="T220" s="10" t="s">
        <v>29</v>
      </c>
      <c r="U220" s="10" t="s">
        <v>5439</v>
      </c>
      <c r="Z220" s="11" t="n">
        <v>1</v>
      </c>
    </row>
    <row r="221" customFormat="false" ht="17.9" hidden="false" customHeight="false" outlineLevel="0" collapsed="false">
      <c r="B221" s="10" t="s">
        <v>6836</v>
      </c>
      <c r="C221" s="10" t="s">
        <v>6837</v>
      </c>
      <c r="D221" s="10" t="s">
        <v>6838</v>
      </c>
      <c r="F221" s="17" t="str">
        <f aca="false">CONCATENATE(G221,", ",H221)</f>
        <v>อ.ปากช่อง, จ.นครราชสีมา</v>
      </c>
      <c r="G221" s="10" t="s">
        <v>6839</v>
      </c>
      <c r="H221" s="10" t="s">
        <v>6840</v>
      </c>
      <c r="I221" s="10" t="s">
        <v>5348</v>
      </c>
      <c r="J221" s="10" t="n">
        <v>30130</v>
      </c>
      <c r="K221" s="10" t="s">
        <v>29</v>
      </c>
      <c r="L221" s="10" t="s">
        <v>29</v>
      </c>
      <c r="M221" s="10" t="s">
        <v>29</v>
      </c>
      <c r="P221" s="10" t="s">
        <v>5352</v>
      </c>
      <c r="S221" s="10" t="s">
        <v>29</v>
      </c>
      <c r="T221" s="10" t="s">
        <v>29</v>
      </c>
      <c r="U221" s="10" t="s">
        <v>5367</v>
      </c>
      <c r="Z221" s="11" t="n">
        <v>1</v>
      </c>
    </row>
    <row r="222" customFormat="false" ht="17.9" hidden="false" customHeight="false" outlineLevel="0" collapsed="false">
      <c r="B222" s="10" t="s">
        <v>6841</v>
      </c>
      <c r="C222" s="10" t="s">
        <v>6842</v>
      </c>
      <c r="D222" s="10" t="s">
        <v>6843</v>
      </c>
      <c r="F222" s="17" t="str">
        <f aca="false">CONCATENATE(G222,", ",H222)</f>
        <v>อ.หนองแค,  จ.สระบุรี</v>
      </c>
      <c r="G222" s="10" t="s">
        <v>6844</v>
      </c>
      <c r="H222" s="10" t="s">
        <v>6845</v>
      </c>
      <c r="I222" s="10" t="s">
        <v>5348</v>
      </c>
      <c r="J222" s="10" t="n">
        <v>18140</v>
      </c>
      <c r="K222" s="10" t="s">
        <v>29</v>
      </c>
      <c r="L222" s="10" t="s">
        <v>29</v>
      </c>
      <c r="M222" s="10" t="s">
        <v>6846</v>
      </c>
      <c r="P222" s="10" t="s">
        <v>5352</v>
      </c>
      <c r="S222" s="10" t="s">
        <v>29</v>
      </c>
      <c r="T222" s="10" t="s">
        <v>29</v>
      </c>
      <c r="U222" s="10" t="s">
        <v>5367</v>
      </c>
      <c r="Z222" s="11" t="n">
        <v>1</v>
      </c>
    </row>
    <row r="223" customFormat="false" ht="17.9" hidden="false" customHeight="false" outlineLevel="0" collapsed="false">
      <c r="B223" s="10" t="s">
        <v>6847</v>
      </c>
      <c r="C223" s="10" t="s">
        <v>6848</v>
      </c>
      <c r="D223" s="10" t="s">
        <v>6849</v>
      </c>
      <c r="F223" s="17" t="str">
        <f aca="false">CONCATENATE(G223,", ",H223)</f>
        <v>เขตประเวศ, กรุงเทพมหานคร</v>
      </c>
      <c r="G223" s="10" t="s">
        <v>5770</v>
      </c>
      <c r="H223" s="10" t="s">
        <v>5449</v>
      </c>
      <c r="I223" s="10" t="s">
        <v>5348</v>
      </c>
      <c r="J223" s="10" t="n">
        <v>10250</v>
      </c>
      <c r="K223" s="10" t="s">
        <v>6850</v>
      </c>
      <c r="L223" s="10" t="s">
        <v>6851</v>
      </c>
      <c r="M223" s="10" t="s">
        <v>6852</v>
      </c>
      <c r="P223" s="10" t="s">
        <v>5352</v>
      </c>
      <c r="Q223" s="10" t="s">
        <v>6853</v>
      </c>
      <c r="S223" s="10" t="s">
        <v>6854</v>
      </c>
      <c r="T223" s="10" t="s">
        <v>6855</v>
      </c>
      <c r="U223" s="10" t="s">
        <v>5377</v>
      </c>
      <c r="Z223" s="11" t="n">
        <v>1</v>
      </c>
    </row>
    <row r="224" customFormat="false" ht="17.9" hidden="false" customHeight="false" outlineLevel="0" collapsed="false">
      <c r="B224" s="10" t="s">
        <v>6856</v>
      </c>
      <c r="C224" s="10" t="s">
        <v>6857</v>
      </c>
      <c r="D224" s="10" t="s">
        <v>6858</v>
      </c>
      <c r="F224" s="17" t="str">
        <f aca="false">CONCATENATE(G224,", ",H224)</f>
        <v>เขตบางขุนเทียน, กรุงเทพมหานคร</v>
      </c>
      <c r="G224" s="10" t="s">
        <v>5867</v>
      </c>
      <c r="H224" s="10" t="s">
        <v>5449</v>
      </c>
      <c r="I224" s="10" t="s">
        <v>5348</v>
      </c>
      <c r="J224" s="10" t="n">
        <v>10150</v>
      </c>
      <c r="K224" s="10" t="s">
        <v>6859</v>
      </c>
      <c r="L224" s="10" t="s">
        <v>6860</v>
      </c>
      <c r="M224" s="10" t="s">
        <v>6861</v>
      </c>
      <c r="P224" s="10" t="s">
        <v>5352</v>
      </c>
      <c r="Q224" s="10" t="s">
        <v>6862</v>
      </c>
      <c r="S224" s="10" t="s">
        <v>6863</v>
      </c>
      <c r="T224" s="10" t="s">
        <v>29</v>
      </c>
      <c r="U224" s="10" t="s">
        <v>5367</v>
      </c>
      <c r="Z224" s="11" t="n">
        <v>1</v>
      </c>
    </row>
    <row r="225" customFormat="false" ht="17.9" hidden="false" customHeight="false" outlineLevel="0" collapsed="false">
      <c r="B225" s="10" t="s">
        <v>6864</v>
      </c>
      <c r="C225" s="10" t="s">
        <v>6865</v>
      </c>
      <c r="D225" s="10" t="s">
        <v>6866</v>
      </c>
      <c r="F225" s="17" t="str">
        <f aca="false">CONCATENATE(G225,", ",H225)</f>
        <v>อำเภอศรีราชา , จ.ชลบุรี</v>
      </c>
      <c r="G225" s="10" t="s">
        <v>6867</v>
      </c>
      <c r="H225" s="10" t="s">
        <v>5760</v>
      </c>
      <c r="I225" s="10" t="s">
        <v>5348</v>
      </c>
      <c r="J225" s="10" t="n">
        <v>20230</v>
      </c>
      <c r="K225" s="10" t="s">
        <v>6868</v>
      </c>
      <c r="L225" s="10" t="s">
        <v>6869</v>
      </c>
      <c r="M225" s="10" t="s">
        <v>6870</v>
      </c>
      <c r="P225" s="10" t="s">
        <v>5352</v>
      </c>
      <c r="Q225" s="10" t="s">
        <v>6871</v>
      </c>
      <c r="S225" s="10" t="s">
        <v>6872</v>
      </c>
      <c r="T225" s="10" t="s">
        <v>29</v>
      </c>
      <c r="U225" s="10" t="s">
        <v>5377</v>
      </c>
      <c r="Z225" s="11" t="n">
        <v>1</v>
      </c>
    </row>
    <row r="226" customFormat="false" ht="17.9" hidden="false" customHeight="false" outlineLevel="0" collapsed="false">
      <c r="B226" s="10" t="s">
        <v>6873</v>
      </c>
      <c r="C226" s="10" t="s">
        <v>6874</v>
      </c>
      <c r="D226" s="10" t="s">
        <v>6875</v>
      </c>
      <c r="F226" s="17" t="str">
        <f aca="false">CONCATENATE(G226,", ",H226)</f>
        <v>อ.เมืองสมุทรปราการ, จ.สมุทรปราการ</v>
      </c>
      <c r="G226" s="10" t="s">
        <v>5483</v>
      </c>
      <c r="H226" s="10" t="s">
        <v>5403</v>
      </c>
      <c r="I226" s="10" t="s">
        <v>5348</v>
      </c>
      <c r="J226" s="10" t="n">
        <v>10280</v>
      </c>
      <c r="K226" s="10" t="s">
        <v>6876</v>
      </c>
      <c r="L226" s="10" t="s">
        <v>29</v>
      </c>
      <c r="M226" s="10" t="s">
        <v>6877</v>
      </c>
      <c r="P226" s="10" t="s">
        <v>5352</v>
      </c>
      <c r="Q226" s="10" t="s">
        <v>6878</v>
      </c>
      <c r="S226" s="10" t="s">
        <v>29</v>
      </c>
      <c r="T226" s="10" t="s">
        <v>29</v>
      </c>
      <c r="U226" s="10" t="s">
        <v>5367</v>
      </c>
      <c r="Z226" s="11" t="n">
        <v>1</v>
      </c>
    </row>
    <row r="227" customFormat="false" ht="17.9" hidden="false" customHeight="false" outlineLevel="0" collapsed="false">
      <c r="B227" s="10" t="s">
        <v>6879</v>
      </c>
      <c r="C227" s="10" t="s">
        <v>6880</v>
      </c>
      <c r="D227" s="10" t="s">
        <v>6881</v>
      </c>
      <c r="F227" s="17" t="str">
        <f aca="false">CONCATENATE(G227,", ",H227)</f>
        <v>อ.เมืองสมุทรปราการ , จ.สมุทรปราการ</v>
      </c>
      <c r="G227" s="10" t="s">
        <v>6882</v>
      </c>
      <c r="H227" s="10" t="s">
        <v>5403</v>
      </c>
      <c r="I227" s="10" t="s">
        <v>5348</v>
      </c>
      <c r="J227" s="10" t="n">
        <v>10280</v>
      </c>
      <c r="K227" s="10" t="s">
        <v>5490</v>
      </c>
      <c r="L227" s="10" t="s">
        <v>29</v>
      </c>
      <c r="M227" s="10" t="s">
        <v>6883</v>
      </c>
      <c r="P227" s="10" t="s">
        <v>5352</v>
      </c>
      <c r="Q227" s="10" t="s">
        <v>6884</v>
      </c>
      <c r="S227" s="10" t="s">
        <v>6885</v>
      </c>
      <c r="T227" s="10" t="s">
        <v>6886</v>
      </c>
      <c r="U227" s="10" t="s">
        <v>5377</v>
      </c>
      <c r="Z227" s="11" t="n">
        <v>1</v>
      </c>
    </row>
    <row r="228" customFormat="false" ht="18.75" hidden="false" customHeight="true" outlineLevel="0" collapsed="false">
      <c r="B228" s="10" t="s">
        <v>6887</v>
      </c>
      <c r="C228" s="10" t="s">
        <v>6888</v>
      </c>
      <c r="D228" s="10" t="s">
        <v>6889</v>
      </c>
      <c r="F228" s="17" t="str">
        <f aca="false">CONCATENATE(G228,", ",H228)</f>
        <v>อ.บางพลี, จ.สมุทรปราการ</v>
      </c>
      <c r="G228" s="10" t="s">
        <v>5434</v>
      </c>
      <c r="H228" s="10" t="s">
        <v>5403</v>
      </c>
      <c r="I228" s="10" t="s">
        <v>5348</v>
      </c>
      <c r="J228" s="10" t="n">
        <v>10540</v>
      </c>
      <c r="K228" s="10" t="s">
        <v>29</v>
      </c>
      <c r="L228" s="10" t="s">
        <v>29</v>
      </c>
      <c r="M228" s="10" t="s">
        <v>6890</v>
      </c>
      <c r="P228" s="10" t="s">
        <v>5352</v>
      </c>
      <c r="Q228" s="10" t="s">
        <v>6891</v>
      </c>
      <c r="S228" s="10" t="s">
        <v>6892</v>
      </c>
      <c r="T228" s="10" t="s">
        <v>6893</v>
      </c>
      <c r="U228" s="10" t="s">
        <v>5377</v>
      </c>
      <c r="Z228" s="11" t="n">
        <v>1</v>
      </c>
    </row>
    <row r="229" customFormat="false" ht="17.9" hidden="false" customHeight="false" outlineLevel="0" collapsed="false">
      <c r="B229" s="10" t="s">
        <v>6894</v>
      </c>
      <c r="C229" s="10" t="s">
        <v>6895</v>
      </c>
      <c r="D229" s="10" t="s">
        <v>6896</v>
      </c>
      <c r="F229" s="17" t="str">
        <f aca="false">CONCATENATE(G229,", ",H229)</f>
        <v>เขตบางขุนเทียน, กรุงเทพมหานคร</v>
      </c>
      <c r="G229" s="10" t="s">
        <v>5867</v>
      </c>
      <c r="H229" s="10" t="s">
        <v>5449</v>
      </c>
      <c r="I229" s="10" t="s">
        <v>5348</v>
      </c>
      <c r="J229" s="10" t="n">
        <v>10150</v>
      </c>
      <c r="K229" s="10" t="s">
        <v>6897</v>
      </c>
      <c r="L229" s="10" t="s">
        <v>6898</v>
      </c>
      <c r="M229" s="10" t="s">
        <v>6899</v>
      </c>
      <c r="P229" s="10" t="s">
        <v>5352</v>
      </c>
      <c r="Q229" s="10" t="s">
        <v>6900</v>
      </c>
      <c r="S229" s="10" t="s">
        <v>29</v>
      </c>
      <c r="T229" s="10" t="s">
        <v>29</v>
      </c>
      <c r="U229" s="10" t="s">
        <v>5367</v>
      </c>
      <c r="Z229" s="11" t="n">
        <v>1</v>
      </c>
    </row>
    <row r="230" customFormat="false" ht="17.9" hidden="false" customHeight="false" outlineLevel="0" collapsed="false">
      <c r="B230" s="10" t="s">
        <v>6901</v>
      </c>
      <c r="C230" s="10" t="s">
        <v>6842</v>
      </c>
      <c r="D230" s="10" t="s">
        <v>6902</v>
      </c>
      <c r="F230" s="17" t="str">
        <f aca="false">CONCATENATE(G230,", ",H230)</f>
        <v>อ.หนองแค, จ.สระบุรี</v>
      </c>
      <c r="G230" s="10" t="s">
        <v>6903</v>
      </c>
      <c r="H230" s="10" t="s">
        <v>6904</v>
      </c>
      <c r="I230" s="10" t="s">
        <v>5348</v>
      </c>
      <c r="J230" s="10" t="n">
        <v>18140</v>
      </c>
      <c r="K230" s="10" t="s">
        <v>29</v>
      </c>
      <c r="L230" s="10" t="s">
        <v>29</v>
      </c>
      <c r="M230" s="10" t="s">
        <v>6846</v>
      </c>
      <c r="P230" s="10" t="s">
        <v>5352</v>
      </c>
      <c r="Q230" s="10" t="s">
        <v>6905</v>
      </c>
      <c r="S230" s="10" t="s">
        <v>29</v>
      </c>
      <c r="T230" s="10" t="s">
        <v>29</v>
      </c>
      <c r="U230" s="10" t="s">
        <v>5367</v>
      </c>
      <c r="Z230" s="11" t="n">
        <v>1</v>
      </c>
    </row>
    <row r="231" customFormat="false" ht="17.9" hidden="false" customHeight="false" outlineLevel="0" collapsed="false">
      <c r="B231" s="10" t="s">
        <v>6906</v>
      </c>
      <c r="C231" s="22" t="s">
        <v>6907</v>
      </c>
      <c r="D231" s="10" t="s">
        <v>6908</v>
      </c>
      <c r="F231" s="17" t="str">
        <f aca="false">CONCATENATE(G231,", ",H231)</f>
        <v>อ.บางใหญ่, จ.นนทบุรี</v>
      </c>
      <c r="G231" s="10" t="s">
        <v>6909</v>
      </c>
      <c r="H231" s="10" t="s">
        <v>5497</v>
      </c>
      <c r="I231" s="10" t="s">
        <v>5348</v>
      </c>
      <c r="J231" s="10" t="n">
        <v>11140</v>
      </c>
      <c r="K231" s="10" t="s">
        <v>6910</v>
      </c>
      <c r="L231" s="10" t="s">
        <v>29</v>
      </c>
      <c r="M231" s="10" t="s">
        <v>6911</v>
      </c>
      <c r="P231" s="10" t="s">
        <v>5352</v>
      </c>
      <c r="Q231" s="10" t="s">
        <v>6912</v>
      </c>
      <c r="S231" s="10" t="s">
        <v>29</v>
      </c>
      <c r="T231" s="10" t="s">
        <v>6913</v>
      </c>
      <c r="U231" s="10" t="s">
        <v>5367</v>
      </c>
      <c r="Z231" s="11" t="n">
        <v>1</v>
      </c>
    </row>
    <row r="232" customFormat="false" ht="17.9" hidden="false" customHeight="false" outlineLevel="0" collapsed="false">
      <c r="B232" s="10" t="s">
        <v>6914</v>
      </c>
      <c r="C232" s="10" t="s">
        <v>6915</v>
      </c>
      <c r="D232" s="10" t="s">
        <v>6916</v>
      </c>
      <c r="F232" s="17" t="str">
        <f aca="false">CONCATENATE(G232,", ",H232)</f>
        <v>เขตตลิ่งชัน, กรุงเทพมหานคร</v>
      </c>
      <c r="G232" s="10" t="s">
        <v>6346</v>
      </c>
      <c r="H232" s="10" t="s">
        <v>5449</v>
      </c>
      <c r="I232" s="10" t="s">
        <v>5348</v>
      </c>
      <c r="J232" s="10" t="n">
        <v>10170</v>
      </c>
      <c r="K232" s="10" t="s">
        <v>6917</v>
      </c>
      <c r="L232" s="10" t="s">
        <v>6918</v>
      </c>
      <c r="M232" s="10" t="s">
        <v>6919</v>
      </c>
      <c r="P232" s="10" t="s">
        <v>5352</v>
      </c>
      <c r="Q232" s="10" t="s">
        <v>6920</v>
      </c>
      <c r="S232" s="10" t="s">
        <v>6921</v>
      </c>
      <c r="T232" s="10" t="s">
        <v>29</v>
      </c>
      <c r="U232" s="10" t="s">
        <v>5367</v>
      </c>
      <c r="Z232" s="11" t="n">
        <v>1</v>
      </c>
    </row>
    <row r="233" customFormat="false" ht="17.9" hidden="false" customHeight="false" outlineLevel="0" collapsed="false">
      <c r="B233" s="10" t="s">
        <v>2550</v>
      </c>
      <c r="C233" s="10" t="s">
        <v>6922</v>
      </c>
      <c r="D233" s="10" t="s">
        <v>6923</v>
      </c>
      <c r="F233" s="17" t="str">
        <f aca="false">CONCATENATE(G233,", ",H233)</f>
        <v>อ.บางเสาธง, จ.สมุทรปราการ</v>
      </c>
      <c r="G233" s="10" t="s">
        <v>5679</v>
      </c>
      <c r="H233" s="10" t="s">
        <v>5403</v>
      </c>
      <c r="I233" s="10" t="s">
        <v>5348</v>
      </c>
      <c r="J233" s="10" t="n">
        <v>10540</v>
      </c>
      <c r="K233" s="10" t="s">
        <v>6924</v>
      </c>
      <c r="L233" s="10" t="s">
        <v>6925</v>
      </c>
      <c r="M233" s="10" t="s">
        <v>6926</v>
      </c>
      <c r="P233" s="10" t="s">
        <v>5352</v>
      </c>
      <c r="Q233" s="10" t="s">
        <v>6927</v>
      </c>
      <c r="S233" s="10" t="s">
        <v>29</v>
      </c>
      <c r="T233" s="10" t="s">
        <v>29</v>
      </c>
      <c r="U233" s="10" t="s">
        <v>5377</v>
      </c>
      <c r="Z233" s="11" t="n">
        <v>1</v>
      </c>
    </row>
    <row r="234" customFormat="false" ht="17.9" hidden="false" customHeight="false" outlineLevel="0" collapsed="false">
      <c r="B234" s="10" t="s">
        <v>2498</v>
      </c>
      <c r="C234" s="10" t="s">
        <v>6928</v>
      </c>
      <c r="D234" s="10" t="s">
        <v>6929</v>
      </c>
      <c r="F234" s="17" t="str">
        <f aca="false">CONCATENATE(G234,", ",H234)</f>
        <v>เขตบางขุนเทียน, กรุงเทพมหานคร</v>
      </c>
      <c r="G234" s="10" t="s">
        <v>5867</v>
      </c>
      <c r="H234" s="10" t="s">
        <v>5449</v>
      </c>
      <c r="I234" s="10" t="s">
        <v>5348</v>
      </c>
      <c r="J234" s="10" t="n">
        <v>10150</v>
      </c>
      <c r="K234" s="10" t="s">
        <v>6930</v>
      </c>
      <c r="L234" s="10" t="s">
        <v>29</v>
      </c>
      <c r="M234" s="10" t="s">
        <v>6931</v>
      </c>
      <c r="P234" s="10" t="s">
        <v>5352</v>
      </c>
      <c r="Q234" s="10" t="s">
        <v>6932</v>
      </c>
      <c r="S234" s="10" t="s">
        <v>29</v>
      </c>
      <c r="T234" s="10" t="s">
        <v>29</v>
      </c>
      <c r="U234" s="10" t="s">
        <v>5377</v>
      </c>
      <c r="Z234" s="11" t="n">
        <v>1</v>
      </c>
    </row>
    <row r="235" customFormat="false" ht="17.9" hidden="false" customHeight="false" outlineLevel="0" collapsed="false">
      <c r="B235" s="10" t="s">
        <v>6933</v>
      </c>
      <c r="C235" s="10" t="s">
        <v>6456</v>
      </c>
      <c r="D235" s="10" t="s">
        <v>6457</v>
      </c>
      <c r="F235" s="17" t="str">
        <f aca="false">CONCATENATE(G235,", ",H235)</f>
        <v>อ.เมืองสมุทรปราการ , จ.สมุทรปราการ</v>
      </c>
      <c r="G235" s="10" t="s">
        <v>6934</v>
      </c>
      <c r="H235" s="10" t="s">
        <v>5403</v>
      </c>
      <c r="I235" s="10" t="s">
        <v>5348</v>
      </c>
      <c r="J235" s="10" t="n">
        <v>10280</v>
      </c>
      <c r="K235" s="10" t="s">
        <v>29</v>
      </c>
      <c r="L235" s="10" t="s">
        <v>29</v>
      </c>
      <c r="M235" s="10" t="s">
        <v>6458</v>
      </c>
      <c r="P235" s="10" t="s">
        <v>5352</v>
      </c>
      <c r="S235" s="10" t="s">
        <v>6729</v>
      </c>
      <c r="T235" s="10" t="s">
        <v>29</v>
      </c>
      <c r="U235" s="10" t="s">
        <v>5367</v>
      </c>
      <c r="Z235" s="11" t="n">
        <v>1</v>
      </c>
    </row>
    <row r="236" customFormat="false" ht="17.9" hidden="false" customHeight="false" outlineLevel="0" collapsed="false">
      <c r="B236" s="10" t="s">
        <v>6935</v>
      </c>
      <c r="C236" s="10" t="s">
        <v>6936</v>
      </c>
      <c r="D236" s="10" t="s">
        <v>6937</v>
      </c>
      <c r="F236" s="17" t="str">
        <f aca="false">CONCATENATE(G236,", ",H236)</f>
        <v>เขตหนองแขม, กรุงเทพมหานคร</v>
      </c>
      <c r="G236" s="10" t="s">
        <v>6938</v>
      </c>
      <c r="H236" s="10" t="s">
        <v>5449</v>
      </c>
      <c r="I236" s="10" t="s">
        <v>5348</v>
      </c>
      <c r="J236" s="10" t="n">
        <v>10160</v>
      </c>
      <c r="K236" s="10" t="s">
        <v>6939</v>
      </c>
      <c r="L236" s="10" t="s">
        <v>29</v>
      </c>
      <c r="M236" s="10" t="s">
        <v>6940</v>
      </c>
      <c r="P236" s="10" t="s">
        <v>5352</v>
      </c>
      <c r="Q236" s="10" t="s">
        <v>6941</v>
      </c>
      <c r="S236" s="10" t="s">
        <v>29</v>
      </c>
      <c r="T236" s="10" t="s">
        <v>29</v>
      </c>
      <c r="U236" s="10" t="s">
        <v>5367</v>
      </c>
      <c r="Z236" s="11" t="n">
        <v>1</v>
      </c>
    </row>
    <row r="237" customFormat="false" ht="17.9" hidden="false" customHeight="false" outlineLevel="0" collapsed="false">
      <c r="B237" s="10" t="s">
        <v>6942</v>
      </c>
      <c r="C237" s="10" t="s">
        <v>6943</v>
      </c>
      <c r="D237" s="10" t="s">
        <v>6944</v>
      </c>
      <c r="F237" s="17" t="str">
        <f aca="false">CONCATENATE(G237,", ",H237)</f>
        <v>เขตจตุจักร, กรุงเทพมหานคร</v>
      </c>
      <c r="G237" s="10" t="s">
        <v>5659</v>
      </c>
      <c r="H237" s="10" t="s">
        <v>5449</v>
      </c>
      <c r="I237" s="10" t="s">
        <v>5348</v>
      </c>
      <c r="J237" s="10" t="n">
        <v>10900</v>
      </c>
      <c r="K237" s="10" t="s">
        <v>29</v>
      </c>
      <c r="L237" s="10" t="s">
        <v>29</v>
      </c>
      <c r="M237" s="10" t="s">
        <v>6945</v>
      </c>
      <c r="P237" s="10" t="s">
        <v>5352</v>
      </c>
      <c r="S237" s="10" t="s">
        <v>29</v>
      </c>
      <c r="T237" s="10" t="s">
        <v>29</v>
      </c>
      <c r="U237" s="10" t="s">
        <v>5367</v>
      </c>
      <c r="Z237" s="11" t="n">
        <v>1</v>
      </c>
    </row>
    <row r="238" customFormat="false" ht="17.9" hidden="false" customHeight="false" outlineLevel="0" collapsed="false">
      <c r="B238" s="10" t="s">
        <v>4773</v>
      </c>
      <c r="C238" s="10" t="s">
        <v>6946</v>
      </c>
      <c r="D238" s="10" t="s">
        <v>6947</v>
      </c>
      <c r="F238" s="17" t="str">
        <f aca="false">CONCATENATE(G238,", ",H238)</f>
        <v>อ.คลองหลวง, จ.ปทุมธานี</v>
      </c>
      <c r="G238" s="10" t="s">
        <v>6948</v>
      </c>
      <c r="H238" s="10" t="s">
        <v>6949</v>
      </c>
      <c r="I238" s="10" t="s">
        <v>5348</v>
      </c>
      <c r="J238" s="10" t="n">
        <v>12120</v>
      </c>
      <c r="K238" s="10" t="s">
        <v>6950</v>
      </c>
      <c r="L238" s="10" t="s">
        <v>6951</v>
      </c>
      <c r="M238" s="10" t="s">
        <v>6952</v>
      </c>
      <c r="P238" s="10" t="s">
        <v>5352</v>
      </c>
      <c r="Q238" s="10" t="s">
        <v>6953</v>
      </c>
      <c r="S238" s="10" t="s">
        <v>6954</v>
      </c>
      <c r="T238" s="10" t="s">
        <v>29</v>
      </c>
      <c r="U238" s="10" t="s">
        <v>5367</v>
      </c>
      <c r="Z238" s="11" t="n">
        <v>1</v>
      </c>
    </row>
    <row r="239" customFormat="false" ht="17.9" hidden="false" customHeight="false" outlineLevel="0" collapsed="false">
      <c r="B239" s="10" t="s">
        <v>6955</v>
      </c>
      <c r="C239" s="10" t="s">
        <v>6456</v>
      </c>
      <c r="D239" s="10" t="s">
        <v>6457</v>
      </c>
      <c r="F239" s="17" t="str">
        <f aca="false">CONCATENATE(G239,", ",H239)</f>
        <v>อ.เมืองสมุทรปราการ , จ.สมุทรปราการ</v>
      </c>
      <c r="G239" s="10" t="s">
        <v>6934</v>
      </c>
      <c r="H239" s="10" t="s">
        <v>5403</v>
      </c>
      <c r="I239" s="10" t="s">
        <v>5348</v>
      </c>
      <c r="J239" s="10" t="n">
        <v>10280</v>
      </c>
      <c r="K239" s="10" t="s">
        <v>29</v>
      </c>
      <c r="L239" s="10" t="s">
        <v>29</v>
      </c>
      <c r="M239" s="10" t="s">
        <v>6458</v>
      </c>
      <c r="P239" s="10" t="s">
        <v>5352</v>
      </c>
      <c r="S239" s="10" t="s">
        <v>6729</v>
      </c>
      <c r="T239" s="10" t="s">
        <v>29</v>
      </c>
      <c r="U239" s="10" t="s">
        <v>5367</v>
      </c>
      <c r="Z239" s="11" t="n">
        <v>1</v>
      </c>
    </row>
    <row r="240" customFormat="false" ht="17.9" hidden="false" customHeight="false" outlineLevel="0" collapsed="false">
      <c r="B240" s="10" t="s">
        <v>6956</v>
      </c>
      <c r="C240" s="10" t="s">
        <v>6957</v>
      </c>
      <c r="D240" s="10" t="s">
        <v>6958</v>
      </c>
      <c r="F240" s="17" t="str">
        <f aca="false">CONCATENATE(G240,", ",H240)</f>
        <v>อ.หนองโดน , จ.สระบุรี</v>
      </c>
      <c r="G240" s="10" t="s">
        <v>6959</v>
      </c>
      <c r="H240" s="10" t="s">
        <v>6960</v>
      </c>
      <c r="I240" s="10" t="s">
        <v>5348</v>
      </c>
      <c r="J240" s="10" t="n">
        <v>18190</v>
      </c>
      <c r="K240" s="10" t="s">
        <v>29</v>
      </c>
      <c r="L240" s="10" t="s">
        <v>29</v>
      </c>
      <c r="M240" s="10" t="s">
        <v>6961</v>
      </c>
      <c r="P240" s="10" t="s">
        <v>5352</v>
      </c>
      <c r="S240" s="10" t="s">
        <v>29</v>
      </c>
      <c r="T240" s="10" t="s">
        <v>29</v>
      </c>
      <c r="U240" s="10" t="s">
        <v>5367</v>
      </c>
      <c r="Z240" s="11" t="n">
        <v>1</v>
      </c>
    </row>
    <row r="241" customFormat="false" ht="17.9" hidden="false" customHeight="false" outlineLevel="0" collapsed="false">
      <c r="B241" s="10" t="s">
        <v>6962</v>
      </c>
      <c r="C241" s="10" t="s">
        <v>6963</v>
      </c>
      <c r="D241" s="10" t="s">
        <v>6964</v>
      </c>
      <c r="F241" s="17" t="str">
        <f aca="false">CONCATENATE(G241,", ",H241)</f>
        <v>อ.บางพลี, จ.สมุทรปราการ</v>
      </c>
      <c r="G241" s="10" t="s">
        <v>5434</v>
      </c>
      <c r="H241" s="10" t="s">
        <v>5403</v>
      </c>
      <c r="I241" s="10" t="s">
        <v>5348</v>
      </c>
      <c r="J241" s="10" t="n">
        <v>10270</v>
      </c>
      <c r="K241" s="10" t="s">
        <v>6965</v>
      </c>
      <c r="L241" s="10" t="s">
        <v>29</v>
      </c>
      <c r="M241" s="10" t="s">
        <v>6966</v>
      </c>
      <c r="P241" s="10" t="s">
        <v>5352</v>
      </c>
      <c r="S241" s="10" t="s">
        <v>29</v>
      </c>
      <c r="T241" s="10" t="s">
        <v>29</v>
      </c>
      <c r="U241" s="10" t="s">
        <v>5367</v>
      </c>
      <c r="Z241" s="11" t="n">
        <v>1</v>
      </c>
    </row>
    <row r="242" customFormat="false" ht="17.9" hidden="false" customHeight="false" outlineLevel="0" collapsed="false">
      <c r="B242" s="10" t="s">
        <v>6967</v>
      </c>
      <c r="C242" s="10" t="s">
        <v>6968</v>
      </c>
      <c r="D242" s="10" t="s">
        <v>6969</v>
      </c>
      <c r="F242" s="17" t="str">
        <f aca="false">CONCATENATE(G242,", ",H242)</f>
        <v>อ.ดอยตาล,  จ.มุกดาหาร</v>
      </c>
      <c r="G242" s="10" t="s">
        <v>6970</v>
      </c>
      <c r="H242" s="10" t="s">
        <v>6971</v>
      </c>
      <c r="I242" s="10" t="s">
        <v>5348</v>
      </c>
      <c r="J242" s="10" t="n">
        <v>49120</v>
      </c>
      <c r="K242" s="10" t="s">
        <v>29</v>
      </c>
      <c r="L242" s="10" t="s">
        <v>29</v>
      </c>
      <c r="M242" s="10" t="s">
        <v>6972</v>
      </c>
      <c r="P242" s="10" t="s">
        <v>5352</v>
      </c>
      <c r="S242" s="10" t="s">
        <v>29</v>
      </c>
      <c r="T242" s="10" t="s">
        <v>29</v>
      </c>
      <c r="U242" s="10" t="s">
        <v>5367</v>
      </c>
      <c r="Z242" s="11" t="n">
        <v>1</v>
      </c>
    </row>
    <row r="243" customFormat="false" ht="17.9" hidden="false" customHeight="false" outlineLevel="0" collapsed="false">
      <c r="B243" s="10" t="s">
        <v>6973</v>
      </c>
      <c r="C243" s="10" t="s">
        <v>6974</v>
      </c>
      <c r="D243" s="10" t="s">
        <v>6975</v>
      </c>
      <c r="F243" s="17" t="str">
        <f aca="false">CONCATENATE(G243,", ",H243)</f>
        <v>อ.บางพลี, จ.สมุทรปราการ</v>
      </c>
      <c r="G243" s="10" t="s">
        <v>5434</v>
      </c>
      <c r="H243" s="10" t="s">
        <v>5403</v>
      </c>
      <c r="I243" s="10" t="s">
        <v>5348</v>
      </c>
      <c r="J243" s="10" t="n">
        <v>10540</v>
      </c>
      <c r="K243" s="10" t="s">
        <v>29</v>
      </c>
      <c r="L243" s="10" t="s">
        <v>29</v>
      </c>
      <c r="M243" s="10" t="s">
        <v>29</v>
      </c>
      <c r="P243" s="10" t="s">
        <v>5352</v>
      </c>
      <c r="S243" s="10" t="s">
        <v>29</v>
      </c>
      <c r="T243" s="10" t="s">
        <v>29</v>
      </c>
      <c r="U243" s="10" t="s">
        <v>5367</v>
      </c>
      <c r="Z243" s="11" t="n">
        <v>1</v>
      </c>
    </row>
    <row r="244" customFormat="false" ht="17.9" hidden="false" customHeight="false" outlineLevel="0" collapsed="false">
      <c r="B244" s="10" t="s">
        <v>6976</v>
      </c>
      <c r="C244" s="10" t="s">
        <v>6977</v>
      </c>
      <c r="D244" s="10" t="s">
        <v>6978</v>
      </c>
      <c r="F244" s="17" t="str">
        <f aca="false">CONCATENATE(G244,", ",H244)</f>
        <v>เขตห้วยขวาง , กรุงเทพมหานคร</v>
      </c>
      <c r="G244" s="10" t="s">
        <v>5808</v>
      </c>
      <c r="H244" s="10" t="s">
        <v>5449</v>
      </c>
      <c r="I244" s="10" t="s">
        <v>5348</v>
      </c>
      <c r="J244" s="10" t="n">
        <v>10310</v>
      </c>
      <c r="K244" s="10" t="s">
        <v>6979</v>
      </c>
      <c r="L244" s="10" t="s">
        <v>6980</v>
      </c>
      <c r="M244" s="10" t="s">
        <v>6981</v>
      </c>
      <c r="P244" s="10" t="s">
        <v>5352</v>
      </c>
      <c r="Q244" s="10" t="s">
        <v>6982</v>
      </c>
      <c r="S244" s="10" t="s">
        <v>29</v>
      </c>
      <c r="T244" s="10" t="s">
        <v>29</v>
      </c>
      <c r="U244" s="10" t="s">
        <v>5377</v>
      </c>
      <c r="Z244" s="11" t="n">
        <v>1</v>
      </c>
    </row>
    <row r="245" customFormat="false" ht="17.9" hidden="false" customHeight="false" outlineLevel="0" collapsed="false">
      <c r="B245" s="10" t="s">
        <v>176</v>
      </c>
      <c r="C245" s="10" t="s">
        <v>6983</v>
      </c>
      <c r="D245" s="10" t="s">
        <v>6984</v>
      </c>
      <c r="F245" s="17" t="str">
        <f aca="false">CONCATENATE(G245,", ",H245)</f>
        <v>อ.พระสมุทรเจดีย์ , จ.สมุทรปราการ</v>
      </c>
      <c r="G245" s="10" t="s">
        <v>5569</v>
      </c>
      <c r="H245" s="10" t="s">
        <v>5403</v>
      </c>
      <c r="I245" s="10" t="s">
        <v>5348</v>
      </c>
      <c r="J245" s="10" t="n">
        <v>10290</v>
      </c>
      <c r="K245" s="10" t="s">
        <v>6985</v>
      </c>
      <c r="L245" s="10" t="s">
        <v>6986</v>
      </c>
      <c r="M245" s="10" t="s">
        <v>6987</v>
      </c>
      <c r="P245" s="10" t="s">
        <v>5352</v>
      </c>
      <c r="Q245" s="10" t="s">
        <v>6988</v>
      </c>
      <c r="S245" s="10" t="s">
        <v>6989</v>
      </c>
      <c r="T245" s="10" t="s">
        <v>6990</v>
      </c>
      <c r="U245" s="10" t="s">
        <v>5377</v>
      </c>
      <c r="Z245" s="11" t="n">
        <v>1</v>
      </c>
    </row>
    <row r="246" customFormat="false" ht="17.9" hidden="false" customHeight="false" outlineLevel="0" collapsed="false">
      <c r="B246" s="10" t="s">
        <v>4446</v>
      </c>
      <c r="C246" s="10" t="s">
        <v>6991</v>
      </c>
      <c r="D246" s="10" t="s">
        <v>6992</v>
      </c>
      <c r="F246" s="17" t="str">
        <f aca="false">CONCATENATE(G246,", ",H246)</f>
        <v>เขตยานนาวา , กรุงเทพมหานคร</v>
      </c>
      <c r="G246" s="10" t="s">
        <v>6993</v>
      </c>
      <c r="H246" s="10" t="s">
        <v>5449</v>
      </c>
      <c r="I246" s="10" t="s">
        <v>5348</v>
      </c>
      <c r="J246" s="10" t="n">
        <v>10120</v>
      </c>
      <c r="K246" s="10" t="s">
        <v>6994</v>
      </c>
      <c r="L246" s="10" t="s">
        <v>6995</v>
      </c>
      <c r="M246" s="10" t="s">
        <v>6996</v>
      </c>
      <c r="P246" s="10" t="s">
        <v>5352</v>
      </c>
      <c r="Q246" s="10" t="s">
        <v>6997</v>
      </c>
      <c r="S246" s="10" t="s">
        <v>29</v>
      </c>
      <c r="T246" s="10" t="s">
        <v>29</v>
      </c>
      <c r="U246" s="10" t="s">
        <v>5367</v>
      </c>
      <c r="Z246" s="11" t="n">
        <v>1</v>
      </c>
    </row>
    <row r="247" customFormat="false" ht="17.9" hidden="false" customHeight="false" outlineLevel="0" collapsed="false">
      <c r="B247" s="10" t="s">
        <v>3629</v>
      </c>
      <c r="C247" s="10" t="s">
        <v>6998</v>
      </c>
      <c r="D247" s="10" t="s">
        <v>6999</v>
      </c>
      <c r="F247" s="17" t="str">
        <f aca="false">CONCATENATE(G247,", ",H247)</f>
        <v>เขตราชเทวี, กรุงเทพมหานคร</v>
      </c>
      <c r="G247" s="10" t="s">
        <v>7000</v>
      </c>
      <c r="H247" s="10" t="s">
        <v>5449</v>
      </c>
      <c r="I247" s="10" t="s">
        <v>5348</v>
      </c>
      <c r="J247" s="10" t="n">
        <v>10400</v>
      </c>
      <c r="K247" s="10" t="s">
        <v>7001</v>
      </c>
      <c r="L247" s="10" t="s">
        <v>7002</v>
      </c>
      <c r="M247" s="10" t="s">
        <v>7003</v>
      </c>
      <c r="P247" s="10" t="s">
        <v>5352</v>
      </c>
      <c r="Q247" s="10" t="s">
        <v>7004</v>
      </c>
      <c r="S247" s="10" t="s">
        <v>29</v>
      </c>
      <c r="T247" s="10" t="s">
        <v>29</v>
      </c>
      <c r="U247" s="10" t="s">
        <v>5367</v>
      </c>
      <c r="Z247" s="11" t="n">
        <v>1</v>
      </c>
    </row>
    <row r="248" customFormat="false" ht="17.9" hidden="false" customHeight="false" outlineLevel="0" collapsed="false">
      <c r="B248" s="10" t="s">
        <v>7005</v>
      </c>
      <c r="C248" s="10" t="s">
        <v>7006</v>
      </c>
      <c r="D248" s="10" t="s">
        <v>7007</v>
      </c>
      <c r="F248" s="17" t="str">
        <f aca="false">CONCATENATE(G248,", ",H248)</f>
        <v>เขตสวนหลวง, กรุงเทพมหานคร</v>
      </c>
      <c r="G248" s="10" t="s">
        <v>5448</v>
      </c>
      <c r="H248" s="10" t="s">
        <v>5449</v>
      </c>
      <c r="I248" s="10" t="s">
        <v>5348</v>
      </c>
      <c r="J248" s="10" t="n">
        <v>10250</v>
      </c>
      <c r="K248" s="10" t="s">
        <v>7008</v>
      </c>
      <c r="L248" s="10" t="s">
        <v>7009</v>
      </c>
      <c r="M248" s="10" t="s">
        <v>7010</v>
      </c>
      <c r="P248" s="10" t="s">
        <v>5352</v>
      </c>
      <c r="Q248" s="10" t="s">
        <v>7011</v>
      </c>
      <c r="S248" s="10" t="s">
        <v>29</v>
      </c>
      <c r="T248" s="10" t="s">
        <v>29</v>
      </c>
      <c r="U248" s="10" t="s">
        <v>5377</v>
      </c>
      <c r="Z248" s="11" t="n">
        <v>1</v>
      </c>
    </row>
    <row r="249" customFormat="false" ht="17.9" hidden="false" customHeight="false" outlineLevel="0" collapsed="false">
      <c r="B249" s="10" t="s">
        <v>7012</v>
      </c>
      <c r="C249" s="10" t="s">
        <v>7013</v>
      </c>
      <c r="D249" s="10" t="s">
        <v>7014</v>
      </c>
      <c r="F249" s="17" t="str">
        <f aca="false">CONCATENATE(G249,", ",H249)</f>
        <v>เขตสาทร , กรุงเทพมหานคร</v>
      </c>
      <c r="G249" s="10" t="s">
        <v>5863</v>
      </c>
      <c r="H249" s="10" t="s">
        <v>5449</v>
      </c>
      <c r="I249" s="10" t="s">
        <v>5348</v>
      </c>
      <c r="J249" s="10" t="n">
        <v>10120</v>
      </c>
      <c r="K249" s="10" t="s">
        <v>7015</v>
      </c>
      <c r="L249" s="10" t="s">
        <v>29</v>
      </c>
      <c r="M249" s="10" t="s">
        <v>7016</v>
      </c>
      <c r="P249" s="10" t="s">
        <v>5352</v>
      </c>
      <c r="Q249" s="10" t="s">
        <v>7017</v>
      </c>
      <c r="S249" s="10" t="s">
        <v>29</v>
      </c>
      <c r="T249" s="10" t="s">
        <v>29</v>
      </c>
      <c r="U249" s="10" t="s">
        <v>5377</v>
      </c>
      <c r="Z249" s="11" t="n">
        <v>1</v>
      </c>
    </row>
    <row r="250" customFormat="false" ht="17.9" hidden="false" customHeight="false" outlineLevel="0" collapsed="false">
      <c r="B250" s="10" t="s">
        <v>7018</v>
      </c>
      <c r="C250" s="10" t="s">
        <v>7019</v>
      </c>
      <c r="D250" s="10" t="s">
        <v>7020</v>
      </c>
      <c r="F250" s="17" t="str">
        <f aca="false">CONCATENATE(G250,", ",H250)</f>
        <v>เขตคลองเตย, กรุงเทพมหานคร</v>
      </c>
      <c r="G250" s="10" t="s">
        <v>5576</v>
      </c>
      <c r="H250" s="10" t="s">
        <v>5449</v>
      </c>
      <c r="I250" s="10" t="s">
        <v>5348</v>
      </c>
      <c r="J250" s="10" t="n">
        <v>10110</v>
      </c>
      <c r="K250" s="10" t="s">
        <v>7021</v>
      </c>
      <c r="L250" s="10" t="s">
        <v>7022</v>
      </c>
      <c r="M250" s="10" t="s">
        <v>29</v>
      </c>
      <c r="P250" s="10" t="s">
        <v>5352</v>
      </c>
      <c r="S250" s="10" t="s">
        <v>7023</v>
      </c>
      <c r="T250" s="10" t="s">
        <v>29</v>
      </c>
      <c r="U250" s="10" t="s">
        <v>5367</v>
      </c>
      <c r="Z250" s="11" t="n">
        <v>1</v>
      </c>
    </row>
    <row r="251" customFormat="false" ht="17.9" hidden="false" customHeight="false" outlineLevel="0" collapsed="false">
      <c r="B251" s="10" t="s">
        <v>7024</v>
      </c>
      <c r="C251" s="10" t="s">
        <v>7025</v>
      </c>
      <c r="D251" s="10" t="s">
        <v>7026</v>
      </c>
      <c r="F251" s="17" t="str">
        <f aca="false">CONCATENATE(G251,", ",H251)</f>
        <v>อ.บางพลี, จ.สมุทรปราการ</v>
      </c>
      <c r="G251" s="10" t="s">
        <v>5434</v>
      </c>
      <c r="H251" s="10" t="s">
        <v>5403</v>
      </c>
      <c r="I251" s="10" t="s">
        <v>5348</v>
      </c>
      <c r="J251" s="10" t="n">
        <v>10540</v>
      </c>
      <c r="K251" s="10" t="s">
        <v>7027</v>
      </c>
      <c r="L251" s="10" t="s">
        <v>29</v>
      </c>
      <c r="M251" s="10" t="s">
        <v>7028</v>
      </c>
      <c r="P251" s="10" t="s">
        <v>5352</v>
      </c>
      <c r="Q251" s="10" t="s">
        <v>7029</v>
      </c>
      <c r="S251" s="10" t="s">
        <v>29</v>
      </c>
      <c r="T251" s="10" t="s">
        <v>29</v>
      </c>
      <c r="U251" s="10" t="s">
        <v>5367</v>
      </c>
      <c r="Z251" s="11" t="n">
        <v>1</v>
      </c>
    </row>
    <row r="252" customFormat="false" ht="17.9" hidden="false" customHeight="false" outlineLevel="0" collapsed="false">
      <c r="B252" s="10" t="s">
        <v>7030</v>
      </c>
      <c r="C252" s="10" t="s">
        <v>7025</v>
      </c>
      <c r="D252" s="10" t="s">
        <v>7031</v>
      </c>
      <c r="F252" s="17" t="str">
        <f aca="false">CONCATENATE(G252,", ",H252)</f>
        <v>อ.บางพลี, จ.สมุทรปราการ</v>
      </c>
      <c r="G252" s="10" t="s">
        <v>5434</v>
      </c>
      <c r="H252" s="10" t="s">
        <v>5403</v>
      </c>
      <c r="I252" s="10" t="s">
        <v>5348</v>
      </c>
      <c r="J252" s="10" t="n">
        <v>10540</v>
      </c>
      <c r="K252" s="10" t="s">
        <v>7027</v>
      </c>
      <c r="L252" s="10" t="s">
        <v>29</v>
      </c>
      <c r="M252" s="10" t="s">
        <v>7028</v>
      </c>
      <c r="P252" s="10" t="s">
        <v>5352</v>
      </c>
      <c r="Q252" s="10" t="s">
        <v>7029</v>
      </c>
      <c r="S252" s="10" t="s">
        <v>29</v>
      </c>
      <c r="T252" s="10" t="s">
        <v>29</v>
      </c>
      <c r="U252" s="10" t="s">
        <v>5367</v>
      </c>
      <c r="Z252" s="11" t="n">
        <v>1</v>
      </c>
    </row>
    <row r="253" customFormat="false" ht="17.9" hidden="false" customHeight="false" outlineLevel="0" collapsed="false">
      <c r="B253" s="10" t="s">
        <v>4193</v>
      </c>
      <c r="C253" s="10" t="s">
        <v>7032</v>
      </c>
      <c r="D253" s="10" t="s">
        <v>7033</v>
      </c>
      <c r="F253" s="17" t="str">
        <f aca="false">CONCATENATE(G253,", ",H253)</f>
        <v>อ.บางพลี, จ.สมุทรปราการ</v>
      </c>
      <c r="G253" s="10" t="s">
        <v>5434</v>
      </c>
      <c r="H253" s="10" t="s">
        <v>5403</v>
      </c>
      <c r="I253" s="10" t="s">
        <v>5348</v>
      </c>
      <c r="J253" s="10" t="n">
        <v>10540</v>
      </c>
      <c r="K253" s="10" t="s">
        <v>7034</v>
      </c>
      <c r="L253" s="10" t="s">
        <v>29</v>
      </c>
      <c r="M253" s="10" t="s">
        <v>7035</v>
      </c>
      <c r="P253" s="10" t="s">
        <v>5352</v>
      </c>
      <c r="Q253" s="10" t="s">
        <v>7036</v>
      </c>
      <c r="S253" s="10" t="s">
        <v>7037</v>
      </c>
      <c r="T253" s="10" t="s">
        <v>29</v>
      </c>
      <c r="U253" s="10" t="s">
        <v>5377</v>
      </c>
      <c r="Z253" s="11" t="n">
        <v>1</v>
      </c>
    </row>
    <row r="254" customFormat="false" ht="17.9" hidden="false" customHeight="false" outlineLevel="0" collapsed="false">
      <c r="B254" s="10" t="s">
        <v>7038</v>
      </c>
      <c r="C254" s="10" t="s">
        <v>7039</v>
      </c>
      <c r="D254" s="10" t="s">
        <v>7040</v>
      </c>
      <c r="F254" s="17" t="str">
        <f aca="false">CONCATENATE(G254,", ",H254)</f>
        <v>อ.เมืองสมุทรปราการ , จ.สมุทรปราการ</v>
      </c>
      <c r="G254" s="10" t="s">
        <v>6934</v>
      </c>
      <c r="H254" s="10" t="s">
        <v>5403</v>
      </c>
      <c r="I254" s="10" t="s">
        <v>5348</v>
      </c>
      <c r="J254" s="10" t="n">
        <v>10200</v>
      </c>
      <c r="K254" s="10" t="s">
        <v>7041</v>
      </c>
      <c r="L254" s="10" t="s">
        <v>7042</v>
      </c>
      <c r="M254" s="10" t="s">
        <v>7043</v>
      </c>
      <c r="P254" s="10" t="s">
        <v>5352</v>
      </c>
      <c r="Q254" s="10" t="s">
        <v>7044</v>
      </c>
      <c r="S254" s="10" t="s">
        <v>7045</v>
      </c>
      <c r="T254" s="10" t="s">
        <v>29</v>
      </c>
      <c r="U254" s="10" t="s">
        <v>5377</v>
      </c>
      <c r="Z254" s="11" t="n">
        <v>1</v>
      </c>
    </row>
    <row r="255" customFormat="false" ht="17.9" hidden="false" customHeight="false" outlineLevel="0" collapsed="false">
      <c r="B255" s="10" t="s">
        <v>7046</v>
      </c>
      <c r="C255" s="10" t="s">
        <v>7047</v>
      </c>
      <c r="D255" s="10" t="s">
        <v>7048</v>
      </c>
      <c r="F255" s="17" t="str">
        <f aca="false">CONCATENATE(G255,", ",H255)</f>
        <v>เขตบางบอน, กรุงเทพมหานคร</v>
      </c>
      <c r="G255" s="10" t="s">
        <v>5360</v>
      </c>
      <c r="H255" s="10" t="s">
        <v>5449</v>
      </c>
      <c r="I255" s="10" t="s">
        <v>5348</v>
      </c>
      <c r="J255" s="10" t="n">
        <v>10150</v>
      </c>
      <c r="K255" s="10" t="s">
        <v>7049</v>
      </c>
      <c r="L255" s="10" t="s">
        <v>29</v>
      </c>
      <c r="M255" s="10" t="s">
        <v>7050</v>
      </c>
      <c r="P255" s="10" t="s">
        <v>5352</v>
      </c>
      <c r="Q255" s="10" t="s">
        <v>7051</v>
      </c>
      <c r="S255" s="10" t="s">
        <v>7052</v>
      </c>
      <c r="T255" s="10" t="s">
        <v>29</v>
      </c>
      <c r="U255" s="10" t="s">
        <v>5367</v>
      </c>
      <c r="Z255" s="11" t="n">
        <v>1</v>
      </c>
    </row>
    <row r="256" customFormat="false" ht="17.9" hidden="false" customHeight="false" outlineLevel="0" collapsed="false">
      <c r="B256" s="10" t="s">
        <v>7053</v>
      </c>
      <c r="C256" s="10" t="s">
        <v>6998</v>
      </c>
      <c r="D256" s="10" t="s">
        <v>7054</v>
      </c>
      <c r="F256" s="17" t="str">
        <f aca="false">CONCATENATE(G256,", ",H256)</f>
        <v>เขตราชเทวี , กรุงเทพมหานคร</v>
      </c>
      <c r="G256" s="10" t="s">
        <v>7055</v>
      </c>
      <c r="H256" s="10" t="s">
        <v>5449</v>
      </c>
      <c r="I256" s="10" t="s">
        <v>5348</v>
      </c>
      <c r="J256" s="10" t="n">
        <v>10400</v>
      </c>
      <c r="K256" s="10" t="s">
        <v>7056</v>
      </c>
      <c r="L256" s="10" t="s">
        <v>7002</v>
      </c>
      <c r="M256" s="10" t="s">
        <v>7003</v>
      </c>
      <c r="P256" s="10" t="s">
        <v>5352</v>
      </c>
      <c r="Q256" s="10" t="s">
        <v>7004</v>
      </c>
      <c r="S256" s="10" t="s">
        <v>6269</v>
      </c>
      <c r="T256" s="10" t="s">
        <v>7057</v>
      </c>
      <c r="U256" s="10" t="s">
        <v>5367</v>
      </c>
      <c r="Z256" s="11" t="n">
        <v>1</v>
      </c>
    </row>
    <row r="257" customFormat="false" ht="17.9" hidden="false" customHeight="false" outlineLevel="0" collapsed="false">
      <c r="B257" s="10" t="s">
        <v>7058</v>
      </c>
      <c r="C257" s="10" t="s">
        <v>7059</v>
      </c>
      <c r="D257" s="10" t="s">
        <v>7060</v>
      </c>
      <c r="F257" s="17" t="str">
        <f aca="false">CONCATENATE(G257,", ",H257)</f>
        <v>อ.เมือง, จ.สมุทรสาคร</v>
      </c>
      <c r="G257" s="10" t="s">
        <v>5346</v>
      </c>
      <c r="H257" s="10" t="s">
        <v>5347</v>
      </c>
      <c r="I257" s="10" t="s">
        <v>5348</v>
      </c>
      <c r="J257" s="10" t="n">
        <v>74000</v>
      </c>
      <c r="K257" s="10" t="s">
        <v>7061</v>
      </c>
      <c r="L257" s="10" t="s">
        <v>7062</v>
      </c>
      <c r="M257" s="10" t="s">
        <v>7063</v>
      </c>
      <c r="P257" s="10" t="s">
        <v>5352</v>
      </c>
      <c r="Q257" s="10" t="s">
        <v>7064</v>
      </c>
      <c r="S257" s="10" t="s">
        <v>7065</v>
      </c>
      <c r="T257" s="10" t="s">
        <v>29</v>
      </c>
      <c r="U257" s="10" t="s">
        <v>5367</v>
      </c>
      <c r="Z257" s="11" t="n">
        <v>1</v>
      </c>
    </row>
    <row r="258" customFormat="false" ht="17.9" hidden="false" customHeight="false" outlineLevel="0" collapsed="false">
      <c r="B258" s="10" t="s">
        <v>7066</v>
      </c>
      <c r="C258" s="10" t="s">
        <v>7067</v>
      </c>
      <c r="D258" s="10" t="s">
        <v>7068</v>
      </c>
      <c r="F258" s="17" t="str">
        <f aca="false">CONCATENATE(G258,", ",H258)</f>
        <v>อ.บางพลี, จ.สมุทรปราการ</v>
      </c>
      <c r="G258" s="10" t="s">
        <v>5434</v>
      </c>
      <c r="H258" s="10" t="s">
        <v>5403</v>
      </c>
      <c r="I258" s="10" t="s">
        <v>5348</v>
      </c>
      <c r="J258" s="10" t="n">
        <v>10540</v>
      </c>
      <c r="K258" s="10" t="s">
        <v>7069</v>
      </c>
      <c r="L258" s="10" t="s">
        <v>29</v>
      </c>
      <c r="M258" s="10" t="s">
        <v>7070</v>
      </c>
      <c r="P258" s="10" t="s">
        <v>5352</v>
      </c>
      <c r="Q258" s="10" t="s">
        <v>7071</v>
      </c>
      <c r="S258" s="10" t="s">
        <v>7072</v>
      </c>
      <c r="T258" s="10" t="s">
        <v>29</v>
      </c>
      <c r="U258" s="10" t="s">
        <v>5377</v>
      </c>
      <c r="Z258" s="11" t="n">
        <v>1</v>
      </c>
    </row>
    <row r="259" customFormat="false" ht="18" hidden="false" customHeight="true" outlineLevel="0" collapsed="false">
      <c r="B259" s="10" t="s">
        <v>899</v>
      </c>
      <c r="C259" s="10" t="s">
        <v>7073</v>
      </c>
      <c r="D259" s="10" t="s">
        <v>7074</v>
      </c>
      <c r="F259" s="17" t="str">
        <f aca="false">CONCATENATE(G259,", ",H259)</f>
        <v>อ.บางพลี, จ.สมุทรปราการ</v>
      </c>
      <c r="G259" s="10" t="s">
        <v>5434</v>
      </c>
      <c r="H259" s="10" t="s">
        <v>5403</v>
      </c>
      <c r="I259" s="10" t="s">
        <v>5348</v>
      </c>
      <c r="J259" s="10" t="n">
        <v>10540</v>
      </c>
      <c r="K259" s="10" t="s">
        <v>7075</v>
      </c>
      <c r="L259" s="10" t="s">
        <v>29</v>
      </c>
      <c r="M259" s="10" t="s">
        <v>7076</v>
      </c>
      <c r="P259" s="10" t="s">
        <v>5352</v>
      </c>
      <c r="S259" s="10" t="s">
        <v>29</v>
      </c>
      <c r="T259" s="10" t="s">
        <v>29</v>
      </c>
      <c r="U259" s="10" t="s">
        <v>5377</v>
      </c>
      <c r="Z259" s="11" t="n">
        <v>1</v>
      </c>
    </row>
    <row r="260" customFormat="false" ht="18" hidden="false" customHeight="true" outlineLevel="0" collapsed="false">
      <c r="B260" s="10" t="s">
        <v>7077</v>
      </c>
      <c r="C260" s="10" t="s">
        <v>7078</v>
      </c>
      <c r="D260" s="10" t="s">
        <v>7079</v>
      </c>
      <c r="F260" s="17" t="str">
        <f aca="false">CONCATENATE(G260,", ",H260)</f>
        <v>เขตสาทร , กรุงเทพมหานคร</v>
      </c>
      <c r="G260" s="10" t="s">
        <v>5863</v>
      </c>
      <c r="H260" s="10" t="s">
        <v>5449</v>
      </c>
      <c r="I260" s="10" t="s">
        <v>5348</v>
      </c>
      <c r="J260" s="10" t="n">
        <v>10120</v>
      </c>
      <c r="K260" s="10" t="s">
        <v>7080</v>
      </c>
      <c r="L260" s="10" t="s">
        <v>7081</v>
      </c>
      <c r="M260" s="10" t="s">
        <v>7082</v>
      </c>
      <c r="P260" s="10" t="s">
        <v>5352</v>
      </c>
      <c r="Q260" s="10" t="s">
        <v>7083</v>
      </c>
      <c r="S260" s="10" t="s">
        <v>29</v>
      </c>
      <c r="T260" s="10" t="s">
        <v>29</v>
      </c>
      <c r="U260" s="10" t="s">
        <v>5367</v>
      </c>
      <c r="Z260" s="11" t="n">
        <v>1</v>
      </c>
    </row>
    <row r="261" customFormat="false" ht="17.9" hidden="false" customHeight="false" outlineLevel="0" collapsed="false">
      <c r="B261" s="10" t="s">
        <v>7084</v>
      </c>
      <c r="C261" s="10" t="s">
        <v>7085</v>
      </c>
      <c r="D261" s="10" t="s">
        <v>7086</v>
      </c>
      <c r="F261" s="17" t="str">
        <f aca="false">CONCATENATE(G261,", ",H261)</f>
        <v>เขตบางเขน, กรุงเทพมหานคร</v>
      </c>
      <c r="G261" s="10" t="s">
        <v>7087</v>
      </c>
      <c r="H261" s="10" t="s">
        <v>5449</v>
      </c>
      <c r="I261" s="10" t="s">
        <v>5348</v>
      </c>
      <c r="J261" s="10" t="n">
        <v>10230</v>
      </c>
      <c r="K261" s="10" t="s">
        <v>7088</v>
      </c>
      <c r="L261" s="10" t="s">
        <v>7089</v>
      </c>
      <c r="M261" s="10" t="s">
        <v>7090</v>
      </c>
      <c r="P261" s="10" t="s">
        <v>5352</v>
      </c>
      <c r="Q261" s="10" t="s">
        <v>7091</v>
      </c>
      <c r="S261" s="10" t="s">
        <v>29</v>
      </c>
      <c r="T261" s="10" t="s">
        <v>29</v>
      </c>
      <c r="U261" s="10" t="s">
        <v>5367</v>
      </c>
      <c r="Z261" s="11" t="n">
        <v>1</v>
      </c>
    </row>
    <row r="262" customFormat="false" ht="17.9" hidden="false" customHeight="false" outlineLevel="0" collapsed="false">
      <c r="B262" s="10" t="s">
        <v>7092</v>
      </c>
      <c r="C262" s="10" t="s">
        <v>7093</v>
      </c>
      <c r="D262" s="10" t="s">
        <v>7094</v>
      </c>
      <c r="F262" s="17" t="str">
        <f aca="false">CONCATENATE(G262,", ",H262)</f>
        <v>อ.เมืองสมุทรปราการ, จ.สมุทรปราการ</v>
      </c>
      <c r="G262" s="10" t="s">
        <v>5483</v>
      </c>
      <c r="H262" s="10" t="s">
        <v>5965</v>
      </c>
      <c r="I262" s="10" t="s">
        <v>5348</v>
      </c>
      <c r="J262" s="10" t="n">
        <v>10280</v>
      </c>
      <c r="K262" s="10" t="s">
        <v>7095</v>
      </c>
      <c r="L262" s="10" t="s">
        <v>7096</v>
      </c>
      <c r="M262" s="10" t="s">
        <v>7097</v>
      </c>
      <c r="P262" s="10" t="s">
        <v>5352</v>
      </c>
      <c r="S262" s="10" t="s">
        <v>29</v>
      </c>
      <c r="T262" s="10" t="s">
        <v>29</v>
      </c>
      <c r="U262" s="10" t="s">
        <v>5367</v>
      </c>
      <c r="Z262" s="11" t="n">
        <v>1</v>
      </c>
    </row>
    <row r="263" customFormat="false" ht="17.9" hidden="false" customHeight="false" outlineLevel="0" collapsed="false">
      <c r="B263" s="10" t="s">
        <v>7098</v>
      </c>
      <c r="C263" s="10" t="s">
        <v>7099</v>
      </c>
      <c r="D263" s="10" t="s">
        <v>7100</v>
      </c>
      <c r="F263" s="17" t="str">
        <f aca="false">CONCATENATE(G263,", ",H263)</f>
        <v>อ.บางพลี, จ.สมุทรปราการ</v>
      </c>
      <c r="G263" s="10" t="s">
        <v>5434</v>
      </c>
      <c r="H263" s="10" t="s">
        <v>5403</v>
      </c>
      <c r="I263" s="10" t="s">
        <v>5348</v>
      </c>
      <c r="J263" s="10" t="n">
        <v>10540</v>
      </c>
      <c r="K263" s="10" t="s">
        <v>7101</v>
      </c>
      <c r="L263" s="10" t="s">
        <v>7102</v>
      </c>
      <c r="M263" s="10" t="s">
        <v>7103</v>
      </c>
      <c r="P263" s="10" t="s">
        <v>5352</v>
      </c>
      <c r="Q263" s="10" t="s">
        <v>7104</v>
      </c>
      <c r="S263" s="10" t="s">
        <v>29</v>
      </c>
      <c r="T263" s="10" t="s">
        <v>29</v>
      </c>
      <c r="U263" s="10" t="s">
        <v>5367</v>
      </c>
      <c r="Z263" s="11" t="n">
        <v>1</v>
      </c>
    </row>
    <row r="264" customFormat="false" ht="17.9" hidden="false" customHeight="false" outlineLevel="0" collapsed="false">
      <c r="B264" s="10" t="s">
        <v>7105</v>
      </c>
      <c r="C264" s="10" t="s">
        <v>7106</v>
      </c>
      <c r="D264" s="10" t="s">
        <v>7107</v>
      </c>
      <c r="F264" s="17" t="str">
        <f aca="false">CONCATENATE(G264,", ",H264)</f>
        <v>เขตบางรัก , กรุงเทพมหานคร</v>
      </c>
      <c r="G264" s="10" t="s">
        <v>6155</v>
      </c>
      <c r="H264" s="10" t="s">
        <v>5449</v>
      </c>
      <c r="I264" s="10" t="s">
        <v>5348</v>
      </c>
      <c r="J264" s="10" t="n">
        <v>10500</v>
      </c>
      <c r="K264" s="10" t="s">
        <v>7108</v>
      </c>
      <c r="L264" s="10" t="s">
        <v>29</v>
      </c>
      <c r="M264" s="10" t="s">
        <v>7109</v>
      </c>
      <c r="P264" s="10" t="s">
        <v>5352</v>
      </c>
      <c r="Q264" s="10" t="s">
        <v>7110</v>
      </c>
      <c r="S264" s="10" t="s">
        <v>29</v>
      </c>
      <c r="T264" s="10" t="s">
        <v>29</v>
      </c>
      <c r="U264" s="10" t="s">
        <v>5367</v>
      </c>
      <c r="Z264" s="11" t="n">
        <v>1</v>
      </c>
    </row>
    <row r="265" customFormat="false" ht="18" hidden="false" customHeight="true" outlineLevel="0" collapsed="false">
      <c r="B265" s="10" t="s">
        <v>7111</v>
      </c>
      <c r="C265" s="10" t="s">
        <v>7112</v>
      </c>
      <c r="D265" s="10" t="s">
        <v>7113</v>
      </c>
      <c r="F265" s="17" t="str">
        <f aca="false">CONCATENATE(G265,", ",H265)</f>
        <v>เขตปทุมวัน, กรุงเทพมหานคร</v>
      </c>
      <c r="G265" s="10" t="s">
        <v>5514</v>
      </c>
      <c r="H265" s="10" t="s">
        <v>5449</v>
      </c>
      <c r="I265" s="10" t="s">
        <v>5348</v>
      </c>
      <c r="J265" s="10" t="n">
        <v>10330</v>
      </c>
      <c r="K265" s="10" t="s">
        <v>7114</v>
      </c>
      <c r="L265" s="10" t="s">
        <v>7115</v>
      </c>
      <c r="M265" s="10" t="s">
        <v>7116</v>
      </c>
      <c r="P265" s="10" t="s">
        <v>5352</v>
      </c>
      <c r="Q265" s="10" t="s">
        <v>6335</v>
      </c>
      <c r="S265" s="10" t="s">
        <v>29</v>
      </c>
      <c r="T265" s="10" t="s">
        <v>29</v>
      </c>
      <c r="U265" s="10" t="s">
        <v>5367</v>
      </c>
      <c r="Z265" s="11" t="n">
        <v>1</v>
      </c>
    </row>
    <row r="266" customFormat="false" ht="18" hidden="false" customHeight="true" outlineLevel="0" collapsed="false">
      <c r="B266" s="10" t="s">
        <v>7117</v>
      </c>
      <c r="C266" s="10" t="s">
        <v>7118</v>
      </c>
      <c r="D266" s="10" t="s">
        <v>7119</v>
      </c>
      <c r="F266" s="17" t="str">
        <f aca="false">CONCATENATE(G266,", ",H266)</f>
        <v>เขตบางบอน, กรุงเทพมหานคร</v>
      </c>
      <c r="G266" s="10" t="s">
        <v>5360</v>
      </c>
      <c r="H266" s="10" t="s">
        <v>5449</v>
      </c>
      <c r="I266" s="10" t="s">
        <v>5348</v>
      </c>
      <c r="J266" s="10" t="n">
        <v>10150</v>
      </c>
      <c r="K266" s="10" t="s">
        <v>7120</v>
      </c>
      <c r="L266" s="10" t="s">
        <v>7121</v>
      </c>
      <c r="M266" s="10" t="s">
        <v>7122</v>
      </c>
      <c r="P266" s="10" t="s">
        <v>5352</v>
      </c>
      <c r="Q266" s="10" t="s">
        <v>7123</v>
      </c>
      <c r="S266" s="10" t="s">
        <v>29</v>
      </c>
      <c r="T266" s="10" t="s">
        <v>29</v>
      </c>
      <c r="U266" s="10" t="s">
        <v>5367</v>
      </c>
      <c r="Z266" s="11" t="n">
        <v>1</v>
      </c>
    </row>
    <row r="267" customFormat="false" ht="17.9" hidden="false" customHeight="false" outlineLevel="0" collapsed="false">
      <c r="B267" s="10" t="s">
        <v>7124</v>
      </c>
      <c r="C267" s="10" t="s">
        <v>7125</v>
      </c>
      <c r="D267" s="10" t="s">
        <v>7126</v>
      </c>
      <c r="F267" s="17" t="str">
        <f aca="false">CONCATENATE(G267,", ",H267)</f>
        <v>อ.บางพลี, จ.สมุทรปราการ</v>
      </c>
      <c r="G267" s="10" t="s">
        <v>5434</v>
      </c>
      <c r="H267" s="10" t="s">
        <v>5403</v>
      </c>
      <c r="I267" s="10" t="s">
        <v>5348</v>
      </c>
      <c r="J267" s="10" t="n">
        <v>10540</v>
      </c>
      <c r="K267" s="10" t="s">
        <v>7127</v>
      </c>
      <c r="L267" s="10" t="s">
        <v>29</v>
      </c>
      <c r="M267" s="10" t="s">
        <v>7128</v>
      </c>
      <c r="P267" s="10" t="s">
        <v>5352</v>
      </c>
      <c r="S267" s="10" t="s">
        <v>29</v>
      </c>
      <c r="T267" s="10" t="s">
        <v>29</v>
      </c>
      <c r="U267" s="10" t="s">
        <v>5367</v>
      </c>
      <c r="Z267" s="11" t="n">
        <v>1</v>
      </c>
    </row>
    <row r="268" customFormat="false" ht="17.9" hidden="false" customHeight="false" outlineLevel="0" collapsed="false">
      <c r="B268" s="10" t="s">
        <v>567</v>
      </c>
      <c r="C268" s="10" t="s">
        <v>7129</v>
      </c>
      <c r="D268" s="10" t="s">
        <v>7130</v>
      </c>
      <c r="F268" s="17" t="str">
        <f aca="false">CONCATENATE(G268,", ",H268)</f>
        <v>อ.บางเสาธง, จ.สมุทรปราการ</v>
      </c>
      <c r="G268" s="10" t="s">
        <v>5679</v>
      </c>
      <c r="H268" s="10" t="s">
        <v>5403</v>
      </c>
      <c r="I268" s="10" t="s">
        <v>5348</v>
      </c>
      <c r="J268" s="10" t="n">
        <v>10570</v>
      </c>
      <c r="K268" s="10" t="s">
        <v>7131</v>
      </c>
      <c r="L268" s="10" t="s">
        <v>7132</v>
      </c>
      <c r="M268" s="10" t="s">
        <v>7133</v>
      </c>
      <c r="P268" s="10" t="s">
        <v>5352</v>
      </c>
      <c r="S268" s="10" t="s">
        <v>7134</v>
      </c>
      <c r="T268" s="10" t="s">
        <v>29</v>
      </c>
      <c r="U268" s="10" t="s">
        <v>5377</v>
      </c>
      <c r="Z268" s="11" t="n">
        <v>1</v>
      </c>
    </row>
    <row r="269" customFormat="false" ht="17.9" hidden="false" customHeight="false" outlineLevel="0" collapsed="false">
      <c r="B269" s="10" t="s">
        <v>7135</v>
      </c>
      <c r="C269" s="10" t="s">
        <v>7136</v>
      </c>
      <c r="D269" s="10" t="s">
        <v>7137</v>
      </c>
      <c r="F269" s="17" t="str">
        <f aca="false">CONCATENATE(G269,", ",H269)</f>
        <v>อ.เมืองสมุทรปราการ, จ.สมุทรปราการ</v>
      </c>
      <c r="G269" s="10" t="s">
        <v>5483</v>
      </c>
      <c r="H269" s="10" t="s">
        <v>5403</v>
      </c>
      <c r="I269" s="10" t="s">
        <v>5348</v>
      </c>
      <c r="J269" s="10" t="n">
        <v>10270</v>
      </c>
      <c r="K269" s="10" t="s">
        <v>7138</v>
      </c>
      <c r="L269" s="10" t="s">
        <v>29</v>
      </c>
      <c r="M269" s="10" t="s">
        <v>7139</v>
      </c>
      <c r="P269" s="10" t="s">
        <v>5352</v>
      </c>
      <c r="S269" s="10" t="s">
        <v>29</v>
      </c>
      <c r="T269" s="10" t="s">
        <v>29</v>
      </c>
      <c r="U269" s="10" t="s">
        <v>5367</v>
      </c>
      <c r="Z269" s="11" t="n">
        <v>1</v>
      </c>
    </row>
    <row r="270" customFormat="false" ht="17.9" hidden="false" customHeight="false" outlineLevel="0" collapsed="false">
      <c r="B270" s="10" t="s">
        <v>7140</v>
      </c>
      <c r="C270" s="10" t="s">
        <v>7141</v>
      </c>
      <c r="D270" s="10" t="s">
        <v>7142</v>
      </c>
      <c r="F270" s="17" t="str">
        <f aca="false">CONCATENATE(G270,", ",H270)</f>
        <v>เขตบางขุนเทียน, กรุงเทพมหานคร</v>
      </c>
      <c r="G270" s="10" t="s">
        <v>5867</v>
      </c>
      <c r="H270" s="10" t="s">
        <v>5449</v>
      </c>
      <c r="I270" s="10" t="s">
        <v>5348</v>
      </c>
      <c r="J270" s="10" t="n">
        <v>10150</v>
      </c>
      <c r="K270" s="10" t="s">
        <v>7143</v>
      </c>
      <c r="L270" s="10" t="s">
        <v>7144</v>
      </c>
      <c r="M270" s="10" t="s">
        <v>7145</v>
      </c>
      <c r="P270" s="10" t="s">
        <v>5352</v>
      </c>
      <c r="S270" s="10" t="s">
        <v>29</v>
      </c>
      <c r="T270" s="10" t="s">
        <v>29</v>
      </c>
      <c r="U270" s="10" t="s">
        <v>5367</v>
      </c>
      <c r="Z270" s="11" t="n">
        <v>1</v>
      </c>
    </row>
    <row r="271" customFormat="false" ht="17.9" hidden="false" customHeight="false" outlineLevel="0" collapsed="false">
      <c r="B271" s="10" t="s">
        <v>7146</v>
      </c>
      <c r="C271" s="10" t="s">
        <v>7147</v>
      </c>
      <c r="D271" s="10" t="s">
        <v>7148</v>
      </c>
      <c r="F271" s="17" t="str">
        <f aca="false">CONCATENATE(G271,", ",H271)</f>
        <v>เขตคลองสามวา, กรุงเทพมหานคร</v>
      </c>
      <c r="G271" s="10" t="s">
        <v>6190</v>
      </c>
      <c r="H271" s="10" t="s">
        <v>5449</v>
      </c>
      <c r="I271" s="10" t="s">
        <v>5348</v>
      </c>
      <c r="J271" s="10" t="n">
        <v>10510</v>
      </c>
      <c r="K271" s="10" t="s">
        <v>7149</v>
      </c>
      <c r="M271" s="10" t="s">
        <v>7150</v>
      </c>
      <c r="P271" s="10" t="s">
        <v>5352</v>
      </c>
      <c r="S271" s="10" t="s">
        <v>29</v>
      </c>
      <c r="T271" s="10" t="s">
        <v>29</v>
      </c>
      <c r="U271" s="10" t="s">
        <v>5367</v>
      </c>
      <c r="Z271" s="11" t="n">
        <v>1</v>
      </c>
    </row>
    <row r="272" customFormat="false" ht="17.25" hidden="false" customHeight="true" outlineLevel="0" collapsed="false">
      <c r="B272" s="10" t="s">
        <v>7151</v>
      </c>
      <c r="C272" s="10" t="s">
        <v>7152</v>
      </c>
      <c r="D272" s="10" t="s">
        <v>7153</v>
      </c>
      <c r="F272" s="17" t="str">
        <f aca="false">CONCATENATE(G272,", ",H272)</f>
        <v>เขตยานนาวา, กรุงเทพมหานคร</v>
      </c>
      <c r="G272" s="10" t="s">
        <v>7154</v>
      </c>
      <c r="H272" s="10" t="s">
        <v>5449</v>
      </c>
      <c r="I272" s="10" t="s">
        <v>5348</v>
      </c>
      <c r="J272" s="10" t="n">
        <v>10120</v>
      </c>
      <c r="K272" s="10" t="s">
        <v>7155</v>
      </c>
      <c r="M272" s="10" t="s">
        <v>7156</v>
      </c>
      <c r="P272" s="10" t="s">
        <v>5352</v>
      </c>
      <c r="S272" s="10" t="s">
        <v>7157</v>
      </c>
      <c r="T272" s="10" t="s">
        <v>7158</v>
      </c>
      <c r="U272" s="10" t="s">
        <v>5377</v>
      </c>
      <c r="Z272" s="11" t="n">
        <v>1</v>
      </c>
    </row>
    <row r="273" customFormat="false" ht="17.9" hidden="false" customHeight="false" outlineLevel="0" collapsed="false">
      <c r="B273" s="10" t="s">
        <v>7159</v>
      </c>
      <c r="C273" s="10" t="s">
        <v>7160</v>
      </c>
      <c r="D273" s="10" t="s">
        <v>7161</v>
      </c>
      <c r="F273" s="17" t="str">
        <f aca="false">CONCATENATE(G273,", ",H273)</f>
        <v>อำเภอลำลูกกา, จ.ปทุมธานี</v>
      </c>
      <c r="G273" s="10" t="s">
        <v>7162</v>
      </c>
      <c r="H273" s="10" t="s">
        <v>7163</v>
      </c>
      <c r="I273" s="10" t="s">
        <v>5348</v>
      </c>
      <c r="J273" s="10" t="n">
        <v>12150</v>
      </c>
      <c r="K273" s="10" t="s">
        <v>7164</v>
      </c>
      <c r="M273" s="10" t="s">
        <v>7165</v>
      </c>
      <c r="P273" s="10" t="s">
        <v>5352</v>
      </c>
      <c r="Q273" s="10" t="s">
        <v>7166</v>
      </c>
      <c r="S273" s="10" t="s">
        <v>7167</v>
      </c>
      <c r="T273" s="10" t="s">
        <v>29</v>
      </c>
      <c r="U273" s="10" t="s">
        <v>5367</v>
      </c>
      <c r="Z273" s="11" t="n">
        <v>1</v>
      </c>
    </row>
    <row r="274" customFormat="false" ht="17.9" hidden="false" customHeight="false" outlineLevel="0" collapsed="false">
      <c r="B274" s="10" t="s">
        <v>7168</v>
      </c>
      <c r="C274" s="10" t="s">
        <v>7169</v>
      </c>
      <c r="D274" s="10" t="s">
        <v>7170</v>
      </c>
      <c r="F274" s="17" t="str">
        <f aca="false">CONCATENATE(G274,", ",H274)</f>
        <v>อ.คลองหลวง,  จ.ปทุมธานี</v>
      </c>
      <c r="G274" s="10" t="s">
        <v>6948</v>
      </c>
      <c r="H274" s="10" t="s">
        <v>6372</v>
      </c>
      <c r="I274" s="10" t="s">
        <v>5348</v>
      </c>
      <c r="J274" s="10" t="n">
        <v>12120</v>
      </c>
      <c r="K274" s="10" t="s">
        <v>7171</v>
      </c>
      <c r="M274" s="10" t="s">
        <v>7172</v>
      </c>
      <c r="P274" s="10" t="s">
        <v>5352</v>
      </c>
      <c r="Q274" s="10" t="s">
        <v>7173</v>
      </c>
      <c r="S274" s="10" t="s">
        <v>29</v>
      </c>
      <c r="T274" s="10" t="s">
        <v>29</v>
      </c>
      <c r="U274" s="10" t="s">
        <v>5367</v>
      </c>
      <c r="Z274" s="11" t="n">
        <v>1</v>
      </c>
    </row>
    <row r="275" customFormat="false" ht="17.9" hidden="false" customHeight="false" outlineLevel="0" collapsed="false">
      <c r="B275" s="10" t="s">
        <v>7174</v>
      </c>
      <c r="C275" s="10" t="s">
        <v>7175</v>
      </c>
      <c r="D275" s="10" t="s">
        <v>7176</v>
      </c>
      <c r="F275" s="17" t="str">
        <f aca="false">CONCATENATE(G275,", ",H275)</f>
        <v>อ.บางพลี, จ.สมุทรปราการ</v>
      </c>
      <c r="G275" s="10" t="s">
        <v>5434</v>
      </c>
      <c r="H275" s="10" t="s">
        <v>5403</v>
      </c>
      <c r="I275" s="10" t="s">
        <v>5348</v>
      </c>
      <c r="J275" s="10" t="n">
        <v>10540</v>
      </c>
      <c r="K275" s="10" t="s">
        <v>7177</v>
      </c>
      <c r="M275" s="10" t="s">
        <v>7178</v>
      </c>
      <c r="P275" s="10" t="s">
        <v>5352</v>
      </c>
      <c r="Q275" s="10" t="s">
        <v>7179</v>
      </c>
      <c r="S275" s="10" t="s">
        <v>7180</v>
      </c>
      <c r="T275" s="10" t="s">
        <v>29</v>
      </c>
      <c r="U275" s="10" t="s">
        <v>5367</v>
      </c>
      <c r="Z275" s="11" t="n">
        <v>1</v>
      </c>
    </row>
    <row r="276" customFormat="false" ht="17.9" hidden="false" customHeight="false" outlineLevel="0" collapsed="false">
      <c r="B276" s="10" t="s">
        <v>7181</v>
      </c>
      <c r="C276" s="10" t="s">
        <v>7182</v>
      </c>
      <c r="D276" s="10" t="s">
        <v>7183</v>
      </c>
      <c r="F276" s="17" t="str">
        <f aca="false">CONCATENATE(G276,", ",H276)</f>
        <v>เขตสาทร , กรุงเทพมหานคร</v>
      </c>
      <c r="G276" s="10" t="s">
        <v>5863</v>
      </c>
      <c r="H276" s="10" t="s">
        <v>5449</v>
      </c>
      <c r="I276" s="10" t="s">
        <v>5348</v>
      </c>
      <c r="J276" s="10" t="n">
        <v>10120</v>
      </c>
      <c r="K276" s="10" t="s">
        <v>7184</v>
      </c>
      <c r="L276" s="10" t="s">
        <v>29</v>
      </c>
      <c r="M276" s="10" t="s">
        <v>7185</v>
      </c>
      <c r="P276" s="10" t="s">
        <v>5352</v>
      </c>
      <c r="Q276" s="10" t="s">
        <v>6335</v>
      </c>
      <c r="S276" s="10" t="s">
        <v>29</v>
      </c>
      <c r="T276" s="10" t="s">
        <v>29</v>
      </c>
      <c r="U276" s="10" t="s">
        <v>5367</v>
      </c>
      <c r="Z276" s="11" t="n">
        <v>1</v>
      </c>
    </row>
    <row r="277" customFormat="false" ht="17.9" hidden="false" customHeight="false" outlineLevel="0" collapsed="false">
      <c r="B277" s="10" t="s">
        <v>7186</v>
      </c>
      <c r="C277" s="10" t="s">
        <v>7187</v>
      </c>
      <c r="D277" s="10" t="s">
        <v>7188</v>
      </c>
      <c r="F277" s="17" t="str">
        <f aca="false">CONCATENATE(G277,", ",H277)</f>
        <v>เขตสวนหลวง, กรุงเทพมหานคร</v>
      </c>
      <c r="G277" s="10" t="s">
        <v>5448</v>
      </c>
      <c r="H277" s="10" t="s">
        <v>5449</v>
      </c>
      <c r="I277" s="10" t="s">
        <v>5348</v>
      </c>
      <c r="J277" s="10" t="n">
        <v>10250</v>
      </c>
      <c r="K277" s="10" t="s">
        <v>7189</v>
      </c>
      <c r="M277" s="10" t="s">
        <v>7190</v>
      </c>
      <c r="P277" s="10" t="s">
        <v>5352</v>
      </c>
      <c r="S277" s="10" t="s">
        <v>7191</v>
      </c>
      <c r="T277" s="10" t="s">
        <v>29</v>
      </c>
      <c r="U277" s="10" t="s">
        <v>5367</v>
      </c>
      <c r="Z277" s="11" t="n">
        <v>1</v>
      </c>
    </row>
    <row r="278" customFormat="false" ht="17.9" hidden="false" customHeight="false" outlineLevel="0" collapsed="false">
      <c r="B278" s="10" t="s">
        <v>7192</v>
      </c>
      <c r="C278" s="10" t="s">
        <v>7193</v>
      </c>
      <c r="D278" s="10" t="s">
        <v>7194</v>
      </c>
      <c r="F278" s="17" t="str">
        <f aca="false">CONCATENATE(G278,", ",H278)</f>
        <v>เขตหลักสี่, กรุงเทพมหานคร</v>
      </c>
      <c r="G278" s="10" t="s">
        <v>7195</v>
      </c>
      <c r="H278" s="10" t="s">
        <v>5449</v>
      </c>
      <c r="I278" s="10" t="s">
        <v>5348</v>
      </c>
      <c r="J278" s="10" t="n">
        <v>10210</v>
      </c>
      <c r="K278" s="10" t="n">
        <v>1100</v>
      </c>
      <c r="L278" s="10" t="s">
        <v>7196</v>
      </c>
      <c r="M278" s="10" t="s">
        <v>7197</v>
      </c>
      <c r="P278" s="10" t="s">
        <v>5352</v>
      </c>
      <c r="S278" s="10" t="s">
        <v>29</v>
      </c>
      <c r="T278" s="10" t="s">
        <v>29</v>
      </c>
      <c r="U278" s="10" t="s">
        <v>5367</v>
      </c>
      <c r="Z278" s="11" t="n">
        <v>1</v>
      </c>
    </row>
    <row r="279" customFormat="false" ht="17.9" hidden="false" customHeight="false" outlineLevel="0" collapsed="false">
      <c r="B279" s="10" t="s">
        <v>7198</v>
      </c>
      <c r="C279" s="10" t="s">
        <v>7199</v>
      </c>
      <c r="D279" s="10" t="s">
        <v>7200</v>
      </c>
      <c r="F279" s="17" t="str">
        <f aca="false">CONCATENATE(G279,", ",H279)</f>
        <v>เขตบางคอแหลม, กรุงเทพมหานคร</v>
      </c>
      <c r="G279" s="10" t="s">
        <v>7201</v>
      </c>
      <c r="H279" s="10" t="s">
        <v>5449</v>
      </c>
      <c r="I279" s="10" t="s">
        <v>5348</v>
      </c>
      <c r="J279" s="10" t="n">
        <v>10100</v>
      </c>
      <c r="K279" s="10" t="s">
        <v>7202</v>
      </c>
      <c r="M279" s="10" t="s">
        <v>7203</v>
      </c>
      <c r="P279" s="10" t="s">
        <v>5352</v>
      </c>
      <c r="Q279" s="10" t="s">
        <v>7204</v>
      </c>
      <c r="S279" s="10" t="s">
        <v>7205</v>
      </c>
      <c r="T279" s="10" t="s">
        <v>7206</v>
      </c>
      <c r="U279" s="10" t="s">
        <v>5367</v>
      </c>
      <c r="Z279" s="11" t="n">
        <v>1</v>
      </c>
    </row>
    <row r="280" customFormat="false" ht="17.9" hidden="false" customHeight="false" outlineLevel="0" collapsed="false">
      <c r="B280" s="10" t="s">
        <v>110</v>
      </c>
      <c r="C280" s="10" t="s">
        <v>7207</v>
      </c>
      <c r="D280" s="10" t="s">
        <v>7208</v>
      </c>
      <c r="F280" s="17" t="str">
        <f aca="false">CONCATENATE(G280,", ",H280)</f>
        <v>อ.บางพลี, จ.สมุทรปราการ</v>
      </c>
      <c r="G280" s="10" t="s">
        <v>5434</v>
      </c>
      <c r="H280" s="10" t="s">
        <v>5403</v>
      </c>
      <c r="I280" s="10" t="s">
        <v>5348</v>
      </c>
      <c r="J280" s="10" t="n">
        <v>10540</v>
      </c>
      <c r="K280" s="10" t="s">
        <v>7209</v>
      </c>
      <c r="L280" s="10" t="s">
        <v>29</v>
      </c>
      <c r="M280" s="10" t="s">
        <v>7210</v>
      </c>
      <c r="P280" s="10" t="s">
        <v>5352</v>
      </c>
      <c r="S280" s="10" t="s">
        <v>29</v>
      </c>
      <c r="T280" s="10" t="s">
        <v>29</v>
      </c>
      <c r="U280" s="10" t="s">
        <v>5377</v>
      </c>
      <c r="Z280" s="11" t="n">
        <v>1</v>
      </c>
    </row>
    <row r="281" customFormat="false" ht="17.9" hidden="false" customHeight="false" outlineLevel="0" collapsed="false">
      <c r="B281" s="10" t="s">
        <v>7211</v>
      </c>
      <c r="C281" s="10" t="s">
        <v>7212</v>
      </c>
      <c r="D281" s="10" t="s">
        <v>7213</v>
      </c>
      <c r="F281" s="17" t="str">
        <f aca="false">CONCATENATE(G281,", ",H281)</f>
        <v>อำเภอบางน้ำเปรี้ยว,  จ.ฉะเชิงเทรา</v>
      </c>
      <c r="G281" s="10" t="s">
        <v>7214</v>
      </c>
      <c r="H281" s="10" t="s">
        <v>6833</v>
      </c>
      <c r="I281" s="10" t="s">
        <v>5348</v>
      </c>
      <c r="J281" s="10" t="n">
        <v>24000</v>
      </c>
      <c r="K281" s="10" t="s">
        <v>7215</v>
      </c>
      <c r="M281" s="10" t="s">
        <v>29</v>
      </c>
      <c r="P281" s="10" t="s">
        <v>5352</v>
      </c>
      <c r="S281" s="10" t="s">
        <v>7216</v>
      </c>
      <c r="T281" s="10" t="s">
        <v>29</v>
      </c>
      <c r="U281" s="10" t="s">
        <v>5377</v>
      </c>
      <c r="Z281" s="11" t="n">
        <v>1</v>
      </c>
    </row>
    <row r="282" customFormat="false" ht="17.9" hidden="false" customHeight="false" outlineLevel="0" collapsed="false">
      <c r="B282" s="10" t="s">
        <v>7217</v>
      </c>
      <c r="C282" s="10" t="s">
        <v>7218</v>
      </c>
      <c r="D282" s="10" t="s">
        <v>7219</v>
      </c>
      <c r="F282" s="17" t="str">
        <f aca="false">CONCATENATE(G282,", ",H282)</f>
        <v>อ.บางกวย , จ.นนทบุรี</v>
      </c>
      <c r="G282" s="10" t="s">
        <v>7220</v>
      </c>
      <c r="H282" s="10" t="s">
        <v>5497</v>
      </c>
      <c r="I282" s="10" t="s">
        <v>5348</v>
      </c>
      <c r="J282" s="10" t="n">
        <v>11130</v>
      </c>
      <c r="K282" s="10" t="s">
        <v>7221</v>
      </c>
      <c r="L282" s="10" t="s">
        <v>7222</v>
      </c>
      <c r="M282" s="10" t="s">
        <v>7223</v>
      </c>
      <c r="P282" s="10" t="s">
        <v>5352</v>
      </c>
      <c r="Q282" s="10" t="s">
        <v>7224</v>
      </c>
      <c r="S282" s="10" t="s">
        <v>29</v>
      </c>
      <c r="T282" s="10" t="s">
        <v>29</v>
      </c>
      <c r="U282" s="10" t="s">
        <v>5377</v>
      </c>
      <c r="Z282" s="11" t="n">
        <v>1</v>
      </c>
    </row>
    <row r="283" customFormat="false" ht="17.9" hidden="false" customHeight="false" outlineLevel="0" collapsed="false">
      <c r="B283" s="10" t="s">
        <v>7225</v>
      </c>
      <c r="C283" s="10" t="s">
        <v>7226</v>
      </c>
      <c r="D283" s="10" t="s">
        <v>7227</v>
      </c>
      <c r="F283" s="17" t="str">
        <f aca="false">CONCATENATE(G283,", ",H283)</f>
        <v>เขตพระนคร, กรุงเทพมหานคร</v>
      </c>
      <c r="G283" s="10" t="s">
        <v>7228</v>
      </c>
      <c r="H283" s="10" t="s">
        <v>5449</v>
      </c>
      <c r="I283" s="10" t="s">
        <v>5348</v>
      </c>
      <c r="J283" s="10" t="n">
        <v>10200</v>
      </c>
      <c r="K283" s="10" t="s">
        <v>7229</v>
      </c>
      <c r="M283" s="10" t="s">
        <v>7230</v>
      </c>
      <c r="P283" s="10" t="s">
        <v>5352</v>
      </c>
      <c r="S283" s="10" t="s">
        <v>29</v>
      </c>
      <c r="T283" s="10" t="s">
        <v>29</v>
      </c>
      <c r="U283" s="10" t="s">
        <v>5367</v>
      </c>
      <c r="Z283" s="11" t="n">
        <v>1</v>
      </c>
    </row>
    <row r="284" customFormat="false" ht="17.9" hidden="false" customHeight="false" outlineLevel="0" collapsed="false">
      <c r="B284" s="10" t="s">
        <v>7231</v>
      </c>
      <c r="C284" s="10" t="s">
        <v>7232</v>
      </c>
      <c r="D284" s="10" t="s">
        <v>7233</v>
      </c>
      <c r="F284" s="17" t="str">
        <f aca="false">CONCATENATE(G284,", ",H284)</f>
        <v>อ.บางพลี, จ.สมุทรปราการ</v>
      </c>
      <c r="G284" s="10" t="s">
        <v>5434</v>
      </c>
      <c r="H284" s="10" t="s">
        <v>5403</v>
      </c>
      <c r="I284" s="10" t="s">
        <v>5348</v>
      </c>
      <c r="J284" s="10" t="n">
        <v>10270</v>
      </c>
      <c r="K284" s="10" t="s">
        <v>7234</v>
      </c>
      <c r="M284" s="10" t="s">
        <v>7235</v>
      </c>
      <c r="P284" s="10" t="s">
        <v>5352</v>
      </c>
      <c r="Q284" s="10" t="s">
        <v>7236</v>
      </c>
      <c r="S284" s="10" t="s">
        <v>7237</v>
      </c>
      <c r="T284" s="10" t="s">
        <v>29</v>
      </c>
      <c r="U284" s="10" t="s">
        <v>5367</v>
      </c>
      <c r="Z284" s="11" t="n">
        <v>1</v>
      </c>
    </row>
    <row r="285" customFormat="false" ht="17.9" hidden="false" customHeight="false" outlineLevel="0" collapsed="false">
      <c r="B285" s="10" t="s">
        <v>7238</v>
      </c>
      <c r="C285" s="10" t="s">
        <v>7239</v>
      </c>
      <c r="D285" s="10" t="s">
        <v>7240</v>
      </c>
      <c r="F285" s="17" t="str">
        <f aca="false">CONCATENATE(G285,", ",H285)</f>
        <v>เขตประเวศ, กรุงเทพมหานคร</v>
      </c>
      <c r="G285" s="10" t="s">
        <v>5770</v>
      </c>
      <c r="H285" s="10" t="s">
        <v>5449</v>
      </c>
      <c r="I285" s="10" t="s">
        <v>5348</v>
      </c>
      <c r="J285" s="10" t="n">
        <v>10250</v>
      </c>
      <c r="K285" s="10" t="s">
        <v>7241</v>
      </c>
      <c r="M285" s="10" t="s">
        <v>7242</v>
      </c>
      <c r="P285" s="10" t="s">
        <v>5352</v>
      </c>
      <c r="Q285" s="10" t="s">
        <v>7243</v>
      </c>
      <c r="S285" s="10" t="s">
        <v>7244</v>
      </c>
      <c r="T285" s="10" t="s">
        <v>7245</v>
      </c>
      <c r="U285" s="10" t="s">
        <v>5439</v>
      </c>
      <c r="Z285" s="11" t="n">
        <v>1</v>
      </c>
    </row>
    <row r="286" customFormat="false" ht="17.9" hidden="false" customHeight="false" outlineLevel="0" collapsed="false">
      <c r="B286" s="10" t="s">
        <v>7246</v>
      </c>
      <c r="C286" s="10" t="s">
        <v>7247</v>
      </c>
      <c r="D286" s="10" t="s">
        <v>7248</v>
      </c>
      <c r="F286" s="17" t="str">
        <f aca="false">CONCATENATE(G286,", ",H286)</f>
        <v>อ.บางพลี, จ.สมุทรปราการ</v>
      </c>
      <c r="G286" s="10" t="s">
        <v>5434</v>
      </c>
      <c r="H286" s="10" t="s">
        <v>5403</v>
      </c>
      <c r="I286" s="10" t="s">
        <v>5348</v>
      </c>
      <c r="J286" s="10" t="n">
        <v>10540</v>
      </c>
      <c r="K286" s="10" t="s">
        <v>7249</v>
      </c>
      <c r="M286" s="10" t="s">
        <v>7250</v>
      </c>
      <c r="P286" s="10" t="s">
        <v>5352</v>
      </c>
      <c r="Q286" s="10" t="s">
        <v>7251</v>
      </c>
      <c r="S286" s="10" t="s">
        <v>29</v>
      </c>
      <c r="T286" s="10" t="s">
        <v>29</v>
      </c>
      <c r="U286" s="10" t="s">
        <v>5367</v>
      </c>
      <c r="Z286" s="11" t="n">
        <v>1</v>
      </c>
    </row>
    <row r="287" customFormat="false" ht="17.9" hidden="false" customHeight="false" outlineLevel="0" collapsed="false">
      <c r="B287" s="10" t="s">
        <v>7252</v>
      </c>
      <c r="C287" s="10" t="s">
        <v>7253</v>
      </c>
      <c r="D287" s="10" t="s">
        <v>7254</v>
      </c>
      <c r="F287" s="17" t="str">
        <f aca="false">CONCATENATE(G287,", ",H287)</f>
        <v>อ.บางพลี, จ.สมุทรปราการ</v>
      </c>
      <c r="G287" s="10" t="s">
        <v>5434</v>
      </c>
      <c r="H287" s="10" t="s">
        <v>5403</v>
      </c>
      <c r="I287" s="10" t="s">
        <v>5348</v>
      </c>
      <c r="J287" s="10" t="n">
        <v>10540</v>
      </c>
      <c r="K287" s="10" t="s">
        <v>29</v>
      </c>
      <c r="L287" s="10" t="s">
        <v>29</v>
      </c>
      <c r="M287" s="10" t="s">
        <v>7255</v>
      </c>
      <c r="P287" s="10" t="s">
        <v>5352</v>
      </c>
      <c r="Q287" s="10" t="s">
        <v>7256</v>
      </c>
      <c r="S287" s="10" t="s">
        <v>29</v>
      </c>
      <c r="T287" s="10" t="s">
        <v>29</v>
      </c>
      <c r="U287" s="10" t="s">
        <v>5367</v>
      </c>
      <c r="Z287" s="11" t="n">
        <v>1</v>
      </c>
    </row>
    <row r="288" customFormat="false" ht="17.9" hidden="false" customHeight="false" outlineLevel="0" collapsed="false">
      <c r="B288" s="10" t="s">
        <v>7257</v>
      </c>
      <c r="C288" s="10" t="s">
        <v>7258</v>
      </c>
      <c r="D288" s="10" t="s">
        <v>7259</v>
      </c>
      <c r="F288" s="17" t="str">
        <f aca="false">CONCATENATE(G288,", ",H288)</f>
        <v>อ.พิบูลย์รักษ์ , จ.อุดรธานี</v>
      </c>
      <c r="G288" s="10" t="s">
        <v>7260</v>
      </c>
      <c r="H288" s="10" t="s">
        <v>7261</v>
      </c>
      <c r="I288" s="10" t="s">
        <v>5348</v>
      </c>
      <c r="J288" s="10" t="s">
        <v>5513</v>
      </c>
      <c r="K288" s="10" t="s">
        <v>29</v>
      </c>
      <c r="L288" s="10" t="s">
        <v>29</v>
      </c>
      <c r="M288" s="10" t="s">
        <v>7262</v>
      </c>
      <c r="P288" s="10" t="s">
        <v>5352</v>
      </c>
      <c r="S288" s="10" t="s">
        <v>7263</v>
      </c>
      <c r="T288" s="10" t="s">
        <v>29</v>
      </c>
      <c r="U288" s="10" t="s">
        <v>5367</v>
      </c>
      <c r="Z288" s="11" t="n">
        <v>1</v>
      </c>
    </row>
    <row r="289" customFormat="false" ht="17.9" hidden="false" customHeight="false" outlineLevel="0" collapsed="false">
      <c r="B289" s="10" t="s">
        <v>7264</v>
      </c>
      <c r="C289" s="10" t="s">
        <v>7258</v>
      </c>
      <c r="D289" s="10" t="s">
        <v>7265</v>
      </c>
      <c r="F289" s="17" t="str">
        <f aca="false">CONCATENATE(G289,", ",H289)</f>
        <v>อ.พิบูลย์รักษ์ , จ.อุดรธานี</v>
      </c>
      <c r="G289" s="10" t="s">
        <v>7260</v>
      </c>
      <c r="H289" s="10" t="s">
        <v>7261</v>
      </c>
      <c r="I289" s="10" t="s">
        <v>5348</v>
      </c>
      <c r="J289" s="10" t="n">
        <v>41130</v>
      </c>
      <c r="K289" s="10" t="s">
        <v>29</v>
      </c>
      <c r="M289" s="10" t="s">
        <v>7262</v>
      </c>
      <c r="P289" s="10" t="s">
        <v>5352</v>
      </c>
      <c r="S289" s="10" t="s">
        <v>7263</v>
      </c>
      <c r="T289" s="10" t="s">
        <v>29</v>
      </c>
      <c r="U289" s="10" t="s">
        <v>5367</v>
      </c>
      <c r="Z289" s="11" t="n">
        <v>1</v>
      </c>
    </row>
    <row r="290" customFormat="false" ht="17.9" hidden="false" customHeight="false" outlineLevel="0" collapsed="false">
      <c r="B290" s="10" t="s">
        <v>7266</v>
      </c>
      <c r="C290" s="10" t="s">
        <v>7267</v>
      </c>
      <c r="D290" s="10" t="s">
        <v>7268</v>
      </c>
      <c r="F290" s="17" t="str">
        <f aca="false">CONCATENATE(G290,", ",H290)</f>
        <v>เขต สะพานสูง , กรุงเทพมหานคร</v>
      </c>
      <c r="G290" s="10" t="s">
        <v>7269</v>
      </c>
      <c r="H290" s="10" t="s">
        <v>5449</v>
      </c>
      <c r="I290" s="10" t="s">
        <v>5348</v>
      </c>
      <c r="J290" s="10" t="n">
        <v>10240</v>
      </c>
      <c r="K290" s="10" t="s">
        <v>7270</v>
      </c>
      <c r="L290" s="10" t="s">
        <v>7271</v>
      </c>
      <c r="M290" s="10" t="s">
        <v>7272</v>
      </c>
      <c r="P290" s="10" t="s">
        <v>5352</v>
      </c>
      <c r="S290" s="10" t="s">
        <v>29</v>
      </c>
      <c r="T290" s="10" t="s">
        <v>29</v>
      </c>
      <c r="U290" s="10" t="s">
        <v>5377</v>
      </c>
      <c r="Z290" s="11" t="n">
        <v>1</v>
      </c>
    </row>
    <row r="291" customFormat="false" ht="17.9" hidden="false" customHeight="false" outlineLevel="0" collapsed="false">
      <c r="B291" s="10" t="s">
        <v>7273</v>
      </c>
      <c r="C291" s="10" t="s">
        <v>7274</v>
      </c>
      <c r="D291" s="10" t="s">
        <v>7275</v>
      </c>
      <c r="F291" s="17" t="str">
        <f aca="false">CONCATENATE(G291,", ",H291)</f>
        <v>อ.เมือง, จ.สมุทรปราการ</v>
      </c>
      <c r="G291" s="10" t="s">
        <v>5346</v>
      </c>
      <c r="H291" s="10" t="s">
        <v>5965</v>
      </c>
      <c r="I291" s="10" t="s">
        <v>5348</v>
      </c>
      <c r="J291" s="10" t="n">
        <v>10280</v>
      </c>
      <c r="K291" s="10" t="s">
        <v>7276</v>
      </c>
      <c r="M291" s="10" t="s">
        <v>7277</v>
      </c>
      <c r="P291" s="10" t="s">
        <v>5352</v>
      </c>
      <c r="S291" s="10" t="s">
        <v>29</v>
      </c>
      <c r="T291" s="10" t="s">
        <v>7278</v>
      </c>
      <c r="U291" s="10" t="s">
        <v>5367</v>
      </c>
      <c r="Z291" s="11" t="n">
        <v>1</v>
      </c>
    </row>
    <row r="292" customFormat="false" ht="17.9" hidden="false" customHeight="false" outlineLevel="0" collapsed="false">
      <c r="B292" s="10" t="s">
        <v>7279</v>
      </c>
      <c r="C292" s="10" t="s">
        <v>7280</v>
      </c>
      <c r="D292" s="10" t="s">
        <v>7281</v>
      </c>
      <c r="F292" s="17" t="str">
        <f aca="false">CONCATENATE(G292,", ",H292)</f>
        <v>อ.บางพลี,  จ.สมุทรปราการ</v>
      </c>
      <c r="G292" s="10" t="s">
        <v>5434</v>
      </c>
      <c r="H292" s="10" t="s">
        <v>7282</v>
      </c>
      <c r="I292" s="10" t="s">
        <v>5348</v>
      </c>
      <c r="J292" s="10" t="n">
        <v>10540</v>
      </c>
      <c r="K292" s="10" t="s">
        <v>7283</v>
      </c>
      <c r="M292" s="10" t="s">
        <v>7284</v>
      </c>
      <c r="P292" s="10" t="s">
        <v>5352</v>
      </c>
      <c r="Q292" s="10" t="s">
        <v>7285</v>
      </c>
      <c r="S292" s="10" t="s">
        <v>29</v>
      </c>
      <c r="T292" s="10" t="s">
        <v>29</v>
      </c>
      <c r="U292" s="10" t="s">
        <v>5367</v>
      </c>
      <c r="Z292" s="11" t="n">
        <v>1</v>
      </c>
    </row>
    <row r="293" customFormat="false" ht="15" hidden="false" customHeight="false" outlineLevel="0" collapsed="false">
      <c r="B293" s="10" t="s">
        <v>7286</v>
      </c>
      <c r="C293" s="10" t="s">
        <v>7287</v>
      </c>
      <c r="D293" s="10" t="s">
        <v>7288</v>
      </c>
      <c r="F293" s="17" t="str">
        <f aca="false">CONCATENATE(G293,", ",H293)</f>
        <v>, Klongtoey, , Bangkok</v>
      </c>
      <c r="G293" s="10" t="s">
        <v>7289</v>
      </c>
      <c r="H293" s="10" t="s">
        <v>7290</v>
      </c>
      <c r="I293" s="10" t="s">
        <v>5348</v>
      </c>
      <c r="J293" s="10" t="n">
        <v>10110</v>
      </c>
      <c r="K293" s="10" t="s">
        <v>7291</v>
      </c>
      <c r="M293" s="10" t="s">
        <v>29</v>
      </c>
      <c r="P293" s="10" t="s">
        <v>5352</v>
      </c>
      <c r="S293" s="10" t="s">
        <v>29</v>
      </c>
      <c r="T293" s="10" t="s">
        <v>29</v>
      </c>
      <c r="U293" s="10" t="s">
        <v>5367</v>
      </c>
      <c r="Z293" s="11" t="n">
        <v>1</v>
      </c>
    </row>
    <row r="294" customFormat="false" ht="17.9" hidden="false" customHeight="false" outlineLevel="0" collapsed="false">
      <c r="B294" s="10" t="s">
        <v>7292</v>
      </c>
      <c r="C294" s="10" t="s">
        <v>7293</v>
      </c>
      <c r="D294" s="10" t="s">
        <v>7294</v>
      </c>
      <c r="F294" s="17" t="str">
        <f aca="false">CONCATENATE(G294,", ",H294)</f>
        <v>อ.บางพลี,  สมุทรปราการ</v>
      </c>
      <c r="G294" s="10" t="s">
        <v>5434</v>
      </c>
      <c r="H294" s="10" t="s">
        <v>7295</v>
      </c>
      <c r="I294" s="10" t="s">
        <v>5348</v>
      </c>
      <c r="J294" s="10" t="n">
        <v>10540</v>
      </c>
      <c r="K294" s="10" t="s">
        <v>7296</v>
      </c>
      <c r="M294" s="10" t="s">
        <v>7297</v>
      </c>
      <c r="P294" s="10" t="s">
        <v>5352</v>
      </c>
      <c r="Q294" s="10" t="s">
        <v>7298</v>
      </c>
      <c r="S294" s="10" t="s">
        <v>7299</v>
      </c>
      <c r="T294" s="10" t="s">
        <v>7300</v>
      </c>
      <c r="U294" s="10" t="s">
        <v>5367</v>
      </c>
      <c r="Z294" s="11" t="n">
        <v>1</v>
      </c>
    </row>
    <row r="295" customFormat="false" ht="17.9" hidden="false" customHeight="false" outlineLevel="0" collapsed="false">
      <c r="B295" s="10" t="s">
        <v>5065</v>
      </c>
      <c r="C295" s="10" t="s">
        <v>7301</v>
      </c>
      <c r="D295" s="10" t="s">
        <v>7302</v>
      </c>
      <c r="E295" s="10" t="s">
        <v>5513</v>
      </c>
      <c r="F295" s="17" t="str">
        <f aca="false">CONCATENATE(G295,", ",H295)</f>
        <v>อ.บ้านบึง , จ.ชลบุรี</v>
      </c>
      <c r="G295" s="10" t="s">
        <v>7303</v>
      </c>
      <c r="H295" s="10" t="s">
        <v>7304</v>
      </c>
      <c r="I295" s="10" t="s">
        <v>5348</v>
      </c>
      <c r="J295" s="10" t="n">
        <v>20220</v>
      </c>
      <c r="K295" s="10" t="s">
        <v>7305</v>
      </c>
      <c r="L295" s="10" t="s">
        <v>29</v>
      </c>
      <c r="M295" s="10" t="s">
        <v>7306</v>
      </c>
      <c r="P295" s="10" t="s">
        <v>5352</v>
      </c>
      <c r="Q295" s="10" t="s">
        <v>7307</v>
      </c>
      <c r="S295" s="10" t="s">
        <v>29</v>
      </c>
      <c r="T295" s="10" t="s">
        <v>29</v>
      </c>
      <c r="U295" s="10" t="s">
        <v>6416</v>
      </c>
      <c r="Z295" s="11" t="n">
        <v>1</v>
      </c>
    </row>
    <row r="296" customFormat="false" ht="17.9" hidden="false" customHeight="false" outlineLevel="0" collapsed="false">
      <c r="B296" s="10" t="s">
        <v>7308</v>
      </c>
      <c r="C296" s="10" t="s">
        <v>7309</v>
      </c>
      <c r="D296" s="10" t="s">
        <v>7310</v>
      </c>
      <c r="F296" s="17" t="str">
        <f aca="false">CONCATENATE(G296,", ",H296)</f>
        <v>อ.บางพลี,  จ.สป.</v>
      </c>
      <c r="G296" s="10" t="s">
        <v>5434</v>
      </c>
      <c r="H296" s="10" t="s">
        <v>7311</v>
      </c>
      <c r="I296" s="10" t="s">
        <v>5348</v>
      </c>
      <c r="J296" s="10" t="n">
        <v>10540</v>
      </c>
      <c r="K296" s="10" t="s">
        <v>7312</v>
      </c>
      <c r="M296" s="10" t="s">
        <v>7313</v>
      </c>
      <c r="P296" s="10" t="s">
        <v>5352</v>
      </c>
      <c r="Q296" s="10" t="s">
        <v>7314</v>
      </c>
      <c r="S296" s="10" t="s">
        <v>7315</v>
      </c>
      <c r="T296" s="10" t="s">
        <v>29</v>
      </c>
      <c r="U296" s="10" t="s">
        <v>5377</v>
      </c>
      <c r="Z296" s="11" t="n">
        <v>1</v>
      </c>
    </row>
    <row r="297" customFormat="false" ht="17.9" hidden="false" customHeight="false" outlineLevel="0" collapsed="false">
      <c r="B297" s="10" t="s">
        <v>7316</v>
      </c>
      <c r="C297" s="10" t="s">
        <v>7317</v>
      </c>
      <c r="D297" s="10" t="s">
        <v>7318</v>
      </c>
      <c r="F297" s="17" t="str">
        <f aca="false">CONCATENATE(G297,", ",H297)</f>
        <v>อ.บางพลี,  จ.สมุทรปราการ</v>
      </c>
      <c r="G297" s="10" t="s">
        <v>5434</v>
      </c>
      <c r="H297" s="10" t="s">
        <v>7319</v>
      </c>
      <c r="I297" s="10" t="s">
        <v>5348</v>
      </c>
      <c r="J297" s="10" t="n">
        <v>10540</v>
      </c>
      <c r="K297" s="10" t="s">
        <v>7320</v>
      </c>
      <c r="M297" s="10" t="s">
        <v>7321</v>
      </c>
      <c r="P297" s="10" t="s">
        <v>5352</v>
      </c>
      <c r="S297" s="10" t="s">
        <v>7322</v>
      </c>
      <c r="T297" s="10" t="s">
        <v>29</v>
      </c>
      <c r="U297" s="10" t="s">
        <v>5367</v>
      </c>
      <c r="Z297" s="11" t="n">
        <v>1</v>
      </c>
    </row>
    <row r="298" customFormat="false" ht="17.9" hidden="false" customHeight="false" outlineLevel="0" collapsed="false">
      <c r="B298" s="10" t="s">
        <v>4824</v>
      </c>
      <c r="C298" s="10" t="s">
        <v>7323</v>
      </c>
      <c r="D298" s="10" t="s">
        <v>7324</v>
      </c>
      <c r="F298" s="17" t="str">
        <f aca="false">CONCATENATE(G298,", ",H298)</f>
        <v>อำเภอพระประแดง,  จังหวัดสมุทรปราการ</v>
      </c>
      <c r="G298" s="10" t="s">
        <v>7325</v>
      </c>
      <c r="H298" s="10" t="s">
        <v>7326</v>
      </c>
      <c r="I298" s="10" t="s">
        <v>5348</v>
      </c>
      <c r="J298" s="10" t="n">
        <v>10130</v>
      </c>
      <c r="K298" s="10" t="s">
        <v>7327</v>
      </c>
      <c r="L298" s="10" t="s">
        <v>7328</v>
      </c>
      <c r="M298" s="10" t="s">
        <v>7329</v>
      </c>
      <c r="P298" s="10" t="s">
        <v>5352</v>
      </c>
      <c r="Q298" s="10" t="s">
        <v>7330</v>
      </c>
      <c r="S298" s="10" t="s">
        <v>7331</v>
      </c>
      <c r="T298" s="10" t="s">
        <v>7332</v>
      </c>
      <c r="U298" s="10" t="s">
        <v>5377</v>
      </c>
      <c r="Z298" s="11" t="n">
        <v>1</v>
      </c>
    </row>
    <row r="299" customFormat="false" ht="17.9" hidden="false" customHeight="false" outlineLevel="0" collapsed="false">
      <c r="B299" s="10" t="s">
        <v>7333</v>
      </c>
      <c r="C299" s="10" t="s">
        <v>7334</v>
      </c>
      <c r="D299" s="10" t="s">
        <v>7335</v>
      </c>
      <c r="F299" s="17" t="str">
        <f aca="false">CONCATENATE(G299,", ",H299)</f>
        <v>อ.บางพลี,   สมุทรปราการ</v>
      </c>
      <c r="G299" s="10" t="s">
        <v>5434</v>
      </c>
      <c r="H299" s="10" t="s">
        <v>7336</v>
      </c>
      <c r="I299" s="10" t="s">
        <v>5348</v>
      </c>
      <c r="J299" s="10" t="n">
        <v>10540</v>
      </c>
      <c r="K299" s="10" t="s">
        <v>7337</v>
      </c>
      <c r="L299" s="10" t="s">
        <v>7338</v>
      </c>
      <c r="M299" s="10" t="s">
        <v>7339</v>
      </c>
      <c r="P299" s="10" t="s">
        <v>5352</v>
      </c>
      <c r="Q299" s="10" t="s">
        <v>7340</v>
      </c>
      <c r="S299" s="10" t="s">
        <v>29</v>
      </c>
      <c r="T299" s="10" t="s">
        <v>29</v>
      </c>
      <c r="U299" s="10" t="s">
        <v>5377</v>
      </c>
      <c r="Z299" s="11" t="n">
        <v>1</v>
      </c>
    </row>
    <row r="300" customFormat="false" ht="17.9" hidden="false" customHeight="false" outlineLevel="0" collapsed="false">
      <c r="B300" s="10" t="s">
        <v>7341</v>
      </c>
      <c r="C300" s="10" t="s">
        <v>7342</v>
      </c>
      <c r="D300" s="10" t="s">
        <v>7343</v>
      </c>
      <c r="F300" s="17" t="str">
        <f aca="false">CONCATENATE(G300,", ",H300)</f>
        <v>อ.บางใหญ่, จ.นนทบุรี</v>
      </c>
      <c r="G300" s="10" t="s">
        <v>5707</v>
      </c>
      <c r="H300" s="10" t="s">
        <v>5497</v>
      </c>
      <c r="I300" s="10" t="s">
        <v>5348</v>
      </c>
      <c r="J300" s="10" t="n">
        <v>11140</v>
      </c>
      <c r="K300" s="10" t="s">
        <v>7344</v>
      </c>
      <c r="L300" s="10" t="s">
        <v>7345</v>
      </c>
      <c r="M300" s="10" t="s">
        <v>7346</v>
      </c>
      <c r="P300" s="10" t="s">
        <v>5352</v>
      </c>
      <c r="Q300" s="10" t="s">
        <v>7347</v>
      </c>
      <c r="S300" s="10" t="s">
        <v>7348</v>
      </c>
      <c r="T300" s="10" t="s">
        <v>7349</v>
      </c>
      <c r="U300" s="10" t="s">
        <v>5367</v>
      </c>
      <c r="Z300" s="11" t="n">
        <v>1</v>
      </c>
    </row>
    <row r="301" customFormat="false" ht="17.9" hidden="false" customHeight="false" outlineLevel="0" collapsed="false">
      <c r="B301" s="10" t="s">
        <v>7350</v>
      </c>
      <c r="C301" s="10" t="s">
        <v>7351</v>
      </c>
      <c r="D301" s="10" t="s">
        <v>7352</v>
      </c>
      <c r="F301" s="17" t="str">
        <f aca="false">CONCATENATE(G301,", ",H301)</f>
        <v>เขตบางขุนเทียน, กรุงเทพมหานคร</v>
      </c>
      <c r="G301" s="10" t="s">
        <v>5867</v>
      </c>
      <c r="H301" s="10" t="s">
        <v>5449</v>
      </c>
      <c r="I301" s="10" t="s">
        <v>5348</v>
      </c>
      <c r="J301" s="10" t="n">
        <v>10150</v>
      </c>
      <c r="K301" s="10" t="s">
        <v>7353</v>
      </c>
      <c r="M301" s="10" t="s">
        <v>7354</v>
      </c>
      <c r="P301" s="10" t="s">
        <v>5352</v>
      </c>
      <c r="Q301" s="10" t="s">
        <v>7355</v>
      </c>
      <c r="S301" s="10" t="s">
        <v>29</v>
      </c>
      <c r="T301" s="10" t="s">
        <v>29</v>
      </c>
      <c r="U301" s="10" t="s">
        <v>5367</v>
      </c>
      <c r="Z301" s="11" t="n">
        <v>1</v>
      </c>
    </row>
    <row r="302" customFormat="false" ht="17.9" hidden="false" customHeight="false" outlineLevel="0" collapsed="false">
      <c r="B302" s="10" t="s">
        <v>7356</v>
      </c>
      <c r="C302" s="10" t="s">
        <v>7357</v>
      </c>
      <c r="D302" s="10" t="s">
        <v>7358</v>
      </c>
      <c r="F302" s="17" t="str">
        <f aca="false">CONCATENATE(G302,", ",H302)</f>
        <v>อ.บางพลี, จ.สมุทรปราการ</v>
      </c>
      <c r="G302" s="10" t="s">
        <v>5434</v>
      </c>
      <c r="H302" s="10" t="s">
        <v>5403</v>
      </c>
      <c r="I302" s="10" t="s">
        <v>5348</v>
      </c>
      <c r="J302" s="10" t="n">
        <v>10540</v>
      </c>
      <c r="K302" s="10" t="s">
        <v>7359</v>
      </c>
      <c r="M302" s="10" t="s">
        <v>7360</v>
      </c>
      <c r="P302" s="10" t="s">
        <v>5352</v>
      </c>
      <c r="Q302" s="10" t="s">
        <v>7361</v>
      </c>
      <c r="S302" s="10" t="s">
        <v>7362</v>
      </c>
      <c r="T302" s="10" t="s">
        <v>7363</v>
      </c>
      <c r="U302" s="10" t="s">
        <v>5377</v>
      </c>
      <c r="Z302" s="11" t="n">
        <v>1</v>
      </c>
    </row>
    <row r="303" customFormat="false" ht="17.9" hidden="false" customHeight="false" outlineLevel="0" collapsed="false">
      <c r="B303" s="10" t="s">
        <v>7364</v>
      </c>
      <c r="C303" s="10" t="s">
        <v>7365</v>
      </c>
      <c r="D303" s="10" t="s">
        <v>7366</v>
      </c>
      <c r="F303" s="17" t="str">
        <f aca="false">CONCATENATE(G303,", ",H303)</f>
        <v>เขตพระนคร, กรุงเทพมหานคร</v>
      </c>
      <c r="G303" s="10" t="s">
        <v>7228</v>
      </c>
      <c r="H303" s="10" t="s">
        <v>5449</v>
      </c>
      <c r="I303" s="10" t="s">
        <v>5348</v>
      </c>
      <c r="J303" s="10" t="n">
        <v>10200</v>
      </c>
      <c r="K303" s="10" t="s">
        <v>7367</v>
      </c>
      <c r="L303" s="10" t="s">
        <v>29</v>
      </c>
      <c r="M303" s="10" t="s">
        <v>7368</v>
      </c>
      <c r="P303" s="10" t="s">
        <v>5352</v>
      </c>
      <c r="Q303" s="10" t="s">
        <v>7369</v>
      </c>
      <c r="S303" s="10" t="s">
        <v>29</v>
      </c>
      <c r="T303" s="10" t="s">
        <v>29</v>
      </c>
      <c r="U303" s="10" t="s">
        <v>5377</v>
      </c>
      <c r="Z303" s="11" t="n">
        <v>1</v>
      </c>
    </row>
    <row r="304" customFormat="false" ht="17.9" hidden="false" customHeight="false" outlineLevel="0" collapsed="false">
      <c r="B304" s="10" t="s">
        <v>7370</v>
      </c>
      <c r="C304" s="10" t="s">
        <v>7371</v>
      </c>
      <c r="D304" s="10" t="s">
        <v>7372</v>
      </c>
      <c r="F304" s="17" t="str">
        <f aca="false">CONCATENATE(G304,", ",H304)</f>
        <v>อ.บางพลี, จ.สมุทรปราการ</v>
      </c>
      <c r="G304" s="10" t="s">
        <v>5434</v>
      </c>
      <c r="H304" s="10" t="s">
        <v>5403</v>
      </c>
      <c r="I304" s="10" t="s">
        <v>5348</v>
      </c>
      <c r="J304" s="10" t="n">
        <v>10540</v>
      </c>
      <c r="K304" s="10" t="s">
        <v>7373</v>
      </c>
      <c r="M304" s="10" t="s">
        <v>7374</v>
      </c>
      <c r="P304" s="10" t="s">
        <v>5352</v>
      </c>
      <c r="Q304" s="10" t="s">
        <v>7375</v>
      </c>
      <c r="S304" s="10" t="s">
        <v>7376</v>
      </c>
      <c r="T304" s="10" t="s">
        <v>7377</v>
      </c>
      <c r="U304" s="10" t="s">
        <v>5367</v>
      </c>
      <c r="Z304" s="11" t="n">
        <v>1</v>
      </c>
    </row>
    <row r="305" customFormat="false" ht="17.9" hidden="false" customHeight="false" outlineLevel="0" collapsed="false">
      <c r="B305" s="10" t="s">
        <v>7378</v>
      </c>
      <c r="C305" s="10" t="s">
        <v>7379</v>
      </c>
      <c r="D305" s="10" t="s">
        <v>7380</v>
      </c>
      <c r="F305" s="17" t="str">
        <f aca="false">CONCATENATE(G305,", ",H305)</f>
        <v>อ.บางพลี, จ.สมุทรปราการ</v>
      </c>
      <c r="G305" s="10" t="s">
        <v>5434</v>
      </c>
      <c r="H305" s="10" t="s">
        <v>5403</v>
      </c>
      <c r="I305" s="10" t="s">
        <v>5348</v>
      </c>
      <c r="J305" s="10" t="n">
        <v>10540</v>
      </c>
      <c r="K305" s="10" t="s">
        <v>7381</v>
      </c>
      <c r="M305" s="10" t="s">
        <v>7382</v>
      </c>
      <c r="P305" s="10" t="s">
        <v>5352</v>
      </c>
      <c r="Q305" s="10" t="s">
        <v>7383</v>
      </c>
      <c r="S305" s="10" t="s">
        <v>7384</v>
      </c>
      <c r="T305" s="10" t="s">
        <v>7385</v>
      </c>
      <c r="U305" s="10" t="s">
        <v>5377</v>
      </c>
      <c r="Z305" s="11" t="n">
        <v>1</v>
      </c>
    </row>
    <row r="306" customFormat="false" ht="17.9" hidden="false" customHeight="false" outlineLevel="0" collapsed="false">
      <c r="B306" s="10" t="s">
        <v>7386</v>
      </c>
      <c r="C306" s="10" t="s">
        <v>7387</v>
      </c>
      <c r="D306" s="10" t="s">
        <v>7388</v>
      </c>
      <c r="F306" s="17" t="str">
        <f aca="false">CONCATENATE(G306,", ",H306)</f>
        <v>อ.พระสมุทรเจดีย์ , จ.สมุทรปราการ</v>
      </c>
      <c r="G306" s="10" t="s">
        <v>5569</v>
      </c>
      <c r="H306" s="10" t="s">
        <v>5403</v>
      </c>
      <c r="I306" s="10" t="s">
        <v>5348</v>
      </c>
      <c r="J306" s="10" t="n">
        <v>10290</v>
      </c>
      <c r="K306" s="10" t="s">
        <v>7389</v>
      </c>
      <c r="L306" s="10" t="s">
        <v>29</v>
      </c>
      <c r="M306" s="10" t="s">
        <v>7390</v>
      </c>
      <c r="P306" s="10" t="s">
        <v>5352</v>
      </c>
      <c r="Q306" s="10" t="s">
        <v>7391</v>
      </c>
      <c r="S306" s="10" t="s">
        <v>29</v>
      </c>
      <c r="T306" s="10" t="s">
        <v>29</v>
      </c>
      <c r="U306" s="10" t="s">
        <v>5377</v>
      </c>
      <c r="Z306" s="11" t="n">
        <v>1</v>
      </c>
    </row>
    <row r="307" customFormat="false" ht="17.9" hidden="false" customHeight="false" outlineLevel="0" collapsed="false">
      <c r="B307" s="10" t="s">
        <v>7392</v>
      </c>
      <c r="C307" s="10" t="s">
        <v>7393</v>
      </c>
      <c r="D307" s="10" t="s">
        <v>7394</v>
      </c>
      <c r="F307" s="17" t="str">
        <f aca="false">CONCATENATE(G307,", ",H307)</f>
        <v>อ.บางน้ำเปรี้ยว,  จ.ฉะเชิงเทรา</v>
      </c>
      <c r="G307" s="10" t="s">
        <v>7395</v>
      </c>
      <c r="H307" s="10" t="s">
        <v>6833</v>
      </c>
      <c r="I307" s="10" t="s">
        <v>5348</v>
      </c>
      <c r="J307" s="10" t="n">
        <v>24000</v>
      </c>
      <c r="K307" s="10" t="s">
        <v>7396</v>
      </c>
      <c r="M307" s="10" t="s">
        <v>7397</v>
      </c>
      <c r="P307" s="10" t="s">
        <v>5352</v>
      </c>
      <c r="Q307" s="10" t="s">
        <v>7398</v>
      </c>
      <c r="S307" s="10" t="s">
        <v>29</v>
      </c>
      <c r="T307" s="10" t="s">
        <v>29</v>
      </c>
      <c r="U307" s="10" t="s">
        <v>5367</v>
      </c>
      <c r="Z307" s="11" t="n">
        <v>1</v>
      </c>
    </row>
    <row r="308" customFormat="false" ht="17.9" hidden="false" customHeight="false" outlineLevel="0" collapsed="false">
      <c r="B308" s="10" t="s">
        <v>7399</v>
      </c>
      <c r="C308" s="10" t="s">
        <v>7400</v>
      </c>
      <c r="D308" s="10" t="s">
        <v>7401</v>
      </c>
      <c r="F308" s="17" t="str">
        <f aca="false">CONCATENATE(G308,", ",H308)</f>
        <v>อ.เมืองสมุทรปราการ, จ.สมุทรปราการ</v>
      </c>
      <c r="G308" s="10" t="s">
        <v>5483</v>
      </c>
      <c r="H308" s="10" t="s">
        <v>5403</v>
      </c>
      <c r="I308" s="10" t="s">
        <v>5348</v>
      </c>
      <c r="J308" s="10" t="n">
        <v>10270</v>
      </c>
      <c r="K308" s="10" t="s">
        <v>7402</v>
      </c>
      <c r="M308" s="10" t="s">
        <v>7403</v>
      </c>
      <c r="P308" s="10" t="s">
        <v>5352</v>
      </c>
      <c r="Q308" s="10" t="s">
        <v>7404</v>
      </c>
      <c r="S308" s="10" t="s">
        <v>7405</v>
      </c>
      <c r="T308" s="10" t="s">
        <v>29</v>
      </c>
      <c r="U308" s="10" t="s">
        <v>5367</v>
      </c>
      <c r="Z308" s="11" t="n">
        <v>1</v>
      </c>
    </row>
    <row r="309" customFormat="false" ht="17.9" hidden="false" customHeight="false" outlineLevel="0" collapsed="false">
      <c r="B309" s="10" t="s">
        <v>7406</v>
      </c>
      <c r="C309" s="10" t="s">
        <v>7407</v>
      </c>
      <c r="D309" s="10" t="s">
        <v>7408</v>
      </c>
      <c r="F309" s="17" t="str">
        <f aca="false">CONCATENATE(G309,", ",H309)</f>
        <v>อ.บางพลี, จ.สมุทรปราการ</v>
      </c>
      <c r="G309" s="10" t="s">
        <v>5434</v>
      </c>
      <c r="H309" s="10" t="s">
        <v>5403</v>
      </c>
      <c r="I309" s="10" t="s">
        <v>5348</v>
      </c>
      <c r="J309" s="10" t="n">
        <v>10540</v>
      </c>
      <c r="K309" s="10" t="s">
        <v>7409</v>
      </c>
      <c r="M309" s="10" t="s">
        <v>7410</v>
      </c>
      <c r="P309" s="10" t="s">
        <v>5352</v>
      </c>
      <c r="Q309" s="10" t="s">
        <v>7411</v>
      </c>
      <c r="S309" s="10" t="s">
        <v>7216</v>
      </c>
      <c r="T309" s="10" t="s">
        <v>29</v>
      </c>
      <c r="U309" s="10" t="s">
        <v>5367</v>
      </c>
      <c r="Z309" s="11" t="n">
        <v>1</v>
      </c>
    </row>
    <row r="310" customFormat="false" ht="15" hidden="false" customHeight="false" outlineLevel="0" collapsed="false">
      <c r="B310" s="10" t="s">
        <v>7412</v>
      </c>
      <c r="C310" s="10" t="s">
        <v>7413</v>
      </c>
      <c r="D310" s="10" t="s">
        <v>7414</v>
      </c>
      <c r="F310" s="17" t="str">
        <f aca="false">CONCATENATE(G310,", ",H310)</f>
        <v>เขตพญาไท, กรุงเทพมหานคร</v>
      </c>
      <c r="G310" s="10" t="s">
        <v>7415</v>
      </c>
      <c r="H310" s="10" t="s">
        <v>5449</v>
      </c>
      <c r="I310" s="10" t="s">
        <v>5348</v>
      </c>
      <c r="J310" s="10" t="n">
        <v>10400</v>
      </c>
      <c r="K310" s="10" t="s">
        <v>7416</v>
      </c>
      <c r="M310" s="10" t="s">
        <v>7417</v>
      </c>
      <c r="P310" s="10" t="s">
        <v>5352</v>
      </c>
      <c r="S310" s="10" t="s">
        <v>29</v>
      </c>
      <c r="T310" s="10" t="s">
        <v>29</v>
      </c>
      <c r="U310" s="10" t="s">
        <v>5367</v>
      </c>
      <c r="Z310" s="11" t="n">
        <v>1</v>
      </c>
    </row>
    <row r="311" customFormat="false" ht="17.9" hidden="false" customHeight="false" outlineLevel="0" collapsed="false">
      <c r="B311" s="10" t="s">
        <v>7418</v>
      </c>
      <c r="C311" s="10" t="s">
        <v>7419</v>
      </c>
      <c r="D311" s="10" t="s">
        <v>7420</v>
      </c>
      <c r="F311" s="17" t="str">
        <f aca="false">CONCATENATE(G311,", ",H311)</f>
        <v>เขตจอมทอง, กรุงเทพมหานคร</v>
      </c>
      <c r="G311" s="10" t="s">
        <v>7421</v>
      </c>
      <c r="H311" s="10" t="s">
        <v>5449</v>
      </c>
      <c r="I311" s="10" t="s">
        <v>5348</v>
      </c>
      <c r="J311" s="10" t="n">
        <v>10150</v>
      </c>
      <c r="K311" s="10" t="s">
        <v>7422</v>
      </c>
      <c r="L311" s="10" t="s">
        <v>29</v>
      </c>
      <c r="M311" s="10" t="s">
        <v>7423</v>
      </c>
      <c r="P311" s="10" t="s">
        <v>5352</v>
      </c>
      <c r="Q311" s="10" t="s">
        <v>7424</v>
      </c>
      <c r="S311" s="10" t="s">
        <v>29</v>
      </c>
      <c r="T311" s="10" t="s">
        <v>29</v>
      </c>
      <c r="U311" s="10" t="s">
        <v>5367</v>
      </c>
      <c r="Z311" s="11" t="n">
        <v>1</v>
      </c>
    </row>
    <row r="312" customFormat="false" ht="17.9" hidden="false" customHeight="false" outlineLevel="0" collapsed="false">
      <c r="B312" s="10" t="s">
        <v>7425</v>
      </c>
      <c r="C312" s="10" t="s">
        <v>7426</v>
      </c>
      <c r="D312" s="10" t="s">
        <v>7427</v>
      </c>
      <c r="F312" s="17" t="str">
        <f aca="false">CONCATENATE(G312,", ",H312)</f>
        <v>เขตจอมทอง, กรุงเทพมหานคร</v>
      </c>
      <c r="G312" s="10" t="s">
        <v>7421</v>
      </c>
      <c r="H312" s="10" t="s">
        <v>5449</v>
      </c>
      <c r="I312" s="10" t="s">
        <v>5348</v>
      </c>
      <c r="J312" s="10" t="n">
        <v>10150</v>
      </c>
      <c r="K312" s="10" t="s">
        <v>7428</v>
      </c>
      <c r="L312" s="10" t="s">
        <v>7429</v>
      </c>
      <c r="M312" s="10" t="s">
        <v>7430</v>
      </c>
      <c r="P312" s="10" t="s">
        <v>5352</v>
      </c>
      <c r="Q312" s="10" t="s">
        <v>7431</v>
      </c>
      <c r="S312" s="10" t="s">
        <v>7432</v>
      </c>
      <c r="T312" s="10" t="s">
        <v>29</v>
      </c>
      <c r="U312" s="10" t="s">
        <v>5367</v>
      </c>
      <c r="Z312" s="11" t="n">
        <v>1</v>
      </c>
    </row>
    <row r="313" customFormat="false" ht="17.9" hidden="false" customHeight="false" outlineLevel="0" collapsed="false">
      <c r="B313" s="10" t="s">
        <v>7433</v>
      </c>
      <c r="C313" s="10" t="s">
        <v>7434</v>
      </c>
      <c r="D313" s="10" t="s">
        <v>7435</v>
      </c>
      <c r="F313" s="17" t="str">
        <f aca="false">CONCATENATE(G313,", ",H313)</f>
        <v>อ.บางปลา, จ.สมุทรปราการ</v>
      </c>
      <c r="G313" s="10" t="s">
        <v>7436</v>
      </c>
      <c r="H313" s="10" t="s">
        <v>5403</v>
      </c>
      <c r="I313" s="10" t="s">
        <v>5348</v>
      </c>
      <c r="J313" s="10" t="n">
        <v>10540</v>
      </c>
      <c r="K313" s="10" t="s">
        <v>7437</v>
      </c>
      <c r="M313" s="10" t="s">
        <v>7438</v>
      </c>
      <c r="P313" s="10" t="s">
        <v>5352</v>
      </c>
      <c r="Q313" s="10" t="s">
        <v>7439</v>
      </c>
      <c r="S313" s="10" t="s">
        <v>7440</v>
      </c>
      <c r="T313" s="10" t="s">
        <v>29</v>
      </c>
      <c r="U313" s="10" t="s">
        <v>5367</v>
      </c>
      <c r="Z313" s="11" t="n">
        <v>1</v>
      </c>
    </row>
    <row r="314" customFormat="false" ht="17.9" hidden="false" customHeight="false" outlineLevel="0" collapsed="false">
      <c r="B314" s="10" t="s">
        <v>7441</v>
      </c>
      <c r="C314" s="10" t="s">
        <v>7442</v>
      </c>
      <c r="D314" s="10" t="s">
        <v>7443</v>
      </c>
      <c r="F314" s="17" t="str">
        <f aca="false">CONCATENATE(G314,", ",H314)</f>
        <v>อ.บางพลี , จ.สมุทรปราการ</v>
      </c>
      <c r="G314" s="10" t="s">
        <v>7444</v>
      </c>
      <c r="H314" s="10" t="s">
        <v>5965</v>
      </c>
      <c r="I314" s="10" t="s">
        <v>5348</v>
      </c>
      <c r="J314" s="10" t="n">
        <v>10540</v>
      </c>
      <c r="K314" s="10" t="s">
        <v>7445</v>
      </c>
      <c r="M314" s="10" t="s">
        <v>7446</v>
      </c>
      <c r="P314" s="10" t="s">
        <v>5352</v>
      </c>
      <c r="S314" s="10" t="s">
        <v>29</v>
      </c>
      <c r="T314" s="10" t="s">
        <v>7447</v>
      </c>
      <c r="U314" s="10" t="s">
        <v>5367</v>
      </c>
      <c r="Z314" s="11" t="n">
        <v>1</v>
      </c>
    </row>
    <row r="315" customFormat="false" ht="17.9" hidden="false" customHeight="false" outlineLevel="0" collapsed="false">
      <c r="B315" s="10" t="s">
        <v>7448</v>
      </c>
      <c r="C315" s="10" t="s">
        <v>7449</v>
      </c>
      <c r="D315" s="10" t="s">
        <v>7450</v>
      </c>
      <c r="F315" s="17" t="str">
        <f aca="false">CONCATENATE(G315,", ",H315)</f>
        <v>เขตทวีวัฒนา , กรุงเทพมหานคร</v>
      </c>
      <c r="G315" s="10" t="s">
        <v>7451</v>
      </c>
      <c r="H315" s="10" t="s">
        <v>5449</v>
      </c>
      <c r="I315" s="10" t="s">
        <v>5348</v>
      </c>
      <c r="J315" s="10" t="n">
        <v>10170</v>
      </c>
      <c r="K315" s="10" t="s">
        <v>7452</v>
      </c>
      <c r="M315" s="10" t="s">
        <v>7453</v>
      </c>
      <c r="P315" s="10" t="s">
        <v>5352</v>
      </c>
      <c r="Q315" s="10" t="s">
        <v>7454</v>
      </c>
      <c r="S315" s="10" t="s">
        <v>7455</v>
      </c>
      <c r="T315" s="10" t="s">
        <v>29</v>
      </c>
      <c r="U315" s="10" t="s">
        <v>5367</v>
      </c>
      <c r="Z315" s="11" t="n">
        <v>1</v>
      </c>
    </row>
    <row r="316" customFormat="false" ht="17.9" hidden="false" customHeight="false" outlineLevel="0" collapsed="false">
      <c r="B316" s="10" t="s">
        <v>7456</v>
      </c>
      <c r="C316" s="10" t="s">
        <v>7457</v>
      </c>
      <c r="D316" s="10" t="s">
        <v>7458</v>
      </c>
      <c r="F316" s="17" t="str">
        <f aca="false">CONCATENATE(G316,", ",H316)</f>
        <v>เขตพระโขนง , กรุงเทพมหานคร</v>
      </c>
      <c r="G316" s="10" t="s">
        <v>6825</v>
      </c>
      <c r="H316" s="10" t="s">
        <v>5449</v>
      </c>
      <c r="I316" s="10" t="s">
        <v>5348</v>
      </c>
      <c r="J316" s="10" t="n">
        <v>10260</v>
      </c>
      <c r="K316" s="10" t="s">
        <v>7459</v>
      </c>
      <c r="M316" s="10" t="s">
        <v>29</v>
      </c>
      <c r="P316" s="10" t="s">
        <v>5352</v>
      </c>
      <c r="S316" s="10" t="s">
        <v>7460</v>
      </c>
      <c r="T316" s="10" t="s">
        <v>29</v>
      </c>
      <c r="U316" s="10" t="s">
        <v>5367</v>
      </c>
      <c r="Z316" s="11" t="n">
        <v>1</v>
      </c>
    </row>
    <row r="317" customFormat="false" ht="17.9" hidden="false" customHeight="false" outlineLevel="0" collapsed="false">
      <c r="B317" s="10" t="s">
        <v>7461</v>
      </c>
      <c r="C317" s="10" t="s">
        <v>7462</v>
      </c>
      <c r="D317" s="10" t="s">
        <v>7463</v>
      </c>
      <c r="F317" s="17" t="str">
        <f aca="false">CONCATENATE(G317,", ",H317)</f>
        <v>เขตพระโขนง , กรุงเทพมหานคร</v>
      </c>
      <c r="G317" s="10" t="s">
        <v>6825</v>
      </c>
      <c r="H317" s="10" t="s">
        <v>5449</v>
      </c>
      <c r="I317" s="10" t="s">
        <v>5348</v>
      </c>
      <c r="J317" s="10" t="n">
        <v>10260</v>
      </c>
      <c r="K317" s="10" t="s">
        <v>7464</v>
      </c>
      <c r="L317" s="10" t="s">
        <v>7465</v>
      </c>
      <c r="M317" s="10" t="s">
        <v>7466</v>
      </c>
      <c r="P317" s="10" t="s">
        <v>5352</v>
      </c>
      <c r="S317" s="10" t="s">
        <v>29</v>
      </c>
      <c r="T317" s="10" t="s">
        <v>29</v>
      </c>
      <c r="U317" s="10" t="s">
        <v>5367</v>
      </c>
      <c r="Z317" s="11" t="n">
        <v>1</v>
      </c>
    </row>
    <row r="318" customFormat="false" ht="17.9" hidden="false" customHeight="false" outlineLevel="0" collapsed="false">
      <c r="B318" s="10" t="s">
        <v>7467</v>
      </c>
      <c r="C318" s="10" t="s">
        <v>7468</v>
      </c>
      <c r="D318" s="10" t="s">
        <v>7469</v>
      </c>
      <c r="F318" s="17" t="str">
        <f aca="false">CONCATENATE(G318,", ",H318)</f>
        <v>อ.บางปะกง,  ฉะเชิงเทรา</v>
      </c>
      <c r="G318" s="10" t="s">
        <v>7470</v>
      </c>
      <c r="H318" s="10" t="s">
        <v>7471</v>
      </c>
      <c r="I318" s="10" t="s">
        <v>5348</v>
      </c>
      <c r="J318" s="10" t="n">
        <v>24130</v>
      </c>
      <c r="K318" s="10" t="s">
        <v>7472</v>
      </c>
      <c r="M318" s="10" t="s">
        <v>7473</v>
      </c>
      <c r="P318" s="10" t="s">
        <v>5352</v>
      </c>
      <c r="S318" s="10" t="s">
        <v>29</v>
      </c>
      <c r="T318" s="10" t="s">
        <v>29</v>
      </c>
      <c r="U318" s="10" t="s">
        <v>5367</v>
      </c>
      <c r="Z318" s="11" t="n">
        <v>1</v>
      </c>
    </row>
    <row r="319" customFormat="false" ht="17.9" hidden="false" customHeight="false" outlineLevel="0" collapsed="false">
      <c r="B319" s="10" t="s">
        <v>7474</v>
      </c>
      <c r="C319" s="10" t="s">
        <v>7475</v>
      </c>
      <c r="D319" s="10" t="s">
        <v>7476</v>
      </c>
      <c r="F319" s="17" t="str">
        <f aca="false">CONCATENATE(G319,", ",H319)</f>
        <v>อ.นตรชัยศรี , จ.นครปฐม</v>
      </c>
      <c r="G319" s="10" t="s">
        <v>7477</v>
      </c>
      <c r="H319" s="10" t="s">
        <v>7478</v>
      </c>
      <c r="I319" s="10" t="s">
        <v>5348</v>
      </c>
      <c r="J319" s="10" t="n">
        <v>73120</v>
      </c>
      <c r="K319" s="10" t="s">
        <v>7479</v>
      </c>
      <c r="M319" s="10" t="s">
        <v>7480</v>
      </c>
      <c r="P319" s="10" t="s">
        <v>5352</v>
      </c>
      <c r="S319" s="10" t="s">
        <v>7481</v>
      </c>
      <c r="T319" s="10" t="s">
        <v>29</v>
      </c>
      <c r="U319" s="10" t="s">
        <v>5367</v>
      </c>
      <c r="Z319" s="11" t="n">
        <v>1</v>
      </c>
    </row>
    <row r="320" customFormat="false" ht="17.9" hidden="false" customHeight="false" outlineLevel="0" collapsed="false">
      <c r="B320" s="10" t="s">
        <v>7482</v>
      </c>
      <c r="C320" s="10" t="s">
        <v>7483</v>
      </c>
      <c r="D320" s="10" t="s">
        <v>7484</v>
      </c>
      <c r="F320" s="17" t="str">
        <f aca="false">CONCATENATE(G320,", ",H320)</f>
        <v>อ.เขาย้อย,  จ.เพรชบุรี</v>
      </c>
      <c r="G320" s="10" t="s">
        <v>7485</v>
      </c>
      <c r="H320" s="10" t="s">
        <v>7486</v>
      </c>
      <c r="I320" s="10" t="s">
        <v>5348</v>
      </c>
      <c r="J320" s="10" t="n">
        <v>76140</v>
      </c>
      <c r="K320" s="10" t="s">
        <v>7487</v>
      </c>
      <c r="L320" s="10" t="s">
        <v>7488</v>
      </c>
      <c r="M320" s="10" t="s">
        <v>7489</v>
      </c>
      <c r="P320" s="10" t="s">
        <v>5352</v>
      </c>
      <c r="Q320" s="10" t="s">
        <v>7490</v>
      </c>
      <c r="S320" s="10" t="s">
        <v>5735</v>
      </c>
      <c r="T320" s="10" t="s">
        <v>29</v>
      </c>
      <c r="U320" s="10" t="s">
        <v>5367</v>
      </c>
      <c r="Z320" s="11" t="n">
        <v>1</v>
      </c>
    </row>
    <row r="321" customFormat="false" ht="17.9" hidden="false" customHeight="false" outlineLevel="0" collapsed="false">
      <c r="B321" s="10" t="s">
        <v>7491</v>
      </c>
      <c r="C321" s="10" t="s">
        <v>7492</v>
      </c>
      <c r="D321" s="10" t="s">
        <v>7493</v>
      </c>
      <c r="F321" s="17" t="str">
        <f aca="false">CONCATENATE(G321,", ",H321)</f>
        <v>เขตจอมทอง, กรุงเทพมหานคร</v>
      </c>
      <c r="G321" s="10" t="s">
        <v>7421</v>
      </c>
      <c r="H321" s="10" t="s">
        <v>5449</v>
      </c>
      <c r="I321" s="10" t="s">
        <v>5348</v>
      </c>
      <c r="J321" s="10" t="n">
        <v>10150</v>
      </c>
      <c r="K321" s="10" t="s">
        <v>7494</v>
      </c>
      <c r="M321" s="10" t="s">
        <v>7495</v>
      </c>
      <c r="P321" s="10" t="s">
        <v>5352</v>
      </c>
      <c r="Q321" s="10" t="s">
        <v>7496</v>
      </c>
      <c r="S321" s="10" t="s">
        <v>7497</v>
      </c>
      <c r="T321" s="10" t="s">
        <v>29</v>
      </c>
      <c r="U321" s="10" t="s">
        <v>5367</v>
      </c>
      <c r="Z321" s="11" t="n">
        <v>1</v>
      </c>
    </row>
    <row r="322" customFormat="false" ht="17.9" hidden="false" customHeight="false" outlineLevel="0" collapsed="false">
      <c r="B322" s="10" t="s">
        <v>7498</v>
      </c>
      <c r="C322" s="10" t="s">
        <v>7499</v>
      </c>
      <c r="D322" s="10" t="s">
        <v>7500</v>
      </c>
      <c r="F322" s="17" t="str">
        <f aca="false">CONCATENATE(G322,", ",H322)</f>
        <v>อ.เมืองสมุทรปราการ, จ.สมุทรปราการ</v>
      </c>
      <c r="G322" s="10" t="s">
        <v>5483</v>
      </c>
      <c r="H322" s="10" t="s">
        <v>5403</v>
      </c>
      <c r="I322" s="10" t="s">
        <v>5348</v>
      </c>
      <c r="J322" s="10" t="n">
        <v>10270</v>
      </c>
      <c r="K322" s="10" t="s">
        <v>7501</v>
      </c>
      <c r="M322" s="10" t="s">
        <v>7502</v>
      </c>
      <c r="P322" s="10" t="s">
        <v>5352</v>
      </c>
      <c r="Q322" s="10" t="s">
        <v>7503</v>
      </c>
      <c r="S322" s="10" t="s">
        <v>29</v>
      </c>
      <c r="T322" s="10" t="s">
        <v>29</v>
      </c>
      <c r="U322" s="10" t="s">
        <v>5367</v>
      </c>
      <c r="Z322" s="11" t="n">
        <v>1</v>
      </c>
    </row>
    <row r="323" customFormat="false" ht="14.25" hidden="false" customHeight="true" outlineLevel="0" collapsed="false">
      <c r="B323" s="10" t="s">
        <v>7504</v>
      </c>
      <c r="C323" s="10" t="s">
        <v>7505</v>
      </c>
      <c r="D323" s="10" t="s">
        <v>7506</v>
      </c>
      <c r="F323" s="17" t="str">
        <f aca="false">CONCATENATE(G323,", ",H323)</f>
        <v>อ.เมืองสมุทรปราการ, จ.สมุทรปราการ</v>
      </c>
      <c r="G323" s="10" t="s">
        <v>5483</v>
      </c>
      <c r="H323" s="10" t="s">
        <v>5403</v>
      </c>
      <c r="I323" s="10" t="s">
        <v>5348</v>
      </c>
      <c r="J323" s="10" t="n">
        <v>10270</v>
      </c>
      <c r="K323" s="10" t="s">
        <v>7507</v>
      </c>
      <c r="M323" s="10" t="s">
        <v>7508</v>
      </c>
      <c r="P323" s="10" t="s">
        <v>5352</v>
      </c>
      <c r="Q323" s="10" t="s">
        <v>7509</v>
      </c>
      <c r="S323" s="10" t="s">
        <v>29</v>
      </c>
      <c r="T323" s="10" t="s">
        <v>29</v>
      </c>
      <c r="U323" s="10" t="s">
        <v>5367</v>
      </c>
      <c r="Z323" s="11" t="n">
        <v>1</v>
      </c>
    </row>
    <row r="324" customFormat="false" ht="17.9" hidden="false" customHeight="false" outlineLevel="0" collapsed="false">
      <c r="B324" s="10" t="s">
        <v>7510</v>
      </c>
      <c r="C324" s="10" t="s">
        <v>7511</v>
      </c>
      <c r="D324" s="10" t="s">
        <v>7512</v>
      </c>
      <c r="F324" s="17" t="str">
        <f aca="false">CONCATENATE(G324,", ",H324)</f>
        <v>อ.เมืองสมุทรสาคร , จ.สมุทรสาคร</v>
      </c>
      <c r="G324" s="10" t="s">
        <v>7513</v>
      </c>
      <c r="H324" s="10" t="s">
        <v>7514</v>
      </c>
      <c r="I324" s="10" t="s">
        <v>5348</v>
      </c>
      <c r="J324" s="10" t="n">
        <v>74000</v>
      </c>
      <c r="K324" s="10" t="s">
        <v>29</v>
      </c>
      <c r="L324" s="10" t="s">
        <v>7515</v>
      </c>
      <c r="M324" s="10" t="s">
        <v>7516</v>
      </c>
      <c r="P324" s="10" t="s">
        <v>5352</v>
      </c>
      <c r="S324" s="10" t="s">
        <v>7517</v>
      </c>
      <c r="T324" s="10" t="s">
        <v>29</v>
      </c>
      <c r="U324" s="10" t="s">
        <v>5367</v>
      </c>
      <c r="Z324" s="11" t="n">
        <v>1</v>
      </c>
    </row>
    <row r="325" customFormat="false" ht="17.9" hidden="false" customHeight="false" outlineLevel="0" collapsed="false">
      <c r="B325" s="10" t="s">
        <v>7518</v>
      </c>
      <c r="C325" s="10" t="s">
        <v>7519</v>
      </c>
      <c r="D325" s="10" t="s">
        <v>7520</v>
      </c>
      <c r="F325" s="17" t="str">
        <f aca="false">CONCATENATE(G325,", ",H325)</f>
        <v>Huaykwang, , กรุงเทพมหานคร</v>
      </c>
      <c r="G325" s="10" t="s">
        <v>7521</v>
      </c>
      <c r="H325" s="10" t="s">
        <v>5449</v>
      </c>
      <c r="I325" s="10" t="s">
        <v>5348</v>
      </c>
      <c r="J325" s="10" t="n">
        <v>10310</v>
      </c>
      <c r="K325" s="10" t="s">
        <v>7522</v>
      </c>
      <c r="M325" s="10" t="s">
        <v>29</v>
      </c>
      <c r="P325" s="10" t="s">
        <v>5352</v>
      </c>
      <c r="S325" s="10" t="s">
        <v>29</v>
      </c>
      <c r="T325" s="10" t="s">
        <v>29</v>
      </c>
      <c r="U325" s="10" t="s">
        <v>5367</v>
      </c>
      <c r="Z325" s="11" t="n">
        <v>1</v>
      </c>
    </row>
    <row r="326" customFormat="false" ht="17.9" hidden="false" customHeight="false" outlineLevel="0" collapsed="false">
      <c r="B326" s="10" t="s">
        <v>7523</v>
      </c>
      <c r="C326" s="10" t="s">
        <v>7524</v>
      </c>
      <c r="D326" s="10" t="s">
        <v>7525</v>
      </c>
      <c r="F326" s="17" t="str">
        <f aca="false">CONCATENATE(G326,", ",H326)</f>
        <v>Huaykwang, , Bangkok</v>
      </c>
      <c r="G326" s="10" t="s">
        <v>7526</v>
      </c>
      <c r="H326" s="10" t="s">
        <v>7290</v>
      </c>
      <c r="I326" s="10" t="s">
        <v>5348</v>
      </c>
      <c r="J326" s="10" t="n">
        <v>10310</v>
      </c>
      <c r="K326" s="10" t="s">
        <v>7527</v>
      </c>
      <c r="M326" s="10" t="s">
        <v>7528</v>
      </c>
      <c r="P326" s="10" t="s">
        <v>5352</v>
      </c>
      <c r="Q326" s="10" t="s">
        <v>7529</v>
      </c>
      <c r="S326" s="10" t="s">
        <v>29</v>
      </c>
      <c r="T326" s="10" t="s">
        <v>29</v>
      </c>
      <c r="U326" s="10" t="s">
        <v>5367</v>
      </c>
      <c r="Z326" s="11" t="n">
        <v>1</v>
      </c>
    </row>
    <row r="327" customFormat="false" ht="15" hidden="false" customHeight="false" outlineLevel="0" collapsed="false">
      <c r="B327" s="10" t="s">
        <v>7530</v>
      </c>
      <c r="C327" s="10" t="s">
        <v>7531</v>
      </c>
      <c r="D327" s="10" t="s">
        <v>7532</v>
      </c>
      <c r="F327" s="17" t="str">
        <f aca="false">CONCATENATE(G327,", ",H327)</f>
        <v>-, ,YIWU</v>
      </c>
      <c r="G327" s="10" t="s">
        <v>29</v>
      </c>
      <c r="H327" s="10" t="s">
        <v>7533</v>
      </c>
      <c r="I327" s="10" t="s">
        <v>5444</v>
      </c>
      <c r="J327" s="10" t="n">
        <v>322000</v>
      </c>
      <c r="K327" s="10" t="s">
        <v>29</v>
      </c>
      <c r="L327" s="10" t="s">
        <v>29</v>
      </c>
      <c r="M327" s="10" t="s">
        <v>29</v>
      </c>
      <c r="P327" s="10" t="s">
        <v>5352</v>
      </c>
      <c r="S327" s="10" t="s">
        <v>29</v>
      </c>
      <c r="T327" s="10" t="s">
        <v>29</v>
      </c>
      <c r="U327" s="10" t="s">
        <v>5367</v>
      </c>
      <c r="Z327" s="11" t="n">
        <v>1</v>
      </c>
    </row>
    <row r="328" customFormat="false" ht="17.9" hidden="false" customHeight="false" outlineLevel="0" collapsed="false">
      <c r="B328" s="10" t="s">
        <v>7534</v>
      </c>
      <c r="C328" s="10" t="s">
        <v>7535</v>
      </c>
      <c r="D328" s="10" t="s">
        <v>7536</v>
      </c>
      <c r="F328" s="17" t="str">
        <f aca="false">CONCATENATE(G328,", ",H328)</f>
        <v>เขตบางซื่อ, กรุงเทพมหานคร</v>
      </c>
      <c r="G328" s="10" t="s">
        <v>7537</v>
      </c>
      <c r="H328" s="10" t="s">
        <v>5449</v>
      </c>
      <c r="I328" s="10" t="s">
        <v>5348</v>
      </c>
      <c r="J328" s="10" t="n">
        <v>10800</v>
      </c>
      <c r="K328" s="10" t="s">
        <v>7538</v>
      </c>
      <c r="L328" s="10" t="s">
        <v>29</v>
      </c>
      <c r="M328" s="10" t="s">
        <v>7539</v>
      </c>
      <c r="P328" s="10" t="s">
        <v>5352</v>
      </c>
      <c r="S328" s="10" t="s">
        <v>29</v>
      </c>
      <c r="T328" s="10" t="s">
        <v>29</v>
      </c>
      <c r="U328" s="10" t="s">
        <v>5367</v>
      </c>
      <c r="Z328" s="11" t="n">
        <v>1</v>
      </c>
    </row>
    <row r="329" customFormat="false" ht="17.9" hidden="false" customHeight="false" outlineLevel="0" collapsed="false">
      <c r="B329" s="10" t="s">
        <v>7540</v>
      </c>
      <c r="C329" s="10" t="s">
        <v>7541</v>
      </c>
      <c r="D329" s="10" t="s">
        <v>7542</v>
      </c>
      <c r="F329" s="17" t="str">
        <f aca="false">CONCATENATE(G329,", ",H329)</f>
        <v>ต.บางแก้ว, จ.สมุทรปราการ</v>
      </c>
      <c r="G329" s="10" t="s">
        <v>7543</v>
      </c>
      <c r="H329" s="10" t="s">
        <v>5403</v>
      </c>
      <c r="I329" s="10" t="s">
        <v>5348</v>
      </c>
      <c r="J329" s="10" t="n">
        <v>10540</v>
      </c>
      <c r="K329" s="10" t="s">
        <v>7544</v>
      </c>
      <c r="M329" s="10" t="s">
        <v>7545</v>
      </c>
      <c r="P329" s="10" t="s">
        <v>5352</v>
      </c>
      <c r="Q329" s="10" t="s">
        <v>7546</v>
      </c>
      <c r="S329" s="10" t="s">
        <v>7547</v>
      </c>
      <c r="T329" s="10" t="s">
        <v>29</v>
      </c>
      <c r="U329" s="10" t="s">
        <v>5367</v>
      </c>
      <c r="Z329" s="11" t="n">
        <v>1</v>
      </c>
    </row>
    <row r="330" customFormat="false" ht="17.9" hidden="false" customHeight="false" outlineLevel="0" collapsed="false">
      <c r="B330" s="10" t="s">
        <v>7548</v>
      </c>
      <c r="C330" s="10" t="s">
        <v>7549</v>
      </c>
      <c r="D330" s="10" t="s">
        <v>7550</v>
      </c>
      <c r="F330" s="17" t="str">
        <f aca="false">CONCATENATE(G330,", ",H330)</f>
        <v>อ.บางพลี, จ.สมุทรปราการ</v>
      </c>
      <c r="G330" s="10" t="s">
        <v>5434</v>
      </c>
      <c r="H330" s="10" t="s">
        <v>5403</v>
      </c>
      <c r="I330" s="10" t="s">
        <v>5348</v>
      </c>
      <c r="J330" s="10" t="n">
        <v>10540</v>
      </c>
      <c r="K330" s="10" t="s">
        <v>7551</v>
      </c>
      <c r="M330" s="10" t="s">
        <v>7552</v>
      </c>
      <c r="P330" s="10" t="s">
        <v>5352</v>
      </c>
      <c r="Q330" s="10" t="s">
        <v>7553</v>
      </c>
      <c r="S330" s="10" t="s">
        <v>6769</v>
      </c>
      <c r="T330" s="10" t="s">
        <v>29</v>
      </c>
      <c r="U330" s="10" t="s">
        <v>5367</v>
      </c>
      <c r="Z330" s="11" t="n">
        <v>1</v>
      </c>
    </row>
    <row r="331" customFormat="false" ht="17.9" hidden="false" customHeight="false" outlineLevel="0" collapsed="false">
      <c r="B331" s="10" t="s">
        <v>7554</v>
      </c>
      <c r="C331" s="10" t="s">
        <v>7555</v>
      </c>
      <c r="D331" s="10" t="s">
        <v>7556</v>
      </c>
      <c r="F331" s="17" t="str">
        <f aca="false">CONCATENATE(G331,", ",H331)</f>
        <v>อ.บางเสาธง , จ.สมุทรปราการ</v>
      </c>
      <c r="G331" s="10" t="s">
        <v>7557</v>
      </c>
      <c r="H331" s="10" t="s">
        <v>7558</v>
      </c>
      <c r="I331" s="10" t="s">
        <v>5348</v>
      </c>
      <c r="J331" s="10" t="n">
        <v>10540</v>
      </c>
      <c r="K331" s="10" t="s">
        <v>29</v>
      </c>
      <c r="L331" s="10" t="s">
        <v>29</v>
      </c>
      <c r="M331" s="10" t="s">
        <v>7559</v>
      </c>
      <c r="P331" s="10" t="s">
        <v>5352</v>
      </c>
      <c r="S331" s="10" t="s">
        <v>29</v>
      </c>
      <c r="T331" s="10" t="s">
        <v>29</v>
      </c>
      <c r="U331" s="10" t="s">
        <v>5367</v>
      </c>
      <c r="Z331" s="11" t="n">
        <v>1</v>
      </c>
    </row>
    <row r="332" customFormat="false" ht="17.9" hidden="false" customHeight="false" outlineLevel="0" collapsed="false">
      <c r="B332" s="10" t="s">
        <v>7560</v>
      </c>
      <c r="C332" s="10" t="s">
        <v>7561</v>
      </c>
      <c r="D332" s="10" t="s">
        <v>7562</v>
      </c>
      <c r="F332" s="17" t="str">
        <f aca="false">CONCATENATE(G332,", ",H332)</f>
        <v>เขต สะพานสูง , กรุงเทพมหานคร</v>
      </c>
      <c r="G332" s="10" t="s">
        <v>7269</v>
      </c>
      <c r="H332" s="10" t="s">
        <v>5449</v>
      </c>
      <c r="I332" s="10" t="s">
        <v>5348</v>
      </c>
      <c r="J332" s="10" t="n">
        <v>10240</v>
      </c>
      <c r="K332" s="10" t="s">
        <v>7563</v>
      </c>
      <c r="L332" s="10" t="s">
        <v>7564</v>
      </c>
      <c r="M332" s="10" t="s">
        <v>7565</v>
      </c>
      <c r="P332" s="10" t="s">
        <v>5352</v>
      </c>
      <c r="Q332" s="10" t="s">
        <v>7566</v>
      </c>
      <c r="S332" s="10" t="s">
        <v>7567</v>
      </c>
      <c r="T332" s="10" t="s">
        <v>29</v>
      </c>
      <c r="U332" s="10" t="s">
        <v>5367</v>
      </c>
      <c r="Z332" s="11" t="n">
        <v>1</v>
      </c>
    </row>
    <row r="333" customFormat="false" ht="17.9" hidden="false" customHeight="false" outlineLevel="0" collapsed="false">
      <c r="B333" s="10" t="s">
        <v>7568</v>
      </c>
      <c r="C333" s="10" t="s">
        <v>7569</v>
      </c>
      <c r="D333" s="10" t="s">
        <v>7570</v>
      </c>
      <c r="F333" s="17" t="str">
        <f aca="false">CONCATENATE(G333,", ",H333)</f>
        <v>อ.บางพลี , จ.สมุทรปราการ</v>
      </c>
      <c r="G333" s="10" t="s">
        <v>7444</v>
      </c>
      <c r="H333" s="10" t="s">
        <v>5965</v>
      </c>
      <c r="I333" s="10" t="s">
        <v>5348</v>
      </c>
      <c r="J333" s="10" t="n">
        <v>10540</v>
      </c>
      <c r="K333" s="10" t="s">
        <v>7571</v>
      </c>
      <c r="L333" s="10" t="s">
        <v>7572</v>
      </c>
      <c r="M333" s="10" t="s">
        <v>7573</v>
      </c>
      <c r="P333" s="10" t="s">
        <v>5352</v>
      </c>
      <c r="S333" s="10" t="s">
        <v>29</v>
      </c>
      <c r="T333" s="10" t="s">
        <v>29</v>
      </c>
      <c r="U333" s="10" t="s">
        <v>5377</v>
      </c>
      <c r="Z333" s="11" t="n">
        <v>1</v>
      </c>
    </row>
    <row r="334" customFormat="false" ht="15" hidden="false" customHeight="false" outlineLevel="0" collapsed="false">
      <c r="B334" s="10" t="s">
        <v>5114</v>
      </c>
      <c r="C334" s="10" t="s">
        <v>7574</v>
      </c>
      <c r="D334" s="10" t="s">
        <v>7575</v>
      </c>
      <c r="F334" s="17" t="str">
        <f aca="false">CONCATENATE(G334,", ",H334)</f>
        <v>GAOXIN DISTRICT, SHIJIAZHUANG CITY, HEBEI, </v>
      </c>
      <c r="G334" s="10" t="s">
        <v>7576</v>
      </c>
      <c r="H334" s="10" t="s">
        <v>7577</v>
      </c>
      <c r="I334" s="10" t="s">
        <v>5444</v>
      </c>
      <c r="J334" s="10" t="s">
        <v>7578</v>
      </c>
      <c r="K334" s="10" t="s">
        <v>29</v>
      </c>
      <c r="L334" s="10" t="s">
        <v>29</v>
      </c>
      <c r="M334" s="10" t="s">
        <v>7579</v>
      </c>
      <c r="P334" s="10" t="s">
        <v>5352</v>
      </c>
      <c r="S334" s="10" t="s">
        <v>29</v>
      </c>
      <c r="T334" s="10" t="s">
        <v>29</v>
      </c>
      <c r="U334" s="10" t="s">
        <v>5367</v>
      </c>
      <c r="Z334" s="11" t="n">
        <v>1</v>
      </c>
    </row>
    <row r="335" customFormat="false" ht="15" hidden="false" customHeight="false" outlineLevel="0" collapsed="false">
      <c r="B335" s="10" t="s">
        <v>7580</v>
      </c>
      <c r="C335" s="10" t="s">
        <v>7581</v>
      </c>
      <c r="D335" s="10" t="s">
        <v>7582</v>
      </c>
      <c r="F335" s="17" t="str">
        <f aca="false">CONCATENATE(G335,", ",H335)</f>
        <v>DOOU LIOW CITY,, YUN LIN HSIEN</v>
      </c>
      <c r="G335" s="10" t="s">
        <v>7583</v>
      </c>
      <c r="H335" s="10" t="s">
        <v>7584</v>
      </c>
      <c r="I335" s="10" t="s">
        <v>7585</v>
      </c>
      <c r="J335" s="10" t="s">
        <v>29</v>
      </c>
      <c r="K335" s="10" t="s">
        <v>29</v>
      </c>
      <c r="L335" s="10" t="s">
        <v>29</v>
      </c>
      <c r="M335" s="10" t="s">
        <v>29</v>
      </c>
      <c r="P335" s="10" t="s">
        <v>5352</v>
      </c>
      <c r="S335" s="10" t="s">
        <v>29</v>
      </c>
      <c r="T335" s="10" t="s">
        <v>29</v>
      </c>
      <c r="U335" s="10" t="s">
        <v>5367</v>
      </c>
      <c r="Z335" s="11" t="n">
        <v>1</v>
      </c>
    </row>
    <row r="336" customFormat="false" ht="17.9" hidden="false" customHeight="false" outlineLevel="0" collapsed="false">
      <c r="B336" s="10" t="s">
        <v>7586</v>
      </c>
      <c r="C336" s="10" t="s">
        <v>7587</v>
      </c>
      <c r="D336" s="10" t="s">
        <v>7588</v>
      </c>
      <c r="F336" s="17" t="str">
        <f aca="false">CONCATENATE(G336,", ",H336)</f>
        <v>เขตสาทร , กรุงเทพมหานคร</v>
      </c>
      <c r="G336" s="10" t="s">
        <v>5863</v>
      </c>
      <c r="H336" s="10" t="s">
        <v>5449</v>
      </c>
      <c r="I336" s="10" t="s">
        <v>5348</v>
      </c>
      <c r="J336" s="10" t="n">
        <v>10120</v>
      </c>
      <c r="K336" s="10" t="s">
        <v>7589</v>
      </c>
      <c r="M336" s="10" t="s">
        <v>7590</v>
      </c>
      <c r="P336" s="10" t="s">
        <v>5352</v>
      </c>
      <c r="Q336" s="10" t="s">
        <v>7591</v>
      </c>
      <c r="S336" s="10" t="s">
        <v>29</v>
      </c>
      <c r="T336" s="10" t="s">
        <v>29</v>
      </c>
      <c r="U336" s="10" t="s">
        <v>5367</v>
      </c>
      <c r="Z336" s="11" t="n">
        <v>1</v>
      </c>
    </row>
    <row r="337" customFormat="false" ht="17.9" hidden="false" customHeight="false" outlineLevel="0" collapsed="false">
      <c r="B337" s="10" t="s">
        <v>7592</v>
      </c>
      <c r="C337" s="10" t="s">
        <v>7593</v>
      </c>
      <c r="D337" s="10" t="s">
        <v>7594</v>
      </c>
      <c r="F337" s="17" t="str">
        <f aca="false">CONCATENATE(G337,", ",H337)</f>
        <v>เขตลาดกระบัง , กรุงเทพมหานคร</v>
      </c>
      <c r="G337" s="10" t="s">
        <v>7595</v>
      </c>
      <c r="H337" s="10" t="s">
        <v>5449</v>
      </c>
      <c r="I337" s="10" t="s">
        <v>5348</v>
      </c>
      <c r="J337" s="10" t="n">
        <v>10520</v>
      </c>
      <c r="K337" s="10" t="s">
        <v>7596</v>
      </c>
      <c r="M337" s="10" t="s">
        <v>7597</v>
      </c>
      <c r="P337" s="10" t="s">
        <v>5352</v>
      </c>
      <c r="Q337" s="10" t="s">
        <v>7591</v>
      </c>
      <c r="S337" s="10" t="s">
        <v>29</v>
      </c>
      <c r="T337" s="10" t="s">
        <v>29</v>
      </c>
      <c r="U337" s="10" t="s">
        <v>5367</v>
      </c>
      <c r="Z337" s="11" t="n">
        <v>1</v>
      </c>
    </row>
    <row r="338" customFormat="false" ht="17.9" hidden="false" customHeight="false" outlineLevel="0" collapsed="false">
      <c r="B338" s="10" t="s">
        <v>7598</v>
      </c>
      <c r="C338" s="10" t="s">
        <v>7599</v>
      </c>
      <c r="D338" s="10" t="s">
        <v>7600</v>
      </c>
      <c r="F338" s="17" t="str">
        <f aca="false">CONCATENATE(G338,", ",H338)</f>
        <v>อ.บางบัวทอง , จ.นนทบุรี</v>
      </c>
      <c r="G338" s="10" t="s">
        <v>6535</v>
      </c>
      <c r="H338" s="10" t="s">
        <v>5497</v>
      </c>
      <c r="I338" s="10" t="s">
        <v>5348</v>
      </c>
      <c r="J338" s="10" t="n">
        <v>11110</v>
      </c>
      <c r="K338" s="10" t="s">
        <v>7601</v>
      </c>
      <c r="M338" s="10" t="s">
        <v>7602</v>
      </c>
      <c r="P338" s="10" t="s">
        <v>5352</v>
      </c>
      <c r="Q338" s="10" t="s">
        <v>7603</v>
      </c>
      <c r="S338" s="10" t="s">
        <v>7604</v>
      </c>
      <c r="T338" s="10" t="s">
        <v>29</v>
      </c>
      <c r="U338" s="10" t="s">
        <v>5367</v>
      </c>
      <c r="Z338" s="11" t="n">
        <v>1</v>
      </c>
    </row>
    <row r="339" customFormat="false" ht="17.9" hidden="false" customHeight="false" outlineLevel="0" collapsed="false">
      <c r="B339" s="10" t="s">
        <v>7605</v>
      </c>
      <c r="C339" s="10" t="s">
        <v>7606</v>
      </c>
      <c r="D339" s="10" t="s">
        <v>7607</v>
      </c>
      <c r="F339" s="17" t="str">
        <f aca="false">CONCATENATE(G339,", ",H339)</f>
        <v>อ.บางพลี, จ.สมุทรปราการ</v>
      </c>
      <c r="G339" s="10" t="s">
        <v>5434</v>
      </c>
      <c r="H339" s="10" t="s">
        <v>5403</v>
      </c>
      <c r="I339" s="10" t="s">
        <v>5348</v>
      </c>
      <c r="J339" s="10" t="n">
        <v>10540</v>
      </c>
      <c r="K339" s="10" t="s">
        <v>7608</v>
      </c>
      <c r="M339" s="10" t="s">
        <v>7609</v>
      </c>
      <c r="P339" s="10" t="s">
        <v>5352</v>
      </c>
      <c r="Q339" s="10" t="s">
        <v>6069</v>
      </c>
      <c r="S339" s="10" t="s">
        <v>29</v>
      </c>
      <c r="T339" s="10" t="s">
        <v>29</v>
      </c>
      <c r="U339" s="10" t="s">
        <v>5367</v>
      </c>
      <c r="Z339" s="11" t="n">
        <v>1</v>
      </c>
    </row>
    <row r="340" customFormat="false" ht="17.9" hidden="false" customHeight="false" outlineLevel="0" collapsed="false">
      <c r="B340" s="10" t="s">
        <v>7610</v>
      </c>
      <c r="C340" s="10" t="s">
        <v>7611</v>
      </c>
      <c r="D340" s="10" t="s">
        <v>7612</v>
      </c>
      <c r="F340" s="17" t="str">
        <f aca="false">CONCATENATE(G340,", ",H340)</f>
        <v>เขตคลองเตย, กรุงเทพมหานคร</v>
      </c>
      <c r="G340" s="10" t="s">
        <v>5576</v>
      </c>
      <c r="H340" s="10" t="s">
        <v>5449</v>
      </c>
      <c r="I340" s="10" t="s">
        <v>5348</v>
      </c>
      <c r="J340" s="10" t="n">
        <v>10110</v>
      </c>
      <c r="K340" s="10" t="s">
        <v>7613</v>
      </c>
      <c r="M340" s="10" t="s">
        <v>7614</v>
      </c>
      <c r="P340" s="10" t="s">
        <v>5352</v>
      </c>
      <c r="Q340" s="10" t="s">
        <v>7615</v>
      </c>
      <c r="S340" s="10" t="s">
        <v>7616</v>
      </c>
      <c r="T340" s="10" t="s">
        <v>29</v>
      </c>
      <c r="U340" s="10" t="s">
        <v>5367</v>
      </c>
      <c r="Z340" s="11" t="n">
        <v>1</v>
      </c>
    </row>
    <row r="341" customFormat="false" ht="17.9" hidden="false" customHeight="false" outlineLevel="0" collapsed="false">
      <c r="B341" s="10" t="s">
        <v>7617</v>
      </c>
      <c r="C341" s="10" t="s">
        <v>7618</v>
      </c>
      <c r="D341" s="10" t="s">
        <v>7619</v>
      </c>
      <c r="F341" s="17" t="str">
        <f aca="false">CONCATENATE(G341,", ",H341)</f>
        <v>เขตยานนาวา, กรุงเทพมหานคร</v>
      </c>
      <c r="G341" s="10" t="s">
        <v>7620</v>
      </c>
      <c r="H341" s="10" t="s">
        <v>5449</v>
      </c>
      <c r="I341" s="10" t="s">
        <v>5348</v>
      </c>
      <c r="J341" s="10" t="n">
        <v>10120</v>
      </c>
      <c r="K341" s="10" t="s">
        <v>29</v>
      </c>
      <c r="L341" s="10" t="s">
        <v>29</v>
      </c>
      <c r="M341" s="10" t="s">
        <v>7621</v>
      </c>
      <c r="P341" s="10" t="s">
        <v>5352</v>
      </c>
      <c r="S341" s="10" t="s">
        <v>7622</v>
      </c>
      <c r="T341" s="10" t="s">
        <v>29</v>
      </c>
      <c r="U341" s="10" t="s">
        <v>5367</v>
      </c>
      <c r="Z341" s="11" t="n">
        <v>1</v>
      </c>
    </row>
    <row r="342" customFormat="false" ht="17.9" hidden="false" customHeight="false" outlineLevel="0" collapsed="false">
      <c r="B342" s="10" t="s">
        <v>787</v>
      </c>
      <c r="C342" s="10" t="s">
        <v>7623</v>
      </c>
      <c r="D342" s="10" t="s">
        <v>7624</v>
      </c>
      <c r="F342" s="17" t="str">
        <f aca="false">CONCATENATE(G342,", ",H342)</f>
        <v>เขตบางบอน, กรุงเทพมหานคร</v>
      </c>
      <c r="G342" s="10" t="s">
        <v>5360</v>
      </c>
      <c r="H342" s="10" t="s">
        <v>5449</v>
      </c>
      <c r="I342" s="10" t="s">
        <v>5348</v>
      </c>
      <c r="J342" s="10" t="n">
        <v>10150</v>
      </c>
      <c r="K342" s="10" t="s">
        <v>7625</v>
      </c>
      <c r="L342" s="10" t="s">
        <v>7626</v>
      </c>
      <c r="M342" s="10" t="s">
        <v>6453</v>
      </c>
      <c r="P342" s="10" t="s">
        <v>5352</v>
      </c>
      <c r="Q342" s="10" t="s">
        <v>7627</v>
      </c>
      <c r="S342" s="10" t="s">
        <v>29</v>
      </c>
      <c r="T342" s="10" t="s">
        <v>29</v>
      </c>
      <c r="U342" s="10" t="s">
        <v>5377</v>
      </c>
      <c r="Z342" s="11" t="n">
        <v>1</v>
      </c>
    </row>
    <row r="343" customFormat="false" ht="17.9" hidden="false" customHeight="false" outlineLevel="0" collapsed="false">
      <c r="B343" s="10" t="s">
        <v>7628</v>
      </c>
      <c r="C343" s="10" t="s">
        <v>7629</v>
      </c>
      <c r="D343" s="10" t="s">
        <v>7630</v>
      </c>
      <c r="F343" s="17" t="str">
        <f aca="false">CONCATENATE(G343,", ",H343)</f>
        <v>อ.เมืองนนทบุรี, นนทบุรี</v>
      </c>
      <c r="G343" s="10" t="s">
        <v>6283</v>
      </c>
      <c r="H343" s="10" t="s">
        <v>7631</v>
      </c>
      <c r="I343" s="10" t="s">
        <v>5348</v>
      </c>
      <c r="J343" s="10" t="n">
        <v>11000</v>
      </c>
      <c r="K343" s="10" t="s">
        <v>29</v>
      </c>
      <c r="L343" s="10" t="s">
        <v>29</v>
      </c>
      <c r="M343" s="10" t="s">
        <v>29</v>
      </c>
      <c r="P343" s="10" t="s">
        <v>5352</v>
      </c>
      <c r="S343" s="10" t="s">
        <v>29</v>
      </c>
      <c r="T343" s="10" t="s">
        <v>29</v>
      </c>
      <c r="U343" s="10" t="s">
        <v>5367</v>
      </c>
      <c r="Z343" s="11" t="n">
        <v>1</v>
      </c>
    </row>
    <row r="344" customFormat="false" ht="17.9" hidden="false" customHeight="false" outlineLevel="0" collapsed="false">
      <c r="B344" s="10" t="s">
        <v>89</v>
      </c>
      <c r="C344" s="10" t="s">
        <v>7632</v>
      </c>
      <c r="D344" s="10" t="s">
        <v>7633</v>
      </c>
      <c r="F344" s="17" t="str">
        <f aca="false">CONCATENATE(G344,", ",H344)</f>
        <v>พะโขนง, กรุงเทพมหานคร</v>
      </c>
      <c r="G344" s="10" t="s">
        <v>7634</v>
      </c>
      <c r="H344" s="10" t="s">
        <v>5449</v>
      </c>
      <c r="I344" s="10" t="s">
        <v>5348</v>
      </c>
      <c r="J344" s="10" t="n">
        <v>10260</v>
      </c>
      <c r="K344" s="10" t="s">
        <v>7635</v>
      </c>
      <c r="L344" s="10" t="s">
        <v>7636</v>
      </c>
      <c r="M344" s="10" t="s">
        <v>7637</v>
      </c>
      <c r="P344" s="10" t="s">
        <v>5352</v>
      </c>
      <c r="Q344" s="10" t="s">
        <v>7638</v>
      </c>
      <c r="S344" s="10" t="s">
        <v>29</v>
      </c>
      <c r="T344" s="10" t="s">
        <v>29</v>
      </c>
      <c r="U344" s="10" t="s">
        <v>5377</v>
      </c>
      <c r="Z344" s="11" t="n">
        <v>1</v>
      </c>
    </row>
    <row r="345" customFormat="false" ht="17.9" hidden="false" customHeight="false" outlineLevel="0" collapsed="false">
      <c r="B345" s="10" t="s">
        <v>7639</v>
      </c>
      <c r="C345" s="10" t="s">
        <v>7640</v>
      </c>
      <c r="D345" s="10" t="s">
        <v>7641</v>
      </c>
      <c r="F345" s="17" t="str">
        <f aca="false">CONCATENATE(G345,", ",H345)</f>
        <v>เขตพระนคร, กรุงเทพมหานคร</v>
      </c>
      <c r="G345" s="10" t="s">
        <v>7642</v>
      </c>
      <c r="H345" s="10" t="s">
        <v>5449</v>
      </c>
      <c r="I345" s="10" t="s">
        <v>5348</v>
      </c>
      <c r="J345" s="10" t="n">
        <v>10200</v>
      </c>
      <c r="K345" s="10" t="s">
        <v>7643</v>
      </c>
      <c r="L345" s="10" t="s">
        <v>7644</v>
      </c>
      <c r="M345" s="10" t="s">
        <v>7645</v>
      </c>
      <c r="P345" s="10" t="s">
        <v>5352</v>
      </c>
      <c r="S345" s="10" t="s">
        <v>29</v>
      </c>
      <c r="T345" s="10" t="s">
        <v>29</v>
      </c>
      <c r="U345" s="10" t="s">
        <v>5367</v>
      </c>
      <c r="Z345" s="11" t="n">
        <v>1</v>
      </c>
    </row>
    <row r="346" customFormat="false" ht="17.9" hidden="false" customHeight="false" outlineLevel="0" collapsed="false">
      <c r="B346" s="10" t="s">
        <v>7646</v>
      </c>
      <c r="C346" s="10" t="s">
        <v>7647</v>
      </c>
      <c r="D346" s="10" t="s">
        <v>7648</v>
      </c>
      <c r="F346" s="17" t="str">
        <f aca="false">CONCATENATE(G346,", ",H346)</f>
        <v>อ.บางพลี , จ.สมุทรปราการ</v>
      </c>
      <c r="G346" s="10" t="s">
        <v>7444</v>
      </c>
      <c r="H346" s="10" t="s">
        <v>5965</v>
      </c>
      <c r="I346" s="10" t="s">
        <v>5348</v>
      </c>
      <c r="J346" s="10" t="n">
        <v>10540</v>
      </c>
      <c r="K346" s="10" t="s">
        <v>7649</v>
      </c>
      <c r="L346" s="10" t="s">
        <v>29</v>
      </c>
      <c r="M346" s="10" t="s">
        <v>7650</v>
      </c>
      <c r="P346" s="10" t="s">
        <v>5352</v>
      </c>
      <c r="S346" s="10" t="s">
        <v>29</v>
      </c>
      <c r="T346" s="10" t="s">
        <v>29</v>
      </c>
      <c r="U346" s="10" t="s">
        <v>5367</v>
      </c>
      <c r="Z346" s="11" t="n">
        <v>1</v>
      </c>
    </row>
    <row r="347" customFormat="false" ht="17.9" hidden="false" customHeight="false" outlineLevel="0" collapsed="false">
      <c r="B347" s="10" t="s">
        <v>155</v>
      </c>
      <c r="C347" s="10" t="s">
        <v>7651</v>
      </c>
      <c r="D347" s="10" t="s">
        <v>29</v>
      </c>
      <c r="F347" s="17" t="str">
        <f aca="false">CONCATENATE(G347,", ",H347)</f>
        <v>-, -</v>
      </c>
      <c r="G347" s="10" t="s">
        <v>29</v>
      </c>
      <c r="H347" s="10" t="s">
        <v>29</v>
      </c>
      <c r="I347" s="10" t="s">
        <v>5348</v>
      </c>
      <c r="J347" s="10" t="s">
        <v>29</v>
      </c>
      <c r="K347" s="10" t="s">
        <v>29</v>
      </c>
      <c r="M347" s="10" t="s">
        <v>29</v>
      </c>
      <c r="P347" s="10" t="s">
        <v>5352</v>
      </c>
      <c r="S347" s="10" t="s">
        <v>7652</v>
      </c>
      <c r="T347" s="10" t="s">
        <v>7653</v>
      </c>
      <c r="U347" s="10" t="s">
        <v>5377</v>
      </c>
      <c r="Z347" s="11" t="n">
        <v>1</v>
      </c>
    </row>
    <row r="348" customFormat="false" ht="17.9" hidden="false" customHeight="false" outlineLevel="0" collapsed="false">
      <c r="B348" s="10" t="s">
        <v>7654</v>
      </c>
      <c r="C348" s="10" t="s">
        <v>7655</v>
      </c>
      <c r="D348" s="10" t="s">
        <v>7656</v>
      </c>
      <c r="F348" s="17" t="str">
        <f aca="false">CONCATENATE(G348,", ",H348)</f>
        <v>เขตสวนหลวง, กรุงเทพมหานคร</v>
      </c>
      <c r="G348" s="10" t="s">
        <v>5448</v>
      </c>
      <c r="H348" s="10" t="s">
        <v>5449</v>
      </c>
      <c r="I348" s="10" t="s">
        <v>5348</v>
      </c>
      <c r="J348" s="10" t="n">
        <v>10250</v>
      </c>
      <c r="K348" s="10" t="s">
        <v>7657</v>
      </c>
      <c r="L348" s="10" t="s">
        <v>7658</v>
      </c>
      <c r="M348" s="10" t="s">
        <v>7659</v>
      </c>
      <c r="P348" s="10" t="s">
        <v>5352</v>
      </c>
      <c r="S348" s="10" t="s">
        <v>7660</v>
      </c>
      <c r="T348" s="10" t="s">
        <v>29</v>
      </c>
      <c r="U348" s="10" t="s">
        <v>5367</v>
      </c>
      <c r="Z348" s="11" t="n">
        <v>1</v>
      </c>
    </row>
    <row r="349" customFormat="false" ht="17.9" hidden="false" customHeight="false" outlineLevel="0" collapsed="false">
      <c r="B349" s="10" t="s">
        <v>7661</v>
      </c>
      <c r="C349" s="10" t="s">
        <v>7662</v>
      </c>
      <c r="D349" s="10" t="s">
        <v>7663</v>
      </c>
      <c r="F349" s="17" t="str">
        <f aca="false">CONCATENATE(G349,", ",H349)</f>
        <v>เขตจอมทอง, กรุงเทพมหานคร</v>
      </c>
      <c r="G349" s="10" t="s">
        <v>7421</v>
      </c>
      <c r="H349" s="10" t="s">
        <v>5449</v>
      </c>
      <c r="I349" s="10" t="s">
        <v>5348</v>
      </c>
      <c r="J349" s="10" t="n">
        <v>10150</v>
      </c>
      <c r="K349" s="10" t="s">
        <v>7664</v>
      </c>
      <c r="M349" s="10" t="s">
        <v>7665</v>
      </c>
      <c r="P349" s="10" t="s">
        <v>5352</v>
      </c>
      <c r="Q349" s="10" t="s">
        <v>7666</v>
      </c>
      <c r="S349" s="10" t="s">
        <v>7667</v>
      </c>
      <c r="T349" s="10" t="s">
        <v>29</v>
      </c>
      <c r="U349" s="10" t="s">
        <v>5377</v>
      </c>
      <c r="Z349" s="11" t="n">
        <v>1</v>
      </c>
    </row>
    <row r="350" customFormat="false" ht="17.9" hidden="false" customHeight="false" outlineLevel="0" collapsed="false">
      <c r="B350" s="10" t="s">
        <v>3322</v>
      </c>
      <c r="C350" s="10" t="s">
        <v>7668</v>
      </c>
      <c r="D350" s="10" t="s">
        <v>7669</v>
      </c>
      <c r="F350" s="17" t="str">
        <f aca="false">CONCATENATE(G350,", ",H350)</f>
        <v>อ.เมืองสมุทรสาคร,  จ.สมุทรสาคร</v>
      </c>
      <c r="G350" s="10" t="s">
        <v>7670</v>
      </c>
      <c r="H350" s="10" t="s">
        <v>5927</v>
      </c>
      <c r="I350" s="10" t="s">
        <v>5348</v>
      </c>
      <c r="J350" s="10" t="n">
        <v>74000</v>
      </c>
      <c r="K350" s="10" t="s">
        <v>7671</v>
      </c>
      <c r="M350" s="10" t="s">
        <v>7672</v>
      </c>
      <c r="P350" s="10" t="s">
        <v>5352</v>
      </c>
      <c r="Q350" s="10" t="s">
        <v>7673</v>
      </c>
      <c r="S350" s="10" t="s">
        <v>29</v>
      </c>
      <c r="T350" s="10" t="s">
        <v>29</v>
      </c>
      <c r="U350" s="10" t="s">
        <v>5377</v>
      </c>
      <c r="Z350" s="11" t="n">
        <v>1</v>
      </c>
    </row>
    <row r="351" customFormat="false" ht="17.9" hidden="false" customHeight="false" outlineLevel="0" collapsed="false">
      <c r="B351" s="10" t="s">
        <v>7674</v>
      </c>
      <c r="C351" s="10" t="s">
        <v>7675</v>
      </c>
      <c r="D351" s="10" t="s">
        <v>7676</v>
      </c>
      <c r="F351" s="17" t="str">
        <f aca="false">CONCATENATE(G351,", ",H351)</f>
        <v>เขตลาดพร้าว, กรุงเทพมหานคร</v>
      </c>
      <c r="G351" s="10" t="s">
        <v>5840</v>
      </c>
      <c r="H351" s="10" t="s">
        <v>5449</v>
      </c>
      <c r="I351" s="10" t="s">
        <v>5348</v>
      </c>
      <c r="J351" s="10" t="n">
        <v>10230</v>
      </c>
      <c r="K351" s="10" t="s">
        <v>29</v>
      </c>
      <c r="M351" s="10" t="s">
        <v>7677</v>
      </c>
      <c r="P351" s="10" t="s">
        <v>5352</v>
      </c>
      <c r="S351" s="10" t="s">
        <v>29</v>
      </c>
      <c r="T351" s="10" t="s">
        <v>29</v>
      </c>
      <c r="U351" s="10" t="s">
        <v>5367</v>
      </c>
      <c r="Z351" s="11" t="n">
        <v>1</v>
      </c>
    </row>
    <row r="352" customFormat="false" ht="15" hidden="false" customHeight="false" outlineLevel="0" collapsed="false">
      <c r="B352" s="10" t="s">
        <v>56</v>
      </c>
      <c r="C352" s="10" t="s">
        <v>7678</v>
      </c>
      <c r="D352" s="10" t="s">
        <v>29</v>
      </c>
      <c r="F352" s="17" t="str">
        <f aca="false">CONCATENATE(G352,", ",H352)</f>
        <v>-, -</v>
      </c>
      <c r="G352" s="10" t="s">
        <v>29</v>
      </c>
      <c r="H352" s="10" t="s">
        <v>29</v>
      </c>
      <c r="I352" s="10" t="s">
        <v>5348</v>
      </c>
      <c r="J352" s="10" t="s">
        <v>29</v>
      </c>
      <c r="K352" s="10" t="s">
        <v>29</v>
      </c>
      <c r="M352" s="10" t="s">
        <v>29</v>
      </c>
      <c r="P352" s="10" t="s">
        <v>5352</v>
      </c>
      <c r="S352" s="10" t="s">
        <v>29</v>
      </c>
      <c r="T352" s="10" t="s">
        <v>29</v>
      </c>
      <c r="U352" s="10" t="s">
        <v>5367</v>
      </c>
      <c r="Z352" s="11" t="n">
        <v>1</v>
      </c>
    </row>
    <row r="353" customFormat="false" ht="15" hidden="false" customHeight="false" outlineLevel="0" collapsed="false">
      <c r="B353" s="10" t="s">
        <v>7679</v>
      </c>
      <c r="C353" s="10" t="s">
        <v>7680</v>
      </c>
      <c r="D353" s="10" t="s">
        <v>29</v>
      </c>
      <c r="F353" s="17" t="str">
        <f aca="false">CONCATENATE(G353,", ",H353)</f>
        <v>-, -</v>
      </c>
      <c r="G353" s="10" t="s">
        <v>29</v>
      </c>
      <c r="H353" s="10" t="s">
        <v>29</v>
      </c>
      <c r="I353" s="10" t="s">
        <v>5348</v>
      </c>
      <c r="J353" s="10" t="s">
        <v>29</v>
      </c>
      <c r="K353" s="10" t="s">
        <v>29</v>
      </c>
      <c r="M353" s="10" t="s">
        <v>29</v>
      </c>
      <c r="P353" s="10" t="s">
        <v>5352</v>
      </c>
      <c r="S353" s="10" t="s">
        <v>29</v>
      </c>
      <c r="T353" s="10" t="s">
        <v>29</v>
      </c>
      <c r="U353" s="10" t="s">
        <v>5367</v>
      </c>
      <c r="Z353" s="11" t="n">
        <v>1</v>
      </c>
    </row>
    <row r="354" customFormat="false" ht="15" hidden="false" customHeight="false" outlineLevel="0" collapsed="false">
      <c r="B354" s="10" t="s">
        <v>7681</v>
      </c>
      <c r="C354" s="10" t="s">
        <v>7682</v>
      </c>
      <c r="D354" s="10" t="s">
        <v>7683</v>
      </c>
      <c r="F354" s="17" t="str">
        <f aca="false">CONCATENATE(G354,", ",H354)</f>
        <v>Zhongshan, Guangdong</v>
      </c>
      <c r="G354" s="10" t="s">
        <v>7684</v>
      </c>
      <c r="H354" s="10" t="s">
        <v>5938</v>
      </c>
      <c r="I354" s="17" t="s">
        <v>5444</v>
      </c>
      <c r="J354" s="10" t="n">
        <v>528400</v>
      </c>
      <c r="K354" s="10" t="s">
        <v>29</v>
      </c>
      <c r="L354" s="10" t="s">
        <v>29</v>
      </c>
      <c r="M354" s="10" t="s">
        <v>29</v>
      </c>
      <c r="P354" s="10" t="s">
        <v>5352</v>
      </c>
      <c r="S354" s="10" t="s">
        <v>29</v>
      </c>
      <c r="T354" s="10" t="s">
        <v>29</v>
      </c>
      <c r="U354" s="10" t="s">
        <v>5367</v>
      </c>
      <c r="Z354" s="11" t="n">
        <v>1</v>
      </c>
    </row>
    <row r="355" customFormat="false" ht="15" hidden="false" customHeight="false" outlineLevel="0" collapsed="false">
      <c r="B355" s="10" t="s">
        <v>7685</v>
      </c>
      <c r="C355" s="10" t="s">
        <v>7686</v>
      </c>
      <c r="D355" s="10" t="s">
        <v>7687</v>
      </c>
      <c r="F355" s="17" t="str">
        <f aca="false">CONCATENATE(G355,", ",H355)</f>
        <v>CTR TONG'AN DISTRICT, XIAMEN</v>
      </c>
      <c r="G355" s="10" t="s">
        <v>7688</v>
      </c>
      <c r="H355" s="10" t="s">
        <v>7689</v>
      </c>
      <c r="I355" s="17" t="s">
        <v>5444</v>
      </c>
      <c r="J355" s="10" t="n">
        <v>361000</v>
      </c>
      <c r="K355" s="10" t="s">
        <v>29</v>
      </c>
      <c r="L355" s="10" t="s">
        <v>29</v>
      </c>
      <c r="M355" s="10" t="s">
        <v>29</v>
      </c>
      <c r="P355" s="10" t="s">
        <v>5352</v>
      </c>
      <c r="S355" s="10" t="s">
        <v>29</v>
      </c>
      <c r="T355" s="10" t="s">
        <v>29</v>
      </c>
      <c r="U355" s="10" t="s">
        <v>5367</v>
      </c>
      <c r="Z355" s="11" t="n">
        <v>1</v>
      </c>
    </row>
    <row r="356" customFormat="false" ht="17.9" hidden="false" customHeight="false" outlineLevel="0" collapsed="false">
      <c r="B356" s="10" t="s">
        <v>7690</v>
      </c>
      <c r="C356" s="10" t="s">
        <v>7691</v>
      </c>
      <c r="D356" s="10" t="s">
        <v>7692</v>
      </c>
      <c r="F356" s="17" t="str">
        <f aca="false">CONCATENATE(G356,", ",H356)</f>
        <v>เขตวังทองหลาง, กรุงเทพมหานคร</v>
      </c>
      <c r="G356" s="10" t="s">
        <v>5552</v>
      </c>
      <c r="H356" s="10" t="s">
        <v>5449</v>
      </c>
      <c r="I356" s="10" t="s">
        <v>5348</v>
      </c>
      <c r="J356" s="10" t="n">
        <v>10310</v>
      </c>
      <c r="K356" s="10" t="s">
        <v>7693</v>
      </c>
      <c r="M356" s="10" t="s">
        <v>7694</v>
      </c>
      <c r="P356" s="10" t="s">
        <v>5352</v>
      </c>
      <c r="Q356" s="10" t="s">
        <v>7695</v>
      </c>
      <c r="S356" s="10" t="s">
        <v>7696</v>
      </c>
      <c r="T356" s="10" t="s">
        <v>29</v>
      </c>
      <c r="U356" s="10" t="s">
        <v>5367</v>
      </c>
      <c r="Z356" s="11" t="n">
        <v>1</v>
      </c>
    </row>
    <row r="357" customFormat="false" ht="17.9" hidden="false" customHeight="false" outlineLevel="0" collapsed="false">
      <c r="B357" s="10" t="s">
        <v>7697</v>
      </c>
      <c r="C357" s="10" t="s">
        <v>7698</v>
      </c>
      <c r="D357" s="10" t="s">
        <v>7699</v>
      </c>
      <c r="F357" s="17" t="str">
        <f aca="false">CONCATENATE(G357,", ",H357)</f>
        <v>อ.เมืองสมุทรปราการ, จ.สมุทรปราการ</v>
      </c>
      <c r="G357" s="10" t="s">
        <v>5483</v>
      </c>
      <c r="H357" s="10" t="s">
        <v>5403</v>
      </c>
      <c r="I357" s="10" t="s">
        <v>5348</v>
      </c>
      <c r="J357" s="10" t="n">
        <v>10280</v>
      </c>
      <c r="K357" s="10" t="s">
        <v>7700</v>
      </c>
      <c r="M357" s="10" t="s">
        <v>7701</v>
      </c>
      <c r="P357" s="10" t="s">
        <v>5352</v>
      </c>
      <c r="Q357" s="10" t="s">
        <v>7702</v>
      </c>
      <c r="S357" s="10" t="s">
        <v>29</v>
      </c>
      <c r="T357" s="10" t="s">
        <v>29</v>
      </c>
      <c r="U357" s="10" t="s">
        <v>5377</v>
      </c>
      <c r="Z357" s="11" t="n">
        <v>1</v>
      </c>
    </row>
    <row r="358" customFormat="false" ht="17.9" hidden="false" customHeight="false" outlineLevel="0" collapsed="false">
      <c r="B358" s="10" t="s">
        <v>7703</v>
      </c>
      <c r="C358" s="10" t="s">
        <v>7704</v>
      </c>
      <c r="D358" s="10" t="s">
        <v>7705</v>
      </c>
      <c r="F358" s="17" t="str">
        <f aca="false">CONCATENATE(G358,", ",H358)</f>
        <v>อ.ปากเกร็ด, จ.นนทบุรี</v>
      </c>
      <c r="G358" s="10" t="s">
        <v>5896</v>
      </c>
      <c r="H358" s="10" t="s">
        <v>5497</v>
      </c>
      <c r="I358" s="10" t="s">
        <v>5348</v>
      </c>
      <c r="J358" s="10" t="n">
        <v>11120</v>
      </c>
      <c r="K358" s="10" t="s">
        <v>7706</v>
      </c>
      <c r="L358" s="10" t="s">
        <v>7707</v>
      </c>
      <c r="M358" s="10" t="s">
        <v>7708</v>
      </c>
      <c r="P358" s="10" t="s">
        <v>5352</v>
      </c>
      <c r="S358" s="10" t="s">
        <v>29</v>
      </c>
      <c r="T358" s="10" t="s">
        <v>29</v>
      </c>
      <c r="U358" s="10" t="s">
        <v>5367</v>
      </c>
      <c r="Z358" s="11" t="n">
        <v>1</v>
      </c>
    </row>
    <row r="359" customFormat="false" ht="17.9" hidden="false" customHeight="false" outlineLevel="0" collapsed="false">
      <c r="B359" s="10" t="s">
        <v>7709</v>
      </c>
      <c r="C359" s="10" t="s">
        <v>7710</v>
      </c>
      <c r="D359" s="10" t="s">
        <v>7711</v>
      </c>
      <c r="F359" s="17" t="str">
        <f aca="false">CONCATENATE(G359,", ",H359)</f>
        <v>อ.บางเสาธง , จ.สมุทรปราการ</v>
      </c>
      <c r="G359" s="10" t="s">
        <v>7557</v>
      </c>
      <c r="H359" s="10" t="s">
        <v>5403</v>
      </c>
      <c r="I359" s="10" t="s">
        <v>5348</v>
      </c>
      <c r="J359" s="10" t="n">
        <v>10280</v>
      </c>
      <c r="K359" s="10" t="s">
        <v>7712</v>
      </c>
      <c r="M359" s="10" t="s">
        <v>7713</v>
      </c>
      <c r="P359" s="10" t="s">
        <v>5352</v>
      </c>
      <c r="Q359" s="10" t="s">
        <v>7714</v>
      </c>
      <c r="S359" s="10" t="s">
        <v>29</v>
      </c>
      <c r="T359" s="10" t="s">
        <v>29</v>
      </c>
      <c r="U359" s="10" t="s">
        <v>5367</v>
      </c>
      <c r="Z359" s="11" t="n">
        <v>1</v>
      </c>
    </row>
    <row r="360" customFormat="false" ht="15" hidden="false" customHeight="false" outlineLevel="0" collapsed="false">
      <c r="B360" s="10" t="s">
        <v>7715</v>
      </c>
      <c r="C360" s="10" t="s">
        <v>7716</v>
      </c>
      <c r="D360" s="10" t="s">
        <v>7717</v>
      </c>
      <c r="F360" s="17" t="str">
        <f aca="false">CONCATENATE(G360,", ",H360)</f>
        <v>SAPANSOONG, กรุงเทพมหานคร</v>
      </c>
      <c r="G360" s="10" t="s">
        <v>7718</v>
      </c>
      <c r="H360" s="10" t="s">
        <v>5449</v>
      </c>
      <c r="I360" s="10" t="s">
        <v>5348</v>
      </c>
      <c r="J360" s="10" t="n">
        <v>10240</v>
      </c>
      <c r="K360" s="10" t="s">
        <v>7719</v>
      </c>
      <c r="L360" s="10" t="s">
        <v>29</v>
      </c>
      <c r="M360" s="10" t="s">
        <v>7720</v>
      </c>
      <c r="P360" s="10" t="s">
        <v>5352</v>
      </c>
      <c r="S360" s="10" t="s">
        <v>29</v>
      </c>
      <c r="T360" s="10" t="s">
        <v>29</v>
      </c>
      <c r="U360" s="10" t="s">
        <v>5367</v>
      </c>
      <c r="Z360" s="11" t="n">
        <v>1</v>
      </c>
    </row>
    <row r="361" customFormat="false" ht="17.9" hidden="false" customHeight="false" outlineLevel="0" collapsed="false">
      <c r="B361" s="10" t="s">
        <v>380</v>
      </c>
      <c r="C361" s="10" t="s">
        <v>7721</v>
      </c>
      <c r="D361" s="10" t="s">
        <v>7722</v>
      </c>
      <c r="F361" s="17" t="str">
        <f aca="false">CONCATENATE(G361,", ",H361)</f>
        <v>เขตบางขุนเทียน, กรุงเทพมหานคร</v>
      </c>
      <c r="G361" s="10" t="s">
        <v>5867</v>
      </c>
      <c r="H361" s="10" t="s">
        <v>5449</v>
      </c>
      <c r="I361" s="10" t="s">
        <v>5348</v>
      </c>
      <c r="J361" s="10" t="n">
        <v>10150</v>
      </c>
      <c r="K361" s="10" t="s">
        <v>7723</v>
      </c>
      <c r="L361" s="10" t="s">
        <v>7724</v>
      </c>
      <c r="M361" s="10" t="s">
        <v>7725</v>
      </c>
      <c r="P361" s="10" t="s">
        <v>5352</v>
      </c>
      <c r="S361" s="10" t="s">
        <v>29</v>
      </c>
      <c r="T361" s="10" t="s">
        <v>29</v>
      </c>
      <c r="U361" s="10" t="s">
        <v>5367</v>
      </c>
      <c r="Z361" s="11" t="n">
        <v>1</v>
      </c>
    </row>
    <row r="362" customFormat="false" ht="17.9" hidden="false" customHeight="false" outlineLevel="0" collapsed="false">
      <c r="B362" s="10" t="s">
        <v>7726</v>
      </c>
      <c r="C362" s="10" t="s">
        <v>7727</v>
      </c>
      <c r="D362" s="10" t="s">
        <v>7728</v>
      </c>
      <c r="F362" s="17" t="str">
        <f aca="false">CONCATENATE(G362,", ",H362)</f>
        <v>เขตประเวศ, กรุงเทพมหานคร</v>
      </c>
      <c r="G362" s="10" t="s">
        <v>5770</v>
      </c>
      <c r="H362" s="10" t="s">
        <v>5449</v>
      </c>
      <c r="I362" s="10" t="s">
        <v>5348</v>
      </c>
      <c r="J362" s="10" t="n">
        <v>10250</v>
      </c>
      <c r="K362" s="10" t="s">
        <v>7729</v>
      </c>
      <c r="L362" s="10" t="s">
        <v>7730</v>
      </c>
      <c r="M362" s="10" t="s">
        <v>7731</v>
      </c>
      <c r="P362" s="10" t="s">
        <v>5352</v>
      </c>
      <c r="Q362" s="10" t="s">
        <v>7732</v>
      </c>
      <c r="S362" s="10" t="s">
        <v>29</v>
      </c>
      <c r="T362" s="10" t="s">
        <v>29</v>
      </c>
      <c r="U362" s="10" t="s">
        <v>5377</v>
      </c>
      <c r="Z362" s="11" t="n">
        <v>1</v>
      </c>
    </row>
    <row r="363" customFormat="false" ht="17.9" hidden="false" customHeight="false" outlineLevel="0" collapsed="false">
      <c r="B363" s="10" t="s">
        <v>7733</v>
      </c>
      <c r="C363" s="10" t="s">
        <v>7734</v>
      </c>
      <c r="D363" s="10" t="s">
        <v>7735</v>
      </c>
      <c r="F363" s="17" t="str">
        <f aca="false">CONCATENATE(G363,", ",H363)</f>
        <v>อ.ยานนาวา , กรุงเทพมหานคร</v>
      </c>
      <c r="G363" s="10" t="s">
        <v>7736</v>
      </c>
      <c r="H363" s="10" t="s">
        <v>5449</v>
      </c>
      <c r="I363" s="10" t="s">
        <v>5348</v>
      </c>
      <c r="J363" s="10" t="n">
        <v>10120</v>
      </c>
      <c r="K363" s="10" t="s">
        <v>7737</v>
      </c>
      <c r="L363" s="10" t="s">
        <v>29</v>
      </c>
      <c r="M363" s="10" t="s">
        <v>7738</v>
      </c>
      <c r="P363" s="10" t="s">
        <v>5352</v>
      </c>
      <c r="Q363" s="10" t="s">
        <v>7739</v>
      </c>
      <c r="S363" s="10" t="s">
        <v>29</v>
      </c>
      <c r="T363" s="10" t="s">
        <v>29</v>
      </c>
      <c r="U363" s="10" t="s">
        <v>5367</v>
      </c>
      <c r="Z363" s="11" t="n">
        <v>1</v>
      </c>
    </row>
    <row r="364" customFormat="false" ht="17.9" hidden="false" customHeight="false" outlineLevel="0" collapsed="false">
      <c r="B364" s="10" t="s">
        <v>7740</v>
      </c>
      <c r="C364" s="10" t="s">
        <v>7741</v>
      </c>
      <c r="D364" s="10" t="s">
        <v>7742</v>
      </c>
      <c r="F364" s="17" t="str">
        <f aca="false">CONCATENATE(G364,", ",H364)</f>
        <v>เขตบางกะปิ , กรุงเทพมหานคร</v>
      </c>
      <c r="G364" s="10" t="s">
        <v>7743</v>
      </c>
      <c r="H364" s="10" t="s">
        <v>5449</v>
      </c>
      <c r="I364" s="10" t="s">
        <v>5348</v>
      </c>
      <c r="J364" s="10" t="n">
        <v>10200</v>
      </c>
      <c r="K364" s="10" t="s">
        <v>7744</v>
      </c>
      <c r="L364" s="10" t="s">
        <v>7745</v>
      </c>
      <c r="M364" s="10" t="s">
        <v>7746</v>
      </c>
      <c r="P364" s="10" t="s">
        <v>5352</v>
      </c>
      <c r="Q364" s="10" t="s">
        <v>7747</v>
      </c>
      <c r="S364" s="10" t="s">
        <v>29</v>
      </c>
      <c r="T364" s="10" t="s">
        <v>29</v>
      </c>
      <c r="U364" s="10" t="s">
        <v>5367</v>
      </c>
      <c r="Z364" s="11" t="n">
        <v>1</v>
      </c>
    </row>
    <row r="365" customFormat="false" ht="17.9" hidden="false" customHeight="false" outlineLevel="0" collapsed="false">
      <c r="B365" s="10" t="s">
        <v>7748</v>
      </c>
      <c r="C365" s="10" t="s">
        <v>7749</v>
      </c>
      <c r="D365" s="10" t="s">
        <v>7750</v>
      </c>
      <c r="F365" s="17" t="str">
        <f aca="false">CONCATENATE(G365,", ",H365)</f>
        <v>อ.เมืองสมุทรปราการ , จ.สมุทรปราการ</v>
      </c>
      <c r="G365" s="10" t="s">
        <v>6934</v>
      </c>
      <c r="H365" s="10" t="s">
        <v>5965</v>
      </c>
      <c r="I365" s="10" t="s">
        <v>5348</v>
      </c>
      <c r="J365" s="10" t="n">
        <v>10270</v>
      </c>
      <c r="K365" s="10" t="s">
        <v>29</v>
      </c>
      <c r="L365" s="10" t="s">
        <v>29</v>
      </c>
      <c r="M365" s="10" t="s">
        <v>29</v>
      </c>
      <c r="P365" s="10" t="s">
        <v>5352</v>
      </c>
      <c r="S365" s="10" t="s">
        <v>29</v>
      </c>
      <c r="T365" s="10" t="s">
        <v>29</v>
      </c>
      <c r="U365" s="10" t="s">
        <v>5367</v>
      </c>
      <c r="Z365" s="11" t="n">
        <v>1</v>
      </c>
    </row>
    <row r="366" customFormat="false" ht="17.9" hidden="false" customHeight="false" outlineLevel="0" collapsed="false">
      <c r="B366" s="10" t="s">
        <v>7751</v>
      </c>
      <c r="C366" s="10" t="s">
        <v>7752</v>
      </c>
      <c r="D366" s="10" t="s">
        <v>7753</v>
      </c>
      <c r="F366" s="17" t="str">
        <f aca="false">CONCATENATE(G366,", ",H366)</f>
        <v>อ.เมือง , จ.จันทบุรี</v>
      </c>
      <c r="G366" s="10" t="s">
        <v>7754</v>
      </c>
      <c r="H366" s="10" t="s">
        <v>7755</v>
      </c>
      <c r="I366" s="10" t="s">
        <v>5348</v>
      </c>
      <c r="J366" s="10" t="n">
        <v>22000</v>
      </c>
      <c r="K366" s="10" t="s">
        <v>7756</v>
      </c>
      <c r="L366" s="10" t="s">
        <v>7757</v>
      </c>
      <c r="M366" s="10" t="s">
        <v>29</v>
      </c>
      <c r="P366" s="10" t="s">
        <v>5352</v>
      </c>
      <c r="S366" s="10" t="s">
        <v>29</v>
      </c>
      <c r="T366" s="10" t="s">
        <v>29</v>
      </c>
      <c r="U366" s="10" t="s">
        <v>5367</v>
      </c>
      <c r="Z366" s="11" t="n">
        <v>1</v>
      </c>
    </row>
    <row r="367" customFormat="false" ht="17.9" hidden="false" customHeight="false" outlineLevel="0" collapsed="false">
      <c r="B367" s="10" t="s">
        <v>7758</v>
      </c>
      <c r="C367" s="10" t="s">
        <v>7759</v>
      </c>
      <c r="D367" s="10" t="s">
        <v>7760</v>
      </c>
      <c r="F367" s="17" t="str">
        <f aca="false">CONCATENATE(G367,", ",H367)</f>
        <v>อ.บางพลี, สมุทรปราการ</v>
      </c>
      <c r="G367" s="10" t="s">
        <v>5434</v>
      </c>
      <c r="H367" s="10" t="s">
        <v>7761</v>
      </c>
      <c r="I367" s="10" t="s">
        <v>5348</v>
      </c>
      <c r="J367" s="10" t="n">
        <v>10540</v>
      </c>
      <c r="K367" s="10" t="s">
        <v>7762</v>
      </c>
      <c r="L367" s="10" t="s">
        <v>7763</v>
      </c>
      <c r="M367" s="10" t="s">
        <v>7764</v>
      </c>
      <c r="P367" s="10" t="s">
        <v>5352</v>
      </c>
      <c r="S367" s="10" t="s">
        <v>29</v>
      </c>
      <c r="T367" s="10" t="s">
        <v>29</v>
      </c>
      <c r="U367" s="10" t="s">
        <v>5367</v>
      </c>
      <c r="Z367" s="11" t="n">
        <v>1</v>
      </c>
    </row>
    <row r="368" customFormat="false" ht="17.9" hidden="false" customHeight="false" outlineLevel="0" collapsed="false">
      <c r="B368" s="10" t="s">
        <v>611</v>
      </c>
      <c r="C368" s="10" t="s">
        <v>7765</v>
      </c>
      <c r="D368" s="10" t="s">
        <v>7766</v>
      </c>
      <c r="F368" s="17" t="str">
        <f aca="false">CONCATENATE(G368,", ",H368)</f>
        <v>อ.เมือง, จ.สมุทรปราการ</v>
      </c>
      <c r="G368" s="10" t="s">
        <v>5346</v>
      </c>
      <c r="H368" s="10" t="s">
        <v>5965</v>
      </c>
      <c r="I368" s="10" t="s">
        <v>5348</v>
      </c>
      <c r="J368" s="10" t="n">
        <v>10270</v>
      </c>
      <c r="K368" s="10" t="s">
        <v>7767</v>
      </c>
      <c r="M368" s="10" t="s">
        <v>5351</v>
      </c>
      <c r="P368" s="10" t="s">
        <v>5352</v>
      </c>
      <c r="Q368" s="10" t="s">
        <v>7768</v>
      </c>
      <c r="S368" s="10" t="s">
        <v>7769</v>
      </c>
      <c r="T368" s="10" t="s">
        <v>5355</v>
      </c>
      <c r="U368" s="10" t="s">
        <v>5367</v>
      </c>
      <c r="Z368" s="11" t="n">
        <v>1</v>
      </c>
    </row>
    <row r="369" customFormat="false" ht="17.9" hidden="false" customHeight="false" outlineLevel="0" collapsed="false">
      <c r="B369" s="10" t="s">
        <v>7770</v>
      </c>
      <c r="C369" s="10" t="s">
        <v>7771</v>
      </c>
      <c r="D369" s="10" t="s">
        <v>7772</v>
      </c>
      <c r="F369" s="17" t="str">
        <f aca="false">CONCATENATE(G369,", ",H369)</f>
        <v>เขตคันนายาว, กรุงเทพมหานคร</v>
      </c>
      <c r="G369" s="10" t="s">
        <v>6232</v>
      </c>
      <c r="H369" s="10" t="s">
        <v>5449</v>
      </c>
      <c r="I369" s="10" t="s">
        <v>5348</v>
      </c>
      <c r="J369" s="10" t="n">
        <v>10230</v>
      </c>
      <c r="K369" s="10" t="s">
        <v>7773</v>
      </c>
      <c r="L369" s="10" t="s">
        <v>7774</v>
      </c>
      <c r="M369" s="10" t="s">
        <v>7775</v>
      </c>
      <c r="P369" s="10" t="s">
        <v>5352</v>
      </c>
      <c r="Q369" s="10" t="s">
        <v>7776</v>
      </c>
      <c r="S369" s="10" t="s">
        <v>29</v>
      </c>
      <c r="T369" s="10" t="s">
        <v>29</v>
      </c>
      <c r="U369" s="10" t="s">
        <v>5367</v>
      </c>
      <c r="Z369" s="11" t="n">
        <v>1</v>
      </c>
    </row>
    <row r="370" customFormat="false" ht="17.9" hidden="false" customHeight="false" outlineLevel="0" collapsed="false">
      <c r="B370" s="10" t="s">
        <v>7777</v>
      </c>
      <c r="C370" s="10" t="s">
        <v>7778</v>
      </c>
      <c r="D370" s="10" t="s">
        <v>7779</v>
      </c>
      <c r="F370" s="17" t="str">
        <f aca="false">CONCATENATE(G370,", ",H370)</f>
        <v>อ.บางพลี, สมุทรปราการ</v>
      </c>
      <c r="G370" s="10" t="s">
        <v>5434</v>
      </c>
      <c r="H370" s="10" t="s">
        <v>7761</v>
      </c>
      <c r="I370" s="10" t="s">
        <v>5348</v>
      </c>
      <c r="J370" s="10" t="n">
        <v>10540</v>
      </c>
      <c r="K370" s="10" t="s">
        <v>7780</v>
      </c>
      <c r="M370" s="10" t="s">
        <v>7781</v>
      </c>
      <c r="P370" s="10" t="s">
        <v>5352</v>
      </c>
      <c r="S370" s="10" t="s">
        <v>29</v>
      </c>
      <c r="T370" s="10" t="s">
        <v>29</v>
      </c>
      <c r="U370" s="10" t="s">
        <v>5367</v>
      </c>
      <c r="Z370" s="11" t="n">
        <v>1</v>
      </c>
    </row>
    <row r="371" customFormat="false" ht="17.9" hidden="false" customHeight="false" outlineLevel="0" collapsed="false">
      <c r="B371" s="10" t="s">
        <v>7782</v>
      </c>
      <c r="C371" s="10" t="s">
        <v>7783</v>
      </c>
      <c r="D371" s="10" t="s">
        <v>7784</v>
      </c>
      <c r="F371" s="17" t="str">
        <f aca="false">CONCATENATE(G371,", ",H371)</f>
        <v>อ.บึงกุ่ม, กรุงเทพมหานคร</v>
      </c>
      <c r="G371" s="10" t="s">
        <v>7785</v>
      </c>
      <c r="H371" s="10" t="s">
        <v>5449</v>
      </c>
      <c r="I371" s="10" t="s">
        <v>5348</v>
      </c>
      <c r="J371" s="10" t="n">
        <v>10240</v>
      </c>
      <c r="K371" s="10" t="s">
        <v>7786</v>
      </c>
      <c r="L371" s="10" t="s">
        <v>7787</v>
      </c>
      <c r="M371" s="10" t="s">
        <v>7788</v>
      </c>
      <c r="P371" s="10" t="s">
        <v>5352</v>
      </c>
      <c r="S371" s="10" t="s">
        <v>29</v>
      </c>
      <c r="T371" s="10" t="s">
        <v>29</v>
      </c>
      <c r="U371" s="10" t="s">
        <v>5367</v>
      </c>
      <c r="Z371" s="11" t="n">
        <v>1</v>
      </c>
    </row>
    <row r="372" customFormat="false" ht="17.9" hidden="false" customHeight="false" outlineLevel="0" collapsed="false">
      <c r="B372" s="10" t="s">
        <v>7789</v>
      </c>
      <c r="C372" s="10" t="s">
        <v>7790</v>
      </c>
      <c r="D372" s="10" t="s">
        <v>7791</v>
      </c>
      <c r="F372" s="17" t="str">
        <f aca="false">CONCATENATE(G372,", ",H372)</f>
        <v>สีลม, กรุงเทพมหานคร</v>
      </c>
      <c r="G372" s="10" t="s">
        <v>7792</v>
      </c>
      <c r="H372" s="10" t="s">
        <v>5449</v>
      </c>
      <c r="I372" s="10" t="s">
        <v>5348</v>
      </c>
      <c r="J372" s="10" t="n">
        <v>10500</v>
      </c>
      <c r="K372" s="10" t="s">
        <v>7793</v>
      </c>
      <c r="M372" s="10" t="s">
        <v>7794</v>
      </c>
      <c r="P372" s="10" t="s">
        <v>5352</v>
      </c>
      <c r="S372" s="10" t="s">
        <v>29</v>
      </c>
      <c r="T372" s="10" t="s">
        <v>29</v>
      </c>
      <c r="U372" s="10" t="s">
        <v>5367</v>
      </c>
      <c r="Z372" s="11" t="n">
        <v>1</v>
      </c>
    </row>
    <row r="373" customFormat="false" ht="17.9" hidden="false" customHeight="false" outlineLevel="0" collapsed="false">
      <c r="B373" s="10" t="s">
        <v>7795</v>
      </c>
      <c r="C373" s="10" t="s">
        <v>7796</v>
      </c>
      <c r="D373" s="10" t="s">
        <v>7797</v>
      </c>
      <c r="F373" s="17" t="str">
        <f aca="false">CONCATENATE(G373,", ",H373)</f>
        <v>เขตสาทร , กรุงเทพมหานคร</v>
      </c>
      <c r="G373" s="10" t="s">
        <v>5863</v>
      </c>
      <c r="H373" s="10" t="s">
        <v>5449</v>
      </c>
      <c r="I373" s="10" t="s">
        <v>5348</v>
      </c>
      <c r="J373" s="10" t="n">
        <v>10120</v>
      </c>
      <c r="K373" s="10" t="s">
        <v>7798</v>
      </c>
      <c r="M373" s="10" t="s">
        <v>7799</v>
      </c>
      <c r="P373" s="10" t="s">
        <v>5352</v>
      </c>
      <c r="Q373" s="10" t="s">
        <v>7800</v>
      </c>
      <c r="S373" s="10" t="s">
        <v>7801</v>
      </c>
      <c r="T373" s="10" t="s">
        <v>29</v>
      </c>
      <c r="U373" s="10" t="s">
        <v>5377</v>
      </c>
      <c r="Z373" s="11" t="n">
        <v>1</v>
      </c>
    </row>
    <row r="374" customFormat="false" ht="17.9" hidden="false" customHeight="false" outlineLevel="0" collapsed="false">
      <c r="B374" s="10" t="s">
        <v>7802</v>
      </c>
      <c r="C374" s="10" t="s">
        <v>7803</v>
      </c>
      <c r="D374" s="10" t="s">
        <v>7804</v>
      </c>
      <c r="F374" s="17" t="str">
        <f aca="false">CONCATENATE(G374,", ",H374)</f>
        <v>เขตดอนเมือง, กรุงเทพมหานคร</v>
      </c>
      <c r="G374" s="10" t="s">
        <v>5855</v>
      </c>
      <c r="H374" s="10" t="s">
        <v>5449</v>
      </c>
      <c r="I374" s="10" t="s">
        <v>5348</v>
      </c>
      <c r="J374" s="10" t="n">
        <v>10210</v>
      </c>
      <c r="K374" s="10" t="s">
        <v>7805</v>
      </c>
      <c r="L374" s="10" t="s">
        <v>7806</v>
      </c>
      <c r="M374" s="10" t="s">
        <v>7807</v>
      </c>
      <c r="P374" s="10" t="s">
        <v>5352</v>
      </c>
      <c r="Q374" s="10" t="s">
        <v>7808</v>
      </c>
      <c r="S374" s="10" t="s">
        <v>29</v>
      </c>
      <c r="T374" s="10" t="s">
        <v>29</v>
      </c>
      <c r="U374" s="10" t="s">
        <v>5367</v>
      </c>
      <c r="Z374" s="11" t="n">
        <v>1</v>
      </c>
    </row>
    <row r="375" customFormat="false" ht="17.9" hidden="false" customHeight="false" outlineLevel="0" collapsed="false">
      <c r="B375" s="10" t="s">
        <v>429</v>
      </c>
      <c r="C375" s="10" t="s">
        <v>7809</v>
      </c>
      <c r="D375" s="10" t="s">
        <v>7810</v>
      </c>
      <c r="F375" s="17" t="str">
        <f aca="false">CONCATENATE(G375,", ",H375)</f>
        <v>อ.บางพลี , จ.สมุทรปราการ</v>
      </c>
      <c r="G375" s="10" t="s">
        <v>7444</v>
      </c>
      <c r="H375" s="10" t="s">
        <v>5965</v>
      </c>
      <c r="I375" s="10" t="s">
        <v>5348</v>
      </c>
      <c r="J375" s="10" t="n">
        <v>10540</v>
      </c>
      <c r="K375" s="10" t="s">
        <v>7811</v>
      </c>
      <c r="L375" s="10" t="s">
        <v>7812</v>
      </c>
      <c r="M375" s="10" t="s">
        <v>7813</v>
      </c>
      <c r="P375" s="10" t="s">
        <v>5352</v>
      </c>
      <c r="S375" s="10" t="s">
        <v>29</v>
      </c>
      <c r="T375" s="10" t="s">
        <v>29</v>
      </c>
      <c r="U375" s="10" t="s">
        <v>5377</v>
      </c>
      <c r="Z375" s="11" t="n">
        <v>1</v>
      </c>
    </row>
    <row r="376" customFormat="false" ht="17.9" hidden="false" customHeight="false" outlineLevel="0" collapsed="false">
      <c r="B376" s="10" t="s">
        <v>7814</v>
      </c>
      <c r="C376" s="10" t="s">
        <v>7815</v>
      </c>
      <c r="D376" s="10" t="s">
        <v>7816</v>
      </c>
      <c r="F376" s="17" t="str">
        <f aca="false">CONCATENATE(G376,", ",H376)</f>
        <v>เขตลาดพร้าว, กรุงเทพมหานคร</v>
      </c>
      <c r="G376" s="10" t="s">
        <v>5840</v>
      </c>
      <c r="H376" s="10" t="s">
        <v>5449</v>
      </c>
      <c r="I376" s="10" t="s">
        <v>5348</v>
      </c>
      <c r="J376" s="10" t="n">
        <v>10230</v>
      </c>
      <c r="K376" s="10" t="s">
        <v>7817</v>
      </c>
      <c r="L376" s="10" t="s">
        <v>7818</v>
      </c>
      <c r="M376" s="10" t="s">
        <v>7819</v>
      </c>
      <c r="P376" s="10" t="s">
        <v>5352</v>
      </c>
      <c r="S376" s="10" t="s">
        <v>7820</v>
      </c>
      <c r="T376" s="10" t="s">
        <v>7821</v>
      </c>
      <c r="U376" s="10" t="s">
        <v>5367</v>
      </c>
      <c r="Z376" s="11" t="n">
        <v>1</v>
      </c>
    </row>
    <row r="377" customFormat="false" ht="17.9" hidden="false" customHeight="false" outlineLevel="0" collapsed="false">
      <c r="B377" s="10" t="s">
        <v>367</v>
      </c>
      <c r="C377" s="10" t="s">
        <v>7822</v>
      </c>
      <c r="D377" s="10" t="s">
        <v>7823</v>
      </c>
      <c r="F377" s="17" t="str">
        <f aca="false">CONCATENATE(G377,", ",H377)</f>
        <v>อ.เมือง, จ.สมุทรปราการ</v>
      </c>
      <c r="G377" s="10" t="s">
        <v>5346</v>
      </c>
      <c r="H377" s="10" t="s">
        <v>5965</v>
      </c>
      <c r="I377" s="10" t="s">
        <v>5348</v>
      </c>
      <c r="J377" s="10" t="n">
        <v>10280</v>
      </c>
      <c r="K377" s="10" t="s">
        <v>7824</v>
      </c>
      <c r="L377" s="10" t="s">
        <v>7825</v>
      </c>
      <c r="M377" s="10" t="s">
        <v>7826</v>
      </c>
      <c r="P377" s="10" t="s">
        <v>5352</v>
      </c>
      <c r="Q377" s="10" t="s">
        <v>7827</v>
      </c>
      <c r="S377" s="10" t="s">
        <v>7828</v>
      </c>
      <c r="T377" s="10" t="s">
        <v>7829</v>
      </c>
      <c r="U377" s="10" t="s">
        <v>5367</v>
      </c>
      <c r="Z377" s="11" t="n">
        <v>1</v>
      </c>
    </row>
    <row r="378" customFormat="false" ht="17.9" hidden="false" customHeight="false" outlineLevel="0" collapsed="false">
      <c r="B378" s="10" t="s">
        <v>7830</v>
      </c>
      <c r="C378" s="10" t="s">
        <v>7831</v>
      </c>
      <c r="D378" s="10" t="s">
        <v>7832</v>
      </c>
      <c r="F378" s="17" t="str">
        <f aca="false">CONCATENATE(G378,", ",H378)</f>
        <v>เขตบางรัก , กรุงเทพมหานคร</v>
      </c>
      <c r="G378" s="10" t="s">
        <v>6155</v>
      </c>
      <c r="H378" s="10" t="s">
        <v>7833</v>
      </c>
      <c r="I378" s="10" t="s">
        <v>5348</v>
      </c>
      <c r="J378" s="10" t="n">
        <v>10500</v>
      </c>
      <c r="K378" s="10" t="n">
        <v>1281</v>
      </c>
      <c r="L378" s="10" t="s">
        <v>7834</v>
      </c>
      <c r="M378" s="10" t="s">
        <v>7835</v>
      </c>
      <c r="P378" s="10" t="s">
        <v>5352</v>
      </c>
      <c r="Q378" s="10" t="s">
        <v>5311</v>
      </c>
      <c r="S378" s="10" t="s">
        <v>29</v>
      </c>
      <c r="T378" s="10" t="s">
        <v>29</v>
      </c>
      <c r="U378" s="10" t="s">
        <v>5377</v>
      </c>
      <c r="Z378" s="11" t="n">
        <v>1</v>
      </c>
    </row>
    <row r="379" customFormat="false" ht="17.9" hidden="false" customHeight="false" outlineLevel="0" collapsed="false">
      <c r="B379" s="10" t="s">
        <v>5142</v>
      </c>
      <c r="C379" s="10" t="s">
        <v>7836</v>
      </c>
      <c r="D379" s="10" t="s">
        <v>7837</v>
      </c>
      <c r="F379" s="17" t="str">
        <f aca="false">CONCATENATE(G379,", ",H379)</f>
        <v>เขตสาทร , กรุงเทพมหานคร</v>
      </c>
      <c r="G379" s="10" t="s">
        <v>5863</v>
      </c>
      <c r="H379" s="10" t="s">
        <v>5449</v>
      </c>
      <c r="I379" s="10" t="s">
        <v>5348</v>
      </c>
      <c r="J379" s="10" t="n">
        <v>10120</v>
      </c>
      <c r="K379" s="10" t="s">
        <v>7838</v>
      </c>
      <c r="L379" s="10" t="s">
        <v>7839</v>
      </c>
      <c r="M379" s="10" t="s">
        <v>7840</v>
      </c>
      <c r="P379" s="10" t="s">
        <v>5352</v>
      </c>
      <c r="Q379" s="10" t="s">
        <v>7841</v>
      </c>
      <c r="S379" s="10" t="s">
        <v>29</v>
      </c>
      <c r="T379" s="10" t="s">
        <v>29</v>
      </c>
      <c r="U379" s="10" t="s">
        <v>5377</v>
      </c>
      <c r="Z379" s="11" t="n">
        <v>1</v>
      </c>
    </row>
    <row r="380" customFormat="false" ht="17.9" hidden="false" customHeight="false" outlineLevel="0" collapsed="false">
      <c r="B380" s="10" t="s">
        <v>7842</v>
      </c>
      <c r="C380" s="10" t="s">
        <v>7843</v>
      </c>
      <c r="D380" s="10" t="s">
        <v>7844</v>
      </c>
      <c r="F380" s="17" t="str">
        <f aca="false">CONCATENATE(G380,", ",H380)</f>
        <v>อ.เมืองสมุทรปราการ , จ.สมุทรปราการ</v>
      </c>
      <c r="G380" s="10" t="s">
        <v>6934</v>
      </c>
      <c r="H380" s="10" t="s">
        <v>5965</v>
      </c>
      <c r="I380" s="10" t="s">
        <v>5348</v>
      </c>
      <c r="J380" s="10" t="n">
        <v>10200</v>
      </c>
      <c r="K380" s="10" t="s">
        <v>7845</v>
      </c>
      <c r="M380" s="10" t="s">
        <v>7846</v>
      </c>
      <c r="P380" s="10" t="s">
        <v>5352</v>
      </c>
      <c r="Q380" s="10" t="s">
        <v>7847</v>
      </c>
      <c r="S380" s="10" t="s">
        <v>29</v>
      </c>
      <c r="T380" s="10" t="s">
        <v>29</v>
      </c>
      <c r="U380" s="10" t="s">
        <v>5367</v>
      </c>
      <c r="Z380" s="11" t="n">
        <v>1</v>
      </c>
    </row>
    <row r="381" customFormat="false" ht="17.9" hidden="false" customHeight="false" outlineLevel="0" collapsed="false">
      <c r="B381" s="10" t="s">
        <v>7848</v>
      </c>
      <c r="C381" s="10" t="s">
        <v>7849</v>
      </c>
      <c r="D381" s="10" t="s">
        <v>7850</v>
      </c>
      <c r="F381" s="17" t="str">
        <f aca="false">CONCATENATE(G381,", ",H381)</f>
        <v>อ.เมืองสมุทรปราการ , จ.สมุทรปราการ</v>
      </c>
      <c r="G381" s="10" t="s">
        <v>6934</v>
      </c>
      <c r="H381" s="10" t="s">
        <v>5965</v>
      </c>
      <c r="I381" s="10" t="s">
        <v>5348</v>
      </c>
      <c r="J381" s="10" t="n">
        <v>10280</v>
      </c>
      <c r="K381" s="10" t="s">
        <v>29</v>
      </c>
      <c r="L381" s="10" t="s">
        <v>29</v>
      </c>
      <c r="M381" s="10" t="s">
        <v>7846</v>
      </c>
      <c r="P381" s="10" t="s">
        <v>5352</v>
      </c>
      <c r="S381" s="10" t="s">
        <v>29</v>
      </c>
      <c r="T381" s="10" t="s">
        <v>29</v>
      </c>
      <c r="U381" s="10" t="s">
        <v>5367</v>
      </c>
      <c r="Z381" s="11" t="n">
        <v>1</v>
      </c>
    </row>
    <row r="382" customFormat="false" ht="17.9" hidden="false" customHeight="false" outlineLevel="0" collapsed="false">
      <c r="B382" s="10" t="s">
        <v>7851</v>
      </c>
      <c r="C382" s="10" t="s">
        <v>7852</v>
      </c>
      <c r="D382" s="10" t="s">
        <v>7853</v>
      </c>
      <c r="F382" s="17" t="str">
        <f aca="false">CONCATENATE(G382,", ",H382)</f>
        <v>เขตวัฒนา, กรุงเทพมหานคร</v>
      </c>
      <c r="G382" s="10" t="s">
        <v>5381</v>
      </c>
      <c r="H382" s="10" t="s">
        <v>5449</v>
      </c>
      <c r="I382" s="10" t="s">
        <v>5348</v>
      </c>
      <c r="J382" s="10" t="n">
        <v>10110</v>
      </c>
      <c r="K382" s="10" t="s">
        <v>7854</v>
      </c>
      <c r="L382" s="10" t="s">
        <v>7855</v>
      </c>
      <c r="M382" s="10" t="s">
        <v>7856</v>
      </c>
      <c r="P382" s="10" t="s">
        <v>5352</v>
      </c>
      <c r="S382" s="10" t="s">
        <v>29</v>
      </c>
      <c r="T382" s="10" t="s">
        <v>29</v>
      </c>
      <c r="U382" s="10" t="s">
        <v>5367</v>
      </c>
      <c r="Z382" s="11" t="n">
        <v>1</v>
      </c>
    </row>
    <row r="383" customFormat="false" ht="17.9" hidden="false" customHeight="false" outlineLevel="0" collapsed="false">
      <c r="B383" s="10" t="s">
        <v>7857</v>
      </c>
      <c r="C383" s="10" t="s">
        <v>7858</v>
      </c>
      <c r="D383" s="10" t="s">
        <v>7562</v>
      </c>
      <c r="F383" s="17" t="str">
        <f aca="false">CONCATENATE(G383,", ",H383)</f>
        <v>เขต สะพานสูง , กรุงเทพมหานคร</v>
      </c>
      <c r="G383" s="10" t="s">
        <v>7269</v>
      </c>
      <c r="H383" s="10" t="s">
        <v>5449</v>
      </c>
      <c r="I383" s="10" t="s">
        <v>5348</v>
      </c>
      <c r="J383" s="10" t="n">
        <v>10240</v>
      </c>
      <c r="K383" s="10" t="s">
        <v>7859</v>
      </c>
      <c r="M383" s="10" t="s">
        <v>7860</v>
      </c>
      <c r="P383" s="10" t="s">
        <v>5352</v>
      </c>
      <c r="Q383" s="10" t="s">
        <v>7861</v>
      </c>
      <c r="S383" s="10" t="s">
        <v>7862</v>
      </c>
      <c r="T383" s="10" t="s">
        <v>7863</v>
      </c>
      <c r="U383" s="10" t="s">
        <v>5367</v>
      </c>
      <c r="Z383" s="11" t="n">
        <v>1</v>
      </c>
    </row>
    <row r="384" customFormat="false" ht="17.9" hidden="false" customHeight="false" outlineLevel="0" collapsed="false">
      <c r="B384" s="10" t="s">
        <v>7864</v>
      </c>
      <c r="C384" s="10" t="s">
        <v>7865</v>
      </c>
      <c r="D384" s="10" t="s">
        <v>7866</v>
      </c>
      <c r="F384" s="17" t="str">
        <f aca="false">CONCATENATE(G384,", ",H384)</f>
        <v>เขตบางนา, กรุงเทพมหานคร</v>
      </c>
      <c r="G384" s="10" t="s">
        <v>5604</v>
      </c>
      <c r="H384" s="10" t="s">
        <v>5449</v>
      </c>
      <c r="I384" s="10" t="s">
        <v>5348</v>
      </c>
      <c r="J384" s="10" t="n">
        <v>10260</v>
      </c>
      <c r="K384" s="10" t="s">
        <v>7867</v>
      </c>
      <c r="M384" s="10" t="s">
        <v>7868</v>
      </c>
      <c r="P384" s="10" t="s">
        <v>5352</v>
      </c>
      <c r="Q384" s="10" t="s">
        <v>7869</v>
      </c>
      <c r="S384" s="10" t="s">
        <v>29</v>
      </c>
      <c r="T384" s="10" t="s">
        <v>29</v>
      </c>
      <c r="U384" s="10" t="s">
        <v>5367</v>
      </c>
      <c r="Z384" s="11" t="n">
        <v>1</v>
      </c>
    </row>
    <row r="385" customFormat="false" ht="17.9" hidden="false" customHeight="false" outlineLevel="0" collapsed="false">
      <c r="B385" s="10" t="s">
        <v>7870</v>
      </c>
      <c r="C385" s="10" t="s">
        <v>7871</v>
      </c>
      <c r="D385" s="10" t="s">
        <v>7872</v>
      </c>
      <c r="F385" s="17" t="str">
        <f aca="false">CONCATENATE(G385,", ",H385)</f>
        <v>อ.บางพลี, จ.สมุทรปราการ</v>
      </c>
      <c r="G385" s="10" t="s">
        <v>5434</v>
      </c>
      <c r="H385" s="10" t="s">
        <v>5403</v>
      </c>
      <c r="I385" s="10" t="s">
        <v>5348</v>
      </c>
      <c r="J385" s="10" t="n">
        <v>10540</v>
      </c>
      <c r="K385" s="10" t="s">
        <v>7873</v>
      </c>
      <c r="M385" s="10" t="s">
        <v>7874</v>
      </c>
      <c r="P385" s="10" t="s">
        <v>5352</v>
      </c>
      <c r="Q385" s="10" t="s">
        <v>7869</v>
      </c>
      <c r="S385" s="10" t="s">
        <v>29</v>
      </c>
      <c r="T385" s="10" t="s">
        <v>29</v>
      </c>
      <c r="U385" s="10" t="s">
        <v>5367</v>
      </c>
      <c r="Z385" s="11" t="n">
        <v>1</v>
      </c>
    </row>
    <row r="386" customFormat="false" ht="12.75" hidden="false" customHeight="true" outlineLevel="0" collapsed="false">
      <c r="B386" s="10" t="s">
        <v>7875</v>
      </c>
      <c r="C386" s="10" t="s">
        <v>7876</v>
      </c>
      <c r="D386" s="10" t="s">
        <v>7877</v>
      </c>
      <c r="F386" s="17" t="str">
        <f aca="false">CONCATENATE(G386,", ",H386)</f>
        <v>อ.บางพลี, จ.สมุทรปราการ</v>
      </c>
      <c r="G386" s="10" t="s">
        <v>5434</v>
      </c>
      <c r="H386" s="10" t="s">
        <v>5965</v>
      </c>
      <c r="I386" s="10" t="s">
        <v>5348</v>
      </c>
      <c r="J386" s="10" t="n">
        <v>10540</v>
      </c>
      <c r="K386" s="10" t="s">
        <v>7878</v>
      </c>
      <c r="M386" s="10" t="s">
        <v>7879</v>
      </c>
      <c r="P386" s="10" t="s">
        <v>5352</v>
      </c>
      <c r="Q386" s="10" t="s">
        <v>7880</v>
      </c>
      <c r="S386" s="10" t="s">
        <v>7881</v>
      </c>
      <c r="T386" s="10" t="s">
        <v>29</v>
      </c>
      <c r="U386" s="10" t="s">
        <v>5377</v>
      </c>
      <c r="Z386" s="11" t="n">
        <v>1</v>
      </c>
    </row>
    <row r="387" customFormat="false" ht="17.9" hidden="false" customHeight="false" outlineLevel="0" collapsed="false">
      <c r="B387" s="10" t="s">
        <v>7882</v>
      </c>
      <c r="C387" s="10" t="s">
        <v>7883</v>
      </c>
      <c r="D387" s="10" t="s">
        <v>7884</v>
      </c>
      <c r="F387" s="17" t="str">
        <f aca="false">CONCATENATE(G387,", ",H387)</f>
        <v>เขตบางเขน, กรุงเทพมหานคร</v>
      </c>
      <c r="G387" s="10" t="s">
        <v>7087</v>
      </c>
      <c r="H387" s="10" t="s">
        <v>5449</v>
      </c>
      <c r="I387" s="10" t="s">
        <v>5348</v>
      </c>
      <c r="J387" s="10" t="n">
        <v>10220</v>
      </c>
      <c r="K387" s="10" t="s">
        <v>7885</v>
      </c>
      <c r="L387" s="10" t="s">
        <v>7886</v>
      </c>
      <c r="M387" s="10" t="s">
        <v>7887</v>
      </c>
      <c r="P387" s="10" t="s">
        <v>5352</v>
      </c>
      <c r="S387" s="10" t="s">
        <v>29</v>
      </c>
      <c r="T387" s="10" t="s">
        <v>29</v>
      </c>
      <c r="U387" s="10" t="s">
        <v>5367</v>
      </c>
      <c r="Z387" s="11" t="n">
        <v>1</v>
      </c>
    </row>
    <row r="388" customFormat="false" ht="17.9" hidden="false" customHeight="false" outlineLevel="0" collapsed="false">
      <c r="B388" s="10" t="s">
        <v>7888</v>
      </c>
      <c r="C388" s="10" t="s">
        <v>7889</v>
      </c>
      <c r="D388" s="10" t="s">
        <v>7890</v>
      </c>
      <c r="F388" s="17" t="str">
        <f aca="false">CONCATENATE(G388,", ",H388)</f>
        <v>เขตพระนคร, กรุงเทพมหานคร</v>
      </c>
      <c r="G388" s="10" t="s">
        <v>7228</v>
      </c>
      <c r="H388" s="10" t="s">
        <v>5449</v>
      </c>
      <c r="I388" s="10" t="s">
        <v>5348</v>
      </c>
      <c r="J388" s="10" t="n">
        <v>10200</v>
      </c>
      <c r="K388" s="10" t="s">
        <v>7891</v>
      </c>
      <c r="L388" s="10" t="s">
        <v>7892</v>
      </c>
      <c r="M388" s="10" t="s">
        <v>7893</v>
      </c>
      <c r="P388" s="10" t="s">
        <v>5352</v>
      </c>
      <c r="Q388" s="10" t="s">
        <v>7894</v>
      </c>
      <c r="S388" s="10" t="s">
        <v>29</v>
      </c>
      <c r="T388" s="10" t="s">
        <v>29</v>
      </c>
      <c r="U388" s="10" t="s">
        <v>5367</v>
      </c>
      <c r="Z388" s="11" t="n">
        <v>1</v>
      </c>
    </row>
    <row r="389" customFormat="false" ht="17.9" hidden="false" customHeight="false" outlineLevel="0" collapsed="false">
      <c r="B389" s="10" t="s">
        <v>7895</v>
      </c>
      <c r="C389" s="10" t="s">
        <v>7896</v>
      </c>
      <c r="D389" s="10" t="s">
        <v>7897</v>
      </c>
      <c r="F389" s="17" t="str">
        <f aca="false">CONCATENATE(G389,", ",H389)</f>
        <v>อ.ร้องกวาง , จ.แพร่</v>
      </c>
      <c r="G389" s="10" t="s">
        <v>7898</v>
      </c>
      <c r="H389" s="10" t="s">
        <v>7899</v>
      </c>
      <c r="I389" s="10" t="s">
        <v>5348</v>
      </c>
      <c r="J389" s="10" t="n">
        <v>54140</v>
      </c>
      <c r="K389" s="10" t="s">
        <v>7900</v>
      </c>
      <c r="L389" s="10" t="s">
        <v>7901</v>
      </c>
      <c r="M389" s="10" t="s">
        <v>7902</v>
      </c>
      <c r="P389" s="10" t="s">
        <v>5352</v>
      </c>
      <c r="S389" s="10" t="s">
        <v>29</v>
      </c>
      <c r="T389" s="10" t="s">
        <v>29</v>
      </c>
      <c r="U389" s="10" t="s">
        <v>5367</v>
      </c>
      <c r="Z389" s="11" t="n">
        <v>1</v>
      </c>
    </row>
    <row r="390" customFormat="false" ht="17.9" hidden="false" customHeight="false" outlineLevel="0" collapsed="false">
      <c r="B390" s="10" t="s">
        <v>7903</v>
      </c>
      <c r="C390" s="10" t="s">
        <v>7904</v>
      </c>
      <c r="D390" s="10" t="s">
        <v>7905</v>
      </c>
      <c r="F390" s="17" t="str">
        <f aca="false">CONCATENATE(G390,", ",H390)</f>
        <v>อ.บางขุนเทียน, กรุงเทพมหานคร</v>
      </c>
      <c r="G390" s="10" t="s">
        <v>7906</v>
      </c>
      <c r="H390" s="10" t="s">
        <v>5449</v>
      </c>
      <c r="I390" s="10" t="s">
        <v>5348</v>
      </c>
      <c r="J390" s="10" t="n">
        <v>10150</v>
      </c>
      <c r="K390" s="10" t="s">
        <v>7907</v>
      </c>
      <c r="L390" s="10" t="s">
        <v>7908</v>
      </c>
      <c r="M390" s="10" t="s">
        <v>7909</v>
      </c>
      <c r="P390" s="10" t="s">
        <v>5352</v>
      </c>
      <c r="S390" s="10" t="s">
        <v>29</v>
      </c>
      <c r="T390" s="10" t="s">
        <v>29</v>
      </c>
      <c r="U390" s="10" t="s">
        <v>5367</v>
      </c>
      <c r="Z390" s="11" t="n">
        <v>1</v>
      </c>
    </row>
    <row r="391" customFormat="false" ht="17.9" hidden="false" customHeight="false" outlineLevel="0" collapsed="false">
      <c r="B391" s="10" t="s">
        <v>7910</v>
      </c>
      <c r="C391" s="10" t="s">
        <v>7911</v>
      </c>
      <c r="D391" s="10" t="s">
        <v>7912</v>
      </c>
      <c r="F391" s="17" t="str">
        <f aca="false">CONCATENATE(G391,", ",H391)</f>
        <v>เขตบางนา, กรุงเทพมหานคร</v>
      </c>
      <c r="G391" s="10" t="s">
        <v>5604</v>
      </c>
      <c r="H391" s="10" t="s">
        <v>5449</v>
      </c>
      <c r="I391" s="10" t="s">
        <v>5348</v>
      </c>
      <c r="J391" s="10" t="n">
        <v>10260</v>
      </c>
      <c r="K391" s="10" t="s">
        <v>7913</v>
      </c>
      <c r="M391" s="10" t="s">
        <v>7914</v>
      </c>
      <c r="P391" s="10" t="s">
        <v>5352</v>
      </c>
      <c r="S391" s="10" t="s">
        <v>29</v>
      </c>
      <c r="T391" s="10" t="s">
        <v>29</v>
      </c>
      <c r="U391" s="10" t="s">
        <v>5367</v>
      </c>
      <c r="Z391" s="11" t="n">
        <v>1</v>
      </c>
    </row>
    <row r="392" customFormat="false" ht="17.9" hidden="false" customHeight="false" outlineLevel="0" collapsed="false">
      <c r="B392" s="10" t="s">
        <v>739</v>
      </c>
      <c r="C392" s="10" t="s">
        <v>7915</v>
      </c>
      <c r="D392" s="10" t="s">
        <v>7916</v>
      </c>
      <c r="F392" s="17" t="str">
        <f aca="false">CONCATENATE(G392,", ",H392)</f>
        <v>อ.บางเสาธง, จ.สมุทรปราการ</v>
      </c>
      <c r="G392" s="10" t="s">
        <v>5679</v>
      </c>
      <c r="H392" s="10" t="s">
        <v>5965</v>
      </c>
      <c r="I392" s="10" t="s">
        <v>5348</v>
      </c>
      <c r="J392" s="10" t="n">
        <v>10570</v>
      </c>
      <c r="K392" s="10" t="s">
        <v>7917</v>
      </c>
      <c r="L392" s="10" t="s">
        <v>5850</v>
      </c>
      <c r="M392" s="10" t="s">
        <v>5851</v>
      </c>
      <c r="P392" s="10" t="s">
        <v>5352</v>
      </c>
      <c r="S392" s="10" t="s">
        <v>29</v>
      </c>
      <c r="T392" s="10" t="s">
        <v>29</v>
      </c>
      <c r="U392" s="10" t="s">
        <v>5367</v>
      </c>
      <c r="Z392" s="11" t="n">
        <v>1</v>
      </c>
    </row>
    <row r="393" customFormat="false" ht="17.9" hidden="false" customHeight="false" outlineLevel="0" collapsed="false">
      <c r="B393" s="10" t="s">
        <v>7918</v>
      </c>
      <c r="C393" s="10" t="s">
        <v>7919</v>
      </c>
      <c r="D393" s="10" t="s">
        <v>7920</v>
      </c>
      <c r="F393" s="17" t="str">
        <f aca="false">CONCATENATE(G393,", ",H393)</f>
        <v>อำเภอเมืองชลบุรี, จ.ชลบุรี</v>
      </c>
      <c r="G393" s="10" t="s">
        <v>7921</v>
      </c>
      <c r="H393" s="10" t="s">
        <v>5760</v>
      </c>
      <c r="I393" s="10" t="s">
        <v>5348</v>
      </c>
      <c r="J393" s="10" t="n">
        <v>20130</v>
      </c>
      <c r="K393" s="10" t="s">
        <v>29</v>
      </c>
      <c r="L393" s="10" t="s">
        <v>29</v>
      </c>
      <c r="M393" s="10" t="s">
        <v>7922</v>
      </c>
      <c r="P393" s="10" t="s">
        <v>5352</v>
      </c>
      <c r="Q393" s="10" t="s">
        <v>7923</v>
      </c>
      <c r="S393" s="10" t="s">
        <v>29</v>
      </c>
      <c r="T393" s="10" t="s">
        <v>29</v>
      </c>
      <c r="U393" s="10" t="s">
        <v>5367</v>
      </c>
      <c r="Z393" s="11" t="n">
        <v>1</v>
      </c>
    </row>
    <row r="394" customFormat="false" ht="17.9" hidden="false" customHeight="false" outlineLevel="0" collapsed="false">
      <c r="B394" s="10" t="s">
        <v>7924</v>
      </c>
      <c r="C394" s="10" t="s">
        <v>7925</v>
      </c>
      <c r="D394" s="10" t="s">
        <v>7926</v>
      </c>
      <c r="F394" s="17" t="str">
        <f aca="false">CONCATENATE(G394,", ",H394)</f>
        <v>เขตหนองจอก, กรุงเทพมหานคร</v>
      </c>
      <c r="G394" s="10" t="s">
        <v>7927</v>
      </c>
      <c r="H394" s="10" t="s">
        <v>5449</v>
      </c>
      <c r="I394" s="10" t="s">
        <v>5348</v>
      </c>
      <c r="J394" s="10" t="n">
        <v>10530</v>
      </c>
      <c r="K394" s="10" t="s">
        <v>7928</v>
      </c>
      <c r="L394" s="10" t="s">
        <v>29</v>
      </c>
      <c r="M394" s="10" t="s">
        <v>7929</v>
      </c>
      <c r="P394" s="10" t="s">
        <v>5352</v>
      </c>
      <c r="Q394" s="10" t="s">
        <v>7930</v>
      </c>
      <c r="S394" s="10" t="s">
        <v>29</v>
      </c>
      <c r="T394" s="10" t="s">
        <v>29</v>
      </c>
      <c r="U394" s="10" t="s">
        <v>5377</v>
      </c>
      <c r="Z394" s="11" t="n">
        <v>1</v>
      </c>
    </row>
    <row r="395" customFormat="false" ht="17.9" hidden="false" customHeight="false" outlineLevel="0" collapsed="false">
      <c r="B395" s="10" t="s">
        <v>7931</v>
      </c>
      <c r="C395" s="10" t="s">
        <v>7932</v>
      </c>
      <c r="D395" s="10" t="s">
        <v>7933</v>
      </c>
      <c r="F395" s="17" t="str">
        <f aca="false">CONCATENATE(G395,", ",H395)</f>
        <v>เขตสวนหลวง, กรุงเทพมหานคร</v>
      </c>
      <c r="G395" s="10" t="s">
        <v>5448</v>
      </c>
      <c r="H395" s="10" t="s">
        <v>5449</v>
      </c>
      <c r="I395" s="10" t="s">
        <v>5348</v>
      </c>
      <c r="J395" s="10" t="n">
        <v>10250</v>
      </c>
      <c r="K395" s="10" t="s">
        <v>7934</v>
      </c>
      <c r="M395" s="10" t="s">
        <v>7935</v>
      </c>
      <c r="P395" s="10" t="s">
        <v>5352</v>
      </c>
      <c r="S395" s="10" t="s">
        <v>5366</v>
      </c>
      <c r="T395" s="10" t="s">
        <v>29</v>
      </c>
      <c r="U395" s="10" t="s">
        <v>5367</v>
      </c>
      <c r="Z395" s="11" t="n">
        <v>1</v>
      </c>
    </row>
    <row r="396" customFormat="false" ht="17.9" hidden="false" customHeight="false" outlineLevel="0" collapsed="false">
      <c r="B396" s="10" t="s">
        <v>7936</v>
      </c>
      <c r="C396" s="10" t="s">
        <v>7937</v>
      </c>
      <c r="D396" s="10" t="s">
        <v>7938</v>
      </c>
      <c r="F396" s="17" t="str">
        <f aca="false">CONCATENATE(G396,", ",H396)</f>
        <v>อ.พระสมุทรเจดีย์ , จ.สมุทรปราการ</v>
      </c>
      <c r="G396" s="10" t="s">
        <v>5569</v>
      </c>
      <c r="H396" s="10" t="s">
        <v>5965</v>
      </c>
      <c r="I396" s="10" t="s">
        <v>5348</v>
      </c>
      <c r="J396" s="10" t="n">
        <v>10290</v>
      </c>
      <c r="K396" s="10" t="s">
        <v>7939</v>
      </c>
      <c r="M396" s="10" t="s">
        <v>29</v>
      </c>
      <c r="P396" s="10" t="s">
        <v>5352</v>
      </c>
      <c r="Q396" s="10" t="s">
        <v>7940</v>
      </c>
      <c r="S396" s="10" t="s">
        <v>29</v>
      </c>
      <c r="T396" s="10" t="s">
        <v>29</v>
      </c>
      <c r="U396" s="10" t="s">
        <v>6221</v>
      </c>
      <c r="Z396" s="11" t="n">
        <v>1</v>
      </c>
    </row>
    <row r="397" customFormat="false" ht="17.9" hidden="false" customHeight="false" outlineLevel="0" collapsed="false">
      <c r="B397" s="10" t="s">
        <v>616</v>
      </c>
      <c r="C397" s="10" t="s">
        <v>7941</v>
      </c>
      <c r="D397" s="10" t="s">
        <v>7942</v>
      </c>
      <c r="F397" s="17" t="str">
        <f aca="false">CONCATENATE(G397,", ",H397)</f>
        <v>อ.เมืองสมุทรปราการ, จ.สมุทรปราการ</v>
      </c>
      <c r="G397" s="10" t="s">
        <v>5483</v>
      </c>
      <c r="H397" s="10" t="s">
        <v>5403</v>
      </c>
      <c r="I397" s="10" t="s">
        <v>5348</v>
      </c>
      <c r="J397" s="10" t="n">
        <v>10280</v>
      </c>
      <c r="K397" s="10" t="s">
        <v>7943</v>
      </c>
      <c r="M397" s="10" t="s">
        <v>7944</v>
      </c>
      <c r="P397" s="10" t="s">
        <v>5352</v>
      </c>
      <c r="S397" s="10" t="s">
        <v>29</v>
      </c>
      <c r="T397" s="10" t="s">
        <v>29</v>
      </c>
      <c r="U397" s="10" t="s">
        <v>5377</v>
      </c>
      <c r="Z397" s="11" t="n">
        <v>1</v>
      </c>
    </row>
    <row r="398" customFormat="false" ht="17.9" hidden="false" customHeight="false" outlineLevel="0" collapsed="false">
      <c r="B398" s="10" t="s">
        <v>7945</v>
      </c>
      <c r="C398" s="22" t="s">
        <v>7946</v>
      </c>
      <c r="D398" s="10" t="s">
        <v>7947</v>
      </c>
      <c r="F398" s="17" t="str">
        <f aca="false">CONCATENATE(G398,", ",H398)</f>
        <v>อ.เมืองสมุทรปราการ , จ.สมุทรปราการ</v>
      </c>
      <c r="G398" s="10" t="s">
        <v>6934</v>
      </c>
      <c r="H398" s="10" t="s">
        <v>5965</v>
      </c>
      <c r="I398" s="10" t="s">
        <v>5348</v>
      </c>
      <c r="J398" s="10" t="n">
        <v>10270</v>
      </c>
      <c r="K398" s="10" t="s">
        <v>7948</v>
      </c>
      <c r="L398" s="10" t="s">
        <v>7949</v>
      </c>
      <c r="M398" s="10" t="s">
        <v>7950</v>
      </c>
      <c r="P398" s="10" t="s">
        <v>5352</v>
      </c>
      <c r="S398" s="10" t="s">
        <v>7951</v>
      </c>
      <c r="T398" s="10" t="s">
        <v>29</v>
      </c>
      <c r="U398" s="10" t="s">
        <v>5367</v>
      </c>
      <c r="Z398" s="11" t="n">
        <v>1</v>
      </c>
    </row>
    <row r="399" customFormat="false" ht="17.9" hidden="false" customHeight="false" outlineLevel="0" collapsed="false">
      <c r="B399" s="10" t="s">
        <v>7952</v>
      </c>
      <c r="C399" s="10" t="s">
        <v>7953</v>
      </c>
      <c r="D399" s="10" t="s">
        <v>7954</v>
      </c>
      <c r="F399" s="17" t="str">
        <f aca="false">CONCATENATE(G399,", ",H399)</f>
        <v>เขตบางนา, กรุงเทพมหานคร</v>
      </c>
      <c r="G399" s="10" t="s">
        <v>5604</v>
      </c>
      <c r="H399" s="10" t="s">
        <v>5449</v>
      </c>
      <c r="I399" s="10" t="s">
        <v>5348</v>
      </c>
      <c r="J399" s="10" t="n">
        <v>10260</v>
      </c>
      <c r="K399" s="10" t="s">
        <v>7955</v>
      </c>
      <c r="M399" s="10" t="s">
        <v>7956</v>
      </c>
      <c r="P399" s="10" t="s">
        <v>5352</v>
      </c>
      <c r="S399" s="10" t="s">
        <v>29</v>
      </c>
      <c r="T399" s="10" t="s">
        <v>29</v>
      </c>
      <c r="U399" s="10" t="s">
        <v>5367</v>
      </c>
      <c r="Z399" s="11" t="n">
        <v>1</v>
      </c>
    </row>
    <row r="400" customFormat="false" ht="17.9" hidden="false" customHeight="false" outlineLevel="0" collapsed="false">
      <c r="B400" s="10" t="s">
        <v>1058</v>
      </c>
      <c r="C400" s="10" t="s">
        <v>7957</v>
      </c>
      <c r="D400" s="10" t="s">
        <v>7958</v>
      </c>
      <c r="F400" s="17" t="str">
        <f aca="false">CONCATENATE(G400,", ",H400)</f>
        <v>เขตคลองสามวา, กรุงเทพมหานคร</v>
      </c>
      <c r="G400" s="10" t="s">
        <v>6190</v>
      </c>
      <c r="H400" s="10" t="s">
        <v>5449</v>
      </c>
      <c r="I400" s="10" t="s">
        <v>5348</v>
      </c>
      <c r="J400" s="10" t="n">
        <v>10510</v>
      </c>
      <c r="K400" s="10" t="s">
        <v>29</v>
      </c>
      <c r="L400" s="10" t="s">
        <v>29</v>
      </c>
      <c r="M400" s="10" t="s">
        <v>7959</v>
      </c>
      <c r="P400" s="10" t="s">
        <v>5352</v>
      </c>
      <c r="S400" s="10" t="s">
        <v>7960</v>
      </c>
      <c r="T400" s="10" t="s">
        <v>29</v>
      </c>
      <c r="U400" s="10" t="s">
        <v>5367</v>
      </c>
      <c r="Z400" s="11" t="n">
        <v>1</v>
      </c>
    </row>
    <row r="401" customFormat="false" ht="17.9" hidden="false" customHeight="false" outlineLevel="0" collapsed="false">
      <c r="B401" s="10" t="s">
        <v>7961</v>
      </c>
      <c r="C401" s="10" t="s">
        <v>7962</v>
      </c>
      <c r="D401" s="10" t="s">
        <v>7963</v>
      </c>
      <c r="F401" s="17" t="str">
        <f aca="false">CONCATENATE(G401,", ",H401)</f>
        <v>อ.ห้วยทับทัน  , จ.ศรีสะเกษ</v>
      </c>
      <c r="G401" s="10" t="s">
        <v>7964</v>
      </c>
      <c r="H401" s="10" t="s">
        <v>7965</v>
      </c>
      <c r="I401" s="10" t="s">
        <v>5348</v>
      </c>
      <c r="J401" s="10" t="n">
        <v>33210</v>
      </c>
      <c r="K401" s="10" t="s">
        <v>29</v>
      </c>
      <c r="L401" s="10" t="s">
        <v>29</v>
      </c>
      <c r="M401" s="10" t="s">
        <v>7966</v>
      </c>
      <c r="P401" s="10" t="s">
        <v>5352</v>
      </c>
      <c r="S401" s="10" t="s">
        <v>7967</v>
      </c>
      <c r="T401" s="10" t="s">
        <v>29</v>
      </c>
      <c r="U401" s="10" t="s">
        <v>5367</v>
      </c>
      <c r="Z401" s="11" t="n">
        <v>1</v>
      </c>
    </row>
    <row r="402" customFormat="false" ht="17.9" hidden="false" customHeight="false" outlineLevel="0" collapsed="false">
      <c r="B402" s="10" t="s">
        <v>7968</v>
      </c>
      <c r="C402" s="10" t="s">
        <v>7969</v>
      </c>
      <c r="D402" s="10" t="s">
        <v>7970</v>
      </c>
      <c r="F402" s="17" t="str">
        <f aca="false">CONCATENATE(G402,", ",H402)</f>
        <v>อ.บางพลี, จ.สมุทรปราการ</v>
      </c>
      <c r="G402" s="10" t="s">
        <v>5434</v>
      </c>
      <c r="H402" s="10" t="s">
        <v>5403</v>
      </c>
      <c r="I402" s="10" t="s">
        <v>5348</v>
      </c>
      <c r="J402" s="10" t="n">
        <v>10540</v>
      </c>
      <c r="K402" s="10" t="s">
        <v>7971</v>
      </c>
      <c r="M402" s="10" t="s">
        <v>7972</v>
      </c>
      <c r="P402" s="10" t="s">
        <v>5352</v>
      </c>
      <c r="S402" s="10" t="s">
        <v>29</v>
      </c>
      <c r="T402" s="10" t="s">
        <v>29</v>
      </c>
      <c r="U402" s="10" t="s">
        <v>5367</v>
      </c>
      <c r="Z402" s="11" t="n">
        <v>1</v>
      </c>
    </row>
    <row r="403" customFormat="false" ht="17.9" hidden="false" customHeight="false" outlineLevel="0" collapsed="false">
      <c r="B403" s="10" t="s">
        <v>7973</v>
      </c>
      <c r="C403" s="10" t="s">
        <v>7974</v>
      </c>
      <c r="D403" s="10" t="s">
        <v>7975</v>
      </c>
      <c r="F403" s="17" t="str">
        <f aca="false">CONCATENATE(G403,", ",H403)</f>
        <v>เขตวัฒนา , กรุงเทพมหานคร</v>
      </c>
      <c r="G403" s="10" t="s">
        <v>7976</v>
      </c>
      <c r="H403" s="10" t="s">
        <v>5449</v>
      </c>
      <c r="I403" s="10" t="s">
        <v>5348</v>
      </c>
      <c r="J403" s="10" t="n">
        <v>10110</v>
      </c>
      <c r="K403" s="10" t="s">
        <v>7977</v>
      </c>
      <c r="L403" s="10" t="s">
        <v>7978</v>
      </c>
      <c r="M403" s="10" t="s">
        <v>7979</v>
      </c>
      <c r="P403" s="10" t="s">
        <v>5352</v>
      </c>
      <c r="S403" s="10" t="s">
        <v>29</v>
      </c>
      <c r="T403" s="10" t="s">
        <v>29</v>
      </c>
      <c r="U403" s="10" t="s">
        <v>5367</v>
      </c>
      <c r="Z403" s="11" t="n">
        <v>1</v>
      </c>
    </row>
    <row r="404" customFormat="false" ht="17.9" hidden="false" customHeight="false" outlineLevel="0" collapsed="false">
      <c r="B404" s="10" t="s">
        <v>7980</v>
      </c>
      <c r="C404" s="10" t="s">
        <v>7981</v>
      </c>
      <c r="D404" s="10" t="s">
        <v>7982</v>
      </c>
      <c r="F404" s="17" t="str">
        <f aca="false">CONCATENATE(G404,", ",H404)</f>
        <v>อ.บางพลี, จ.สมุทรปราการ</v>
      </c>
      <c r="G404" s="10" t="s">
        <v>5434</v>
      </c>
      <c r="H404" s="10" t="s">
        <v>5403</v>
      </c>
      <c r="I404" s="10" t="s">
        <v>5348</v>
      </c>
      <c r="J404" s="10" t="n">
        <v>10540</v>
      </c>
      <c r="K404" s="10" t="s">
        <v>7983</v>
      </c>
      <c r="L404" s="10" t="s">
        <v>29</v>
      </c>
      <c r="M404" s="10" t="s">
        <v>7984</v>
      </c>
      <c r="P404" s="10" t="s">
        <v>5352</v>
      </c>
      <c r="S404" s="10" t="s">
        <v>29</v>
      </c>
      <c r="T404" s="10" t="s">
        <v>29</v>
      </c>
      <c r="U404" s="10" t="s">
        <v>5367</v>
      </c>
      <c r="Z404" s="11" t="n">
        <v>1</v>
      </c>
    </row>
    <row r="405" customFormat="false" ht="17.9" hidden="false" customHeight="false" outlineLevel="0" collapsed="false">
      <c r="B405" s="10" t="s">
        <v>7985</v>
      </c>
      <c r="C405" s="10" t="s">
        <v>7986</v>
      </c>
      <c r="D405" s="10" t="s">
        <v>7987</v>
      </c>
      <c r="F405" s="17" t="str">
        <f aca="false">CONCATENATE(G405,", ",H405)</f>
        <v>อ.สวนหลวง, กรุงเทพมหานคร</v>
      </c>
      <c r="G405" s="10" t="s">
        <v>7988</v>
      </c>
      <c r="H405" s="10" t="s">
        <v>5449</v>
      </c>
      <c r="I405" s="10" t="s">
        <v>5348</v>
      </c>
      <c r="J405" s="10" t="n">
        <v>10250</v>
      </c>
      <c r="K405" s="10" t="s">
        <v>7989</v>
      </c>
      <c r="L405" s="10" t="s">
        <v>7990</v>
      </c>
      <c r="M405" s="10" t="s">
        <v>7991</v>
      </c>
      <c r="P405" s="10" t="s">
        <v>5352</v>
      </c>
      <c r="S405" s="10" t="s">
        <v>29</v>
      </c>
      <c r="T405" s="10" t="s">
        <v>29</v>
      </c>
      <c r="U405" s="10" t="s">
        <v>5367</v>
      </c>
      <c r="Z405" s="11" t="n">
        <v>1</v>
      </c>
    </row>
    <row r="406" customFormat="false" ht="17.9" hidden="false" customHeight="false" outlineLevel="0" collapsed="false">
      <c r="B406" s="10" t="s">
        <v>7992</v>
      </c>
      <c r="C406" s="10" t="s">
        <v>7993</v>
      </c>
      <c r="D406" s="10" t="s">
        <v>7994</v>
      </c>
      <c r="F406" s="17" t="str">
        <f aca="false">CONCATENATE(G406,", ",H406)</f>
        <v>เขตประเวศ, กรุงเทพมหานคร</v>
      </c>
      <c r="G406" s="10" t="s">
        <v>5770</v>
      </c>
      <c r="H406" s="10" t="s">
        <v>5449</v>
      </c>
      <c r="I406" s="10" t="s">
        <v>5348</v>
      </c>
      <c r="J406" s="10" t="n">
        <v>10250</v>
      </c>
      <c r="K406" s="10" t="s">
        <v>7995</v>
      </c>
      <c r="L406" s="10" t="s">
        <v>7996</v>
      </c>
      <c r="M406" s="10" t="s">
        <v>7997</v>
      </c>
      <c r="P406" s="10" t="s">
        <v>5352</v>
      </c>
      <c r="Q406" s="10" t="s">
        <v>7998</v>
      </c>
      <c r="S406" s="10" t="s">
        <v>7999</v>
      </c>
      <c r="T406" s="10" t="s">
        <v>8000</v>
      </c>
      <c r="U406" s="10" t="s">
        <v>5367</v>
      </c>
      <c r="Z406" s="11" t="n">
        <v>1</v>
      </c>
    </row>
    <row r="407" customFormat="false" ht="17.9" hidden="false" customHeight="false" outlineLevel="0" collapsed="false">
      <c r="B407" s="10" t="s">
        <v>8001</v>
      </c>
      <c r="C407" s="10" t="s">
        <v>8002</v>
      </c>
      <c r="D407" s="10" t="s">
        <v>8003</v>
      </c>
      <c r="F407" s="17" t="str">
        <f aca="false">CONCATENATE(G407,", ",H407)</f>
        <v>เขตบางรัก , กรุงเทพมหานคร</v>
      </c>
      <c r="G407" s="10" t="s">
        <v>6155</v>
      </c>
      <c r="H407" s="10" t="s">
        <v>5449</v>
      </c>
      <c r="I407" s="10" t="s">
        <v>5348</v>
      </c>
      <c r="J407" s="10" t="n">
        <v>10500</v>
      </c>
      <c r="K407" s="10" t="s">
        <v>8004</v>
      </c>
      <c r="L407" s="10" t="s">
        <v>8005</v>
      </c>
      <c r="M407" s="10" t="s">
        <v>8006</v>
      </c>
      <c r="P407" s="10" t="s">
        <v>5352</v>
      </c>
      <c r="S407" s="10" t="s">
        <v>29</v>
      </c>
      <c r="T407" s="10" t="s">
        <v>29</v>
      </c>
      <c r="U407" s="10" t="s">
        <v>5367</v>
      </c>
      <c r="Z407" s="11" t="n">
        <v>1</v>
      </c>
    </row>
    <row r="408" customFormat="false" ht="17.9" hidden="false" customHeight="false" outlineLevel="0" collapsed="false">
      <c r="B408" s="10" t="s">
        <v>8007</v>
      </c>
      <c r="C408" s="10" t="s">
        <v>8008</v>
      </c>
      <c r="D408" s="10" t="s">
        <v>8009</v>
      </c>
      <c r="F408" s="17" t="str">
        <f aca="false">CONCATENATE(G408,", ",H408)</f>
        <v>-, -</v>
      </c>
      <c r="G408" s="10" t="s">
        <v>29</v>
      </c>
      <c r="H408" s="10" t="s">
        <v>29</v>
      </c>
      <c r="I408" s="10" t="s">
        <v>5348</v>
      </c>
      <c r="J408" s="10" t="s">
        <v>29</v>
      </c>
      <c r="K408" s="10" t="s">
        <v>29</v>
      </c>
      <c r="M408" s="10" t="s">
        <v>29</v>
      </c>
      <c r="P408" s="10" t="s">
        <v>5352</v>
      </c>
      <c r="S408" s="10" t="s">
        <v>29</v>
      </c>
      <c r="T408" s="10" t="s">
        <v>29</v>
      </c>
      <c r="U408" s="10" t="s">
        <v>5367</v>
      </c>
      <c r="Z408" s="11" t="n">
        <v>1</v>
      </c>
    </row>
    <row r="409" customFormat="false" ht="17.9" hidden="false" customHeight="false" outlineLevel="0" collapsed="false">
      <c r="B409" s="10" t="s">
        <v>8010</v>
      </c>
      <c r="C409" s="10" t="s">
        <v>8011</v>
      </c>
      <c r="D409" s="10" t="s">
        <v>8012</v>
      </c>
      <c r="F409" s="17" t="str">
        <f aca="false">CONCATENATE(G409,", ",H409)</f>
        <v>อ.ศรีราชา , จ.ชลบุรี</v>
      </c>
      <c r="G409" s="10" t="s">
        <v>8013</v>
      </c>
      <c r="H409" s="10" t="s">
        <v>5760</v>
      </c>
      <c r="I409" s="10" t="s">
        <v>5348</v>
      </c>
      <c r="J409" s="10" t="n">
        <v>20230</v>
      </c>
      <c r="K409" s="10" t="s">
        <v>8014</v>
      </c>
      <c r="L409" s="10" t="s">
        <v>8015</v>
      </c>
      <c r="M409" s="10" t="s">
        <v>8016</v>
      </c>
      <c r="P409" s="10" t="s">
        <v>5352</v>
      </c>
      <c r="Q409" s="10" t="s">
        <v>8017</v>
      </c>
      <c r="S409" s="10" t="s">
        <v>7881</v>
      </c>
      <c r="T409" s="10" t="s">
        <v>29</v>
      </c>
      <c r="U409" s="10" t="s">
        <v>5377</v>
      </c>
      <c r="Z409" s="11" t="n">
        <v>1</v>
      </c>
    </row>
    <row r="410" customFormat="false" ht="17.9" hidden="false" customHeight="false" outlineLevel="0" collapsed="false">
      <c r="B410" s="10" t="s">
        <v>8018</v>
      </c>
      <c r="C410" s="10" t="s">
        <v>8019</v>
      </c>
      <c r="D410" s="10" t="s">
        <v>8020</v>
      </c>
      <c r="F410" s="17" t="str">
        <f aca="false">CONCATENATE(G410,", ",H410)</f>
        <v>อ.เมืองสมุทรปราการ, จ.สมุทรปราการ</v>
      </c>
      <c r="G410" s="10" t="s">
        <v>5483</v>
      </c>
      <c r="H410" s="10" t="s">
        <v>5403</v>
      </c>
      <c r="I410" s="10" t="s">
        <v>5348</v>
      </c>
      <c r="J410" s="10" t="n">
        <v>10540</v>
      </c>
      <c r="K410" s="10" t="s">
        <v>8021</v>
      </c>
      <c r="M410" s="10" t="s">
        <v>8022</v>
      </c>
      <c r="P410" s="10" t="s">
        <v>5352</v>
      </c>
      <c r="S410" s="10" t="s">
        <v>29</v>
      </c>
      <c r="T410" s="10" t="s">
        <v>29</v>
      </c>
      <c r="U410" s="10" t="s">
        <v>5367</v>
      </c>
      <c r="Z410" s="11" t="n">
        <v>1</v>
      </c>
    </row>
    <row r="411" customFormat="false" ht="17.9" hidden="false" customHeight="false" outlineLevel="0" collapsed="false">
      <c r="B411" s="10" t="s">
        <v>989</v>
      </c>
      <c r="C411" s="10" t="s">
        <v>8023</v>
      </c>
      <c r="D411" s="10" t="s">
        <v>8024</v>
      </c>
      <c r="F411" s="17" t="str">
        <f aca="false">CONCATENATE(G411,", ",H411)</f>
        <v>อ.บางกล่ำ, จ.สงขลา</v>
      </c>
      <c r="G411" s="10" t="s">
        <v>5738</v>
      </c>
      <c r="H411" s="10" t="s">
        <v>8025</v>
      </c>
      <c r="I411" s="10" t="s">
        <v>5348</v>
      </c>
      <c r="J411" s="10" t="n">
        <v>90110</v>
      </c>
      <c r="K411" s="10" t="s">
        <v>8026</v>
      </c>
      <c r="L411" s="10" t="s">
        <v>8027</v>
      </c>
      <c r="M411" s="10" t="s">
        <v>8028</v>
      </c>
      <c r="P411" s="10" t="s">
        <v>5352</v>
      </c>
      <c r="S411" s="10" t="s">
        <v>29</v>
      </c>
      <c r="T411" s="10" t="s">
        <v>29</v>
      </c>
      <c r="U411" s="10" t="s">
        <v>5367</v>
      </c>
      <c r="Z411" s="11" t="n">
        <v>1</v>
      </c>
    </row>
    <row r="412" customFormat="false" ht="17.9" hidden="false" customHeight="false" outlineLevel="0" collapsed="false">
      <c r="B412" s="10" t="s">
        <v>8029</v>
      </c>
      <c r="C412" s="10" t="s">
        <v>8030</v>
      </c>
      <c r="D412" s="10" t="s">
        <v>8031</v>
      </c>
      <c r="F412" s="17" t="str">
        <f aca="false">CONCATENATE(G412,", ",H412)</f>
        <v>เขตบางบอน, กรุงเทพมหานคร</v>
      </c>
      <c r="G412" s="10" t="s">
        <v>5360</v>
      </c>
      <c r="H412" s="10" t="s">
        <v>5449</v>
      </c>
      <c r="I412" s="10" t="s">
        <v>5348</v>
      </c>
      <c r="J412" s="10" t="n">
        <v>10150</v>
      </c>
      <c r="K412" s="10" t="s">
        <v>29</v>
      </c>
      <c r="L412" s="10" t="s">
        <v>29</v>
      </c>
      <c r="M412" s="10" t="s">
        <v>8032</v>
      </c>
      <c r="P412" s="10" t="s">
        <v>5352</v>
      </c>
      <c r="S412" s="10" t="s">
        <v>29</v>
      </c>
      <c r="T412" s="10" t="s">
        <v>29</v>
      </c>
      <c r="U412" s="10" t="s">
        <v>5367</v>
      </c>
      <c r="Z412" s="11" t="n">
        <v>1</v>
      </c>
    </row>
    <row r="413" customFormat="false" ht="17.9" hidden="false" customHeight="false" outlineLevel="0" collapsed="false">
      <c r="B413" s="10" t="s">
        <v>8033</v>
      </c>
      <c r="C413" s="10" t="s">
        <v>8034</v>
      </c>
      <c r="D413" s="10" t="s">
        <v>8035</v>
      </c>
      <c r="F413" s="17" t="str">
        <f aca="false">CONCATENATE(G413,", ",H413)</f>
        <v>อ.บางเสาธง, จ.สมุทรปราการ</v>
      </c>
      <c r="G413" s="10" t="s">
        <v>8036</v>
      </c>
      <c r="H413" s="10" t="s">
        <v>5403</v>
      </c>
      <c r="I413" s="10" t="s">
        <v>5348</v>
      </c>
      <c r="J413" s="10" t="n">
        <v>10540</v>
      </c>
      <c r="K413" s="10" t="s">
        <v>29</v>
      </c>
      <c r="L413" s="10" t="s">
        <v>29</v>
      </c>
      <c r="M413" s="10" t="s">
        <v>29</v>
      </c>
      <c r="P413" s="10" t="s">
        <v>5352</v>
      </c>
      <c r="S413" s="10" t="s">
        <v>29</v>
      </c>
      <c r="T413" s="10" t="s">
        <v>29</v>
      </c>
      <c r="U413" s="10" t="s">
        <v>5367</v>
      </c>
      <c r="Z413" s="11" t="n">
        <v>1</v>
      </c>
    </row>
    <row r="414" customFormat="false" ht="17.9" hidden="false" customHeight="false" outlineLevel="0" collapsed="false">
      <c r="B414" s="10" t="s">
        <v>8037</v>
      </c>
      <c r="C414" s="10" t="s">
        <v>8038</v>
      </c>
      <c r="D414" s="10" t="s">
        <v>8039</v>
      </c>
      <c r="F414" s="17" t="str">
        <f aca="false">CONCATENATE(G414,", ",H414)</f>
        <v>อ.เมืองสมุทรปราการ, จ.สมุทรปราการ</v>
      </c>
      <c r="G414" s="10" t="s">
        <v>5483</v>
      </c>
      <c r="H414" s="10" t="s">
        <v>5403</v>
      </c>
      <c r="I414" s="10" t="s">
        <v>5348</v>
      </c>
      <c r="J414" s="10" t="n">
        <v>10280</v>
      </c>
      <c r="K414" s="10" t="s">
        <v>8040</v>
      </c>
      <c r="L414" s="10" t="s">
        <v>8041</v>
      </c>
      <c r="M414" s="10" t="s">
        <v>8042</v>
      </c>
      <c r="P414" s="10" t="s">
        <v>5352</v>
      </c>
      <c r="S414" s="10" t="s">
        <v>29</v>
      </c>
      <c r="T414" s="10" t="s">
        <v>29</v>
      </c>
      <c r="U414" s="10" t="s">
        <v>5367</v>
      </c>
      <c r="Z414" s="11" t="n">
        <v>1</v>
      </c>
    </row>
    <row r="415" customFormat="false" ht="17.9" hidden="false" customHeight="false" outlineLevel="0" collapsed="false">
      <c r="B415" s="10" t="s">
        <v>8043</v>
      </c>
      <c r="C415" s="10" t="s">
        <v>8044</v>
      </c>
      <c r="D415" s="10" t="s">
        <v>8045</v>
      </c>
      <c r="F415" s="17" t="str">
        <f aca="false">CONCATENATE(G415,", ",H415)</f>
        <v>อ.บางซื่อ, กรุงเทพมหานคร</v>
      </c>
      <c r="G415" s="10" t="s">
        <v>8046</v>
      </c>
      <c r="H415" s="10" t="s">
        <v>5449</v>
      </c>
      <c r="I415" s="10" t="s">
        <v>5348</v>
      </c>
      <c r="J415" s="10" t="n">
        <v>10800</v>
      </c>
      <c r="K415" s="10" t="s">
        <v>29</v>
      </c>
      <c r="L415" s="10" t="s">
        <v>29</v>
      </c>
      <c r="M415" s="10" t="s">
        <v>8047</v>
      </c>
      <c r="P415" s="10" t="s">
        <v>5352</v>
      </c>
      <c r="S415" s="10" t="s">
        <v>29</v>
      </c>
      <c r="T415" s="10" t="s">
        <v>29</v>
      </c>
      <c r="U415" s="10" t="s">
        <v>5367</v>
      </c>
      <c r="Z415" s="11" t="n">
        <v>1</v>
      </c>
    </row>
    <row r="416" customFormat="false" ht="17.9" hidden="false" customHeight="false" outlineLevel="0" collapsed="false">
      <c r="B416" s="10" t="s">
        <v>8048</v>
      </c>
      <c r="C416" s="10" t="s">
        <v>8049</v>
      </c>
      <c r="D416" s="10" t="s">
        <v>8050</v>
      </c>
      <c r="F416" s="17" t="str">
        <f aca="false">CONCATENATE(G416,", ",H416)</f>
        <v>อ.สวนหลวง, กรุงเทพมหานคร</v>
      </c>
      <c r="G416" s="10" t="s">
        <v>7988</v>
      </c>
      <c r="H416" s="10" t="s">
        <v>5449</v>
      </c>
      <c r="I416" s="10" t="s">
        <v>5348</v>
      </c>
      <c r="J416" s="10" t="n">
        <v>10250</v>
      </c>
      <c r="K416" s="10" t="s">
        <v>8051</v>
      </c>
      <c r="L416" s="10" t="s">
        <v>29</v>
      </c>
      <c r="M416" s="10" t="s">
        <v>8052</v>
      </c>
      <c r="P416" s="10" t="s">
        <v>5352</v>
      </c>
      <c r="S416" s="10" t="s">
        <v>29</v>
      </c>
      <c r="T416" s="10" t="s">
        <v>29</v>
      </c>
      <c r="U416" s="10" t="s">
        <v>5367</v>
      </c>
      <c r="Z416" s="11" t="n">
        <v>1</v>
      </c>
    </row>
    <row r="417" customFormat="false" ht="17.9" hidden="false" customHeight="false" outlineLevel="0" collapsed="false">
      <c r="B417" s="10" t="s">
        <v>3041</v>
      </c>
      <c r="C417" s="10" t="s">
        <v>8053</v>
      </c>
      <c r="D417" s="10" t="s">
        <v>8054</v>
      </c>
      <c r="F417" s="17" t="str">
        <f aca="false">CONCATENATE(G417,", ",H417)</f>
        <v>ต.บางแก้ว, จ.สมุทรปราการ</v>
      </c>
      <c r="G417" s="10" t="s">
        <v>7543</v>
      </c>
      <c r="H417" s="10" t="s">
        <v>5403</v>
      </c>
      <c r="I417" s="10" t="s">
        <v>5348</v>
      </c>
      <c r="J417" s="10" t="s">
        <v>29</v>
      </c>
      <c r="K417" s="10" t="s">
        <v>29</v>
      </c>
      <c r="M417" s="10" t="s">
        <v>8055</v>
      </c>
      <c r="P417" s="10" t="s">
        <v>5352</v>
      </c>
      <c r="S417" s="10" t="s">
        <v>29</v>
      </c>
      <c r="T417" s="10" t="s">
        <v>29</v>
      </c>
      <c r="U417" s="10" t="s">
        <v>5377</v>
      </c>
      <c r="Z417" s="11" t="n">
        <v>1</v>
      </c>
    </row>
    <row r="418" customFormat="false" ht="17.9" hidden="false" customHeight="false" outlineLevel="0" collapsed="false">
      <c r="B418" s="10" t="s">
        <v>8056</v>
      </c>
      <c r="C418" s="10" t="s">
        <v>8057</v>
      </c>
      <c r="D418" s="10" t="s">
        <v>8058</v>
      </c>
      <c r="F418" s="17" t="str">
        <f aca="false">CONCATENATE(G418,", ",H418)</f>
        <v>อ.บางพลี, จ.สมุทรปราการ</v>
      </c>
      <c r="G418" s="10" t="s">
        <v>5434</v>
      </c>
      <c r="H418" s="10" t="s">
        <v>5403</v>
      </c>
      <c r="I418" s="10" t="s">
        <v>5348</v>
      </c>
      <c r="J418" s="10" t="n">
        <v>10540</v>
      </c>
      <c r="K418" s="10" t="s">
        <v>8059</v>
      </c>
      <c r="L418" s="10" t="s">
        <v>8060</v>
      </c>
      <c r="M418" s="10" t="s">
        <v>8061</v>
      </c>
      <c r="P418" s="10" t="s">
        <v>5352</v>
      </c>
      <c r="S418" s="10" t="s">
        <v>8062</v>
      </c>
      <c r="T418" s="10" t="s">
        <v>29</v>
      </c>
      <c r="U418" s="10" t="s">
        <v>5367</v>
      </c>
      <c r="Z418" s="11" t="n">
        <v>1</v>
      </c>
    </row>
    <row r="419" customFormat="false" ht="17.9" hidden="false" customHeight="false" outlineLevel="0" collapsed="false">
      <c r="B419" s="10" t="s">
        <v>8063</v>
      </c>
      <c r="C419" s="10" t="s">
        <v>8064</v>
      </c>
      <c r="D419" s="10" t="s">
        <v>8065</v>
      </c>
      <c r="F419" s="17" t="str">
        <f aca="false">CONCATENATE(G419,", ",H419)</f>
        <v>อ.เมืองสมุทรปราการ, จ.สมุทรปราการ</v>
      </c>
      <c r="G419" s="10" t="s">
        <v>5483</v>
      </c>
      <c r="H419" s="10" t="s">
        <v>5403</v>
      </c>
      <c r="I419" s="10" t="s">
        <v>5348</v>
      </c>
      <c r="J419" s="10" t="n">
        <v>10280</v>
      </c>
      <c r="K419" s="10" t="s">
        <v>8066</v>
      </c>
      <c r="M419" s="10" t="s">
        <v>8067</v>
      </c>
      <c r="P419" s="10" t="s">
        <v>5352</v>
      </c>
      <c r="S419" s="10" t="s">
        <v>8068</v>
      </c>
      <c r="T419" s="10" t="s">
        <v>29</v>
      </c>
      <c r="U419" s="10" t="s">
        <v>5367</v>
      </c>
      <c r="Z419" s="11" t="n">
        <v>1</v>
      </c>
    </row>
    <row r="420" customFormat="false" ht="17.9" hidden="false" customHeight="false" outlineLevel="0" collapsed="false">
      <c r="B420" s="10" t="s">
        <v>8069</v>
      </c>
      <c r="C420" s="10" t="s">
        <v>8070</v>
      </c>
      <c r="D420" s="10" t="s">
        <v>8071</v>
      </c>
      <c r="F420" s="17" t="str">
        <f aca="false">CONCATENATE(G420,", ",H420)</f>
        <v>อ.บางพลี , จ.สมุทรปราการ</v>
      </c>
      <c r="G420" s="10" t="s">
        <v>7444</v>
      </c>
      <c r="H420" s="10" t="s">
        <v>5965</v>
      </c>
      <c r="I420" s="10" t="s">
        <v>5348</v>
      </c>
      <c r="J420" s="10" t="n">
        <v>10540</v>
      </c>
      <c r="K420" s="10" t="s">
        <v>8072</v>
      </c>
      <c r="L420" s="10" t="s">
        <v>8073</v>
      </c>
      <c r="M420" s="10" t="s">
        <v>7250</v>
      </c>
      <c r="P420" s="10" t="s">
        <v>5352</v>
      </c>
      <c r="S420" s="10" t="s">
        <v>29</v>
      </c>
      <c r="T420" s="10" t="s">
        <v>29</v>
      </c>
      <c r="U420" s="10" t="s">
        <v>5367</v>
      </c>
      <c r="Z420" s="11" t="n">
        <v>1</v>
      </c>
    </row>
    <row r="421" customFormat="false" ht="17.9" hidden="false" customHeight="false" outlineLevel="0" collapsed="false">
      <c r="B421" s="10" t="s">
        <v>8074</v>
      </c>
      <c r="C421" s="10" t="s">
        <v>8075</v>
      </c>
      <c r="D421" s="10" t="s">
        <v>8076</v>
      </c>
      <c r="F421" s="17" t="str">
        <f aca="false">CONCATENATE(G421,", ",H421)</f>
        <v>อ.สวนหลวง, กรุงเทพมหานคร</v>
      </c>
      <c r="G421" s="10" t="s">
        <v>7988</v>
      </c>
      <c r="H421" s="10" t="s">
        <v>5449</v>
      </c>
      <c r="I421" s="10" t="s">
        <v>5348</v>
      </c>
      <c r="J421" s="10" t="n">
        <v>10250</v>
      </c>
      <c r="K421" s="10" t="s">
        <v>8077</v>
      </c>
      <c r="L421" s="10" t="s">
        <v>8078</v>
      </c>
      <c r="M421" s="10" t="s">
        <v>8079</v>
      </c>
      <c r="P421" s="10" t="s">
        <v>5352</v>
      </c>
      <c r="S421" s="10" t="s">
        <v>8080</v>
      </c>
      <c r="T421" s="10" t="s">
        <v>29</v>
      </c>
      <c r="U421" s="10" t="s">
        <v>5367</v>
      </c>
      <c r="Z421" s="11" t="n">
        <v>1</v>
      </c>
    </row>
    <row r="422" customFormat="false" ht="17.9" hidden="false" customHeight="false" outlineLevel="0" collapsed="false">
      <c r="B422" s="10" t="s">
        <v>8081</v>
      </c>
      <c r="C422" s="10" t="s">
        <v>8082</v>
      </c>
      <c r="D422" s="10" t="s">
        <v>8083</v>
      </c>
      <c r="F422" s="17" t="str">
        <f aca="false">CONCATENATE(G422,", ",H422)</f>
        <v>เขตลาดกระบัง, กรุงเทพมหานคร</v>
      </c>
      <c r="G422" s="10" t="s">
        <v>5503</v>
      </c>
      <c r="H422" s="10" t="s">
        <v>5449</v>
      </c>
      <c r="I422" s="10" t="s">
        <v>5348</v>
      </c>
      <c r="J422" s="10" t="n">
        <v>10520</v>
      </c>
      <c r="K422" s="10" t="s">
        <v>8084</v>
      </c>
      <c r="L422" s="10" t="s">
        <v>8085</v>
      </c>
      <c r="M422" s="10" t="s">
        <v>8086</v>
      </c>
      <c r="P422" s="10" t="s">
        <v>5352</v>
      </c>
      <c r="S422" s="10" t="s">
        <v>29</v>
      </c>
      <c r="T422" s="10" t="s">
        <v>29</v>
      </c>
      <c r="U422" s="10" t="s">
        <v>5367</v>
      </c>
      <c r="Z422" s="11" t="n">
        <v>1</v>
      </c>
    </row>
    <row r="423" customFormat="false" ht="17.9" hidden="false" customHeight="false" outlineLevel="0" collapsed="false">
      <c r="B423" s="10" t="s">
        <v>159</v>
      </c>
      <c r="C423" s="10" t="s">
        <v>8087</v>
      </c>
      <c r="D423" s="10" t="s">
        <v>8088</v>
      </c>
      <c r="F423" s="17" t="str">
        <f aca="false">CONCATENATE(G423,", ",H423)</f>
        <v>เขตบางรัก , กรุงเทพมหานคร</v>
      </c>
      <c r="G423" s="10" t="s">
        <v>6155</v>
      </c>
      <c r="H423" s="10" t="s">
        <v>5449</v>
      </c>
      <c r="I423" s="10" t="s">
        <v>5348</v>
      </c>
      <c r="J423" s="10" t="n">
        <v>10500</v>
      </c>
      <c r="K423" s="10" t="s">
        <v>8089</v>
      </c>
      <c r="L423" s="10" t="s">
        <v>8090</v>
      </c>
      <c r="M423" s="10" t="s">
        <v>8091</v>
      </c>
      <c r="P423" s="10" t="s">
        <v>5352</v>
      </c>
      <c r="S423" s="10" t="s">
        <v>29</v>
      </c>
      <c r="T423" s="10" t="s">
        <v>29</v>
      </c>
      <c r="U423" s="10" t="s">
        <v>5367</v>
      </c>
      <c r="Z423" s="11" t="n">
        <v>1</v>
      </c>
    </row>
    <row r="424" customFormat="false" ht="17.9" hidden="false" customHeight="false" outlineLevel="0" collapsed="false">
      <c r="B424" s="10" t="s">
        <v>8092</v>
      </c>
      <c r="C424" s="10" t="s">
        <v>8093</v>
      </c>
      <c r="D424" s="10" t="s">
        <v>8094</v>
      </c>
      <c r="F424" s="17" t="str">
        <f aca="false">CONCATENATE(G424,", ",H424)</f>
        <v>อ.สะพานสูง, กรุงเทพมหานคร</v>
      </c>
      <c r="G424" s="10" t="s">
        <v>8095</v>
      </c>
      <c r="H424" s="10" t="s">
        <v>5449</v>
      </c>
      <c r="I424" s="10" t="s">
        <v>5348</v>
      </c>
      <c r="J424" s="10" t="n">
        <v>10240</v>
      </c>
      <c r="K424" s="10" t="s">
        <v>8096</v>
      </c>
      <c r="L424" s="10" t="s">
        <v>8097</v>
      </c>
      <c r="M424" s="10" t="s">
        <v>8098</v>
      </c>
      <c r="P424" s="10" t="s">
        <v>5352</v>
      </c>
      <c r="S424" s="10" t="s">
        <v>29</v>
      </c>
      <c r="T424" s="10" t="s">
        <v>29</v>
      </c>
      <c r="U424" s="10" t="s">
        <v>5367</v>
      </c>
      <c r="Z424" s="11" t="n">
        <v>1</v>
      </c>
    </row>
    <row r="425" customFormat="false" ht="17.9" hidden="false" customHeight="false" outlineLevel="0" collapsed="false">
      <c r="B425" s="10" t="s">
        <v>8099</v>
      </c>
      <c r="C425" s="10" t="s">
        <v>8100</v>
      </c>
      <c r="D425" s="10" t="s">
        <v>8101</v>
      </c>
      <c r="F425" s="17" t="str">
        <f aca="false">CONCATENATE(G425,", ",H425)</f>
        <v>อำเภอเมืองจันทบุรี, จ.จันทบุรี</v>
      </c>
      <c r="G425" s="10" t="s">
        <v>8102</v>
      </c>
      <c r="H425" s="10" t="s">
        <v>8103</v>
      </c>
      <c r="I425" s="10" t="s">
        <v>5348</v>
      </c>
      <c r="J425" s="10" t="n">
        <v>22000</v>
      </c>
      <c r="K425" s="10" t="s">
        <v>8104</v>
      </c>
      <c r="L425" s="10" t="s">
        <v>8105</v>
      </c>
      <c r="M425" s="10" t="s">
        <v>29</v>
      </c>
      <c r="P425" s="10" t="s">
        <v>5352</v>
      </c>
      <c r="S425" s="10" t="s">
        <v>29</v>
      </c>
      <c r="T425" s="10" t="s">
        <v>29</v>
      </c>
      <c r="U425" s="10" t="s">
        <v>5367</v>
      </c>
      <c r="Z425" s="11" t="n">
        <v>1</v>
      </c>
    </row>
    <row r="426" customFormat="false" ht="17.9" hidden="false" customHeight="false" outlineLevel="0" collapsed="false">
      <c r="B426" s="10" t="s">
        <v>8106</v>
      </c>
      <c r="C426" s="10" t="s">
        <v>8107</v>
      </c>
      <c r="D426" s="10" t="s">
        <v>8108</v>
      </c>
      <c r="F426" s="17" t="str">
        <f aca="false">CONCATENATE(G426,", ",H426)</f>
        <v>-, จ.สมุทรปราการ</v>
      </c>
      <c r="G426" s="10" t="s">
        <v>29</v>
      </c>
      <c r="H426" s="10" t="s">
        <v>5403</v>
      </c>
      <c r="I426" s="10" t="s">
        <v>5348</v>
      </c>
      <c r="J426" s="10" t="n">
        <v>10270</v>
      </c>
      <c r="K426" s="10" t="s">
        <v>8109</v>
      </c>
      <c r="M426" s="10" t="s">
        <v>8110</v>
      </c>
      <c r="P426" s="10" t="s">
        <v>5352</v>
      </c>
      <c r="S426" s="10" t="s">
        <v>5366</v>
      </c>
      <c r="T426" s="10" t="s">
        <v>29</v>
      </c>
      <c r="U426" s="10" t="s">
        <v>5377</v>
      </c>
      <c r="Z426" s="11" t="n">
        <v>1</v>
      </c>
    </row>
    <row r="427" customFormat="false" ht="17.9" hidden="false" customHeight="false" outlineLevel="0" collapsed="false">
      <c r="B427" s="10" t="s">
        <v>8111</v>
      </c>
      <c r="C427" s="10" t="s">
        <v>8112</v>
      </c>
      <c r="D427" s="10" t="s">
        <v>8113</v>
      </c>
      <c r="F427" s="17" t="str">
        <f aca="false">CONCATENATE(G427,", ",H427)</f>
        <v>อ.บางบ่อ, จ.สมุทรปราการ</v>
      </c>
      <c r="G427" s="10" t="s">
        <v>5466</v>
      </c>
      <c r="H427" s="10" t="s">
        <v>5403</v>
      </c>
      <c r="I427" s="10" t="s">
        <v>5348</v>
      </c>
      <c r="J427" s="10" t="n">
        <v>10560</v>
      </c>
      <c r="K427" s="10" t="s">
        <v>8114</v>
      </c>
      <c r="L427" s="10" t="s">
        <v>29</v>
      </c>
      <c r="M427" s="10" t="s">
        <v>8115</v>
      </c>
      <c r="P427" s="10" t="s">
        <v>5352</v>
      </c>
      <c r="S427" s="10" t="s">
        <v>8116</v>
      </c>
      <c r="T427" s="10" t="s">
        <v>29</v>
      </c>
      <c r="U427" s="10" t="s">
        <v>5367</v>
      </c>
      <c r="Z427" s="11" t="n">
        <v>1</v>
      </c>
    </row>
    <row r="428" customFormat="false" ht="17.9" hidden="false" customHeight="false" outlineLevel="0" collapsed="false">
      <c r="B428" s="10" t="s">
        <v>8117</v>
      </c>
      <c r="C428" s="10" t="s">
        <v>8093</v>
      </c>
      <c r="D428" s="10" t="s">
        <v>8118</v>
      </c>
      <c r="E428" s="10" t="s">
        <v>5513</v>
      </c>
      <c r="F428" s="17" t="str">
        <f aca="false">CONCATENATE(G428,", ",H428)</f>
        <v>เขต สะพานสูง , กรุงเทพมหานคร</v>
      </c>
      <c r="G428" s="10" t="s">
        <v>7269</v>
      </c>
      <c r="H428" s="10" t="s">
        <v>5449</v>
      </c>
      <c r="I428" s="10" t="s">
        <v>5348</v>
      </c>
      <c r="J428" s="10" t="n">
        <v>10240</v>
      </c>
      <c r="K428" s="10" t="s">
        <v>8096</v>
      </c>
      <c r="L428" s="10" t="s">
        <v>8097</v>
      </c>
      <c r="M428" s="10" t="s">
        <v>8098</v>
      </c>
      <c r="P428" s="10" t="s">
        <v>5352</v>
      </c>
      <c r="Q428" s="10" t="s">
        <v>8119</v>
      </c>
      <c r="S428" s="10" t="s">
        <v>8120</v>
      </c>
      <c r="T428" s="10" t="s">
        <v>8121</v>
      </c>
      <c r="U428" s="10" t="s">
        <v>5377</v>
      </c>
      <c r="Z428" s="11" t="n">
        <v>1</v>
      </c>
    </row>
    <row r="429" customFormat="false" ht="17.9" hidden="false" customHeight="false" outlineLevel="0" collapsed="false">
      <c r="B429" s="10" t="s">
        <v>1279</v>
      </c>
      <c r="C429" s="10" t="s">
        <v>8122</v>
      </c>
      <c r="D429" s="10" t="s">
        <v>8123</v>
      </c>
      <c r="F429" s="17" t="str">
        <f aca="false">CONCATENATE(G429,", ",H429)</f>
        <v>อ.เมืองสมุทรปราการ , จ.สมุทรปราการ</v>
      </c>
      <c r="G429" s="10" t="s">
        <v>6934</v>
      </c>
      <c r="H429" s="10" t="s">
        <v>5965</v>
      </c>
      <c r="I429" s="10" t="s">
        <v>5348</v>
      </c>
      <c r="J429" s="10" t="n">
        <v>10270</v>
      </c>
      <c r="K429" s="20" t="s">
        <v>8124</v>
      </c>
      <c r="L429" s="10" t="s">
        <v>8125</v>
      </c>
      <c r="M429" s="10" t="s">
        <v>29</v>
      </c>
      <c r="P429" s="10" t="s">
        <v>5352</v>
      </c>
      <c r="S429" s="10" t="s">
        <v>29</v>
      </c>
      <c r="T429" s="10" t="s">
        <v>29</v>
      </c>
      <c r="U429" s="10" t="s">
        <v>5367</v>
      </c>
      <c r="Z429" s="11" t="n">
        <v>1</v>
      </c>
    </row>
    <row r="430" customFormat="false" ht="17.9" hidden="false" customHeight="false" outlineLevel="0" collapsed="false">
      <c r="B430" s="10" t="s">
        <v>8126</v>
      </c>
      <c r="C430" s="10" t="s">
        <v>8127</v>
      </c>
      <c r="D430" s="10" t="s">
        <v>8128</v>
      </c>
      <c r="F430" s="17" t="str">
        <f aca="false">CONCATENATE(G430,", ",H430)</f>
        <v>เขตสาทร , กรุงเทพมหานคร</v>
      </c>
      <c r="G430" s="10" t="s">
        <v>5863</v>
      </c>
      <c r="H430" s="10" t="s">
        <v>5449</v>
      </c>
      <c r="I430" s="10" t="s">
        <v>5348</v>
      </c>
      <c r="J430" s="10" t="n">
        <v>10120</v>
      </c>
      <c r="K430" s="10" t="s">
        <v>8129</v>
      </c>
      <c r="M430" s="10" t="s">
        <v>8130</v>
      </c>
      <c r="P430" s="10" t="s">
        <v>5352</v>
      </c>
      <c r="S430" s="10" t="s">
        <v>8131</v>
      </c>
      <c r="T430" s="10" t="s">
        <v>29</v>
      </c>
      <c r="U430" s="10" t="s">
        <v>5367</v>
      </c>
      <c r="Z430" s="11" t="n">
        <v>1</v>
      </c>
    </row>
    <row r="431" customFormat="false" ht="17.9" hidden="false" customHeight="false" outlineLevel="0" collapsed="false">
      <c r="B431" s="10" t="s">
        <v>392</v>
      </c>
      <c r="C431" s="10" t="s">
        <v>8132</v>
      </c>
      <c r="D431" s="10" t="s">
        <v>8133</v>
      </c>
      <c r="F431" s="17" t="str">
        <f aca="false">CONCATENATE(G431,", ",H431)</f>
        <v>เขตยานนาวา, กรุงเทพมหานคร</v>
      </c>
      <c r="G431" s="10" t="s">
        <v>7620</v>
      </c>
      <c r="H431" s="10" t="s">
        <v>5449</v>
      </c>
      <c r="I431" s="10" t="s">
        <v>5348</v>
      </c>
      <c r="J431" s="10" t="n">
        <v>10120</v>
      </c>
      <c r="K431" s="10" t="s">
        <v>8134</v>
      </c>
      <c r="L431" s="10" t="s">
        <v>8135</v>
      </c>
      <c r="M431" s="10" t="s">
        <v>8136</v>
      </c>
      <c r="P431" s="10" t="s">
        <v>5352</v>
      </c>
      <c r="S431" s="10" t="s">
        <v>8137</v>
      </c>
      <c r="T431" s="10" t="s">
        <v>29</v>
      </c>
      <c r="U431" s="10" t="s">
        <v>5377</v>
      </c>
      <c r="Z431" s="11" t="n">
        <v>1</v>
      </c>
    </row>
    <row r="432" customFormat="false" ht="17.9" hidden="false" customHeight="false" outlineLevel="0" collapsed="false">
      <c r="B432" s="10" t="s">
        <v>1326</v>
      </c>
      <c r="C432" s="10" t="s">
        <v>8138</v>
      </c>
      <c r="D432" s="10" t="s">
        <v>8139</v>
      </c>
      <c r="F432" s="17" t="str">
        <f aca="false">CONCATENATE(G432,", ",H432)</f>
        <v>อ.บางเสาธง, จ.สมุทรปราการ</v>
      </c>
      <c r="G432" s="10" t="s">
        <v>5679</v>
      </c>
      <c r="H432" s="10" t="s">
        <v>5403</v>
      </c>
      <c r="I432" s="10" t="s">
        <v>5348</v>
      </c>
      <c r="J432" s="10" t="n">
        <v>10570</v>
      </c>
      <c r="K432" s="10" t="s">
        <v>8140</v>
      </c>
      <c r="L432" s="10" t="s">
        <v>29</v>
      </c>
      <c r="M432" s="10" t="s">
        <v>8141</v>
      </c>
      <c r="P432" s="10" t="s">
        <v>5352</v>
      </c>
      <c r="S432" s="10" t="s">
        <v>8142</v>
      </c>
      <c r="T432" s="10" t="s">
        <v>8143</v>
      </c>
      <c r="U432" s="10" t="s">
        <v>5377</v>
      </c>
      <c r="Z432" s="11" t="n">
        <v>1</v>
      </c>
    </row>
    <row r="433" customFormat="false" ht="17.9" hidden="false" customHeight="false" outlineLevel="0" collapsed="false">
      <c r="B433" s="10" t="s">
        <v>8144</v>
      </c>
      <c r="C433" s="10" t="s">
        <v>8145</v>
      </c>
      <c r="D433" s="10" t="s">
        <v>8146</v>
      </c>
      <c r="F433" s="17" t="str">
        <f aca="false">CONCATENATE(G433,", ",H433)</f>
        <v>เขตบางขุนเทียน, กรุงเทพมหานคร</v>
      </c>
      <c r="G433" s="10" t="s">
        <v>5867</v>
      </c>
      <c r="H433" s="10" t="s">
        <v>5449</v>
      </c>
      <c r="I433" s="10" t="s">
        <v>5348</v>
      </c>
      <c r="J433" s="10" t="n">
        <v>10150</v>
      </c>
      <c r="K433" s="10" t="s">
        <v>8147</v>
      </c>
      <c r="L433" s="10" t="s">
        <v>8148</v>
      </c>
      <c r="M433" s="10" t="s">
        <v>8149</v>
      </c>
      <c r="P433" s="10" t="s">
        <v>5352</v>
      </c>
      <c r="S433" s="10" t="s">
        <v>8150</v>
      </c>
      <c r="T433" s="10" t="s">
        <v>8151</v>
      </c>
      <c r="U433" s="10" t="s">
        <v>5367</v>
      </c>
      <c r="Z433" s="11" t="n">
        <v>1</v>
      </c>
    </row>
    <row r="434" customFormat="false" ht="17.9" hidden="false" customHeight="false" outlineLevel="0" collapsed="false">
      <c r="B434" s="10" t="s">
        <v>8152</v>
      </c>
      <c r="C434" s="10" t="s">
        <v>8153</v>
      </c>
      <c r="D434" s="10" t="s">
        <v>8154</v>
      </c>
      <c r="F434" s="17" t="str">
        <f aca="false">CONCATENATE(G434,", ",H434)</f>
        <v>อ.บางพลี, จ.สมุทรปราการ</v>
      </c>
      <c r="G434" s="10" t="s">
        <v>5434</v>
      </c>
      <c r="H434" s="10" t="s">
        <v>5403</v>
      </c>
      <c r="I434" s="10" t="s">
        <v>5348</v>
      </c>
      <c r="J434" s="10" t="n">
        <v>10540</v>
      </c>
      <c r="K434" s="10" t="s">
        <v>8155</v>
      </c>
      <c r="L434" s="10" t="s">
        <v>8156</v>
      </c>
      <c r="M434" s="10" t="s">
        <v>8157</v>
      </c>
      <c r="P434" s="10" t="s">
        <v>5352</v>
      </c>
      <c r="S434" s="10" t="s">
        <v>29</v>
      </c>
      <c r="T434" s="10" t="s">
        <v>29</v>
      </c>
      <c r="U434" s="10" t="s">
        <v>5367</v>
      </c>
      <c r="Z434" s="11" t="n">
        <v>1</v>
      </c>
    </row>
    <row r="435" customFormat="false" ht="17.9" hidden="false" customHeight="false" outlineLevel="0" collapsed="false">
      <c r="B435" s="10" t="s">
        <v>8158</v>
      </c>
      <c r="C435" s="10" t="s">
        <v>8159</v>
      </c>
      <c r="D435" s="10" t="s">
        <v>8160</v>
      </c>
      <c r="F435" s="17" t="str">
        <f aca="false">CONCATENATE(G435,", ",H435)</f>
        <v>อ.กระทุ่มแบน , จ.สมุทรสาคร</v>
      </c>
      <c r="G435" s="10" t="s">
        <v>8161</v>
      </c>
      <c r="H435" s="10" t="s">
        <v>5347</v>
      </c>
      <c r="I435" s="10" t="s">
        <v>5348</v>
      </c>
      <c r="J435" s="10" t="n">
        <v>74110</v>
      </c>
      <c r="K435" s="10" t="s">
        <v>29</v>
      </c>
      <c r="L435" s="10" t="s">
        <v>29</v>
      </c>
      <c r="M435" s="10" t="s">
        <v>8162</v>
      </c>
      <c r="P435" s="10" t="s">
        <v>5352</v>
      </c>
      <c r="S435" s="10" t="s">
        <v>29</v>
      </c>
      <c r="T435" s="10" t="s">
        <v>29</v>
      </c>
      <c r="U435" s="10" t="s">
        <v>5367</v>
      </c>
      <c r="Z435" s="11" t="n">
        <v>1</v>
      </c>
    </row>
    <row r="436" customFormat="false" ht="17.9" hidden="false" customHeight="false" outlineLevel="0" collapsed="false">
      <c r="B436" s="10" t="s">
        <v>8163</v>
      </c>
      <c r="C436" s="10" t="s">
        <v>8164</v>
      </c>
      <c r="D436" s="10" t="s">
        <v>8165</v>
      </c>
      <c r="F436" s="17" t="str">
        <f aca="false">CONCATENATE(G436,", ",H436)</f>
        <v>อ.พระสมุทรเจดีย์ , จ.สมุทรปราการ</v>
      </c>
      <c r="G436" s="10" t="s">
        <v>5569</v>
      </c>
      <c r="H436" s="10" t="s">
        <v>5403</v>
      </c>
      <c r="I436" s="10" t="s">
        <v>5348</v>
      </c>
      <c r="J436" s="10" t="n">
        <v>10290</v>
      </c>
      <c r="K436" s="10" t="s">
        <v>8166</v>
      </c>
      <c r="M436" s="10" t="s">
        <v>8167</v>
      </c>
      <c r="P436" s="10" t="s">
        <v>5352</v>
      </c>
      <c r="S436" s="10" t="s">
        <v>29</v>
      </c>
      <c r="T436" s="10" t="s">
        <v>29</v>
      </c>
      <c r="U436" s="10" t="s">
        <v>5367</v>
      </c>
      <c r="Z436" s="11" t="n">
        <v>1</v>
      </c>
    </row>
    <row r="437" customFormat="false" ht="17.9" hidden="false" customHeight="false" outlineLevel="0" collapsed="false">
      <c r="B437" s="10" t="s">
        <v>8168</v>
      </c>
      <c r="C437" s="10" t="s">
        <v>8169</v>
      </c>
      <c r="D437" s="10" t="s">
        <v>8170</v>
      </c>
      <c r="F437" s="17" t="str">
        <f aca="false">CONCATENATE(G437,", ",H437)</f>
        <v>เขตบางแค, กรุงเทพมหานคร</v>
      </c>
      <c r="G437" s="10" t="s">
        <v>8171</v>
      </c>
      <c r="H437" s="10" t="s">
        <v>5449</v>
      </c>
      <c r="I437" s="10" t="s">
        <v>5348</v>
      </c>
      <c r="J437" s="10" t="n">
        <v>10160</v>
      </c>
      <c r="K437" s="10" t="s">
        <v>8172</v>
      </c>
      <c r="M437" s="10" t="s">
        <v>8173</v>
      </c>
      <c r="P437" s="10" t="s">
        <v>5352</v>
      </c>
      <c r="S437" s="10" t="s">
        <v>8174</v>
      </c>
      <c r="T437" s="10" t="s">
        <v>8175</v>
      </c>
      <c r="U437" s="10" t="s">
        <v>5367</v>
      </c>
      <c r="Z437" s="11" t="n">
        <v>1</v>
      </c>
    </row>
    <row r="438" customFormat="false" ht="17.9" hidden="false" customHeight="false" outlineLevel="0" collapsed="false">
      <c r="B438" s="10" t="s">
        <v>8176</v>
      </c>
      <c r="C438" s="10" t="s">
        <v>8177</v>
      </c>
      <c r="D438" s="10" t="s">
        <v>8178</v>
      </c>
      <c r="F438" s="17" t="str">
        <f aca="false">CONCATENATE(G438,", ",H438)</f>
        <v>เขตบางนา, กรุงเทพมหานคร</v>
      </c>
      <c r="G438" s="10" t="s">
        <v>5604</v>
      </c>
      <c r="H438" s="10" t="s">
        <v>5449</v>
      </c>
      <c r="I438" s="10" t="s">
        <v>5348</v>
      </c>
      <c r="J438" s="10" t="n">
        <v>10260</v>
      </c>
      <c r="K438" s="10" t="s">
        <v>8179</v>
      </c>
      <c r="L438" s="10" t="s">
        <v>8180</v>
      </c>
      <c r="M438" s="10" t="s">
        <v>8181</v>
      </c>
      <c r="P438" s="10" t="s">
        <v>5352</v>
      </c>
      <c r="S438" s="10" t="s">
        <v>29</v>
      </c>
      <c r="T438" s="10" t="s">
        <v>29</v>
      </c>
      <c r="U438" s="10" t="s">
        <v>5367</v>
      </c>
      <c r="Z438" s="11" t="n">
        <v>1</v>
      </c>
    </row>
    <row r="439" customFormat="false" ht="17.9" hidden="false" customHeight="false" outlineLevel="0" collapsed="false">
      <c r="B439" s="10" t="s">
        <v>8182</v>
      </c>
      <c r="C439" s="10" t="s">
        <v>8183</v>
      </c>
      <c r="D439" s="10" t="s">
        <v>8184</v>
      </c>
      <c r="F439" s="17" t="str">
        <f aca="false">CONCATENATE(G439,", ",H439)</f>
        <v>อ.บางกรวย , ปทุทธานี</v>
      </c>
      <c r="G439" s="10" t="s">
        <v>8185</v>
      </c>
      <c r="H439" s="10" t="s">
        <v>8186</v>
      </c>
      <c r="I439" s="10" t="s">
        <v>5348</v>
      </c>
      <c r="J439" s="10" t="n">
        <v>11130</v>
      </c>
      <c r="K439" s="10" t="s">
        <v>8187</v>
      </c>
      <c r="M439" s="10" t="s">
        <v>8188</v>
      </c>
      <c r="P439" s="10" t="s">
        <v>5352</v>
      </c>
      <c r="S439" s="10" t="s">
        <v>8189</v>
      </c>
      <c r="T439" s="10" t="s">
        <v>29</v>
      </c>
      <c r="U439" s="10" t="s">
        <v>5367</v>
      </c>
      <c r="Z439" s="11" t="n">
        <v>1</v>
      </c>
    </row>
    <row r="440" customFormat="false" ht="17.9" hidden="false" customHeight="false" outlineLevel="0" collapsed="false">
      <c r="B440" s="10" t="s">
        <v>8190</v>
      </c>
      <c r="C440" s="10" t="s">
        <v>8191</v>
      </c>
      <c r="D440" s="10" t="s">
        <v>8192</v>
      </c>
      <c r="F440" s="17" t="str">
        <f aca="false">CONCATENATE(G440,", ",H440)</f>
        <v>อ.บางบอน, กรุงเทพมหานคร</v>
      </c>
      <c r="G440" s="10" t="s">
        <v>8193</v>
      </c>
      <c r="H440" s="10" t="s">
        <v>5449</v>
      </c>
      <c r="I440" s="10" t="s">
        <v>5348</v>
      </c>
      <c r="J440" s="10" t="n">
        <v>10150</v>
      </c>
      <c r="K440" s="10" t="s">
        <v>8194</v>
      </c>
      <c r="L440" s="10" t="s">
        <v>29</v>
      </c>
      <c r="M440" s="10" t="s">
        <v>8195</v>
      </c>
      <c r="P440" s="10" t="s">
        <v>5352</v>
      </c>
      <c r="S440" s="10" t="s">
        <v>29</v>
      </c>
      <c r="T440" s="10" t="s">
        <v>29</v>
      </c>
      <c r="U440" s="10" t="s">
        <v>5367</v>
      </c>
      <c r="Z440" s="11" t="n">
        <v>1</v>
      </c>
    </row>
    <row r="441" customFormat="false" ht="17.9" hidden="false" customHeight="false" outlineLevel="0" collapsed="false">
      <c r="B441" s="10" t="s">
        <v>8196</v>
      </c>
      <c r="C441" s="10" t="s">
        <v>8197</v>
      </c>
      <c r="D441" s="10" t="s">
        <v>8198</v>
      </c>
      <c r="F441" s="17" t="str">
        <f aca="false">CONCATENATE(G441,", ",H441)</f>
        <v>เขตราษฏร์บูรณะ, กรุงเทพมหานคร</v>
      </c>
      <c r="G441" s="10" t="s">
        <v>5753</v>
      </c>
      <c r="H441" s="10" t="s">
        <v>5449</v>
      </c>
      <c r="I441" s="10" t="s">
        <v>5348</v>
      </c>
      <c r="J441" s="10" t="n">
        <v>10140</v>
      </c>
      <c r="K441" s="10" t="s">
        <v>8199</v>
      </c>
      <c r="L441" s="10" t="s">
        <v>8200</v>
      </c>
      <c r="M441" s="10" t="s">
        <v>8201</v>
      </c>
      <c r="P441" s="10" t="s">
        <v>5352</v>
      </c>
      <c r="S441" s="10" t="s">
        <v>29</v>
      </c>
      <c r="T441" s="10" t="s">
        <v>29</v>
      </c>
      <c r="U441" s="10" t="s">
        <v>5377</v>
      </c>
      <c r="Z441" s="11" t="n">
        <v>1</v>
      </c>
    </row>
    <row r="442" customFormat="false" ht="17.9" hidden="false" customHeight="false" outlineLevel="0" collapsed="false">
      <c r="B442" s="10" t="s">
        <v>8202</v>
      </c>
      <c r="C442" s="10" t="s">
        <v>8203</v>
      </c>
      <c r="D442" s="10" t="s">
        <v>8204</v>
      </c>
      <c r="F442" s="17" t="str">
        <f aca="false">CONCATENATE(G442,", ",H442)</f>
        <v>อ.กระทุ่มแบน , จ.สมุทรสาคร</v>
      </c>
      <c r="G442" s="10" t="s">
        <v>8161</v>
      </c>
      <c r="H442" s="10" t="s">
        <v>5347</v>
      </c>
      <c r="I442" s="10" t="s">
        <v>5348</v>
      </c>
      <c r="J442" s="10" t="n">
        <v>74110</v>
      </c>
      <c r="K442" s="10" t="s">
        <v>29</v>
      </c>
      <c r="L442" s="10" t="s">
        <v>29</v>
      </c>
      <c r="M442" s="10" t="s">
        <v>8205</v>
      </c>
      <c r="P442" s="10" t="s">
        <v>5352</v>
      </c>
      <c r="S442" s="10" t="s">
        <v>29</v>
      </c>
      <c r="T442" s="10" t="s">
        <v>29</v>
      </c>
      <c r="U442" s="10" t="s">
        <v>5367</v>
      </c>
      <c r="Z442" s="11" t="n">
        <v>1</v>
      </c>
    </row>
    <row r="443" customFormat="false" ht="17.9" hidden="false" customHeight="false" outlineLevel="0" collapsed="false">
      <c r="B443" s="10" t="s">
        <v>372</v>
      </c>
      <c r="C443" s="10" t="s">
        <v>8206</v>
      </c>
      <c r="D443" s="10" t="s">
        <v>8207</v>
      </c>
      <c r="F443" s="17" t="str">
        <f aca="false">CONCATENATE(G443,", ",H443)</f>
        <v>อ.กระทุ่มแบน, จ.สมุทรสาคร</v>
      </c>
      <c r="G443" s="10" t="s">
        <v>5713</v>
      </c>
      <c r="H443" s="10" t="s">
        <v>5347</v>
      </c>
      <c r="I443" s="10" t="s">
        <v>5348</v>
      </c>
      <c r="J443" s="10" t="n">
        <v>74110</v>
      </c>
      <c r="K443" s="10" t="s">
        <v>8208</v>
      </c>
      <c r="M443" s="10" t="s">
        <v>8209</v>
      </c>
      <c r="P443" s="10" t="s">
        <v>5352</v>
      </c>
      <c r="S443" s="10" t="s">
        <v>29</v>
      </c>
      <c r="T443" s="10" t="s">
        <v>29</v>
      </c>
      <c r="U443" s="10" t="s">
        <v>5367</v>
      </c>
      <c r="Z443" s="11" t="n">
        <v>1</v>
      </c>
    </row>
    <row r="444" customFormat="false" ht="15" hidden="false" customHeight="false" outlineLevel="0" collapsed="false">
      <c r="B444" s="10" t="s">
        <v>8210</v>
      </c>
      <c r="C444" s="10" t="s">
        <v>8211</v>
      </c>
      <c r="D444" s="10" t="s">
        <v>29</v>
      </c>
      <c r="F444" s="17" t="str">
        <f aca="false">CONCATENATE(G444,", ",H444)</f>
        <v>-, -</v>
      </c>
      <c r="G444" s="10" t="s">
        <v>29</v>
      </c>
      <c r="H444" s="10" t="s">
        <v>29</v>
      </c>
      <c r="I444" s="10" t="s">
        <v>5348</v>
      </c>
      <c r="J444" s="10" t="s">
        <v>29</v>
      </c>
      <c r="K444" s="10" t="s">
        <v>29</v>
      </c>
      <c r="M444" s="10" t="s">
        <v>29</v>
      </c>
      <c r="P444" s="10" t="s">
        <v>5352</v>
      </c>
      <c r="S444" s="10" t="s">
        <v>29</v>
      </c>
      <c r="T444" s="10" t="s">
        <v>29</v>
      </c>
      <c r="U444" s="10" t="s">
        <v>5367</v>
      </c>
      <c r="Z444" s="11" t="n">
        <v>1</v>
      </c>
    </row>
    <row r="445" customFormat="false" ht="17.9" hidden="false" customHeight="false" outlineLevel="0" collapsed="false">
      <c r="B445" s="10" t="s">
        <v>8212</v>
      </c>
      <c r="C445" s="10" t="s">
        <v>8213</v>
      </c>
      <c r="D445" s="10" t="s">
        <v>29</v>
      </c>
      <c r="F445" s="17" t="str">
        <f aca="false">CONCATENATE(G445,", ",H445)</f>
        <v>-, -</v>
      </c>
      <c r="G445" s="10" t="s">
        <v>29</v>
      </c>
      <c r="H445" s="10" t="s">
        <v>29</v>
      </c>
      <c r="I445" s="10" t="s">
        <v>5348</v>
      </c>
      <c r="J445" s="10" t="s">
        <v>29</v>
      </c>
      <c r="K445" s="10" t="s">
        <v>29</v>
      </c>
      <c r="M445" s="10" t="s">
        <v>29</v>
      </c>
      <c r="P445" s="10" t="s">
        <v>5352</v>
      </c>
      <c r="S445" s="10" t="s">
        <v>29</v>
      </c>
      <c r="T445" s="10" t="s">
        <v>29</v>
      </c>
      <c r="U445" s="10" t="s">
        <v>5367</v>
      </c>
      <c r="Z445" s="11" t="n">
        <v>1</v>
      </c>
    </row>
    <row r="446" customFormat="false" ht="17.9" hidden="false" customHeight="false" outlineLevel="0" collapsed="false">
      <c r="B446" s="10" t="s">
        <v>8214</v>
      </c>
      <c r="C446" s="10" t="s">
        <v>8215</v>
      </c>
      <c r="D446" s="10" t="s">
        <v>8216</v>
      </c>
      <c r="F446" s="17" t="str">
        <f aca="false">CONCATENATE(G446,", ",H446)</f>
        <v>อ.พระประแดง , จ.สมุทรปราการ</v>
      </c>
      <c r="G446" s="10" t="s">
        <v>6037</v>
      </c>
      <c r="H446" s="10" t="s">
        <v>5403</v>
      </c>
      <c r="I446" s="10" t="s">
        <v>5348</v>
      </c>
      <c r="J446" s="10" t="n">
        <v>10130</v>
      </c>
      <c r="K446" s="10" t="s">
        <v>8217</v>
      </c>
      <c r="L446" s="10" t="s">
        <v>8218</v>
      </c>
      <c r="M446" s="10" t="s">
        <v>8219</v>
      </c>
      <c r="P446" s="10" t="s">
        <v>5352</v>
      </c>
      <c r="S446" s="10" t="s">
        <v>8220</v>
      </c>
      <c r="T446" s="10" t="s">
        <v>29</v>
      </c>
      <c r="U446" s="10" t="s">
        <v>5367</v>
      </c>
      <c r="Z446" s="11" t="n">
        <v>1</v>
      </c>
    </row>
    <row r="447" customFormat="false" ht="17.9" hidden="false" customHeight="false" outlineLevel="0" collapsed="false">
      <c r="B447" s="10" t="s">
        <v>8221</v>
      </c>
      <c r="C447" s="10" t="s">
        <v>8222</v>
      </c>
      <c r="D447" s="10" t="s">
        <v>8223</v>
      </c>
      <c r="F447" s="17" t="str">
        <f aca="false">CONCATENATE(G447,", ",H447)</f>
        <v>เขตวัฒนา, กรุงเทพมหานคร</v>
      </c>
      <c r="G447" s="10" t="s">
        <v>5694</v>
      </c>
      <c r="H447" s="10" t="s">
        <v>5449</v>
      </c>
      <c r="I447" s="10" t="s">
        <v>5348</v>
      </c>
      <c r="J447" s="10" t="n">
        <v>10110</v>
      </c>
      <c r="K447" s="10" t="s">
        <v>8224</v>
      </c>
      <c r="M447" s="10" t="s">
        <v>8225</v>
      </c>
      <c r="P447" s="10" t="s">
        <v>5352</v>
      </c>
      <c r="S447" s="10" t="s">
        <v>29</v>
      </c>
      <c r="T447" s="10" t="s">
        <v>29</v>
      </c>
      <c r="U447" s="10" t="s">
        <v>5367</v>
      </c>
      <c r="Z447" s="11" t="n">
        <v>1</v>
      </c>
    </row>
    <row r="448" customFormat="false" ht="17.9" hidden="false" customHeight="false" outlineLevel="0" collapsed="false">
      <c r="B448" s="10" t="s">
        <v>1054</v>
      </c>
      <c r="C448" s="10" t="s">
        <v>8226</v>
      </c>
      <c r="D448" s="10" t="s">
        <v>8227</v>
      </c>
      <c r="E448" s="10" t="s">
        <v>5513</v>
      </c>
      <c r="F448" s="17" t="str">
        <f aca="false">CONCATENATE(G448,", ",H448)</f>
        <v>เขตหลักสี่, กรุงเทพมหานคร</v>
      </c>
      <c r="G448" s="10" t="s">
        <v>7195</v>
      </c>
      <c r="H448" s="10" t="s">
        <v>5449</v>
      </c>
      <c r="I448" s="10" t="s">
        <v>5348</v>
      </c>
      <c r="J448" s="10" t="n">
        <v>10210</v>
      </c>
      <c r="K448" s="10" t="s">
        <v>8228</v>
      </c>
      <c r="L448" s="10" t="s">
        <v>8229</v>
      </c>
      <c r="M448" s="10" t="s">
        <v>8230</v>
      </c>
      <c r="P448" s="10" t="s">
        <v>5352</v>
      </c>
      <c r="S448" s="10" t="s">
        <v>29</v>
      </c>
      <c r="T448" s="10" t="s">
        <v>29</v>
      </c>
      <c r="U448" s="10" t="s">
        <v>5377</v>
      </c>
      <c r="Z448" s="11" t="n">
        <v>1</v>
      </c>
    </row>
    <row r="449" customFormat="false" ht="17.9" hidden="false" customHeight="false" outlineLevel="0" collapsed="false">
      <c r="B449" s="10" t="s">
        <v>8231</v>
      </c>
      <c r="C449" s="10" t="s">
        <v>8232</v>
      </c>
      <c r="D449" s="10" t="s">
        <v>8233</v>
      </c>
      <c r="F449" s="17" t="str">
        <f aca="false">CONCATENATE(G449,", ",H449)</f>
        <v>เขตดินแดง, กรุงเทพมหานคร</v>
      </c>
      <c r="G449" s="10" t="s">
        <v>8234</v>
      </c>
      <c r="H449" s="10" t="s">
        <v>5449</v>
      </c>
      <c r="I449" s="10" t="s">
        <v>5348</v>
      </c>
      <c r="J449" s="10" t="n">
        <v>10400</v>
      </c>
      <c r="K449" s="10" t="s">
        <v>8235</v>
      </c>
      <c r="M449" s="10" t="s">
        <v>8236</v>
      </c>
      <c r="P449" s="10" t="s">
        <v>5352</v>
      </c>
      <c r="S449" s="10" t="s">
        <v>29</v>
      </c>
      <c r="T449" s="10" t="s">
        <v>29</v>
      </c>
      <c r="U449" s="10" t="s">
        <v>5367</v>
      </c>
      <c r="Z449" s="11" t="n">
        <v>1</v>
      </c>
    </row>
    <row r="450" customFormat="false" ht="17.9" hidden="false" customHeight="false" outlineLevel="0" collapsed="false">
      <c r="B450" s="10" t="s">
        <v>8237</v>
      </c>
      <c r="C450" s="10" t="s">
        <v>8238</v>
      </c>
      <c r="D450" s="10" t="s">
        <v>8239</v>
      </c>
      <c r="F450" s="17" t="str">
        <f aca="false">CONCATENATE(G450,", ",H450)</f>
        <v>อ.เมืองสมุทรปราการ , จ.สมุทรปราการ</v>
      </c>
      <c r="G450" s="10" t="s">
        <v>6934</v>
      </c>
      <c r="H450" s="10" t="s">
        <v>5965</v>
      </c>
      <c r="I450" s="10" t="s">
        <v>5348</v>
      </c>
      <c r="J450" s="10" t="n">
        <v>10280</v>
      </c>
      <c r="K450" s="10" t="s">
        <v>8240</v>
      </c>
      <c r="L450" s="10" t="s">
        <v>8241</v>
      </c>
      <c r="M450" s="10" t="s">
        <v>8242</v>
      </c>
      <c r="P450" s="10" t="s">
        <v>5352</v>
      </c>
      <c r="S450" s="10" t="s">
        <v>29</v>
      </c>
      <c r="T450" s="10" t="s">
        <v>29</v>
      </c>
      <c r="U450" s="10" t="s">
        <v>5367</v>
      </c>
      <c r="Z450" s="11" t="n">
        <v>1</v>
      </c>
    </row>
    <row r="451" customFormat="false" ht="17.9" hidden="false" customHeight="false" outlineLevel="0" collapsed="false">
      <c r="B451" s="10" t="s">
        <v>8243</v>
      </c>
      <c r="C451" s="10" t="s">
        <v>8244</v>
      </c>
      <c r="D451" s="10" t="s">
        <v>8245</v>
      </c>
      <c r="F451" s="17" t="str">
        <f aca="false">CONCATENATE(G451,", ",H451)</f>
        <v>เขตบางรัก , กรุงเทพมหานคร</v>
      </c>
      <c r="G451" s="10" t="s">
        <v>6155</v>
      </c>
      <c r="H451" s="10" t="s">
        <v>5449</v>
      </c>
      <c r="I451" s="10" t="s">
        <v>5348</v>
      </c>
      <c r="J451" s="10" t="n">
        <v>10500</v>
      </c>
      <c r="K451" s="10" t="s">
        <v>8246</v>
      </c>
      <c r="L451" s="10" t="s">
        <v>29</v>
      </c>
      <c r="M451" s="10" t="s">
        <v>8247</v>
      </c>
      <c r="P451" s="10" t="s">
        <v>5352</v>
      </c>
      <c r="S451" s="10" t="s">
        <v>29</v>
      </c>
      <c r="T451" s="10" t="s">
        <v>29</v>
      </c>
      <c r="U451" s="10" t="s">
        <v>5377</v>
      </c>
      <c r="Z451" s="11" t="n">
        <v>1</v>
      </c>
    </row>
    <row r="452" customFormat="false" ht="17.9" hidden="false" customHeight="false" outlineLevel="0" collapsed="false">
      <c r="B452" s="10" t="s">
        <v>8248</v>
      </c>
      <c r="C452" s="10" t="s">
        <v>8249</v>
      </c>
      <c r="D452" s="10" t="s">
        <v>8250</v>
      </c>
      <c r="E452" s="10" t="s">
        <v>5513</v>
      </c>
      <c r="F452" s="17" t="str">
        <f aca="false">CONCATENATE(G452,", ",H452)</f>
        <v>อ.สามโคก , จ.ปราจีนบุรี</v>
      </c>
      <c r="G452" s="10" t="s">
        <v>8251</v>
      </c>
      <c r="H452" s="10" t="s">
        <v>8252</v>
      </c>
      <c r="I452" s="10" t="s">
        <v>5348</v>
      </c>
      <c r="J452" s="10" t="n">
        <v>12160</v>
      </c>
      <c r="K452" s="10" t="s">
        <v>8253</v>
      </c>
      <c r="M452" s="10" t="s">
        <v>8254</v>
      </c>
      <c r="P452" s="10" t="s">
        <v>5352</v>
      </c>
      <c r="S452" s="10" t="s">
        <v>8255</v>
      </c>
      <c r="T452" s="10" t="s">
        <v>8256</v>
      </c>
      <c r="U452" s="10" t="s">
        <v>5367</v>
      </c>
      <c r="Z452" s="11" t="n">
        <v>1</v>
      </c>
    </row>
    <row r="453" customFormat="false" ht="17.9" hidden="false" customHeight="false" outlineLevel="0" collapsed="false">
      <c r="B453" s="10" t="s">
        <v>8257</v>
      </c>
      <c r="C453" s="10" t="s">
        <v>8258</v>
      </c>
      <c r="D453" s="10" t="s">
        <v>8259</v>
      </c>
      <c r="F453" s="17" t="str">
        <f aca="false">CONCATENATE(G453,", ",H453)</f>
        <v>เขตสวนหลวง, กรุงเทพมหานคร</v>
      </c>
      <c r="G453" s="10" t="s">
        <v>5448</v>
      </c>
      <c r="H453" s="10" t="s">
        <v>5449</v>
      </c>
      <c r="I453" s="10" t="s">
        <v>5348</v>
      </c>
      <c r="J453" s="10" t="n">
        <v>10250</v>
      </c>
      <c r="K453" s="10" t="s">
        <v>8260</v>
      </c>
      <c r="M453" s="10" t="s">
        <v>8261</v>
      </c>
      <c r="P453" s="10" t="s">
        <v>5352</v>
      </c>
      <c r="S453" s="10" t="s">
        <v>29</v>
      </c>
      <c r="T453" s="10" t="s">
        <v>29</v>
      </c>
      <c r="U453" s="10" t="s">
        <v>5377</v>
      </c>
      <c r="Z453" s="11" t="n">
        <v>1</v>
      </c>
    </row>
    <row r="454" customFormat="false" ht="17.9" hidden="false" customHeight="false" outlineLevel="0" collapsed="false">
      <c r="B454" s="10" t="s">
        <v>8262</v>
      </c>
      <c r="C454" s="10" t="s">
        <v>8263</v>
      </c>
      <c r="D454" s="10" t="s">
        <v>8264</v>
      </c>
      <c r="F454" s="17" t="str">
        <f aca="false">CONCATENATE(G454,", ",H454)</f>
        <v>เขตจตุจักร, กรุงเทพมหานคร</v>
      </c>
      <c r="G454" s="10" t="s">
        <v>5659</v>
      </c>
      <c r="H454" s="10" t="s">
        <v>5449</v>
      </c>
      <c r="I454" s="10" t="s">
        <v>5348</v>
      </c>
      <c r="J454" s="10" t="n">
        <v>10900</v>
      </c>
      <c r="K454" s="10" t="s">
        <v>8265</v>
      </c>
      <c r="M454" s="10" t="s">
        <v>8266</v>
      </c>
      <c r="P454" s="10" t="s">
        <v>5352</v>
      </c>
      <c r="S454" s="10" t="s">
        <v>8267</v>
      </c>
      <c r="T454" s="10" t="s">
        <v>29</v>
      </c>
      <c r="U454" s="10" t="s">
        <v>5377</v>
      </c>
      <c r="Z454" s="11" t="n">
        <v>1</v>
      </c>
    </row>
    <row r="455" customFormat="false" ht="17.9" hidden="false" customHeight="false" outlineLevel="0" collapsed="false">
      <c r="B455" s="10" t="s">
        <v>8268</v>
      </c>
      <c r="C455" s="10" t="s">
        <v>8269</v>
      </c>
      <c r="D455" s="10" t="s">
        <v>8270</v>
      </c>
      <c r="F455" s="17" t="str">
        <f aca="false">CONCATENATE(G455,", ",H455)</f>
        <v>อ.เมืองสมุทรปราการ, จ.ปราจีนบุรี</v>
      </c>
      <c r="G455" s="10" t="s">
        <v>5483</v>
      </c>
      <c r="H455" s="10" t="s">
        <v>8252</v>
      </c>
      <c r="I455" s="10" t="s">
        <v>5348</v>
      </c>
      <c r="J455" s="10" t="n">
        <v>10270</v>
      </c>
      <c r="K455" s="10" t="s">
        <v>8271</v>
      </c>
      <c r="M455" s="10" t="s">
        <v>8272</v>
      </c>
      <c r="P455" s="10" t="s">
        <v>5352</v>
      </c>
      <c r="S455" s="10" t="s">
        <v>29</v>
      </c>
      <c r="T455" s="10" t="s">
        <v>29</v>
      </c>
      <c r="U455" s="10" t="s">
        <v>6416</v>
      </c>
      <c r="Z455" s="11" t="n">
        <v>1</v>
      </c>
    </row>
    <row r="456" customFormat="false" ht="17.9" hidden="false" customHeight="false" outlineLevel="0" collapsed="false">
      <c r="B456" s="10" t="s">
        <v>8273</v>
      </c>
      <c r="C456" s="10" t="s">
        <v>8274</v>
      </c>
      <c r="D456" s="10" t="s">
        <v>8275</v>
      </c>
      <c r="F456" s="17" t="str">
        <f aca="false">CONCATENATE(G456,", ",H456)</f>
        <v>อ.เมืองสมุทรปราการ, จ.สมุทรปราการ</v>
      </c>
      <c r="G456" s="10" t="s">
        <v>5483</v>
      </c>
      <c r="H456" s="10" t="s">
        <v>5403</v>
      </c>
      <c r="I456" s="10" t="s">
        <v>5348</v>
      </c>
      <c r="J456" s="10" t="n">
        <v>10270</v>
      </c>
      <c r="K456" s="10" t="s">
        <v>8276</v>
      </c>
      <c r="L456" s="10" t="s">
        <v>8277</v>
      </c>
      <c r="M456" s="10" t="s">
        <v>8278</v>
      </c>
      <c r="P456" s="10" t="s">
        <v>5352</v>
      </c>
      <c r="S456" s="10" t="s">
        <v>29</v>
      </c>
      <c r="T456" s="10" t="s">
        <v>29</v>
      </c>
      <c r="U456" s="10" t="s">
        <v>5367</v>
      </c>
      <c r="Z456" s="11" t="n">
        <v>1</v>
      </c>
    </row>
    <row r="457" customFormat="false" ht="17.9" hidden="false" customHeight="false" outlineLevel="0" collapsed="false">
      <c r="B457" s="10" t="s">
        <v>8279</v>
      </c>
      <c r="C457" s="10" t="s">
        <v>8280</v>
      </c>
      <c r="D457" s="10" t="s">
        <v>8281</v>
      </c>
      <c r="F457" s="17" t="str">
        <f aca="false">CONCATENATE(G457,", ",H457)</f>
        <v>อำเภอเมืองนนทบุรี , จ.นนทบุรี</v>
      </c>
      <c r="G457" s="10" t="s">
        <v>8282</v>
      </c>
      <c r="H457" s="10" t="s">
        <v>5497</v>
      </c>
      <c r="I457" s="10" t="s">
        <v>5348</v>
      </c>
      <c r="J457" s="10" t="n">
        <v>11000</v>
      </c>
      <c r="K457" s="10" t="s">
        <v>8283</v>
      </c>
      <c r="L457" s="10" t="s">
        <v>8284</v>
      </c>
      <c r="M457" s="10" t="s">
        <v>8285</v>
      </c>
      <c r="P457" s="10" t="s">
        <v>5352</v>
      </c>
      <c r="S457" s="10" t="s">
        <v>29</v>
      </c>
      <c r="T457" s="10" t="s">
        <v>29</v>
      </c>
      <c r="U457" s="10" t="s">
        <v>5367</v>
      </c>
      <c r="Z457" s="11" t="n">
        <v>1</v>
      </c>
    </row>
    <row r="458" customFormat="false" ht="17.9" hidden="false" customHeight="false" outlineLevel="0" collapsed="false">
      <c r="B458" s="10" t="s">
        <v>8286</v>
      </c>
      <c r="C458" s="10" t="s">
        <v>8287</v>
      </c>
      <c r="D458" s="10" t="s">
        <v>8288</v>
      </c>
      <c r="F458" s="17" t="str">
        <f aca="false">CONCATENATE(G458,", ",H458)</f>
        <v>อำเภอเมืองนนทบุรี, จ.นนทบุรี</v>
      </c>
      <c r="G458" s="10" t="s">
        <v>8289</v>
      </c>
      <c r="H458" s="10" t="s">
        <v>5497</v>
      </c>
      <c r="I458" s="10" t="s">
        <v>5348</v>
      </c>
      <c r="J458" s="10" t="s">
        <v>5513</v>
      </c>
      <c r="K458" s="10" t="s">
        <v>8290</v>
      </c>
      <c r="M458" s="10" t="s">
        <v>8291</v>
      </c>
      <c r="P458" s="10" t="s">
        <v>5352</v>
      </c>
      <c r="S458" s="10" t="s">
        <v>29</v>
      </c>
      <c r="T458" s="10" t="s">
        <v>29</v>
      </c>
      <c r="U458" s="10" t="s">
        <v>5367</v>
      </c>
      <c r="Z458" s="11" t="n">
        <v>1</v>
      </c>
    </row>
    <row r="459" customFormat="false" ht="17.9" hidden="false" customHeight="false" outlineLevel="0" collapsed="false">
      <c r="B459" s="10" t="s">
        <v>8292</v>
      </c>
      <c r="C459" s="10" t="s">
        <v>8293</v>
      </c>
      <c r="D459" s="10" t="s">
        <v>8294</v>
      </c>
      <c r="F459" s="17" t="str">
        <f aca="false">CONCATENATE(G459,", ",H459)</f>
        <v>อ.บางปะกง, จ.ฉะเชิงเทรา</v>
      </c>
      <c r="G459" s="10" t="s">
        <v>7470</v>
      </c>
      <c r="H459" s="10" t="s">
        <v>8295</v>
      </c>
      <c r="I459" s="10" t="s">
        <v>5348</v>
      </c>
      <c r="J459" s="10" t="n">
        <v>24180</v>
      </c>
      <c r="K459" s="10" t="s">
        <v>8296</v>
      </c>
      <c r="M459" s="10" t="s">
        <v>8297</v>
      </c>
      <c r="P459" s="10" t="s">
        <v>5352</v>
      </c>
      <c r="S459" s="10" t="s">
        <v>29</v>
      </c>
      <c r="T459" s="10" t="s">
        <v>29</v>
      </c>
      <c r="U459" s="10" t="s">
        <v>5377</v>
      </c>
      <c r="Z459" s="11" t="n">
        <v>1</v>
      </c>
    </row>
    <row r="460" customFormat="false" ht="17.9" hidden="false" customHeight="false" outlineLevel="0" collapsed="false">
      <c r="B460" s="10" t="s">
        <v>8298</v>
      </c>
      <c r="C460" s="10" t="s">
        <v>8299</v>
      </c>
      <c r="D460" s="10" t="s">
        <v>8300</v>
      </c>
      <c r="F460" s="17" t="str">
        <f aca="false">CONCATENATE(G460,", ",H460)</f>
        <v>เขตวังทองหลาง, กรุงเทพมหานคร</v>
      </c>
      <c r="G460" s="10" t="s">
        <v>5552</v>
      </c>
      <c r="H460" s="10" t="s">
        <v>5449</v>
      </c>
      <c r="I460" s="10" t="s">
        <v>5348</v>
      </c>
      <c r="J460" s="10" t="n">
        <v>10310</v>
      </c>
      <c r="K460" s="10" t="s">
        <v>8301</v>
      </c>
      <c r="M460" s="10" t="s">
        <v>8302</v>
      </c>
      <c r="P460" s="10" t="s">
        <v>5352</v>
      </c>
      <c r="S460" s="10" t="s">
        <v>8303</v>
      </c>
      <c r="T460" s="10" t="s">
        <v>8304</v>
      </c>
      <c r="U460" s="10" t="s">
        <v>5367</v>
      </c>
      <c r="Z460" s="11" t="n">
        <v>1</v>
      </c>
    </row>
    <row r="461" customFormat="false" ht="17.9" hidden="false" customHeight="false" outlineLevel="0" collapsed="false">
      <c r="B461" s="10" t="s">
        <v>8305</v>
      </c>
      <c r="C461" s="10" t="s">
        <v>8306</v>
      </c>
      <c r="D461" s="10" t="s">
        <v>8307</v>
      </c>
      <c r="F461" s="17" t="str">
        <f aca="false">CONCATENATE(G461,", ",H461)</f>
        <v>เขตบางบอน, กรุงเทพมหานคร</v>
      </c>
      <c r="G461" s="10" t="s">
        <v>5360</v>
      </c>
      <c r="H461" s="10" t="s">
        <v>5449</v>
      </c>
      <c r="I461" s="10" t="s">
        <v>5348</v>
      </c>
      <c r="J461" s="10" t="n">
        <v>10150</v>
      </c>
      <c r="K461" s="10" t="s">
        <v>8308</v>
      </c>
      <c r="M461" s="10" t="s">
        <v>8309</v>
      </c>
      <c r="P461" s="10" t="s">
        <v>5352</v>
      </c>
      <c r="S461" s="10" t="s">
        <v>29</v>
      </c>
      <c r="T461" s="10" t="s">
        <v>29</v>
      </c>
      <c r="U461" s="10" t="s">
        <v>5367</v>
      </c>
      <c r="Z461" s="11" t="n">
        <v>1</v>
      </c>
    </row>
    <row r="462" customFormat="false" ht="17.9" hidden="false" customHeight="false" outlineLevel="0" collapsed="false">
      <c r="B462" s="10" t="s">
        <v>8310</v>
      </c>
      <c r="C462" s="10" t="s">
        <v>8311</v>
      </c>
      <c r="D462" s="10" t="s">
        <v>8312</v>
      </c>
      <c r="F462" s="17" t="str">
        <f aca="false">CONCATENATE(G462,", ",H462)</f>
        <v>เขตบางนา, กรุงเทพมหานคร</v>
      </c>
      <c r="G462" s="10" t="s">
        <v>5604</v>
      </c>
      <c r="H462" s="10" t="s">
        <v>5449</v>
      </c>
      <c r="I462" s="10" t="s">
        <v>5348</v>
      </c>
      <c r="J462" s="10" t="n">
        <v>10260</v>
      </c>
      <c r="K462" s="10" t="s">
        <v>8313</v>
      </c>
      <c r="L462" s="10" t="s">
        <v>8314</v>
      </c>
      <c r="M462" s="10" t="s">
        <v>8315</v>
      </c>
      <c r="P462" s="10" t="s">
        <v>5352</v>
      </c>
      <c r="S462" s="10" t="s">
        <v>29</v>
      </c>
      <c r="T462" s="10" t="s">
        <v>29</v>
      </c>
      <c r="U462" s="10" t="s">
        <v>5367</v>
      </c>
      <c r="Z462" s="11" t="n">
        <v>1</v>
      </c>
    </row>
    <row r="463" customFormat="false" ht="17.9" hidden="false" customHeight="false" outlineLevel="0" collapsed="false">
      <c r="B463" s="10" t="s">
        <v>8316</v>
      </c>
      <c r="C463" s="10" t="s">
        <v>8317</v>
      </c>
      <c r="D463" s="10" t="s">
        <v>8318</v>
      </c>
      <c r="F463" s="17" t="str">
        <f aca="false">CONCATENATE(G463,", ",H463)</f>
        <v>อ.หาดใหญ่ , จ.สงขลา</v>
      </c>
      <c r="G463" s="10" t="s">
        <v>8319</v>
      </c>
      <c r="H463" s="10" t="s">
        <v>8025</v>
      </c>
      <c r="I463" s="10" t="s">
        <v>5348</v>
      </c>
      <c r="J463" s="10" t="n">
        <v>90110</v>
      </c>
      <c r="K463" s="10" t="s">
        <v>8320</v>
      </c>
      <c r="M463" s="10" t="s">
        <v>8321</v>
      </c>
      <c r="P463" s="10" t="s">
        <v>5352</v>
      </c>
      <c r="S463" s="10" t="s">
        <v>29</v>
      </c>
      <c r="T463" s="10" t="s">
        <v>29</v>
      </c>
      <c r="U463" s="10" t="s">
        <v>5367</v>
      </c>
      <c r="Z463" s="11" t="n">
        <v>1</v>
      </c>
    </row>
    <row r="464" customFormat="false" ht="17.9" hidden="false" customHeight="false" outlineLevel="0" collapsed="false">
      <c r="B464" s="10" t="s">
        <v>8322</v>
      </c>
      <c r="C464" s="10" t="s">
        <v>8323</v>
      </c>
      <c r="D464" s="10" t="s">
        <v>8324</v>
      </c>
      <c r="F464" s="17" t="str">
        <f aca="false">CONCATENATE(G464,", ",H464)</f>
        <v>อ.ปักธงชัย , จ.นครราชสีมา</v>
      </c>
      <c r="G464" s="10" t="s">
        <v>8325</v>
      </c>
      <c r="H464" s="10" t="s">
        <v>6840</v>
      </c>
      <c r="I464" s="10" t="s">
        <v>5348</v>
      </c>
      <c r="J464" s="10" t="n">
        <v>30150</v>
      </c>
      <c r="K464" s="10" t="s">
        <v>8326</v>
      </c>
      <c r="M464" s="10" t="s">
        <v>8327</v>
      </c>
      <c r="P464" s="10" t="s">
        <v>5352</v>
      </c>
      <c r="S464" s="10" t="s">
        <v>29</v>
      </c>
      <c r="T464" s="10" t="s">
        <v>29</v>
      </c>
      <c r="U464" s="10" t="s">
        <v>5367</v>
      </c>
      <c r="Z464" s="11" t="n">
        <v>1</v>
      </c>
    </row>
    <row r="465" customFormat="false" ht="17.9" hidden="false" customHeight="false" outlineLevel="0" collapsed="false">
      <c r="B465" s="10" t="s">
        <v>352</v>
      </c>
      <c r="C465" s="10" t="s">
        <v>8328</v>
      </c>
      <c r="D465" s="10" t="s">
        <v>8329</v>
      </c>
      <c r="F465" s="17" t="str">
        <f aca="false">CONCATENATE(G465,", ",H465)</f>
        <v>อ.บ้านแพ้ว , จ.</v>
      </c>
      <c r="G465" s="10" t="s">
        <v>8330</v>
      </c>
      <c r="H465" s="10" t="s">
        <v>8331</v>
      </c>
      <c r="I465" s="10" t="s">
        <v>5348</v>
      </c>
      <c r="J465" s="10" t="n">
        <v>74120</v>
      </c>
      <c r="K465" s="10" t="s">
        <v>8332</v>
      </c>
      <c r="L465" s="10" t="s">
        <v>8333</v>
      </c>
      <c r="M465" s="10" t="s">
        <v>8334</v>
      </c>
      <c r="P465" s="10" t="s">
        <v>5352</v>
      </c>
      <c r="S465" s="10" t="s">
        <v>29</v>
      </c>
      <c r="T465" s="10" t="s">
        <v>29</v>
      </c>
      <c r="U465" s="10" t="s">
        <v>5377</v>
      </c>
      <c r="Z465" s="11" t="n">
        <v>1</v>
      </c>
    </row>
    <row r="466" customFormat="false" ht="17.9" hidden="false" customHeight="false" outlineLevel="0" collapsed="false">
      <c r="B466" s="10" t="s">
        <v>8335</v>
      </c>
      <c r="C466" s="10" t="s">
        <v>8336</v>
      </c>
      <c r="D466" s="10" t="s">
        <v>8337</v>
      </c>
      <c r="F466" s="17" t="str">
        <f aca="false">CONCATENATE(G466,", ",H466)</f>
        <v>เขตบางคอแหลม , กรุงเทพมหานคร</v>
      </c>
      <c r="G466" s="10" t="s">
        <v>8338</v>
      </c>
      <c r="H466" s="10" t="s">
        <v>5449</v>
      </c>
      <c r="I466" s="10" t="s">
        <v>5348</v>
      </c>
      <c r="J466" s="10" t="n">
        <v>10120</v>
      </c>
      <c r="K466" s="10" t="s">
        <v>8339</v>
      </c>
      <c r="M466" s="10" t="s">
        <v>8340</v>
      </c>
      <c r="P466" s="10" t="s">
        <v>5352</v>
      </c>
      <c r="S466" s="10" t="s">
        <v>29</v>
      </c>
      <c r="T466" s="10" t="s">
        <v>29</v>
      </c>
      <c r="U466" s="10" t="s">
        <v>5377</v>
      </c>
      <c r="Z466" s="11" t="n">
        <v>1</v>
      </c>
    </row>
    <row r="467" customFormat="false" ht="17.9" hidden="false" customHeight="false" outlineLevel="0" collapsed="false">
      <c r="B467" s="10" t="s">
        <v>8341</v>
      </c>
      <c r="C467" s="10" t="s">
        <v>8342</v>
      </c>
      <c r="D467" s="10" t="s">
        <v>8343</v>
      </c>
      <c r="F467" s="17" t="str">
        <f aca="false">CONCATENATE(G467,", ",H467)</f>
        <v>อ.บางพลี, จ.สมุทรปราการ</v>
      </c>
      <c r="G467" s="10" t="s">
        <v>5434</v>
      </c>
      <c r="H467" s="10" t="s">
        <v>5403</v>
      </c>
      <c r="I467" s="10" t="s">
        <v>5348</v>
      </c>
      <c r="J467" s="10" t="n">
        <v>10540</v>
      </c>
      <c r="K467" s="10" t="s">
        <v>6217</v>
      </c>
      <c r="M467" s="10" t="s">
        <v>8344</v>
      </c>
      <c r="P467" s="10" t="s">
        <v>5352</v>
      </c>
      <c r="S467" s="10" t="s">
        <v>29</v>
      </c>
      <c r="T467" s="10" t="s">
        <v>29</v>
      </c>
      <c r="U467" s="10" t="s">
        <v>5367</v>
      </c>
      <c r="Z467" s="11" t="n">
        <v>1</v>
      </c>
    </row>
    <row r="468" customFormat="false" ht="17.9" hidden="false" customHeight="false" outlineLevel="0" collapsed="false">
      <c r="B468" s="10" t="s">
        <v>8345</v>
      </c>
      <c r="C468" s="10" t="s">
        <v>8342</v>
      </c>
      <c r="D468" s="10" t="s">
        <v>8346</v>
      </c>
      <c r="F468" s="17" t="str">
        <f aca="false">CONCATENATE(G468,", ",H468)</f>
        <v>เขตตลิ่งชัน, กรุงเทพมหานคร</v>
      </c>
      <c r="G468" s="10" t="s">
        <v>6346</v>
      </c>
      <c r="H468" s="10" t="s">
        <v>5449</v>
      </c>
      <c r="I468" s="10" t="s">
        <v>5348</v>
      </c>
      <c r="J468" s="10" t="n">
        <v>10170</v>
      </c>
      <c r="K468" s="10" t="s">
        <v>8347</v>
      </c>
      <c r="M468" s="10" t="s">
        <v>8348</v>
      </c>
      <c r="P468" s="10" t="s">
        <v>5352</v>
      </c>
      <c r="S468" s="10" t="s">
        <v>29</v>
      </c>
      <c r="T468" s="10" t="s">
        <v>29</v>
      </c>
      <c r="U468" s="10" t="s">
        <v>5367</v>
      </c>
      <c r="Z468" s="11" t="n">
        <v>1</v>
      </c>
    </row>
    <row r="469" customFormat="false" ht="17.9" hidden="false" customHeight="false" outlineLevel="0" collapsed="false">
      <c r="B469" s="10" t="s">
        <v>8349</v>
      </c>
      <c r="C469" s="10" t="s">
        <v>8350</v>
      </c>
      <c r="D469" s="10" t="s">
        <v>8351</v>
      </c>
      <c r="F469" s="17" t="str">
        <f aca="false">CONCATENATE(G469,", ",H469)</f>
        <v>อ.ทุ่งหัวช้าง, จ.ลำพูน</v>
      </c>
      <c r="G469" s="10" t="s">
        <v>8352</v>
      </c>
      <c r="H469" s="10" t="s">
        <v>8353</v>
      </c>
      <c r="I469" s="10" t="s">
        <v>5348</v>
      </c>
      <c r="J469" s="10" t="n">
        <v>51160</v>
      </c>
      <c r="K469" s="10" t="s">
        <v>29</v>
      </c>
      <c r="L469" s="10" t="s">
        <v>29</v>
      </c>
      <c r="M469" s="10" t="s">
        <v>8354</v>
      </c>
      <c r="P469" s="10" t="s">
        <v>5352</v>
      </c>
      <c r="S469" s="10" t="s">
        <v>29</v>
      </c>
      <c r="T469" s="10" t="s">
        <v>29</v>
      </c>
      <c r="U469" s="10" t="s">
        <v>5367</v>
      </c>
      <c r="Z469" s="11" t="n">
        <v>1</v>
      </c>
    </row>
    <row r="470" customFormat="false" ht="17.9" hidden="false" customHeight="false" outlineLevel="0" collapsed="false">
      <c r="B470" s="10" t="s">
        <v>8355</v>
      </c>
      <c r="C470" s="10" t="s">
        <v>8356</v>
      </c>
      <c r="D470" s="10" t="s">
        <v>8357</v>
      </c>
      <c r="F470" s="17" t="str">
        <f aca="false">CONCATENATE(G470,", ",H470)</f>
        <v>อ.เมือง, จ.สมุทรปราการ</v>
      </c>
      <c r="G470" s="10" t="s">
        <v>5346</v>
      </c>
      <c r="H470" s="10" t="s">
        <v>5965</v>
      </c>
      <c r="I470" s="10" t="s">
        <v>5348</v>
      </c>
      <c r="J470" s="10" t="n">
        <v>10280</v>
      </c>
      <c r="K470" s="10" t="s">
        <v>8358</v>
      </c>
      <c r="L470" s="10" t="s">
        <v>29</v>
      </c>
      <c r="M470" s="10" t="s">
        <v>8359</v>
      </c>
      <c r="P470" s="10" t="s">
        <v>5352</v>
      </c>
      <c r="Q470" s="10" t="s">
        <v>8360</v>
      </c>
      <c r="S470" s="10" t="s">
        <v>29</v>
      </c>
      <c r="T470" s="10" t="s">
        <v>29</v>
      </c>
      <c r="U470" s="10" t="s">
        <v>5367</v>
      </c>
      <c r="Z470" s="11" t="n">
        <v>1</v>
      </c>
    </row>
    <row r="471" customFormat="false" ht="17.9" hidden="false" customHeight="false" outlineLevel="0" collapsed="false">
      <c r="B471" s="10" t="s">
        <v>8361</v>
      </c>
      <c r="C471" s="10" t="s">
        <v>8362</v>
      </c>
      <c r="D471" s="10" t="s">
        <v>8363</v>
      </c>
      <c r="F471" s="17" t="str">
        <f aca="false">CONCATENATE(G471,", ",H471)</f>
        <v>เขตคลองสามวา, กรุงเทพมหานคร</v>
      </c>
      <c r="G471" s="10" t="s">
        <v>6190</v>
      </c>
      <c r="H471" s="10" t="s">
        <v>5449</v>
      </c>
      <c r="I471" s="10" t="s">
        <v>5348</v>
      </c>
      <c r="J471" s="10" t="n">
        <v>10510</v>
      </c>
      <c r="K471" s="10" t="s">
        <v>8364</v>
      </c>
      <c r="L471" s="10" t="s">
        <v>8365</v>
      </c>
      <c r="M471" s="10" t="s">
        <v>8366</v>
      </c>
      <c r="P471" s="10" t="s">
        <v>5352</v>
      </c>
      <c r="Q471" s="10" t="s">
        <v>8367</v>
      </c>
      <c r="S471" s="10" t="s">
        <v>8368</v>
      </c>
      <c r="T471" s="10" t="s">
        <v>29</v>
      </c>
      <c r="U471" s="10" t="s">
        <v>5367</v>
      </c>
      <c r="Z471" s="11" t="n">
        <v>1</v>
      </c>
    </row>
    <row r="472" customFormat="false" ht="17.9" hidden="false" customHeight="false" outlineLevel="0" collapsed="false">
      <c r="B472" s="10" t="s">
        <v>8369</v>
      </c>
      <c r="C472" s="10" t="s">
        <v>8370</v>
      </c>
      <c r="D472" s="10" t="s">
        <v>8371</v>
      </c>
      <c r="F472" s="17" t="str">
        <f aca="false">CONCATENATE(G472,", ",H472)</f>
        <v>เขตประเวศ, กรุงเทพมหานคร</v>
      </c>
      <c r="G472" s="10" t="s">
        <v>5770</v>
      </c>
      <c r="H472" s="10" t="s">
        <v>5449</v>
      </c>
      <c r="I472" s="10" t="s">
        <v>5348</v>
      </c>
      <c r="J472" s="10" t="n">
        <v>10250</v>
      </c>
      <c r="K472" s="10" t="s">
        <v>8372</v>
      </c>
      <c r="L472" s="10" t="s">
        <v>8373</v>
      </c>
      <c r="M472" s="10" t="s">
        <v>8374</v>
      </c>
      <c r="P472" s="10" t="s">
        <v>5352</v>
      </c>
      <c r="Q472" s="10" t="s">
        <v>8375</v>
      </c>
      <c r="S472" s="10" t="s">
        <v>29</v>
      </c>
      <c r="T472" s="10" t="s">
        <v>29</v>
      </c>
      <c r="U472" s="10" t="s">
        <v>5367</v>
      </c>
      <c r="Z472" s="11" t="n">
        <v>1</v>
      </c>
    </row>
    <row r="473" customFormat="false" ht="17.9" hidden="false" customHeight="false" outlineLevel="0" collapsed="false">
      <c r="B473" s="10" t="s">
        <v>8376</v>
      </c>
      <c r="C473" s="10" t="s">
        <v>8377</v>
      </c>
      <c r="D473" s="10" t="s">
        <v>8378</v>
      </c>
      <c r="F473" s="17" t="str">
        <f aca="false">CONCATENATE(G473,", ",H473)</f>
        <v>เขตลาดพร้าว, กรุงเทพมหานคร</v>
      </c>
      <c r="G473" s="10" t="s">
        <v>5840</v>
      </c>
      <c r="H473" s="10" t="s">
        <v>5449</v>
      </c>
      <c r="I473" s="10" t="s">
        <v>5348</v>
      </c>
      <c r="J473" s="10" t="n">
        <v>10230</v>
      </c>
      <c r="K473" s="10" t="s">
        <v>8379</v>
      </c>
      <c r="L473" s="10" t="s">
        <v>8380</v>
      </c>
      <c r="M473" s="10" t="s">
        <v>8381</v>
      </c>
      <c r="P473" s="10" t="s">
        <v>5352</v>
      </c>
      <c r="S473" s="10" t="s">
        <v>29</v>
      </c>
      <c r="T473" s="10" t="s">
        <v>29</v>
      </c>
      <c r="U473" s="10" t="s">
        <v>5367</v>
      </c>
      <c r="Z473" s="11" t="n">
        <v>1</v>
      </c>
    </row>
    <row r="474" customFormat="false" ht="17.9" hidden="false" customHeight="false" outlineLevel="0" collapsed="false">
      <c r="B474" s="10" t="s">
        <v>8382</v>
      </c>
      <c r="C474" s="10" t="s">
        <v>8383</v>
      </c>
      <c r="D474" s="10" t="s">
        <v>8384</v>
      </c>
      <c r="F474" s="17" t="str">
        <f aca="false">CONCATENATE(G474,", ",H474)</f>
        <v>อ.เมืองสมุทรปราการ , จ.สมุทรปราการ</v>
      </c>
      <c r="G474" s="10" t="s">
        <v>6934</v>
      </c>
      <c r="H474" s="10" t="s">
        <v>5965</v>
      </c>
      <c r="I474" s="10" t="s">
        <v>5348</v>
      </c>
      <c r="J474" s="10" t="n">
        <v>10270</v>
      </c>
      <c r="K474" s="10" t="s">
        <v>8385</v>
      </c>
      <c r="M474" s="10" t="s">
        <v>8386</v>
      </c>
      <c r="P474" s="10" t="s">
        <v>5352</v>
      </c>
      <c r="S474" s="10" t="s">
        <v>29</v>
      </c>
      <c r="T474" s="10" t="s">
        <v>29</v>
      </c>
      <c r="U474" s="10" t="s">
        <v>5367</v>
      </c>
      <c r="Z474" s="11" t="n">
        <v>1</v>
      </c>
    </row>
    <row r="475" customFormat="false" ht="17.9" hidden="false" customHeight="false" outlineLevel="0" collapsed="false">
      <c r="B475" s="10" t="s">
        <v>8387</v>
      </c>
      <c r="C475" s="10" t="s">
        <v>8388</v>
      </c>
      <c r="D475" s="10" t="s">
        <v>8389</v>
      </c>
      <c r="F475" s="17" t="str">
        <f aca="false">CONCATENATE(G475,", ",H475)</f>
        <v>เขตหนองจอก, กรุงเทพมหานคร</v>
      </c>
      <c r="G475" s="10" t="s">
        <v>7927</v>
      </c>
      <c r="H475" s="10" t="s">
        <v>5449</v>
      </c>
      <c r="I475" s="10" t="s">
        <v>5348</v>
      </c>
      <c r="J475" s="10" t="n">
        <v>10530</v>
      </c>
      <c r="K475" s="10" t="s">
        <v>8390</v>
      </c>
      <c r="M475" s="10" t="s">
        <v>8391</v>
      </c>
      <c r="P475" s="10" t="s">
        <v>5352</v>
      </c>
      <c r="Q475" s="10" t="s">
        <v>8392</v>
      </c>
      <c r="S475" s="10" t="s">
        <v>29</v>
      </c>
      <c r="T475" s="10" t="s">
        <v>29</v>
      </c>
      <c r="U475" s="10" t="s">
        <v>5367</v>
      </c>
      <c r="Z475" s="11" t="n">
        <v>1</v>
      </c>
    </row>
    <row r="476" customFormat="false" ht="17.9" hidden="false" customHeight="false" outlineLevel="0" collapsed="false">
      <c r="B476" s="10" t="s">
        <v>8393</v>
      </c>
      <c r="C476" s="10" t="s">
        <v>8394</v>
      </c>
      <c r="D476" s="10" t="s">
        <v>8395</v>
      </c>
      <c r="F476" s="17" t="str">
        <f aca="false">CONCATENATE(G476,", ",H476)</f>
        <v>เขตตลิ่งชัน, กรุงเทพมหานคร</v>
      </c>
      <c r="G476" s="10" t="s">
        <v>6346</v>
      </c>
      <c r="H476" s="10" t="s">
        <v>5449</v>
      </c>
      <c r="I476" s="10" t="s">
        <v>5348</v>
      </c>
      <c r="J476" s="10" t="n">
        <v>10170</v>
      </c>
      <c r="K476" s="10" t="s">
        <v>8347</v>
      </c>
      <c r="M476" s="10" t="s">
        <v>8348</v>
      </c>
      <c r="P476" s="10" t="s">
        <v>5352</v>
      </c>
      <c r="S476" s="10" t="s">
        <v>29</v>
      </c>
      <c r="T476" s="10" t="s">
        <v>29</v>
      </c>
      <c r="U476" s="10" t="s">
        <v>5367</v>
      </c>
      <c r="Z476" s="11" t="n">
        <v>1</v>
      </c>
    </row>
    <row r="477" customFormat="false" ht="17.9" hidden="false" customHeight="false" outlineLevel="0" collapsed="false">
      <c r="B477" s="10" t="s">
        <v>8396</v>
      </c>
      <c r="C477" s="10" t="s">
        <v>8397</v>
      </c>
      <c r="D477" s="10" t="s">
        <v>8398</v>
      </c>
      <c r="F477" s="17" t="str">
        <f aca="false">CONCATENATE(G477,", ",H477)</f>
        <v>เขตบางกะปิ , กรุงเทพมหานคร</v>
      </c>
      <c r="G477" s="10" t="s">
        <v>7743</v>
      </c>
      <c r="H477" s="10" t="s">
        <v>5449</v>
      </c>
      <c r="I477" s="10" t="s">
        <v>5348</v>
      </c>
      <c r="J477" s="10" t="n">
        <v>10200</v>
      </c>
      <c r="K477" s="10" t="s">
        <v>8399</v>
      </c>
      <c r="L477" s="10" t="s">
        <v>8400</v>
      </c>
      <c r="M477" s="10" t="s">
        <v>8401</v>
      </c>
      <c r="P477" s="10" t="s">
        <v>5352</v>
      </c>
      <c r="Q477" s="10" t="s">
        <v>8402</v>
      </c>
      <c r="S477" s="10" t="s">
        <v>29</v>
      </c>
      <c r="T477" s="10" t="s">
        <v>29</v>
      </c>
      <c r="U477" s="10" t="s">
        <v>5367</v>
      </c>
      <c r="Z477" s="11" t="n">
        <v>1</v>
      </c>
    </row>
    <row r="478" customFormat="false" ht="17.9" hidden="false" customHeight="false" outlineLevel="0" collapsed="false">
      <c r="B478" s="10" t="s">
        <v>8403</v>
      </c>
      <c r="C478" s="10" t="s">
        <v>8404</v>
      </c>
      <c r="D478" s="10" t="s">
        <v>8405</v>
      </c>
      <c r="F478" s="17" t="str">
        <f aca="false">CONCATENATE(G478,", ",H478)</f>
        <v>อ.บางพลี, จ.สมุทรปราการ</v>
      </c>
      <c r="G478" s="10" t="s">
        <v>5434</v>
      </c>
      <c r="H478" s="10" t="s">
        <v>5965</v>
      </c>
      <c r="I478" s="10" t="s">
        <v>5348</v>
      </c>
      <c r="J478" s="10" t="n">
        <v>10540</v>
      </c>
      <c r="K478" s="10" t="s">
        <v>8406</v>
      </c>
      <c r="L478" s="10" t="s">
        <v>8407</v>
      </c>
      <c r="M478" s="10" t="s">
        <v>8408</v>
      </c>
      <c r="P478" s="10" t="s">
        <v>5352</v>
      </c>
      <c r="Q478" s="10" t="s">
        <v>8409</v>
      </c>
      <c r="S478" s="10" t="s">
        <v>29</v>
      </c>
      <c r="T478" s="10" t="s">
        <v>29</v>
      </c>
      <c r="U478" s="10" t="s">
        <v>5367</v>
      </c>
      <c r="Z478" s="11" t="n">
        <v>1</v>
      </c>
    </row>
    <row r="479" customFormat="false" ht="17.9" hidden="false" customHeight="false" outlineLevel="0" collapsed="false">
      <c r="B479" s="10" t="s">
        <v>8410</v>
      </c>
      <c r="C479" s="10" t="s">
        <v>8411</v>
      </c>
      <c r="D479" s="10" t="s">
        <v>8412</v>
      </c>
      <c r="F479" s="17" t="str">
        <f aca="false">CONCATENATE(G479,", ",H479)</f>
        <v>เขตบึงกุ่ม, กรุงเทพมหานคร</v>
      </c>
      <c r="G479" s="10" t="s">
        <v>5651</v>
      </c>
      <c r="H479" s="10" t="s">
        <v>5449</v>
      </c>
      <c r="I479" s="10" t="s">
        <v>5348</v>
      </c>
      <c r="J479" s="10" t="n">
        <v>10240</v>
      </c>
      <c r="K479" s="10" t="s">
        <v>8413</v>
      </c>
      <c r="L479" s="10" t="s">
        <v>29</v>
      </c>
      <c r="M479" s="10" t="s">
        <v>8414</v>
      </c>
      <c r="P479" s="10" t="s">
        <v>5352</v>
      </c>
      <c r="Q479" s="10" t="s">
        <v>8415</v>
      </c>
      <c r="S479" s="10" t="s">
        <v>29</v>
      </c>
      <c r="T479" s="10" t="s">
        <v>29</v>
      </c>
      <c r="U479" s="10" t="s">
        <v>5367</v>
      </c>
      <c r="Z479" s="11" t="n">
        <v>1</v>
      </c>
    </row>
    <row r="480" customFormat="false" ht="17.9" hidden="false" customHeight="false" outlineLevel="0" collapsed="false">
      <c r="B480" s="10" t="s">
        <v>8416</v>
      </c>
      <c r="C480" s="10" t="s">
        <v>8417</v>
      </c>
      <c r="D480" s="10" t="s">
        <v>8418</v>
      </c>
      <c r="F480" s="17" t="str">
        <f aca="false">CONCATENATE(G480,", ",H480)</f>
        <v>อ.บางบ่อ, กรุงเทพมหานคร</v>
      </c>
      <c r="G480" s="10" t="s">
        <v>5466</v>
      </c>
      <c r="H480" s="10" t="s">
        <v>5449</v>
      </c>
      <c r="I480" s="10" t="s">
        <v>5348</v>
      </c>
      <c r="J480" s="10" t="n">
        <v>10560</v>
      </c>
      <c r="K480" s="10" t="s">
        <v>8419</v>
      </c>
      <c r="M480" s="10" t="s">
        <v>8420</v>
      </c>
      <c r="P480" s="10" t="s">
        <v>5352</v>
      </c>
      <c r="Q480" s="10" t="s">
        <v>8421</v>
      </c>
      <c r="S480" s="10" t="s">
        <v>29</v>
      </c>
      <c r="T480" s="10" t="s">
        <v>29</v>
      </c>
      <c r="U480" s="10" t="s">
        <v>5367</v>
      </c>
      <c r="Z480" s="11" t="n">
        <v>1</v>
      </c>
    </row>
    <row r="481" customFormat="false" ht="17.9" hidden="false" customHeight="false" outlineLevel="0" collapsed="false">
      <c r="B481" s="10" t="s">
        <v>8422</v>
      </c>
      <c r="C481" s="10" t="s">
        <v>8423</v>
      </c>
      <c r="D481" s="10" t="s">
        <v>8424</v>
      </c>
      <c r="F481" s="17" t="str">
        <f aca="false">CONCATENATE(G481,", ",H481)</f>
        <v>อ.ประเวศ, กรุงเทพมหานคร</v>
      </c>
      <c r="G481" s="10" t="s">
        <v>8425</v>
      </c>
      <c r="H481" s="10" t="s">
        <v>5449</v>
      </c>
      <c r="I481" s="10" t="s">
        <v>5348</v>
      </c>
      <c r="J481" s="10" t="n">
        <v>10250</v>
      </c>
      <c r="K481" s="10" t="s">
        <v>8426</v>
      </c>
      <c r="L481" s="10" t="s">
        <v>8427</v>
      </c>
      <c r="M481" s="10" t="s">
        <v>8428</v>
      </c>
      <c r="P481" s="10" t="s">
        <v>5352</v>
      </c>
      <c r="S481" s="10" t="s">
        <v>8429</v>
      </c>
      <c r="T481" s="10" t="s">
        <v>29</v>
      </c>
      <c r="U481" s="10" t="s">
        <v>5367</v>
      </c>
      <c r="Z481" s="11" t="n">
        <v>1</v>
      </c>
    </row>
    <row r="482" customFormat="false" ht="17.9" hidden="false" customHeight="false" outlineLevel="0" collapsed="false">
      <c r="B482" s="10" t="s">
        <v>8430</v>
      </c>
      <c r="C482" s="10" t="s">
        <v>8431</v>
      </c>
      <c r="D482" s="10" t="s">
        <v>8432</v>
      </c>
      <c r="F482" s="17" t="str">
        <f aca="false">CONCATENATE(G482,", ",H482)</f>
        <v>อ.ลาดกระบัง, กรุงเทพมหานคร</v>
      </c>
      <c r="G482" s="10" t="s">
        <v>8433</v>
      </c>
      <c r="H482" s="10" t="s">
        <v>5449</v>
      </c>
      <c r="I482" s="10" t="s">
        <v>5348</v>
      </c>
      <c r="J482" s="10" t="n">
        <v>10520</v>
      </c>
      <c r="K482" s="10" t="s">
        <v>8434</v>
      </c>
      <c r="M482" s="10" t="s">
        <v>8435</v>
      </c>
      <c r="P482" s="10" t="s">
        <v>5352</v>
      </c>
      <c r="Q482" s="10" t="s">
        <v>8436</v>
      </c>
      <c r="S482" s="10" t="s">
        <v>8437</v>
      </c>
      <c r="T482" s="10" t="s">
        <v>29</v>
      </c>
      <c r="U482" s="10" t="s">
        <v>5367</v>
      </c>
      <c r="Z482" s="11" t="n">
        <v>1</v>
      </c>
    </row>
    <row r="483" customFormat="false" ht="17.9" hidden="false" customHeight="false" outlineLevel="0" collapsed="false">
      <c r="B483" s="10" t="s">
        <v>8438</v>
      </c>
      <c r="C483" s="10" t="s">
        <v>8439</v>
      </c>
      <c r="D483" s="10" t="s">
        <v>8440</v>
      </c>
      <c r="F483" s="17" t="str">
        <f aca="false">CONCATENATE(G483,", ",H483)</f>
        <v>อ.กระทุ่มแบน, จ.สมุทรสาคร</v>
      </c>
      <c r="G483" s="10" t="s">
        <v>5713</v>
      </c>
      <c r="H483" s="10" t="s">
        <v>5347</v>
      </c>
      <c r="I483" s="10" t="s">
        <v>5348</v>
      </c>
      <c r="J483" s="10" t="n">
        <v>74110</v>
      </c>
      <c r="K483" s="10" t="s">
        <v>8441</v>
      </c>
      <c r="M483" s="10" t="s">
        <v>29</v>
      </c>
      <c r="P483" s="10" t="s">
        <v>5352</v>
      </c>
      <c r="S483" s="10" t="s">
        <v>29</v>
      </c>
      <c r="T483" s="10" t="s">
        <v>29</v>
      </c>
      <c r="U483" s="10" t="s">
        <v>5367</v>
      </c>
      <c r="Z483" s="11" t="n">
        <v>1</v>
      </c>
    </row>
    <row r="484" customFormat="false" ht="17.9" hidden="false" customHeight="false" outlineLevel="0" collapsed="false">
      <c r="B484" s="10" t="s">
        <v>8442</v>
      </c>
      <c r="C484" s="10" t="s">
        <v>8443</v>
      </c>
      <c r="D484" s="10" t="s">
        <v>8444</v>
      </c>
      <c r="F484" s="17" t="str">
        <f aca="false">CONCATENATE(G484,", ",H484)</f>
        <v>อ.บางพลี, จ.สมุทรปราการ</v>
      </c>
      <c r="G484" s="10" t="s">
        <v>5434</v>
      </c>
      <c r="H484" s="10" t="s">
        <v>5965</v>
      </c>
      <c r="I484" s="10" t="s">
        <v>5348</v>
      </c>
      <c r="J484" s="10" t="n">
        <v>10540</v>
      </c>
      <c r="K484" s="10" t="s">
        <v>6217</v>
      </c>
      <c r="L484" s="10" t="s">
        <v>8445</v>
      </c>
      <c r="M484" s="10" t="s">
        <v>8344</v>
      </c>
      <c r="P484" s="10" t="s">
        <v>5352</v>
      </c>
      <c r="S484" s="10" t="s">
        <v>5366</v>
      </c>
      <c r="T484" s="10" t="s">
        <v>29</v>
      </c>
      <c r="U484" s="10" t="s">
        <v>5367</v>
      </c>
      <c r="Z484" s="11" t="n">
        <v>1</v>
      </c>
    </row>
    <row r="485" customFormat="false" ht="17.9" hidden="false" customHeight="false" outlineLevel="0" collapsed="false">
      <c r="B485" s="10" t="s">
        <v>8446</v>
      </c>
      <c r="C485" s="10" t="s">
        <v>8447</v>
      </c>
      <c r="D485" s="10" t="s">
        <v>8448</v>
      </c>
      <c r="F485" s="17" t="str">
        <f aca="false">CONCATENATE(G485,", ",H485)</f>
        <v>อ.บางเสาธง, จ.สมุทรปราการ</v>
      </c>
      <c r="G485" s="10" t="s">
        <v>8036</v>
      </c>
      <c r="H485" s="10" t="s">
        <v>5965</v>
      </c>
      <c r="I485" s="10" t="s">
        <v>5348</v>
      </c>
      <c r="J485" s="10" t="n">
        <v>10540</v>
      </c>
      <c r="K485" s="10" t="s">
        <v>8449</v>
      </c>
      <c r="M485" s="10" t="s">
        <v>8450</v>
      </c>
      <c r="P485" s="10" t="s">
        <v>5352</v>
      </c>
      <c r="Q485" s="10" t="s">
        <v>8451</v>
      </c>
      <c r="S485" s="10" t="s">
        <v>29</v>
      </c>
      <c r="T485" s="10" t="s">
        <v>29</v>
      </c>
      <c r="U485" s="10" t="s">
        <v>5367</v>
      </c>
      <c r="Z485" s="11" t="n">
        <v>1</v>
      </c>
    </row>
    <row r="486" customFormat="false" ht="12.75" hidden="false" customHeight="true" outlineLevel="0" collapsed="false">
      <c r="B486" s="10" t="s">
        <v>8452</v>
      </c>
      <c r="C486" s="10" t="s">
        <v>8453</v>
      </c>
      <c r="D486" s="10" t="s">
        <v>8454</v>
      </c>
      <c r="F486" s="17" t="str">
        <f aca="false">CONCATENATE(G486,", ",H486)</f>
        <v>เขตคันนายาว, กรุงเทพมหานคร</v>
      </c>
      <c r="G486" s="10" t="s">
        <v>6232</v>
      </c>
      <c r="H486" s="10" t="s">
        <v>5449</v>
      </c>
      <c r="I486" s="10" t="s">
        <v>5348</v>
      </c>
      <c r="J486" s="10" t="n">
        <v>10230</v>
      </c>
      <c r="K486" s="10" t="s">
        <v>8455</v>
      </c>
      <c r="M486" s="10" t="s">
        <v>8456</v>
      </c>
      <c r="P486" s="10" t="s">
        <v>5352</v>
      </c>
      <c r="Q486" s="10" t="s">
        <v>8457</v>
      </c>
      <c r="S486" s="10" t="s">
        <v>29</v>
      </c>
      <c r="T486" s="10" t="s">
        <v>29</v>
      </c>
      <c r="U486" s="10" t="s">
        <v>5367</v>
      </c>
      <c r="Z486" s="11" t="n">
        <v>1</v>
      </c>
    </row>
    <row r="487" customFormat="false" ht="17.9" hidden="false" customHeight="false" outlineLevel="0" collapsed="false">
      <c r="B487" s="10" t="s">
        <v>8458</v>
      </c>
      <c r="C487" s="10" t="s">
        <v>8459</v>
      </c>
      <c r="D487" s="10" t="s">
        <v>8460</v>
      </c>
      <c r="F487" s="17" t="str">
        <f aca="false">CONCATENATE(G487,", ",H487)</f>
        <v>อ.ลำลูกกา , จ.ปทุมธานี</v>
      </c>
      <c r="G487" s="10" t="s">
        <v>6371</v>
      </c>
      <c r="H487" s="10" t="s">
        <v>7163</v>
      </c>
      <c r="I487" s="10" t="s">
        <v>5348</v>
      </c>
      <c r="J487" s="10" t="n">
        <v>12130</v>
      </c>
      <c r="K487" s="10" t="s">
        <v>8461</v>
      </c>
      <c r="M487" s="10" t="s">
        <v>29</v>
      </c>
      <c r="P487" s="10" t="s">
        <v>5352</v>
      </c>
      <c r="S487" s="10" t="s">
        <v>8462</v>
      </c>
      <c r="T487" s="10" t="s">
        <v>29</v>
      </c>
      <c r="U487" s="10" t="s">
        <v>5367</v>
      </c>
      <c r="Z487" s="11" t="n">
        <v>1</v>
      </c>
    </row>
    <row r="488" customFormat="false" ht="17.9" hidden="false" customHeight="false" outlineLevel="0" collapsed="false">
      <c r="B488" s="10" t="s">
        <v>8463</v>
      </c>
      <c r="C488" s="10" t="s">
        <v>8464</v>
      </c>
      <c r="D488" s="10" t="s">
        <v>8465</v>
      </c>
      <c r="F488" s="17" t="str">
        <f aca="false">CONCATENATE(G488,", ",H488)</f>
        <v>เขตบางกอกน้อย , กรุงเทพมหานคร</v>
      </c>
      <c r="G488" s="10" t="s">
        <v>8466</v>
      </c>
      <c r="H488" s="10" t="s">
        <v>5449</v>
      </c>
      <c r="I488" s="10" t="s">
        <v>5348</v>
      </c>
      <c r="J488" s="10" t="n">
        <v>10700</v>
      </c>
      <c r="K488" s="10" t="s">
        <v>8467</v>
      </c>
      <c r="L488" s="10" t="s">
        <v>29</v>
      </c>
      <c r="M488" s="10" t="s">
        <v>8468</v>
      </c>
      <c r="P488" s="10" t="s">
        <v>5352</v>
      </c>
      <c r="Q488" s="10" t="s">
        <v>8469</v>
      </c>
      <c r="S488" s="10" t="s">
        <v>29</v>
      </c>
      <c r="T488" s="10" t="s">
        <v>29</v>
      </c>
      <c r="U488" s="10" t="s">
        <v>5367</v>
      </c>
      <c r="Z488" s="11" t="n">
        <v>1</v>
      </c>
    </row>
    <row r="489" customFormat="false" ht="17.9" hidden="false" customHeight="false" outlineLevel="0" collapsed="false">
      <c r="B489" s="10" t="s">
        <v>8470</v>
      </c>
      <c r="C489" s="10" t="s">
        <v>8471</v>
      </c>
      <c r="D489" s="10" t="s">
        <v>8472</v>
      </c>
      <c r="F489" s="17" t="str">
        <f aca="false">CONCATENATE(G489,", ",H489)</f>
        <v>อ.บางพลี, จ.สมุทรปราการ</v>
      </c>
      <c r="G489" s="10" t="s">
        <v>5434</v>
      </c>
      <c r="H489" s="10" t="s">
        <v>5965</v>
      </c>
      <c r="I489" s="10" t="s">
        <v>5348</v>
      </c>
      <c r="J489" s="10" t="n">
        <v>10270</v>
      </c>
      <c r="K489" s="10" t="s">
        <v>29</v>
      </c>
      <c r="L489" s="10" t="s">
        <v>29</v>
      </c>
      <c r="M489" s="10" t="s">
        <v>8473</v>
      </c>
      <c r="P489" s="10" t="s">
        <v>5352</v>
      </c>
      <c r="Q489" s="10" t="s">
        <v>8474</v>
      </c>
      <c r="S489" s="10" t="s">
        <v>29</v>
      </c>
      <c r="T489" s="10" t="s">
        <v>29</v>
      </c>
      <c r="U489" s="10" t="s">
        <v>5367</v>
      </c>
      <c r="Z489" s="11" t="n">
        <v>1</v>
      </c>
    </row>
    <row r="490" customFormat="false" ht="17.9" hidden="false" customHeight="false" outlineLevel="0" collapsed="false">
      <c r="B490" s="10" t="s">
        <v>8475</v>
      </c>
      <c r="C490" s="10" t="s">
        <v>8476</v>
      </c>
      <c r="D490" s="10" t="s">
        <v>8477</v>
      </c>
      <c r="F490" s="17" t="str">
        <f aca="false">CONCATENATE(G490,", ",H490)</f>
        <v>อ.หัวหิน , จ.ประจวบคีรีขันธ์</v>
      </c>
      <c r="G490" s="10" t="s">
        <v>6241</v>
      </c>
      <c r="H490" s="10" t="s">
        <v>8478</v>
      </c>
      <c r="I490" s="10" t="s">
        <v>5348</v>
      </c>
      <c r="J490" s="10" t="n">
        <v>77110</v>
      </c>
      <c r="K490" s="10" t="s">
        <v>8479</v>
      </c>
      <c r="L490" s="10" t="s">
        <v>29</v>
      </c>
      <c r="M490" s="10" t="s">
        <v>6800</v>
      </c>
      <c r="P490" s="10" t="s">
        <v>5352</v>
      </c>
      <c r="S490" s="10" t="s">
        <v>29</v>
      </c>
      <c r="T490" s="10" t="s">
        <v>29</v>
      </c>
      <c r="U490" s="10" t="s">
        <v>5367</v>
      </c>
      <c r="Z490" s="11" t="n">
        <v>1</v>
      </c>
    </row>
    <row r="491" customFormat="false" ht="17.9" hidden="false" customHeight="false" outlineLevel="0" collapsed="false">
      <c r="B491" s="10" t="s">
        <v>8480</v>
      </c>
      <c r="C491" s="10" t="s">
        <v>8481</v>
      </c>
      <c r="D491" s="10" t="s">
        <v>8482</v>
      </c>
      <c r="F491" s="17" t="str">
        <f aca="false">CONCATENATE(G491,", ",H491)</f>
        <v>อ.เมืองศรีสะเกษ , จ.ศรีษะเกษ</v>
      </c>
      <c r="G491" s="10" t="s">
        <v>8483</v>
      </c>
      <c r="H491" s="10" t="s">
        <v>8484</v>
      </c>
      <c r="I491" s="10" t="s">
        <v>5348</v>
      </c>
      <c r="J491" s="10" t="s">
        <v>5513</v>
      </c>
      <c r="K491" s="10" t="s">
        <v>29</v>
      </c>
      <c r="L491" s="10" t="s">
        <v>29</v>
      </c>
      <c r="M491" s="10" t="s">
        <v>8485</v>
      </c>
      <c r="P491" s="10" t="s">
        <v>5352</v>
      </c>
      <c r="S491" s="10" t="s">
        <v>29</v>
      </c>
      <c r="T491" s="10" t="s">
        <v>29</v>
      </c>
      <c r="U491" s="10" t="s">
        <v>5367</v>
      </c>
      <c r="Z491" s="11" t="n">
        <v>1</v>
      </c>
    </row>
    <row r="492" customFormat="false" ht="17.9" hidden="false" customHeight="false" outlineLevel="0" collapsed="false">
      <c r="B492" s="10" t="s">
        <v>8486</v>
      </c>
      <c r="C492" s="10" t="s">
        <v>8487</v>
      </c>
      <c r="D492" s="10" t="s">
        <v>8488</v>
      </c>
      <c r="F492" s="17" t="str">
        <f aca="false">CONCATENATE(G492,", ",H492)</f>
        <v>เขตจตุจักร, กรุงเทพมหานคร</v>
      </c>
      <c r="G492" s="10" t="s">
        <v>5659</v>
      </c>
      <c r="H492" s="10" t="s">
        <v>5449</v>
      </c>
      <c r="I492" s="10" t="s">
        <v>5348</v>
      </c>
      <c r="J492" s="10" t="n">
        <v>10900</v>
      </c>
      <c r="K492" s="10" t="s">
        <v>8489</v>
      </c>
      <c r="M492" s="10" t="s">
        <v>8490</v>
      </c>
      <c r="P492" s="10" t="s">
        <v>5352</v>
      </c>
      <c r="Q492" s="10" t="s">
        <v>8491</v>
      </c>
      <c r="S492" s="10" t="s">
        <v>29</v>
      </c>
      <c r="T492" s="10" t="s">
        <v>29</v>
      </c>
      <c r="U492" s="10" t="s">
        <v>5367</v>
      </c>
      <c r="Z492" s="11" t="n">
        <v>1</v>
      </c>
    </row>
    <row r="493" customFormat="false" ht="17.9" hidden="false" customHeight="false" outlineLevel="0" collapsed="false">
      <c r="B493" s="10" t="s">
        <v>8492</v>
      </c>
      <c r="C493" s="10" t="s">
        <v>8493</v>
      </c>
      <c r="D493" s="10" t="s">
        <v>8494</v>
      </c>
      <c r="F493" s="17" t="str">
        <f aca="false">CONCATENATE(G493,", ",H493)</f>
        <v>เขตปทุมวัน, กรุงเทพมหานคร</v>
      </c>
      <c r="G493" s="10" t="s">
        <v>5514</v>
      </c>
      <c r="H493" s="10" t="s">
        <v>5449</v>
      </c>
      <c r="I493" s="10" t="s">
        <v>5348</v>
      </c>
      <c r="J493" s="10" t="n">
        <v>10330</v>
      </c>
      <c r="K493" s="10" t="s">
        <v>8495</v>
      </c>
      <c r="L493" s="10" t="s">
        <v>29</v>
      </c>
      <c r="M493" s="10" t="s">
        <v>8496</v>
      </c>
      <c r="P493" s="10" t="s">
        <v>5352</v>
      </c>
      <c r="S493" s="10" t="s">
        <v>29</v>
      </c>
      <c r="T493" s="10" t="s">
        <v>29</v>
      </c>
      <c r="U493" s="10" t="s">
        <v>5367</v>
      </c>
      <c r="Z493" s="11" t="n">
        <v>1</v>
      </c>
    </row>
    <row r="494" customFormat="false" ht="17.9" hidden="false" customHeight="false" outlineLevel="0" collapsed="false">
      <c r="B494" s="10" t="s">
        <v>8497</v>
      </c>
      <c r="C494" s="10" t="s">
        <v>8498</v>
      </c>
      <c r="D494" s="10" t="s">
        <v>8499</v>
      </c>
      <c r="F494" s="17" t="str">
        <f aca="false">CONCATENATE(G494,", ",H494)</f>
        <v>เขตประเวศ, กรุงเทพมหานคร</v>
      </c>
      <c r="G494" s="10" t="s">
        <v>5770</v>
      </c>
      <c r="H494" s="10" t="s">
        <v>5449</v>
      </c>
      <c r="I494" s="10" t="s">
        <v>5348</v>
      </c>
      <c r="J494" s="10" t="n">
        <v>10250</v>
      </c>
      <c r="K494" s="10" t="s">
        <v>8500</v>
      </c>
      <c r="L494" s="10" t="s">
        <v>29</v>
      </c>
      <c r="M494" s="10" t="s">
        <v>8501</v>
      </c>
      <c r="P494" s="10" t="s">
        <v>5352</v>
      </c>
      <c r="Q494" s="10" t="s">
        <v>8502</v>
      </c>
      <c r="S494" s="10" t="s">
        <v>8503</v>
      </c>
      <c r="T494" s="10" t="s">
        <v>29</v>
      </c>
      <c r="U494" s="10" t="s">
        <v>5377</v>
      </c>
      <c r="Z494" s="11" t="n">
        <v>1</v>
      </c>
    </row>
    <row r="495" customFormat="false" ht="17.9" hidden="false" customHeight="false" outlineLevel="0" collapsed="false">
      <c r="B495" s="10" t="s">
        <v>8504</v>
      </c>
      <c r="C495" s="10" t="s">
        <v>8505</v>
      </c>
      <c r="D495" s="10" t="s">
        <v>8506</v>
      </c>
      <c r="F495" s="17" t="str">
        <f aca="false">CONCATENATE(G495,", ",H495)</f>
        <v>เขตสาทร , กรุงเทพมหานคร</v>
      </c>
      <c r="G495" s="10" t="s">
        <v>5863</v>
      </c>
      <c r="H495" s="10" t="s">
        <v>5449</v>
      </c>
      <c r="I495" s="10" t="s">
        <v>5348</v>
      </c>
      <c r="J495" s="10" t="n">
        <v>10120</v>
      </c>
      <c r="K495" s="10" t="s">
        <v>8507</v>
      </c>
      <c r="L495" s="10" t="s">
        <v>29</v>
      </c>
      <c r="M495" s="10" t="s">
        <v>8508</v>
      </c>
      <c r="P495" s="10" t="s">
        <v>5352</v>
      </c>
      <c r="Q495" s="10" t="s">
        <v>6335</v>
      </c>
      <c r="S495" s="10" t="s">
        <v>29</v>
      </c>
      <c r="T495" s="10" t="s">
        <v>29</v>
      </c>
      <c r="U495" s="10" t="s">
        <v>5367</v>
      </c>
      <c r="Z495" s="11" t="n">
        <v>1</v>
      </c>
    </row>
    <row r="496" customFormat="false" ht="17.9" hidden="false" customHeight="false" outlineLevel="0" collapsed="false">
      <c r="B496" s="10" t="s">
        <v>8509</v>
      </c>
      <c r="C496" s="24" t="s">
        <v>8510</v>
      </c>
      <c r="D496" s="10" t="s">
        <v>8511</v>
      </c>
      <c r="F496" s="17" t="str">
        <f aca="false">CONCATENATE(G496,", ",H496)</f>
        <v>เขตวังทองหลาง, กรุงเทพมหานคร</v>
      </c>
      <c r="G496" s="10" t="s">
        <v>5552</v>
      </c>
      <c r="H496" s="10" t="s">
        <v>5449</v>
      </c>
      <c r="I496" s="10" t="s">
        <v>5348</v>
      </c>
      <c r="J496" s="10" t="n">
        <v>10310</v>
      </c>
      <c r="K496" s="10" t="s">
        <v>8512</v>
      </c>
      <c r="L496" s="10" t="s">
        <v>8513</v>
      </c>
      <c r="M496" s="10" t="s">
        <v>8514</v>
      </c>
      <c r="P496" s="10" t="s">
        <v>5352</v>
      </c>
      <c r="S496" s="10" t="s">
        <v>29</v>
      </c>
      <c r="T496" s="10" t="s">
        <v>29</v>
      </c>
      <c r="U496" s="10" t="s">
        <v>5367</v>
      </c>
      <c r="Z496" s="11" t="n">
        <v>1</v>
      </c>
    </row>
    <row r="497" customFormat="false" ht="18" hidden="false" customHeight="true" outlineLevel="0" collapsed="false">
      <c r="B497" s="10" t="s">
        <v>8515</v>
      </c>
      <c r="C497" s="10" t="s">
        <v>8516</v>
      </c>
      <c r="D497" s="10" t="s">
        <v>8517</v>
      </c>
      <c r="F497" s="17" t="str">
        <f aca="false">CONCATENATE(G497,", ",H497)</f>
        <v>อ.บางพลี, จ.สมุทรปราการ</v>
      </c>
      <c r="G497" s="10" t="s">
        <v>5434</v>
      </c>
      <c r="H497" s="10" t="s">
        <v>5965</v>
      </c>
      <c r="I497" s="10" t="s">
        <v>5348</v>
      </c>
      <c r="J497" s="10" t="n">
        <v>10540</v>
      </c>
      <c r="K497" s="10" t="s">
        <v>8518</v>
      </c>
      <c r="M497" s="10" t="s">
        <v>8519</v>
      </c>
      <c r="P497" s="10" t="s">
        <v>5352</v>
      </c>
      <c r="S497" s="10" t="s">
        <v>29</v>
      </c>
      <c r="T497" s="10" t="s">
        <v>29</v>
      </c>
      <c r="U497" s="10" t="s">
        <v>5367</v>
      </c>
      <c r="Z497" s="11" t="n">
        <v>1</v>
      </c>
    </row>
    <row r="498" customFormat="false" ht="17.9" hidden="false" customHeight="false" outlineLevel="0" collapsed="false">
      <c r="B498" s="10" t="s">
        <v>8520</v>
      </c>
      <c r="C498" s="10" t="s">
        <v>8521</v>
      </c>
      <c r="D498" s="10" t="s">
        <v>8522</v>
      </c>
      <c r="F498" s="17" t="str">
        <f aca="false">CONCATENATE(G498,", ",H498)</f>
        <v>เขตจอมทอง, กรุงเทพมหานคร</v>
      </c>
      <c r="G498" s="10" t="s">
        <v>7421</v>
      </c>
      <c r="H498" s="10" t="s">
        <v>5449</v>
      </c>
      <c r="I498" s="10" t="s">
        <v>5348</v>
      </c>
      <c r="J498" s="10" t="n">
        <v>10150</v>
      </c>
      <c r="K498" s="10" t="s">
        <v>8523</v>
      </c>
      <c r="M498" s="10" t="s">
        <v>8524</v>
      </c>
      <c r="P498" s="10" t="s">
        <v>5352</v>
      </c>
      <c r="Q498" s="10" t="s">
        <v>8521</v>
      </c>
      <c r="S498" s="10" t="s">
        <v>8525</v>
      </c>
      <c r="T498" s="10" t="s">
        <v>29</v>
      </c>
      <c r="U498" s="10" t="s">
        <v>5439</v>
      </c>
      <c r="Z498" s="11" t="n">
        <v>1</v>
      </c>
    </row>
    <row r="499" customFormat="false" ht="17.9" hidden="false" customHeight="false" outlineLevel="0" collapsed="false">
      <c r="B499" s="10" t="s">
        <v>8526</v>
      </c>
      <c r="C499" s="10" t="s">
        <v>8527</v>
      </c>
      <c r="D499" s="10" t="s">
        <v>8528</v>
      </c>
      <c r="F499" s="17" t="str">
        <f aca="false">CONCATENATE(G499,", ",H499)</f>
        <v>อ.บางพลี, จ.สมุทรปราการ</v>
      </c>
      <c r="G499" s="10" t="s">
        <v>5434</v>
      </c>
      <c r="H499" s="10" t="s">
        <v>5965</v>
      </c>
      <c r="I499" s="10" t="s">
        <v>5348</v>
      </c>
      <c r="J499" s="10" t="n">
        <v>10540</v>
      </c>
      <c r="K499" s="10" t="s">
        <v>8529</v>
      </c>
      <c r="L499" s="10" t="s">
        <v>8530</v>
      </c>
      <c r="M499" s="10" t="s">
        <v>8531</v>
      </c>
      <c r="P499" s="10" t="s">
        <v>5352</v>
      </c>
      <c r="Q499" s="10" t="s">
        <v>8532</v>
      </c>
      <c r="S499" s="10" t="s">
        <v>29</v>
      </c>
      <c r="T499" s="10" t="s">
        <v>29</v>
      </c>
      <c r="U499" s="10" t="s">
        <v>5367</v>
      </c>
      <c r="Z499" s="11" t="n">
        <v>1</v>
      </c>
    </row>
    <row r="500" customFormat="false" ht="17.9" hidden="false" customHeight="false" outlineLevel="0" collapsed="false">
      <c r="B500" s="10" t="s">
        <v>8533</v>
      </c>
      <c r="C500" s="10" t="s">
        <v>8534</v>
      </c>
      <c r="D500" s="10" t="s">
        <v>8535</v>
      </c>
      <c r="F500" s="17" t="str">
        <f aca="false">CONCATENATE(G500,", ",H500)</f>
        <v>อ.บางพลี, จ.สมุทรปราการ</v>
      </c>
      <c r="G500" s="10" t="s">
        <v>5434</v>
      </c>
      <c r="H500" s="10" t="s">
        <v>5965</v>
      </c>
      <c r="I500" s="10" t="s">
        <v>5348</v>
      </c>
      <c r="J500" s="10" t="n">
        <v>10540</v>
      </c>
      <c r="K500" s="10" t="s">
        <v>8536</v>
      </c>
      <c r="M500" s="10" t="s">
        <v>8537</v>
      </c>
      <c r="P500" s="10" t="s">
        <v>5352</v>
      </c>
      <c r="Q500" s="10" t="s">
        <v>8538</v>
      </c>
      <c r="S500" s="10" t="s">
        <v>29</v>
      </c>
      <c r="T500" s="10" t="s">
        <v>29</v>
      </c>
      <c r="U500" s="10" t="s">
        <v>5367</v>
      </c>
      <c r="Z500" s="11" t="n">
        <v>1</v>
      </c>
    </row>
    <row r="501" customFormat="false" ht="16.5" hidden="false" customHeight="true" outlineLevel="0" collapsed="false">
      <c r="B501" s="10" t="s">
        <v>8539</v>
      </c>
      <c r="C501" s="10" t="s">
        <v>8540</v>
      </c>
      <c r="D501" s="10" t="s">
        <v>8541</v>
      </c>
      <c r="F501" s="17" t="str">
        <f aca="false">CONCATENATE(G501,", ",H501)</f>
        <v>Bangplee, จ.สมุทรปราการ</v>
      </c>
      <c r="G501" s="10" t="s">
        <v>8542</v>
      </c>
      <c r="H501" s="10" t="s">
        <v>5965</v>
      </c>
      <c r="I501" s="10" t="s">
        <v>5348</v>
      </c>
      <c r="J501" s="10" t="n">
        <v>10540</v>
      </c>
      <c r="K501" s="10" t="s">
        <v>8543</v>
      </c>
      <c r="L501" s="10" t="s">
        <v>29</v>
      </c>
      <c r="M501" s="10" t="s">
        <v>8544</v>
      </c>
      <c r="P501" s="10" t="s">
        <v>5352</v>
      </c>
      <c r="S501" s="10" t="s">
        <v>29</v>
      </c>
      <c r="T501" s="10" t="s">
        <v>29</v>
      </c>
      <c r="U501" s="10" t="s">
        <v>5367</v>
      </c>
      <c r="Z501" s="11" t="n">
        <v>1</v>
      </c>
    </row>
    <row r="502" customFormat="false" ht="17.9" hidden="false" customHeight="false" outlineLevel="0" collapsed="false">
      <c r="B502" s="10" t="s">
        <v>8545</v>
      </c>
      <c r="C502" s="10" t="s">
        <v>8546</v>
      </c>
      <c r="D502" s="10" t="s">
        <v>8547</v>
      </c>
      <c r="F502" s="17" t="str">
        <f aca="false">CONCATENATE(G502,", ",H502)</f>
        <v>อ.บางละมุง , จ.ชลบุรี</v>
      </c>
      <c r="G502" s="10" t="s">
        <v>8548</v>
      </c>
      <c r="H502" s="10" t="s">
        <v>5760</v>
      </c>
      <c r="I502" s="10" t="s">
        <v>5348</v>
      </c>
      <c r="J502" s="10" t="n">
        <v>20150</v>
      </c>
      <c r="K502" s="10" t="s">
        <v>8549</v>
      </c>
      <c r="M502" s="10" t="s">
        <v>8550</v>
      </c>
      <c r="P502" s="10" t="s">
        <v>5352</v>
      </c>
      <c r="Q502" s="10" t="s">
        <v>8551</v>
      </c>
      <c r="S502" s="10" t="s">
        <v>29</v>
      </c>
      <c r="T502" s="10" t="s">
        <v>29</v>
      </c>
      <c r="U502" s="10" t="s">
        <v>5367</v>
      </c>
      <c r="Z502" s="11" t="n">
        <v>1</v>
      </c>
    </row>
    <row r="503" customFormat="false" ht="17.9" hidden="false" customHeight="false" outlineLevel="0" collapsed="false">
      <c r="B503" s="10" t="s">
        <v>8552</v>
      </c>
      <c r="C503" s="10" t="s">
        <v>8553</v>
      </c>
      <c r="D503" s="10" t="s">
        <v>8554</v>
      </c>
      <c r="F503" s="17" t="str">
        <f aca="false">CONCATENATE(G503,", ",H503)</f>
        <v>เขตบึงกุ่ม, กรุงเทพมหานคร</v>
      </c>
      <c r="G503" s="10" t="s">
        <v>5651</v>
      </c>
      <c r="H503" s="10" t="s">
        <v>5449</v>
      </c>
      <c r="I503" s="10" t="s">
        <v>5348</v>
      </c>
      <c r="J503" s="10" t="n">
        <v>10240</v>
      </c>
      <c r="K503" s="10" t="s">
        <v>6642</v>
      </c>
      <c r="M503" s="10" t="s">
        <v>6644</v>
      </c>
      <c r="P503" s="10" t="s">
        <v>5352</v>
      </c>
      <c r="Q503" s="10" t="s">
        <v>8538</v>
      </c>
      <c r="S503" s="10" t="s">
        <v>6646</v>
      </c>
      <c r="T503" s="10" t="s">
        <v>29</v>
      </c>
      <c r="U503" s="10" t="s">
        <v>5367</v>
      </c>
      <c r="Z503" s="11" t="n">
        <v>1</v>
      </c>
    </row>
    <row r="504" customFormat="false" ht="17.9" hidden="false" customHeight="false" outlineLevel="0" collapsed="false">
      <c r="B504" s="10" t="s">
        <v>8555</v>
      </c>
      <c r="C504" s="10" t="s">
        <v>8556</v>
      </c>
      <c r="D504" s="10" t="s">
        <v>8557</v>
      </c>
      <c r="F504" s="17" t="str">
        <f aca="false">CONCATENATE(G504,", ",H504)</f>
        <v>เขตราษฏร์บูรณะ, กรุงเทพมหานคร</v>
      </c>
      <c r="G504" s="10" t="s">
        <v>5753</v>
      </c>
      <c r="H504" s="10" t="s">
        <v>5449</v>
      </c>
      <c r="I504" s="10" t="s">
        <v>5348</v>
      </c>
      <c r="J504" s="10" t="n">
        <v>10140</v>
      </c>
      <c r="K504" s="10" t="s">
        <v>29</v>
      </c>
      <c r="L504" s="10" t="s">
        <v>29</v>
      </c>
      <c r="M504" s="10" t="s">
        <v>8558</v>
      </c>
      <c r="P504" s="10" t="s">
        <v>5352</v>
      </c>
      <c r="Q504" s="10" t="s">
        <v>8559</v>
      </c>
      <c r="S504" s="10" t="s">
        <v>29</v>
      </c>
      <c r="T504" s="10" t="s">
        <v>29</v>
      </c>
      <c r="U504" s="10" t="s">
        <v>5367</v>
      </c>
      <c r="Z504" s="11" t="n">
        <v>1</v>
      </c>
    </row>
    <row r="505" customFormat="false" ht="17.9" hidden="false" customHeight="false" outlineLevel="0" collapsed="false">
      <c r="B505" s="10" t="s">
        <v>8560</v>
      </c>
      <c r="C505" s="10" t="s">
        <v>8561</v>
      </c>
      <c r="D505" s="10" t="s">
        <v>8562</v>
      </c>
      <c r="F505" s="17" t="str">
        <f aca="false">CONCATENATE(G505,", ",H505)</f>
        <v>อ.เขาฉกรรจ์, จ.สระแก้ว</v>
      </c>
      <c r="G505" s="10" t="s">
        <v>6609</v>
      </c>
      <c r="H505" s="10" t="s">
        <v>6582</v>
      </c>
      <c r="I505" s="10" t="s">
        <v>5348</v>
      </c>
      <c r="J505" s="10" t="n">
        <v>27000</v>
      </c>
      <c r="K505" s="10" t="s">
        <v>29</v>
      </c>
      <c r="L505" s="10" t="s">
        <v>29</v>
      </c>
      <c r="M505" s="10" t="s">
        <v>8563</v>
      </c>
      <c r="P505" s="10" t="s">
        <v>5352</v>
      </c>
      <c r="S505" s="10" t="s">
        <v>29</v>
      </c>
      <c r="T505" s="10" t="s">
        <v>29</v>
      </c>
      <c r="U505" s="10" t="s">
        <v>5367</v>
      </c>
      <c r="Z505" s="11" t="n">
        <v>1</v>
      </c>
    </row>
    <row r="506" customFormat="false" ht="17.9" hidden="false" customHeight="false" outlineLevel="0" collapsed="false">
      <c r="B506" s="10" t="s">
        <v>8564</v>
      </c>
      <c r="C506" s="10" t="s">
        <v>8565</v>
      </c>
      <c r="D506" s="10" t="s">
        <v>8566</v>
      </c>
      <c r="F506" s="17" t="str">
        <f aca="false">CONCATENATE(G506,", ",H506)</f>
        <v>อ.เมือง, กรุงเทพมหานคร</v>
      </c>
      <c r="G506" s="10" t="s">
        <v>5346</v>
      </c>
      <c r="H506" s="10" t="s">
        <v>5449</v>
      </c>
      <c r="I506" s="10" t="s">
        <v>5348</v>
      </c>
      <c r="J506" s="10" t="n">
        <v>11000</v>
      </c>
      <c r="K506" s="10" t="s">
        <v>8567</v>
      </c>
      <c r="M506" s="10" t="s">
        <v>8568</v>
      </c>
      <c r="P506" s="10" t="s">
        <v>5352</v>
      </c>
      <c r="Q506" s="10" t="s">
        <v>8569</v>
      </c>
      <c r="S506" s="10" t="s">
        <v>29</v>
      </c>
      <c r="T506" s="10" t="s">
        <v>29</v>
      </c>
      <c r="U506" s="10" t="s">
        <v>5367</v>
      </c>
      <c r="Z506" s="11" t="n">
        <v>1</v>
      </c>
    </row>
    <row r="507" customFormat="false" ht="17.9" hidden="false" customHeight="false" outlineLevel="0" collapsed="false">
      <c r="B507" s="10" t="s">
        <v>8570</v>
      </c>
      <c r="C507" s="10" t="s">
        <v>8571</v>
      </c>
      <c r="D507" s="10" t="s">
        <v>8572</v>
      </c>
      <c r="F507" s="17" t="str">
        <f aca="false">CONCATENATE(G507,", ",H507)</f>
        <v>เขตลาดพร้าว, กรุงเทพมหานคร</v>
      </c>
      <c r="G507" s="10" t="s">
        <v>5840</v>
      </c>
      <c r="H507" s="10" t="s">
        <v>5449</v>
      </c>
      <c r="I507" s="10" t="s">
        <v>5348</v>
      </c>
      <c r="J507" s="10" t="n">
        <v>10230</v>
      </c>
      <c r="K507" s="10" t="s">
        <v>8573</v>
      </c>
      <c r="L507" s="10" t="s">
        <v>8574</v>
      </c>
      <c r="M507" s="10" t="s">
        <v>8575</v>
      </c>
      <c r="P507" s="10" t="s">
        <v>5352</v>
      </c>
      <c r="S507" s="10" t="s">
        <v>29</v>
      </c>
      <c r="T507" s="10" t="s">
        <v>29</v>
      </c>
      <c r="U507" s="10" t="s">
        <v>5377</v>
      </c>
      <c r="Z507" s="11" t="n">
        <v>1</v>
      </c>
    </row>
    <row r="508" customFormat="false" ht="17.9" hidden="false" customHeight="false" outlineLevel="0" collapsed="false">
      <c r="B508" s="10" t="s">
        <v>8576</v>
      </c>
      <c r="C508" s="10" t="s">
        <v>8577</v>
      </c>
      <c r="D508" s="10" t="s">
        <v>8578</v>
      </c>
      <c r="F508" s="17" t="str">
        <f aca="false">CONCATENATE(G508,", ",H508)</f>
        <v>อำเภอเมือง , จ.สมุทรปราการ</v>
      </c>
      <c r="G508" s="10" t="s">
        <v>8579</v>
      </c>
      <c r="H508" s="10" t="s">
        <v>5965</v>
      </c>
      <c r="I508" s="10" t="s">
        <v>5348</v>
      </c>
      <c r="J508" s="10" t="s">
        <v>5513</v>
      </c>
      <c r="K508" s="10" t="s">
        <v>29</v>
      </c>
      <c r="L508" s="10" t="s">
        <v>29</v>
      </c>
      <c r="M508" s="10" t="s">
        <v>6805</v>
      </c>
      <c r="P508" s="10" t="s">
        <v>5352</v>
      </c>
      <c r="S508" s="10" t="s">
        <v>8580</v>
      </c>
      <c r="T508" s="10" t="s">
        <v>29</v>
      </c>
      <c r="U508" s="10" t="s">
        <v>5367</v>
      </c>
      <c r="Z508" s="11" t="n">
        <v>1</v>
      </c>
    </row>
    <row r="509" customFormat="false" ht="17.9" hidden="false" customHeight="false" outlineLevel="0" collapsed="false">
      <c r="B509" s="10" t="s">
        <v>8581</v>
      </c>
      <c r="C509" s="10" t="s">
        <v>8582</v>
      </c>
      <c r="D509" s="10" t="s">
        <v>8583</v>
      </c>
      <c r="F509" s="17" t="str">
        <f aca="false">CONCATENATE(G509,", ",H509)</f>
        <v>เขตคันนายาว, กรุงเทพมหานคร</v>
      </c>
      <c r="G509" s="10" t="s">
        <v>6232</v>
      </c>
      <c r="H509" s="10" t="s">
        <v>5449</v>
      </c>
      <c r="I509" s="10" t="s">
        <v>5348</v>
      </c>
      <c r="J509" s="10" t="n">
        <v>10230</v>
      </c>
      <c r="K509" s="10" t="s">
        <v>8584</v>
      </c>
      <c r="M509" s="10" t="s">
        <v>8585</v>
      </c>
      <c r="P509" s="10" t="s">
        <v>5352</v>
      </c>
      <c r="Q509" s="10" t="s">
        <v>8586</v>
      </c>
      <c r="S509" s="10" t="s">
        <v>29</v>
      </c>
      <c r="T509" s="10" t="s">
        <v>29</v>
      </c>
      <c r="U509" s="10" t="s">
        <v>5377</v>
      </c>
      <c r="Z509" s="11" t="n">
        <v>1</v>
      </c>
    </row>
    <row r="510" customFormat="false" ht="17.9" hidden="false" customHeight="false" outlineLevel="0" collapsed="false">
      <c r="B510" s="10" t="s">
        <v>8587</v>
      </c>
      <c r="C510" s="10" t="s">
        <v>8588</v>
      </c>
      <c r="D510" s="10" t="s">
        <v>8589</v>
      </c>
      <c r="F510" s="17" t="str">
        <f aca="false">CONCATENATE(G510,", ",H510)</f>
        <v>เขตบางกะปิ , กรุงเทพมหานคร</v>
      </c>
      <c r="G510" s="10" t="s">
        <v>7743</v>
      </c>
      <c r="H510" s="10" t="s">
        <v>5449</v>
      </c>
      <c r="I510" s="10" t="s">
        <v>5348</v>
      </c>
      <c r="J510" s="10" t="n">
        <v>10240</v>
      </c>
      <c r="K510" s="10" t="s">
        <v>8590</v>
      </c>
      <c r="M510" s="10" t="s">
        <v>8591</v>
      </c>
      <c r="P510" s="10" t="s">
        <v>5352</v>
      </c>
      <c r="Q510" s="10" t="s">
        <v>8592</v>
      </c>
      <c r="S510" s="10" t="s">
        <v>8593</v>
      </c>
      <c r="T510" s="10" t="s">
        <v>29</v>
      </c>
      <c r="U510" s="10" t="s">
        <v>5367</v>
      </c>
      <c r="Z510" s="11" t="n">
        <v>1</v>
      </c>
    </row>
    <row r="511" customFormat="false" ht="17.9" hidden="false" customHeight="false" outlineLevel="0" collapsed="false">
      <c r="B511" s="10" t="s">
        <v>8594</v>
      </c>
      <c r="C511" s="10" t="s">
        <v>8595</v>
      </c>
      <c r="D511" s="10" t="s">
        <v>8596</v>
      </c>
      <c r="F511" s="17" t="str">
        <f aca="false">CONCATENATE(G511,", ",H511)</f>
        <v>อ.เมืองภูเก็ต, จ.ภูเก็ต</v>
      </c>
      <c r="G511" s="10" t="s">
        <v>8597</v>
      </c>
      <c r="H511" s="10" t="s">
        <v>8598</v>
      </c>
      <c r="I511" s="10" t="s">
        <v>5348</v>
      </c>
      <c r="J511" s="10" t="s">
        <v>5513</v>
      </c>
      <c r="K511" s="10" t="s">
        <v>29</v>
      </c>
      <c r="L511" s="10" t="s">
        <v>29</v>
      </c>
      <c r="M511" s="10" t="s">
        <v>8599</v>
      </c>
      <c r="P511" s="10" t="s">
        <v>5352</v>
      </c>
      <c r="S511" s="10" t="s">
        <v>29</v>
      </c>
      <c r="T511" s="10" t="s">
        <v>29</v>
      </c>
      <c r="U511" s="10" t="s">
        <v>5367</v>
      </c>
      <c r="Z511" s="11" t="n">
        <v>1</v>
      </c>
    </row>
    <row r="512" customFormat="false" ht="17.9" hidden="false" customHeight="false" outlineLevel="0" collapsed="false">
      <c r="B512" s="10" t="s">
        <v>8600</v>
      </c>
      <c r="C512" s="10" t="s">
        <v>8601</v>
      </c>
      <c r="D512" s="10" t="s">
        <v>8602</v>
      </c>
      <c r="F512" s="17" t="str">
        <f aca="false">CONCATENATE(G512,", ",H512)</f>
        <v>เขตบางซื่อ, กรุงเทพมหานคร</v>
      </c>
      <c r="G512" s="10" t="s">
        <v>6022</v>
      </c>
      <c r="H512" s="10" t="s">
        <v>5449</v>
      </c>
      <c r="I512" s="10" t="s">
        <v>5348</v>
      </c>
      <c r="J512" s="10" t="n">
        <v>10800</v>
      </c>
      <c r="K512" s="10" t="s">
        <v>8603</v>
      </c>
      <c r="M512" s="10" t="s">
        <v>8604</v>
      </c>
      <c r="P512" s="10" t="s">
        <v>5352</v>
      </c>
      <c r="Q512" s="10" t="s">
        <v>8605</v>
      </c>
      <c r="S512" s="10" t="s">
        <v>8606</v>
      </c>
      <c r="T512" s="10" t="s">
        <v>29</v>
      </c>
      <c r="U512" s="10" t="s">
        <v>5367</v>
      </c>
      <c r="Z512" s="11" t="n">
        <v>1</v>
      </c>
    </row>
    <row r="513" customFormat="false" ht="17.9" hidden="false" customHeight="false" outlineLevel="0" collapsed="false">
      <c r="B513" s="10" t="s">
        <v>8607</v>
      </c>
      <c r="C513" s="10" t="s">
        <v>8608</v>
      </c>
      <c r="D513" s="10" t="s">
        <v>8609</v>
      </c>
      <c r="F513" s="17" t="str">
        <f aca="false">CONCATENATE(G513,", ",H513)</f>
        <v>เขตมีนบุรี, กรุงเทพมหานคร</v>
      </c>
      <c r="G513" s="10" t="s">
        <v>8610</v>
      </c>
      <c r="H513" s="10" t="s">
        <v>5449</v>
      </c>
      <c r="I513" s="10" t="s">
        <v>5348</v>
      </c>
      <c r="J513" s="10" t="n">
        <v>10120</v>
      </c>
      <c r="K513" s="10" t="s">
        <v>8611</v>
      </c>
      <c r="M513" s="10" t="s">
        <v>8612</v>
      </c>
      <c r="P513" s="10" t="s">
        <v>5352</v>
      </c>
      <c r="S513" s="10" t="s">
        <v>8613</v>
      </c>
      <c r="T513" s="10" t="s">
        <v>29</v>
      </c>
      <c r="U513" s="10" t="s">
        <v>5367</v>
      </c>
      <c r="Z513" s="11" t="n">
        <v>1</v>
      </c>
    </row>
    <row r="514" customFormat="false" ht="17.9" hidden="false" customHeight="false" outlineLevel="0" collapsed="false">
      <c r="B514" s="10" t="s">
        <v>8614</v>
      </c>
      <c r="C514" s="10" t="s">
        <v>8615</v>
      </c>
      <c r="D514" s="10" t="s">
        <v>8616</v>
      </c>
      <c r="F514" s="17" t="str">
        <f aca="false">CONCATENATE(G514,", ",H514)</f>
        <v>อ.เมืองชลบุรี, จ.ชลบุรี</v>
      </c>
      <c r="G514" s="10" t="s">
        <v>8617</v>
      </c>
      <c r="H514" s="10" t="s">
        <v>5760</v>
      </c>
      <c r="I514" s="10" t="s">
        <v>5348</v>
      </c>
      <c r="J514" s="10" t="n">
        <v>20000</v>
      </c>
      <c r="K514" s="10" t="s">
        <v>8618</v>
      </c>
      <c r="M514" s="10" t="s">
        <v>8619</v>
      </c>
      <c r="P514" s="10" t="s">
        <v>5352</v>
      </c>
      <c r="Q514" s="10" t="s">
        <v>8620</v>
      </c>
      <c r="S514" s="10" t="s">
        <v>29</v>
      </c>
      <c r="T514" s="10" t="s">
        <v>29</v>
      </c>
      <c r="U514" s="10" t="s">
        <v>5377</v>
      </c>
      <c r="Z514" s="11" t="n">
        <v>1</v>
      </c>
    </row>
    <row r="515" customFormat="false" ht="17.9" hidden="false" customHeight="false" outlineLevel="0" collapsed="false">
      <c r="B515" s="10" t="s">
        <v>8621</v>
      </c>
      <c r="C515" s="10" t="s">
        <v>8622</v>
      </c>
      <c r="D515" s="10" t="s">
        <v>8623</v>
      </c>
      <c r="F515" s="17" t="str">
        <f aca="false">CONCATENATE(G515,", ",H515)</f>
        <v>เขตปทุมวัน, กรุงเทพมหานคร</v>
      </c>
      <c r="G515" s="10" t="s">
        <v>5514</v>
      </c>
      <c r="H515" s="10" t="s">
        <v>5449</v>
      </c>
      <c r="I515" s="10" t="s">
        <v>5348</v>
      </c>
      <c r="J515" s="10" t="n">
        <v>10330</v>
      </c>
      <c r="K515" s="10" t="s">
        <v>8624</v>
      </c>
      <c r="L515" s="10" t="s">
        <v>29</v>
      </c>
      <c r="M515" s="10" t="s">
        <v>8625</v>
      </c>
      <c r="P515" s="10" t="s">
        <v>5352</v>
      </c>
      <c r="S515" s="10" t="s">
        <v>8626</v>
      </c>
      <c r="T515" s="10" t="s">
        <v>8627</v>
      </c>
      <c r="U515" s="10" t="s">
        <v>5367</v>
      </c>
      <c r="Z515" s="11" t="n">
        <v>1</v>
      </c>
    </row>
    <row r="516" customFormat="false" ht="17.9" hidden="false" customHeight="false" outlineLevel="0" collapsed="false">
      <c r="B516" s="10" t="s">
        <v>8628</v>
      </c>
      <c r="C516" s="10" t="s">
        <v>8629</v>
      </c>
      <c r="D516" s="10" t="s">
        <v>8630</v>
      </c>
      <c r="F516" s="17" t="str">
        <f aca="false">CONCATENATE(G516,", ",H516)</f>
        <v>อ.นิคมพัฒนา, จ.ระยอง</v>
      </c>
      <c r="G516" s="10" t="s">
        <v>8631</v>
      </c>
      <c r="H516" s="10" t="s">
        <v>8632</v>
      </c>
      <c r="I516" s="10" t="s">
        <v>5348</v>
      </c>
      <c r="J516" s="10" t="n">
        <v>21180</v>
      </c>
      <c r="K516" s="10" t="s">
        <v>8633</v>
      </c>
      <c r="M516" s="10" t="s">
        <v>8634</v>
      </c>
      <c r="P516" s="10" t="s">
        <v>5352</v>
      </c>
      <c r="Q516" s="10" t="s">
        <v>8635</v>
      </c>
      <c r="S516" s="10" t="s">
        <v>29</v>
      </c>
      <c r="T516" s="10" t="s">
        <v>29</v>
      </c>
      <c r="U516" s="10" t="s">
        <v>5367</v>
      </c>
      <c r="Z516" s="11" t="n">
        <v>1</v>
      </c>
    </row>
    <row r="517" customFormat="false" ht="17.9" hidden="false" customHeight="false" outlineLevel="0" collapsed="false">
      <c r="B517" s="10" t="s">
        <v>8636</v>
      </c>
      <c r="C517" s="10" t="s">
        <v>8637</v>
      </c>
      <c r="D517" s="10" t="s">
        <v>8638</v>
      </c>
      <c r="F517" s="17" t="str">
        <f aca="false">CONCATENATE(G517,", ",H517)</f>
        <v>อ.ปากเกร็ด , จ.นนทบุรี</v>
      </c>
      <c r="G517" s="10" t="s">
        <v>8639</v>
      </c>
      <c r="H517" s="10" t="s">
        <v>5497</v>
      </c>
      <c r="I517" s="10" t="s">
        <v>5348</v>
      </c>
      <c r="J517" s="10" t="n">
        <v>11120</v>
      </c>
      <c r="K517" s="10" t="s">
        <v>8640</v>
      </c>
      <c r="L517" s="10" t="s">
        <v>29</v>
      </c>
      <c r="M517" s="10" t="s">
        <v>8641</v>
      </c>
      <c r="P517" s="10" t="s">
        <v>5352</v>
      </c>
      <c r="Q517" s="10" t="s">
        <v>8642</v>
      </c>
      <c r="S517" s="10" t="s">
        <v>29</v>
      </c>
      <c r="T517" s="10" t="s">
        <v>29</v>
      </c>
      <c r="U517" s="10" t="s">
        <v>5377</v>
      </c>
      <c r="Z517" s="11" t="n">
        <v>1</v>
      </c>
    </row>
    <row r="518" customFormat="false" ht="17.9" hidden="false" customHeight="false" outlineLevel="0" collapsed="false">
      <c r="B518" s="10" t="s">
        <v>8643</v>
      </c>
      <c r="C518" s="10" t="s">
        <v>8644</v>
      </c>
      <c r="D518" s="10" t="s">
        <v>8645</v>
      </c>
      <c r="F518" s="17" t="str">
        <f aca="false">CONCATENATE(G518,", ",H518)</f>
        <v>เขตห้วยขวาง, กรุงเทพมหานคร</v>
      </c>
      <c r="G518" s="10" t="s">
        <v>8646</v>
      </c>
      <c r="H518" s="10" t="s">
        <v>5449</v>
      </c>
      <c r="I518" s="10" t="s">
        <v>5348</v>
      </c>
      <c r="J518" s="10" t="n">
        <v>10310</v>
      </c>
      <c r="K518" s="10" t="s">
        <v>8647</v>
      </c>
      <c r="M518" s="10" t="s">
        <v>8648</v>
      </c>
      <c r="P518" s="10" t="s">
        <v>5352</v>
      </c>
      <c r="Q518" s="10" t="s">
        <v>8649</v>
      </c>
      <c r="S518" s="10" t="s">
        <v>29</v>
      </c>
      <c r="T518" s="10" t="s">
        <v>29</v>
      </c>
      <c r="U518" s="10" t="s">
        <v>5367</v>
      </c>
      <c r="Z518" s="11" t="n">
        <v>1</v>
      </c>
    </row>
    <row r="519" customFormat="false" ht="17.9" hidden="false" customHeight="false" outlineLevel="0" collapsed="false">
      <c r="B519" s="10" t="s">
        <v>8650</v>
      </c>
      <c r="C519" s="10" t="s">
        <v>8651</v>
      </c>
      <c r="D519" s="10" t="s">
        <v>8652</v>
      </c>
      <c r="F519" s="17" t="str">
        <f aca="false">CONCATENATE(G519,", ",H519)</f>
        <v>อ.สามพราน , จ.นครปฐม</v>
      </c>
      <c r="G519" s="10" t="s">
        <v>6273</v>
      </c>
      <c r="H519" s="10" t="s">
        <v>5957</v>
      </c>
      <c r="I519" s="10" t="s">
        <v>5348</v>
      </c>
      <c r="J519" s="10" t="n">
        <v>73210</v>
      </c>
      <c r="K519" s="10" t="s">
        <v>8653</v>
      </c>
      <c r="M519" s="10" t="s">
        <v>8654</v>
      </c>
      <c r="P519" s="10" t="s">
        <v>5352</v>
      </c>
      <c r="Q519" s="10" t="s">
        <v>8655</v>
      </c>
      <c r="S519" s="10" t="s">
        <v>29</v>
      </c>
      <c r="T519" s="10" t="s">
        <v>29</v>
      </c>
      <c r="U519" s="10" t="s">
        <v>5367</v>
      </c>
      <c r="Z519" s="11" t="n">
        <v>1</v>
      </c>
    </row>
    <row r="520" customFormat="false" ht="17.9" hidden="false" customHeight="false" outlineLevel="0" collapsed="false">
      <c r="B520" s="10" t="s">
        <v>8656</v>
      </c>
      <c r="C520" s="10" t="s">
        <v>8657</v>
      </c>
      <c r="D520" s="10" t="s">
        <v>8658</v>
      </c>
      <c r="F520" s="17" t="str">
        <f aca="false">CONCATENATE(G520,", ",H520)</f>
        <v>อ.เมือง, จ.สมุทรปราการ</v>
      </c>
      <c r="G520" s="10" t="s">
        <v>5346</v>
      </c>
      <c r="H520" s="10" t="s">
        <v>5965</v>
      </c>
      <c r="I520" s="10" t="s">
        <v>5348</v>
      </c>
      <c r="J520" s="10" t="n">
        <v>10280</v>
      </c>
      <c r="K520" s="10" t="s">
        <v>8659</v>
      </c>
      <c r="M520" s="10" t="s">
        <v>8660</v>
      </c>
      <c r="P520" s="10" t="s">
        <v>5352</v>
      </c>
      <c r="Q520" s="10" t="s">
        <v>8661</v>
      </c>
      <c r="S520" s="10" t="s">
        <v>29</v>
      </c>
      <c r="T520" s="10" t="s">
        <v>29</v>
      </c>
      <c r="U520" s="10" t="s">
        <v>5367</v>
      </c>
      <c r="Z520" s="11" t="n">
        <v>1</v>
      </c>
    </row>
    <row r="521" customFormat="false" ht="17.9" hidden="false" customHeight="false" outlineLevel="0" collapsed="false">
      <c r="B521" s="10" t="s">
        <v>8662</v>
      </c>
      <c r="C521" s="10" t="s">
        <v>8663</v>
      </c>
      <c r="D521" s="10" t="s">
        <v>8664</v>
      </c>
      <c r="F521" s="17" t="str">
        <f aca="false">CONCATENATE(G521,", ",H521)</f>
        <v>อ.บางพลี, จ.สมุทรปราการ</v>
      </c>
      <c r="G521" s="10" t="s">
        <v>5434</v>
      </c>
      <c r="H521" s="10" t="s">
        <v>5965</v>
      </c>
      <c r="I521" s="10" t="s">
        <v>5348</v>
      </c>
      <c r="J521" s="10" t="n">
        <v>10540</v>
      </c>
      <c r="K521" s="10" t="s">
        <v>8665</v>
      </c>
      <c r="M521" s="10" t="s">
        <v>8666</v>
      </c>
      <c r="P521" s="10" t="s">
        <v>5352</v>
      </c>
      <c r="Q521" s="10" t="s">
        <v>8667</v>
      </c>
      <c r="S521" s="10" t="s">
        <v>8668</v>
      </c>
      <c r="T521" s="10" t="s">
        <v>29</v>
      </c>
      <c r="U521" s="10" t="s">
        <v>5367</v>
      </c>
      <c r="V521" s="21" t="n">
        <v>0.1</v>
      </c>
      <c r="Z521" s="11" t="n">
        <v>1</v>
      </c>
    </row>
    <row r="522" customFormat="false" ht="17.9" hidden="false" customHeight="false" outlineLevel="0" collapsed="false">
      <c r="B522" s="10" t="s">
        <v>8669</v>
      </c>
      <c r="C522" s="10" t="s">
        <v>8670</v>
      </c>
      <c r="D522" s="10" t="s">
        <v>8671</v>
      </c>
      <c r="F522" s="17" t="str">
        <f aca="false">CONCATENATE(G522,", ",H522)</f>
        <v>อ.เมืองนนทบุรี, จ.นนทบุรี</v>
      </c>
      <c r="G522" s="10" t="s">
        <v>6283</v>
      </c>
      <c r="H522" s="10" t="s">
        <v>5497</v>
      </c>
      <c r="I522" s="10" t="s">
        <v>5348</v>
      </c>
      <c r="J522" s="10" t="n">
        <v>11000</v>
      </c>
      <c r="K522" s="10" t="s">
        <v>8672</v>
      </c>
      <c r="M522" s="10" t="s">
        <v>8673</v>
      </c>
      <c r="P522" s="10" t="s">
        <v>5352</v>
      </c>
      <c r="Q522" s="10" t="s">
        <v>8674</v>
      </c>
      <c r="S522" s="10" t="s">
        <v>29</v>
      </c>
      <c r="T522" s="10" t="s">
        <v>29</v>
      </c>
      <c r="U522" s="10" t="s">
        <v>5367</v>
      </c>
      <c r="Z522" s="11" t="n">
        <v>1</v>
      </c>
    </row>
    <row r="523" customFormat="false" ht="17.9" hidden="false" customHeight="false" outlineLevel="0" collapsed="false">
      <c r="B523" s="10" t="s">
        <v>8675</v>
      </c>
      <c r="C523" s="10" t="s">
        <v>8676</v>
      </c>
      <c r="D523" s="10" t="s">
        <v>8677</v>
      </c>
      <c r="F523" s="17" t="str">
        <f aca="false">CONCATENATE(G523,", ",H523)</f>
        <v>เขตหลักสี่, กรุงเทพมหานคร</v>
      </c>
      <c r="G523" s="10" t="s">
        <v>7195</v>
      </c>
      <c r="H523" s="10" t="s">
        <v>5449</v>
      </c>
      <c r="I523" s="10" t="s">
        <v>5348</v>
      </c>
      <c r="J523" s="10" t="n">
        <v>10210</v>
      </c>
      <c r="K523" s="10" t="s">
        <v>8678</v>
      </c>
      <c r="M523" s="10" t="s">
        <v>8679</v>
      </c>
      <c r="P523" s="10" t="s">
        <v>5352</v>
      </c>
      <c r="Q523" s="10" t="s">
        <v>8680</v>
      </c>
      <c r="S523" s="10" t="s">
        <v>29</v>
      </c>
      <c r="T523" s="10" t="s">
        <v>29</v>
      </c>
      <c r="U523" s="10" t="s">
        <v>5367</v>
      </c>
      <c r="Z523" s="11" t="n">
        <v>1</v>
      </c>
    </row>
    <row r="524" customFormat="false" ht="17.9" hidden="false" customHeight="false" outlineLevel="0" collapsed="false">
      <c r="B524" s="10" t="s">
        <v>8681</v>
      </c>
      <c r="C524" s="10" t="s">
        <v>8682</v>
      </c>
      <c r="D524" s="10" t="s">
        <v>8683</v>
      </c>
      <c r="F524" s="17" t="str">
        <f aca="false">CONCATENATE(G524,", ",H524)</f>
        <v>เขตสาทร , กรุงเทพมหานคร</v>
      </c>
      <c r="G524" s="10" t="s">
        <v>5863</v>
      </c>
      <c r="H524" s="10" t="s">
        <v>5449</v>
      </c>
      <c r="I524" s="10" t="s">
        <v>5348</v>
      </c>
      <c r="J524" s="10" t="n">
        <v>10120</v>
      </c>
      <c r="K524" s="10" t="s">
        <v>8684</v>
      </c>
      <c r="M524" s="10" t="s">
        <v>8685</v>
      </c>
      <c r="P524" s="10" t="s">
        <v>5352</v>
      </c>
      <c r="Q524" s="10" t="s">
        <v>8686</v>
      </c>
      <c r="S524" s="10" t="s">
        <v>29</v>
      </c>
      <c r="T524" s="10" t="s">
        <v>29</v>
      </c>
      <c r="U524" s="10" t="s">
        <v>5377</v>
      </c>
      <c r="Z524" s="11" t="n">
        <v>1</v>
      </c>
    </row>
    <row r="525" customFormat="false" ht="17.9" hidden="false" customHeight="false" outlineLevel="0" collapsed="false">
      <c r="B525" s="10" t="s">
        <v>8687</v>
      </c>
      <c r="C525" s="10" t="s">
        <v>8688</v>
      </c>
      <c r="D525" s="10" t="s">
        <v>8689</v>
      </c>
      <c r="F525" s="17" t="str">
        <f aca="false">CONCATENATE(G525,", ",H525)</f>
        <v>เขตยานนาวา, กรุงเทพมหานคร</v>
      </c>
      <c r="G525" s="10" t="s">
        <v>7154</v>
      </c>
      <c r="H525" s="10" t="s">
        <v>5449</v>
      </c>
      <c r="I525" s="10" t="s">
        <v>5348</v>
      </c>
      <c r="J525" s="10" t="n">
        <v>10120</v>
      </c>
      <c r="K525" s="10" t="s">
        <v>8690</v>
      </c>
      <c r="M525" s="10" t="s">
        <v>8691</v>
      </c>
      <c r="P525" s="10" t="s">
        <v>5352</v>
      </c>
      <c r="Q525" s="10" t="s">
        <v>8692</v>
      </c>
      <c r="S525" s="10" t="s">
        <v>8693</v>
      </c>
      <c r="T525" s="10" t="s">
        <v>29</v>
      </c>
      <c r="U525" s="10" t="s">
        <v>5367</v>
      </c>
      <c r="Z525" s="11" t="n">
        <v>1</v>
      </c>
    </row>
    <row r="526" customFormat="false" ht="17.9" hidden="false" customHeight="false" outlineLevel="0" collapsed="false">
      <c r="B526" s="10" t="s">
        <v>8694</v>
      </c>
      <c r="C526" s="10" t="s">
        <v>8695</v>
      </c>
      <c r="D526" s="10" t="s">
        <v>8696</v>
      </c>
      <c r="F526" s="17" t="str">
        <f aca="false">CONCATENATE(G526,", ",H526)</f>
        <v>อ.เมือง, จังหวัดนนทบุรี</v>
      </c>
      <c r="G526" s="10" t="s">
        <v>5346</v>
      </c>
      <c r="H526" s="10" t="s">
        <v>8697</v>
      </c>
      <c r="I526" s="10" t="s">
        <v>5348</v>
      </c>
      <c r="J526" s="10" t="n">
        <v>11000</v>
      </c>
      <c r="K526" s="10" t="s">
        <v>29</v>
      </c>
      <c r="L526" s="10" t="s">
        <v>29</v>
      </c>
      <c r="M526" s="10" t="s">
        <v>8698</v>
      </c>
      <c r="P526" s="10" t="s">
        <v>5352</v>
      </c>
      <c r="S526" s="10" t="s">
        <v>29</v>
      </c>
      <c r="T526" s="10" t="s">
        <v>29</v>
      </c>
      <c r="U526" s="10" t="s">
        <v>5367</v>
      </c>
      <c r="Z526" s="11" t="n">
        <v>1</v>
      </c>
    </row>
    <row r="527" customFormat="false" ht="17.9" hidden="false" customHeight="false" outlineLevel="0" collapsed="false">
      <c r="B527" s="10" t="s">
        <v>8699</v>
      </c>
      <c r="C527" s="10" t="s">
        <v>8700</v>
      </c>
      <c r="D527" s="10" t="s">
        <v>8701</v>
      </c>
      <c r="F527" s="17" t="str">
        <f aca="false">CONCATENATE(G527,", ",H527)</f>
        <v>เขตหลักสี่, กรุงเทพมหานคร</v>
      </c>
      <c r="G527" s="10" t="s">
        <v>7195</v>
      </c>
      <c r="H527" s="10" t="s">
        <v>5449</v>
      </c>
      <c r="I527" s="10" t="s">
        <v>5348</v>
      </c>
      <c r="J527" s="10" t="n">
        <v>10210</v>
      </c>
      <c r="K527" s="10" t="n">
        <v>1322</v>
      </c>
      <c r="M527" s="10" t="s">
        <v>8702</v>
      </c>
      <c r="P527" s="10" t="s">
        <v>5352</v>
      </c>
      <c r="S527" s="10" t="s">
        <v>29</v>
      </c>
      <c r="T527" s="10" t="s">
        <v>29</v>
      </c>
      <c r="U527" s="10" t="s">
        <v>5367</v>
      </c>
      <c r="Z527" s="11" t="n">
        <v>1</v>
      </c>
    </row>
    <row r="528" customFormat="false" ht="17.9" hidden="false" customHeight="false" outlineLevel="0" collapsed="false">
      <c r="B528" s="10" t="s">
        <v>8703</v>
      </c>
      <c r="C528" s="10" t="s">
        <v>8704</v>
      </c>
      <c r="D528" s="10" t="s">
        <v>8705</v>
      </c>
      <c r="F528" s="17" t="str">
        <f aca="false">CONCATENATE(G528,", ",H528)</f>
        <v>แขวงปทุมวัน, กรุงเทพมหานคร</v>
      </c>
      <c r="G528" s="10" t="s">
        <v>8706</v>
      </c>
      <c r="H528" s="10" t="s">
        <v>5449</v>
      </c>
      <c r="I528" s="10" t="s">
        <v>5348</v>
      </c>
      <c r="J528" s="10" t="n">
        <v>10330</v>
      </c>
      <c r="K528" s="10" t="s">
        <v>8707</v>
      </c>
      <c r="M528" s="10" t="s">
        <v>8708</v>
      </c>
      <c r="P528" s="10" t="s">
        <v>5352</v>
      </c>
      <c r="Q528" s="10" t="s">
        <v>8709</v>
      </c>
      <c r="S528" s="10" t="s">
        <v>8710</v>
      </c>
      <c r="T528" s="10" t="s">
        <v>29</v>
      </c>
      <c r="U528" s="10" t="s">
        <v>5377</v>
      </c>
      <c r="Z528" s="11" t="n">
        <v>1</v>
      </c>
    </row>
    <row r="529" customFormat="false" ht="17.9" hidden="false" customHeight="false" outlineLevel="0" collapsed="false">
      <c r="B529" s="10" t="s">
        <v>8711</v>
      </c>
      <c r="C529" s="10" t="s">
        <v>8712</v>
      </c>
      <c r="D529" s="10" t="s">
        <v>8713</v>
      </c>
      <c r="F529" s="17" t="str">
        <f aca="false">CONCATENATE(G529,", ",H529)</f>
        <v>อ.เมืองสมุทรปราการ, จ.สมุทรปราการ</v>
      </c>
      <c r="G529" s="10" t="s">
        <v>5483</v>
      </c>
      <c r="H529" s="10" t="s">
        <v>5965</v>
      </c>
      <c r="I529" s="10" t="s">
        <v>5348</v>
      </c>
      <c r="J529" s="10" t="n">
        <v>10270</v>
      </c>
      <c r="K529" s="10" t="s">
        <v>8714</v>
      </c>
      <c r="M529" s="10" t="s">
        <v>8715</v>
      </c>
      <c r="P529" s="10" t="s">
        <v>5352</v>
      </c>
      <c r="Q529" s="10" t="s">
        <v>8716</v>
      </c>
      <c r="S529" s="10" t="s">
        <v>29</v>
      </c>
      <c r="T529" s="10" t="s">
        <v>29</v>
      </c>
      <c r="U529" s="10" t="s">
        <v>5367</v>
      </c>
      <c r="Z529" s="11" t="n">
        <v>1</v>
      </c>
    </row>
    <row r="530" customFormat="false" ht="17.9" hidden="false" customHeight="false" outlineLevel="0" collapsed="false">
      <c r="B530" s="10" t="s">
        <v>8717</v>
      </c>
      <c r="C530" s="10" t="s">
        <v>8718</v>
      </c>
      <c r="D530" s="10" t="s">
        <v>8719</v>
      </c>
      <c r="F530" s="17" t="str">
        <f aca="false">CONCATENATE(G530,", ",H530)</f>
        <v>เขตสีลม, กรุงเทพมหานคร</v>
      </c>
      <c r="G530" s="10" t="s">
        <v>8720</v>
      </c>
      <c r="H530" s="10" t="s">
        <v>5449</v>
      </c>
      <c r="I530" s="10" t="s">
        <v>5348</v>
      </c>
      <c r="J530" s="10" t="n">
        <v>10500</v>
      </c>
      <c r="K530" s="10" t="s">
        <v>8721</v>
      </c>
      <c r="M530" s="10" t="s">
        <v>8722</v>
      </c>
      <c r="P530" s="10" t="s">
        <v>5352</v>
      </c>
      <c r="Q530" s="10" t="s">
        <v>8723</v>
      </c>
      <c r="S530" s="10" t="s">
        <v>29</v>
      </c>
      <c r="T530" s="10" t="s">
        <v>29</v>
      </c>
      <c r="U530" s="10" t="s">
        <v>5367</v>
      </c>
      <c r="Z530" s="11" t="n">
        <v>1</v>
      </c>
    </row>
    <row r="531" customFormat="false" ht="17.9" hidden="false" customHeight="false" outlineLevel="0" collapsed="false">
      <c r="B531" s="10" t="s">
        <v>8724</v>
      </c>
      <c r="C531" s="10" t="s">
        <v>8725</v>
      </c>
      <c r="D531" s="10" t="s">
        <v>8726</v>
      </c>
      <c r="F531" s="17" t="str">
        <f aca="false">CONCATENATE(G531,", ",H531)</f>
        <v>อ.บางพลี, จ.สมุทรปราการ</v>
      </c>
      <c r="G531" s="10" t="s">
        <v>5434</v>
      </c>
      <c r="H531" s="10" t="s">
        <v>5965</v>
      </c>
      <c r="I531" s="10" t="s">
        <v>5348</v>
      </c>
      <c r="J531" s="10" t="n">
        <v>10540</v>
      </c>
      <c r="K531" s="10" t="s">
        <v>8727</v>
      </c>
      <c r="L531" s="10" t="s">
        <v>8728</v>
      </c>
      <c r="M531" s="10" t="s">
        <v>8729</v>
      </c>
      <c r="P531" s="10" t="s">
        <v>5352</v>
      </c>
      <c r="Q531" s="10" t="s">
        <v>6205</v>
      </c>
      <c r="S531" s="10" t="s">
        <v>29</v>
      </c>
      <c r="T531" s="10" t="s">
        <v>29</v>
      </c>
      <c r="U531" s="10" t="s">
        <v>5377</v>
      </c>
      <c r="Z531" s="11" t="n">
        <v>1</v>
      </c>
    </row>
    <row r="532" customFormat="false" ht="17.9" hidden="false" customHeight="false" outlineLevel="0" collapsed="false">
      <c r="B532" s="10" t="s">
        <v>8730</v>
      </c>
      <c r="C532" s="10" t="s">
        <v>8731</v>
      </c>
      <c r="D532" s="10" t="s">
        <v>8732</v>
      </c>
      <c r="F532" s="17" t="str">
        <f aca="false">CONCATENATE(G532,", ",H532)</f>
        <v>อ.ลำลูกกา , จ.ปทุมธานี</v>
      </c>
      <c r="G532" s="10" t="s">
        <v>8733</v>
      </c>
      <c r="H532" s="10" t="s">
        <v>6404</v>
      </c>
      <c r="I532" s="10" t="s">
        <v>5348</v>
      </c>
      <c r="J532" s="10" t="n">
        <v>12150</v>
      </c>
      <c r="K532" s="10" t="s">
        <v>8734</v>
      </c>
      <c r="L532" s="10" t="s">
        <v>8735</v>
      </c>
      <c r="M532" s="10" t="s">
        <v>8736</v>
      </c>
      <c r="P532" s="10" t="s">
        <v>5352</v>
      </c>
      <c r="S532" s="10" t="s">
        <v>29</v>
      </c>
      <c r="T532" s="10" t="s">
        <v>29</v>
      </c>
      <c r="U532" s="10" t="s">
        <v>5377</v>
      </c>
      <c r="Z532" s="11" t="n">
        <v>1</v>
      </c>
    </row>
    <row r="533" customFormat="false" ht="17.9" hidden="false" customHeight="false" outlineLevel="0" collapsed="false">
      <c r="B533" s="10" t="s">
        <v>8737</v>
      </c>
      <c r="C533" s="10" t="s">
        <v>8738</v>
      </c>
      <c r="D533" s="10" t="s">
        <v>8739</v>
      </c>
      <c r="F533" s="17" t="str">
        <f aca="false">CONCATENATE(G533,", ",H533)</f>
        <v>อ.เมืองสมุทรสาคร , จ.สมุทรสาคร</v>
      </c>
      <c r="G533" s="10" t="s">
        <v>7513</v>
      </c>
      <c r="H533" s="10" t="s">
        <v>5347</v>
      </c>
      <c r="I533" s="10" t="s">
        <v>5348</v>
      </c>
      <c r="J533" s="10" t="n">
        <v>74000</v>
      </c>
      <c r="K533" s="10" t="s">
        <v>29</v>
      </c>
      <c r="L533" s="10" t="s">
        <v>29</v>
      </c>
      <c r="M533" s="10" t="s">
        <v>8740</v>
      </c>
      <c r="P533" s="10" t="s">
        <v>5352</v>
      </c>
      <c r="S533" s="10" t="s">
        <v>29</v>
      </c>
      <c r="T533" s="10" t="s">
        <v>29</v>
      </c>
      <c r="U533" s="10" t="s">
        <v>5367</v>
      </c>
      <c r="Z533" s="11" t="n">
        <v>1</v>
      </c>
    </row>
    <row r="534" customFormat="false" ht="17.9" hidden="false" customHeight="false" outlineLevel="0" collapsed="false">
      <c r="B534" s="10" t="s">
        <v>8741</v>
      </c>
      <c r="C534" s="10" t="s">
        <v>8742</v>
      </c>
      <c r="D534" s="10" t="s">
        <v>8743</v>
      </c>
      <c r="F534" s="17" t="str">
        <f aca="false">CONCATENATE(G534,", ",H534)</f>
        <v>เขตสายไหม, กรุงเทพมหานคร</v>
      </c>
      <c r="G534" s="10" t="s">
        <v>8744</v>
      </c>
      <c r="H534" s="10" t="s">
        <v>5449</v>
      </c>
      <c r="I534" s="10" t="s">
        <v>5348</v>
      </c>
      <c r="J534" s="10" t="n">
        <v>10220</v>
      </c>
      <c r="K534" s="10" t="s">
        <v>29</v>
      </c>
      <c r="L534" s="10" t="s">
        <v>29</v>
      </c>
      <c r="M534" s="10" t="s">
        <v>8745</v>
      </c>
      <c r="P534" s="10" t="s">
        <v>5352</v>
      </c>
      <c r="S534" s="10" t="s">
        <v>29</v>
      </c>
      <c r="T534" s="10" t="s">
        <v>29</v>
      </c>
      <c r="U534" s="10" t="s">
        <v>5367</v>
      </c>
      <c r="Z534" s="11" t="n">
        <v>1</v>
      </c>
    </row>
    <row r="535" customFormat="false" ht="17.9" hidden="false" customHeight="false" outlineLevel="0" collapsed="false">
      <c r="B535" s="10" t="s">
        <v>8746</v>
      </c>
      <c r="C535" s="10" t="s">
        <v>8747</v>
      </c>
      <c r="D535" s="10" t="s">
        <v>8748</v>
      </c>
      <c r="F535" s="17" t="str">
        <f aca="false">CONCATENATE(G535,", ",H535)</f>
        <v>เขตบางแค, กรุงเทพมหานคร</v>
      </c>
      <c r="G535" s="10" t="s">
        <v>8171</v>
      </c>
      <c r="H535" s="10" t="s">
        <v>5449</v>
      </c>
      <c r="I535" s="10" t="s">
        <v>5348</v>
      </c>
      <c r="J535" s="10" t="n">
        <v>10160</v>
      </c>
      <c r="K535" s="10" t="s">
        <v>8749</v>
      </c>
      <c r="M535" s="10" t="s">
        <v>8750</v>
      </c>
      <c r="P535" s="10" t="s">
        <v>5352</v>
      </c>
      <c r="Q535" s="10" t="s">
        <v>8751</v>
      </c>
      <c r="S535" s="10" t="s">
        <v>29</v>
      </c>
      <c r="T535" s="10" t="s">
        <v>29</v>
      </c>
      <c r="U535" s="10" t="s">
        <v>5367</v>
      </c>
      <c r="Z535" s="11" t="n">
        <v>1</v>
      </c>
    </row>
    <row r="536" customFormat="false" ht="17.9" hidden="false" customHeight="false" outlineLevel="0" collapsed="false">
      <c r="B536" s="10" t="s">
        <v>8752</v>
      </c>
      <c r="C536" s="10" t="s">
        <v>8753</v>
      </c>
      <c r="D536" s="10" t="s">
        <v>8754</v>
      </c>
      <c r="F536" s="17" t="str">
        <f aca="false">CONCATENATE(G536,", ",H536)</f>
        <v>อ.เมืองบึงกาฬ , จ.บึงกาฬ</v>
      </c>
      <c r="G536" s="10" t="s">
        <v>8755</v>
      </c>
      <c r="H536" s="10" t="s">
        <v>8756</v>
      </c>
      <c r="I536" s="10" t="s">
        <v>5348</v>
      </c>
      <c r="J536" s="10" t="n">
        <v>38000</v>
      </c>
      <c r="K536" s="10" t="s">
        <v>29</v>
      </c>
      <c r="L536" s="10" t="s">
        <v>29</v>
      </c>
      <c r="M536" s="10" t="s">
        <v>8757</v>
      </c>
      <c r="P536" s="10" t="s">
        <v>5352</v>
      </c>
      <c r="S536" s="10" t="s">
        <v>29</v>
      </c>
      <c r="T536" s="10" t="s">
        <v>29</v>
      </c>
      <c r="U536" s="10" t="s">
        <v>5367</v>
      </c>
      <c r="Z536" s="11" t="n">
        <v>1</v>
      </c>
    </row>
    <row r="537" customFormat="false" ht="17.9" hidden="false" customHeight="false" outlineLevel="0" collapsed="false">
      <c r="B537" s="10" t="s">
        <v>8758</v>
      </c>
      <c r="C537" s="10" t="s">
        <v>8759</v>
      </c>
      <c r="D537" s="10" t="s">
        <v>8760</v>
      </c>
      <c r="F537" s="17" t="str">
        <f aca="false">CONCATENATE(G537,", ",H537)</f>
        <v>เขตลาดพร้าว, กรุงเทพมหานคร</v>
      </c>
      <c r="G537" s="10" t="s">
        <v>5840</v>
      </c>
      <c r="H537" s="10" t="s">
        <v>5449</v>
      </c>
      <c r="I537" s="10" t="s">
        <v>5348</v>
      </c>
      <c r="J537" s="10" t="n">
        <v>10230</v>
      </c>
      <c r="K537" s="10" t="s">
        <v>8761</v>
      </c>
      <c r="M537" s="10" t="s">
        <v>8762</v>
      </c>
      <c r="P537" s="10" t="s">
        <v>5352</v>
      </c>
      <c r="Q537" s="10" t="s">
        <v>8763</v>
      </c>
      <c r="S537" s="10" t="s">
        <v>29</v>
      </c>
      <c r="T537" s="10" t="s">
        <v>29</v>
      </c>
      <c r="U537" s="10" t="s">
        <v>5367</v>
      </c>
      <c r="Z537" s="11" t="n">
        <v>1</v>
      </c>
    </row>
    <row r="538" customFormat="false" ht="15" hidden="false" customHeight="false" outlineLevel="0" collapsed="false">
      <c r="B538" s="10" t="s">
        <v>8764</v>
      </c>
      <c r="C538" s="10" t="s">
        <v>8765</v>
      </c>
      <c r="D538" s="10" t="s">
        <v>29</v>
      </c>
      <c r="F538" s="17" t="str">
        <f aca="false">CONCATENATE(G538,", ",H538)</f>
        <v>-, -</v>
      </c>
      <c r="G538" s="10" t="s">
        <v>29</v>
      </c>
      <c r="H538" s="10" t="s">
        <v>29</v>
      </c>
      <c r="I538" s="10" t="s">
        <v>5348</v>
      </c>
      <c r="J538" s="10" t="s">
        <v>29</v>
      </c>
      <c r="K538" s="10" t="s">
        <v>29</v>
      </c>
      <c r="M538" s="10" t="s">
        <v>29</v>
      </c>
      <c r="P538" s="10" t="s">
        <v>5352</v>
      </c>
      <c r="S538" s="10" t="s">
        <v>29</v>
      </c>
      <c r="T538" s="10" t="s">
        <v>29</v>
      </c>
      <c r="U538" s="10" t="s">
        <v>5367</v>
      </c>
      <c r="Z538" s="11" t="n">
        <v>1</v>
      </c>
    </row>
    <row r="539" customFormat="false" ht="17.9" hidden="false" customHeight="false" outlineLevel="0" collapsed="false">
      <c r="B539" s="10" t="s">
        <v>8766</v>
      </c>
      <c r="C539" s="10" t="s">
        <v>8767</v>
      </c>
      <c r="D539" s="10" t="s">
        <v>8768</v>
      </c>
      <c r="F539" s="17" t="str">
        <f aca="false">CONCATENATE(G539,", ",H539)</f>
        <v>เขตคลองสาน, กรุงเทพมหานคร</v>
      </c>
      <c r="G539" s="10" t="s">
        <v>5688</v>
      </c>
      <c r="H539" s="10" t="s">
        <v>5449</v>
      </c>
      <c r="I539" s="10" t="s">
        <v>5348</v>
      </c>
      <c r="J539" s="10" t="n">
        <v>10600</v>
      </c>
      <c r="K539" s="10" t="s">
        <v>8769</v>
      </c>
      <c r="M539" s="10" t="s">
        <v>8770</v>
      </c>
      <c r="P539" s="10" t="s">
        <v>5352</v>
      </c>
      <c r="S539" s="10" t="s">
        <v>8771</v>
      </c>
      <c r="T539" s="10" t="s">
        <v>29</v>
      </c>
      <c r="U539" s="10" t="s">
        <v>5367</v>
      </c>
      <c r="Z539" s="11" t="n">
        <v>1</v>
      </c>
    </row>
    <row r="540" customFormat="false" ht="17.9" hidden="false" customHeight="false" outlineLevel="0" collapsed="false">
      <c r="B540" s="10" t="s">
        <v>8772</v>
      </c>
      <c r="C540" s="10" t="s">
        <v>8773</v>
      </c>
      <c r="D540" s="10" t="s">
        <v>8774</v>
      </c>
      <c r="F540" s="17" t="str">
        <f aca="false">CONCATENATE(G540,", ",H540)</f>
        <v>อ.เมืองสมุทรปราการ , จ.สมุทรปราการ</v>
      </c>
      <c r="G540" s="10" t="s">
        <v>6934</v>
      </c>
      <c r="H540" s="10" t="s">
        <v>5965</v>
      </c>
      <c r="I540" s="10" t="s">
        <v>5348</v>
      </c>
      <c r="J540" s="10" t="n">
        <v>10270</v>
      </c>
      <c r="K540" s="10" t="s">
        <v>8775</v>
      </c>
      <c r="L540" s="10" t="s">
        <v>8776</v>
      </c>
      <c r="M540" s="10" t="s">
        <v>8777</v>
      </c>
      <c r="P540" s="10" t="s">
        <v>5352</v>
      </c>
      <c r="S540" s="10" t="s">
        <v>29</v>
      </c>
      <c r="T540" s="10" t="s">
        <v>29</v>
      </c>
      <c r="U540" s="10" t="s">
        <v>5367</v>
      </c>
      <c r="Z540" s="11" t="n">
        <v>1</v>
      </c>
    </row>
    <row r="541" customFormat="false" ht="17.9" hidden="false" customHeight="false" outlineLevel="0" collapsed="false">
      <c r="B541" s="10" t="s">
        <v>8778</v>
      </c>
      <c r="C541" s="10" t="s">
        <v>8779</v>
      </c>
      <c r="D541" s="10" t="s">
        <v>8780</v>
      </c>
      <c r="F541" s="17" t="str">
        <f aca="false">CONCATENATE(G541,", ",H541)</f>
        <v>เขตบางกอกใหญ่, กรุงเทพมหานคร</v>
      </c>
      <c r="G541" s="10" t="s">
        <v>6773</v>
      </c>
      <c r="H541" s="10" t="s">
        <v>5449</v>
      </c>
      <c r="I541" s="10" t="s">
        <v>5348</v>
      </c>
      <c r="J541" s="10" t="n">
        <v>11150</v>
      </c>
      <c r="K541" s="10" t="s">
        <v>8781</v>
      </c>
      <c r="M541" s="10" t="s">
        <v>8782</v>
      </c>
      <c r="P541" s="10" t="s">
        <v>5352</v>
      </c>
      <c r="Q541" s="10" t="s">
        <v>8783</v>
      </c>
      <c r="S541" s="10" t="s">
        <v>29</v>
      </c>
      <c r="T541" s="10" t="s">
        <v>29</v>
      </c>
      <c r="U541" s="10" t="s">
        <v>5367</v>
      </c>
      <c r="Z541" s="11" t="n">
        <v>1</v>
      </c>
    </row>
    <row r="542" customFormat="false" ht="17.9" hidden="false" customHeight="false" outlineLevel="0" collapsed="false">
      <c r="B542" s="10" t="s">
        <v>8784</v>
      </c>
      <c r="C542" s="10" t="s">
        <v>8785</v>
      </c>
      <c r="D542" s="10" t="s">
        <v>8786</v>
      </c>
      <c r="F542" s="17" t="str">
        <f aca="false">CONCATENATE(G542,", ",H542)</f>
        <v>อ.สวนหลวง, กรุงเทพมหานคร</v>
      </c>
      <c r="G542" s="10" t="s">
        <v>7988</v>
      </c>
      <c r="H542" s="10" t="s">
        <v>5449</v>
      </c>
      <c r="I542" s="10" t="s">
        <v>5348</v>
      </c>
      <c r="J542" s="10" t="n">
        <v>10250</v>
      </c>
      <c r="K542" s="10" t="s">
        <v>8787</v>
      </c>
      <c r="L542" s="10" t="s">
        <v>8788</v>
      </c>
      <c r="M542" s="10" t="s">
        <v>8789</v>
      </c>
      <c r="P542" s="10" t="s">
        <v>5352</v>
      </c>
      <c r="S542" s="10" t="s">
        <v>29</v>
      </c>
      <c r="T542" s="10" t="s">
        <v>29</v>
      </c>
      <c r="U542" s="10" t="s">
        <v>5367</v>
      </c>
      <c r="Z542" s="11" t="n">
        <v>1</v>
      </c>
    </row>
    <row r="543" customFormat="false" ht="17.9" hidden="false" customHeight="false" outlineLevel="0" collapsed="false">
      <c r="B543" s="10" t="s">
        <v>8790</v>
      </c>
      <c r="C543" s="10" t="s">
        <v>8791</v>
      </c>
      <c r="D543" s="10" t="s">
        <v>8792</v>
      </c>
      <c r="F543" s="17" t="str">
        <f aca="false">CONCATENATE(G543,", ",H543)</f>
        <v>อ.เมืองสมุทรปราการ, จ.สมุทรปราการ</v>
      </c>
      <c r="G543" s="10" t="s">
        <v>5483</v>
      </c>
      <c r="H543" s="10" t="s">
        <v>5965</v>
      </c>
      <c r="I543" s="10" t="s">
        <v>5348</v>
      </c>
      <c r="J543" s="10" t="n">
        <v>10280</v>
      </c>
      <c r="K543" s="10" t="s">
        <v>8793</v>
      </c>
      <c r="M543" s="10" t="s">
        <v>29</v>
      </c>
      <c r="P543" s="10" t="s">
        <v>5352</v>
      </c>
      <c r="S543" s="10" t="s">
        <v>8794</v>
      </c>
      <c r="T543" s="10" t="s">
        <v>29</v>
      </c>
      <c r="U543" s="10" t="s">
        <v>5367</v>
      </c>
      <c r="Z543" s="11" t="n">
        <v>1</v>
      </c>
    </row>
    <row r="544" customFormat="false" ht="17.9" hidden="false" customHeight="false" outlineLevel="0" collapsed="false">
      <c r="B544" s="10" t="s">
        <v>8795</v>
      </c>
      <c r="C544" s="10" t="s">
        <v>8796</v>
      </c>
      <c r="D544" s="10" t="s">
        <v>8797</v>
      </c>
      <c r="F544" s="17" t="str">
        <f aca="false">CONCATENATE(G544,", ",H544)</f>
        <v>อ.เมืองสมุทรปราการ , จ.สมุทรปราการ</v>
      </c>
      <c r="G544" s="10" t="s">
        <v>6934</v>
      </c>
      <c r="H544" s="10" t="s">
        <v>5965</v>
      </c>
      <c r="I544" s="10" t="s">
        <v>5348</v>
      </c>
      <c r="J544" s="10" t="n">
        <v>10270</v>
      </c>
      <c r="K544" s="10" t="s">
        <v>8798</v>
      </c>
      <c r="L544" s="10" t="s">
        <v>29</v>
      </c>
      <c r="M544" s="10" t="s">
        <v>8799</v>
      </c>
      <c r="P544" s="10" t="s">
        <v>5352</v>
      </c>
      <c r="S544" s="10" t="s">
        <v>29</v>
      </c>
      <c r="T544" s="10" t="s">
        <v>29</v>
      </c>
      <c r="U544" s="10" t="s">
        <v>5367</v>
      </c>
      <c r="Z544" s="11" t="n">
        <v>1</v>
      </c>
    </row>
    <row r="545" customFormat="false" ht="17.9" hidden="false" customHeight="false" outlineLevel="0" collapsed="false">
      <c r="B545" s="10" t="s">
        <v>8800</v>
      </c>
      <c r="C545" s="10" t="s">
        <v>8801</v>
      </c>
      <c r="D545" s="10" t="s">
        <v>8802</v>
      </c>
      <c r="F545" s="17" t="str">
        <f aca="false">CONCATENATE(G545,", ",H545)</f>
        <v>อ.บางพลี , จ.สมุทรปราการ</v>
      </c>
      <c r="G545" s="10" t="s">
        <v>7444</v>
      </c>
      <c r="H545" s="10" t="s">
        <v>5965</v>
      </c>
      <c r="I545" s="10" t="s">
        <v>5348</v>
      </c>
      <c r="J545" s="10" t="n">
        <v>10540</v>
      </c>
      <c r="K545" s="10" t="s">
        <v>8803</v>
      </c>
      <c r="L545" s="10" t="s">
        <v>8804</v>
      </c>
      <c r="M545" s="10" t="s">
        <v>29</v>
      </c>
      <c r="P545" s="10" t="s">
        <v>5352</v>
      </c>
      <c r="S545" s="10" t="s">
        <v>29</v>
      </c>
      <c r="T545" s="10" t="s">
        <v>29</v>
      </c>
      <c r="U545" s="10" t="s">
        <v>5367</v>
      </c>
      <c r="Z545" s="11" t="n">
        <v>1</v>
      </c>
    </row>
    <row r="546" customFormat="false" ht="17.9" hidden="false" customHeight="false" outlineLevel="0" collapsed="false">
      <c r="B546" s="10" t="s">
        <v>8805</v>
      </c>
      <c r="C546" s="10" t="s">
        <v>8806</v>
      </c>
      <c r="D546" s="10" t="s">
        <v>8807</v>
      </c>
      <c r="F546" s="17" t="str">
        <f aca="false">CONCATENATE(G546,", ",H546)</f>
        <v>อ.บางไทร, จ.พระนครศรีอยุธยา</v>
      </c>
      <c r="G546" s="10" t="s">
        <v>8808</v>
      </c>
      <c r="H546" s="10" t="s">
        <v>8809</v>
      </c>
      <c r="I546" s="10" t="s">
        <v>5348</v>
      </c>
      <c r="J546" s="10" t="n">
        <v>13190</v>
      </c>
      <c r="K546" s="10" t="s">
        <v>8810</v>
      </c>
      <c r="M546" s="10" t="s">
        <v>8811</v>
      </c>
      <c r="P546" s="10" t="s">
        <v>5352</v>
      </c>
      <c r="Q546" s="10" t="s">
        <v>8812</v>
      </c>
      <c r="S546" s="10" t="s">
        <v>29</v>
      </c>
      <c r="T546" s="10" t="s">
        <v>29</v>
      </c>
      <c r="U546" s="10" t="s">
        <v>5367</v>
      </c>
      <c r="Z546" s="11" t="n">
        <v>1</v>
      </c>
    </row>
    <row r="547" customFormat="false" ht="17.9" hidden="false" customHeight="false" outlineLevel="0" collapsed="false">
      <c r="B547" s="10" t="s">
        <v>8813</v>
      </c>
      <c r="C547" s="10" t="s">
        <v>8814</v>
      </c>
      <c r="D547" s="10" t="s">
        <v>8815</v>
      </c>
      <c r="F547" s="17" t="str">
        <f aca="false">CONCATENATE(G547,", ",H547)</f>
        <v>อ.วัดโบสถ์ , จ.พิษณุโลก</v>
      </c>
      <c r="G547" s="10" t="s">
        <v>8816</v>
      </c>
      <c r="H547" s="10" t="s">
        <v>8817</v>
      </c>
      <c r="I547" s="10" t="s">
        <v>5348</v>
      </c>
      <c r="J547" s="10" t="n">
        <v>65160</v>
      </c>
      <c r="K547" s="10" t="s">
        <v>29</v>
      </c>
      <c r="L547" s="10" t="s">
        <v>29</v>
      </c>
      <c r="M547" s="10" t="s">
        <v>8818</v>
      </c>
      <c r="P547" s="10" t="s">
        <v>5352</v>
      </c>
      <c r="S547" s="10" t="s">
        <v>29</v>
      </c>
      <c r="T547" s="10" t="s">
        <v>29</v>
      </c>
      <c r="U547" s="10" t="s">
        <v>5367</v>
      </c>
      <c r="Z547" s="11" t="n">
        <v>1</v>
      </c>
    </row>
    <row r="548" customFormat="false" ht="17.9" hidden="false" customHeight="false" outlineLevel="0" collapsed="false">
      <c r="B548" s="10" t="s">
        <v>8819</v>
      </c>
      <c r="C548" s="10" t="s">
        <v>8820</v>
      </c>
      <c r="D548" s="10" t="s">
        <v>8821</v>
      </c>
      <c r="F548" s="17" t="str">
        <f aca="false">CONCATENATE(G548,", ",H548)</f>
        <v>เขตบางซื่อ, กรุงเทพมหานคร</v>
      </c>
      <c r="G548" s="10" t="s">
        <v>6022</v>
      </c>
      <c r="H548" s="10" t="s">
        <v>5449</v>
      </c>
      <c r="I548" s="10" t="s">
        <v>5348</v>
      </c>
      <c r="J548" s="10" t="n">
        <v>10800</v>
      </c>
      <c r="K548" s="10" t="s">
        <v>29</v>
      </c>
      <c r="L548" s="10" t="s">
        <v>29</v>
      </c>
      <c r="M548" s="10" t="s">
        <v>8822</v>
      </c>
      <c r="P548" s="10" t="s">
        <v>5352</v>
      </c>
      <c r="S548" s="10" t="s">
        <v>8823</v>
      </c>
      <c r="T548" s="10" t="s">
        <v>8824</v>
      </c>
      <c r="U548" s="10" t="s">
        <v>5367</v>
      </c>
      <c r="Z548" s="11" t="n">
        <v>1</v>
      </c>
    </row>
    <row r="549" customFormat="false" ht="17.9" hidden="false" customHeight="false" outlineLevel="0" collapsed="false">
      <c r="B549" s="10" t="s">
        <v>8825</v>
      </c>
      <c r="C549" s="10" t="s">
        <v>8826</v>
      </c>
      <c r="D549" s="10" t="s">
        <v>8827</v>
      </c>
      <c r="F549" s="17" t="str">
        <f aca="false">CONCATENATE(G549,", ",H549)</f>
        <v>อ.พิบูลมังสาหาร , จ.อุบลราชธานี</v>
      </c>
      <c r="G549" s="10" t="s">
        <v>8828</v>
      </c>
      <c r="H549" s="10" t="s">
        <v>8829</v>
      </c>
      <c r="I549" s="10" t="s">
        <v>5348</v>
      </c>
      <c r="J549" s="10" t="n">
        <v>34110</v>
      </c>
      <c r="K549" s="10" t="s">
        <v>29</v>
      </c>
      <c r="L549" s="10" t="s">
        <v>29</v>
      </c>
      <c r="M549" s="10" t="s">
        <v>8830</v>
      </c>
      <c r="P549" s="10" t="s">
        <v>5352</v>
      </c>
      <c r="S549" s="10" t="s">
        <v>29</v>
      </c>
      <c r="T549" s="10" t="s">
        <v>29</v>
      </c>
      <c r="U549" s="10" t="s">
        <v>5367</v>
      </c>
      <c r="Z549" s="11" t="n">
        <v>1</v>
      </c>
    </row>
    <row r="550" customFormat="false" ht="17.9" hidden="false" customHeight="false" outlineLevel="0" collapsed="false">
      <c r="B550" s="10" t="s">
        <v>8831</v>
      </c>
      <c r="C550" s="10" t="s">
        <v>8832</v>
      </c>
      <c r="D550" s="10" t="s">
        <v>8833</v>
      </c>
      <c r="F550" s="17" t="str">
        <f aca="false">CONCATENATE(G550,", ",H550)</f>
        <v>อ.ร้องกวาง, จ.แพร่</v>
      </c>
      <c r="G550" s="10" t="s">
        <v>8834</v>
      </c>
      <c r="H550" s="10" t="s">
        <v>7899</v>
      </c>
      <c r="I550" s="10" t="s">
        <v>5348</v>
      </c>
      <c r="J550" s="10" t="n">
        <v>54140</v>
      </c>
      <c r="K550" s="10" t="s">
        <v>29</v>
      </c>
      <c r="L550" s="10" t="s">
        <v>29</v>
      </c>
      <c r="M550" s="10" t="s">
        <v>8835</v>
      </c>
      <c r="P550" s="10" t="s">
        <v>5352</v>
      </c>
      <c r="S550" s="10" t="s">
        <v>29</v>
      </c>
      <c r="T550" s="10" t="s">
        <v>29</v>
      </c>
      <c r="U550" s="10" t="s">
        <v>5367</v>
      </c>
      <c r="Z550" s="11" t="n">
        <v>1</v>
      </c>
    </row>
    <row r="551" customFormat="false" ht="17.9" hidden="false" customHeight="false" outlineLevel="0" collapsed="false">
      <c r="B551" s="10" t="s">
        <v>8836</v>
      </c>
      <c r="C551" s="10" t="s">
        <v>8837</v>
      </c>
      <c r="D551" s="10" t="s">
        <v>8838</v>
      </c>
      <c r="F551" s="17" t="str">
        <f aca="false">CONCATENATE(G551,", ",H551)</f>
        <v>อ.บางพลี, จ.สมุทรปราการ</v>
      </c>
      <c r="G551" s="10" t="s">
        <v>5434</v>
      </c>
      <c r="H551" s="10" t="s">
        <v>5965</v>
      </c>
      <c r="I551" s="10" t="s">
        <v>5348</v>
      </c>
      <c r="J551" s="10" t="n">
        <v>10280</v>
      </c>
      <c r="K551" s="10" t="s">
        <v>8839</v>
      </c>
      <c r="M551" s="10" t="s">
        <v>8840</v>
      </c>
      <c r="P551" s="10" t="s">
        <v>5352</v>
      </c>
      <c r="S551" s="10" t="s">
        <v>29</v>
      </c>
      <c r="T551" s="10" t="s">
        <v>29</v>
      </c>
      <c r="U551" s="10" t="s">
        <v>5367</v>
      </c>
      <c r="Z551" s="11" t="n">
        <v>1</v>
      </c>
    </row>
    <row r="552" customFormat="false" ht="17.9" hidden="false" customHeight="false" outlineLevel="0" collapsed="false">
      <c r="B552" s="10" t="s">
        <v>8841</v>
      </c>
      <c r="C552" s="10" t="s">
        <v>8842</v>
      </c>
      <c r="D552" s="10" t="s">
        <v>8843</v>
      </c>
      <c r="F552" s="17" t="str">
        <f aca="false">CONCATENATE(G552,", ",H552)</f>
        <v>อ.ปง, จ.พะเยา</v>
      </c>
      <c r="G552" s="10" t="s">
        <v>8844</v>
      </c>
      <c r="H552" s="10" t="s">
        <v>8845</v>
      </c>
      <c r="I552" s="10" t="s">
        <v>5348</v>
      </c>
      <c r="J552" s="10" t="n">
        <v>56140</v>
      </c>
      <c r="K552" s="10" t="s">
        <v>29</v>
      </c>
      <c r="L552" s="10" t="s">
        <v>29</v>
      </c>
      <c r="M552" s="10" t="s">
        <v>8846</v>
      </c>
      <c r="P552" s="10" t="s">
        <v>5352</v>
      </c>
      <c r="S552" s="10" t="s">
        <v>29</v>
      </c>
      <c r="T552" s="10" t="s">
        <v>29</v>
      </c>
      <c r="U552" s="10" t="s">
        <v>5367</v>
      </c>
      <c r="Z552" s="11" t="n">
        <v>1</v>
      </c>
    </row>
    <row r="553" customFormat="false" ht="17.9" hidden="false" customHeight="false" outlineLevel="0" collapsed="false">
      <c r="B553" s="10" t="s">
        <v>8847</v>
      </c>
      <c r="C553" s="10" t="s">
        <v>8848</v>
      </c>
      <c r="D553" s="10" t="s">
        <v>8849</v>
      </c>
      <c r="F553" s="17" t="str">
        <f aca="false">CONCATENATE(G553,", ",H553)</f>
        <v>เขตคลองสามวา, กรุงเทพมหานคร</v>
      </c>
      <c r="G553" s="10" t="s">
        <v>6190</v>
      </c>
      <c r="H553" s="10" t="s">
        <v>5449</v>
      </c>
      <c r="I553" s="10" t="s">
        <v>5348</v>
      </c>
      <c r="J553" s="10" t="s">
        <v>5513</v>
      </c>
      <c r="K553" s="10" t="s">
        <v>6570</v>
      </c>
      <c r="M553" s="10" t="s">
        <v>8850</v>
      </c>
      <c r="P553" s="10" t="s">
        <v>5352</v>
      </c>
      <c r="Q553" s="10" t="s">
        <v>8851</v>
      </c>
      <c r="S553" s="10" t="s">
        <v>29</v>
      </c>
      <c r="T553" s="10" t="s">
        <v>29</v>
      </c>
      <c r="U553" s="10" t="s">
        <v>5367</v>
      </c>
      <c r="Z553" s="11" t="n">
        <v>1</v>
      </c>
    </row>
    <row r="554" customFormat="false" ht="17.9" hidden="false" customHeight="false" outlineLevel="0" collapsed="false">
      <c r="B554" s="10" t="s">
        <v>8852</v>
      </c>
      <c r="C554" s="10" t="s">
        <v>8853</v>
      </c>
      <c r="D554" s="10" t="s">
        <v>8854</v>
      </c>
      <c r="F554" s="17" t="str">
        <f aca="false">CONCATENATE(G554,", ",H554)</f>
        <v>อ.บางพลี, จ.สมุทรปราการ</v>
      </c>
      <c r="G554" s="10" t="s">
        <v>5434</v>
      </c>
      <c r="H554" s="10" t="s">
        <v>5965</v>
      </c>
      <c r="I554" s="10" t="s">
        <v>5348</v>
      </c>
      <c r="J554" s="10" t="n">
        <v>10540</v>
      </c>
      <c r="K554" s="10" t="s">
        <v>29</v>
      </c>
      <c r="L554" s="10" t="s">
        <v>29</v>
      </c>
      <c r="M554" s="10" t="s">
        <v>8855</v>
      </c>
      <c r="P554" s="10" t="s">
        <v>5352</v>
      </c>
      <c r="S554" s="10" t="s">
        <v>29</v>
      </c>
      <c r="T554" s="10" t="s">
        <v>29</v>
      </c>
      <c r="U554" s="10" t="s">
        <v>5367</v>
      </c>
      <c r="Z554" s="11" t="n">
        <v>1</v>
      </c>
    </row>
    <row r="555" customFormat="false" ht="17.9" hidden="false" customHeight="false" outlineLevel="0" collapsed="false">
      <c r="B555" s="10" t="s">
        <v>8856</v>
      </c>
      <c r="C555" s="10" t="s">
        <v>8857</v>
      </c>
      <c r="D555" s="10" t="s">
        <v>8858</v>
      </c>
      <c r="F555" s="17" t="str">
        <f aca="false">CONCATENATE(G555,", ",H555)</f>
        <v>อ.หล่มรัก, จ.เพรชบูรณ์</v>
      </c>
      <c r="G555" s="10" t="s">
        <v>8859</v>
      </c>
      <c r="H555" s="10" t="s">
        <v>8860</v>
      </c>
      <c r="I555" s="10" t="s">
        <v>5348</v>
      </c>
      <c r="J555" s="10" t="n">
        <v>67110</v>
      </c>
      <c r="K555" s="10" t="s">
        <v>29</v>
      </c>
      <c r="L555" s="10" t="s">
        <v>29</v>
      </c>
      <c r="M555" s="10" t="s">
        <v>8861</v>
      </c>
      <c r="P555" s="10" t="s">
        <v>5352</v>
      </c>
      <c r="S555" s="10" t="s">
        <v>29</v>
      </c>
      <c r="T555" s="10" t="s">
        <v>29</v>
      </c>
      <c r="U555" s="10" t="s">
        <v>5367</v>
      </c>
      <c r="Z555" s="11" t="n">
        <v>1</v>
      </c>
    </row>
    <row r="556" customFormat="false" ht="17.9" hidden="false" customHeight="false" outlineLevel="0" collapsed="false">
      <c r="B556" s="10" t="s">
        <v>8862</v>
      </c>
      <c r="C556" s="10" t="s">
        <v>8863</v>
      </c>
      <c r="D556" s="10" t="s">
        <v>8864</v>
      </c>
      <c r="F556" s="17" t="str">
        <f aca="false">CONCATENATE(G556,", ",H556)</f>
        <v>อ.ชนแดน, จ.เพชรบูรณ์</v>
      </c>
      <c r="G556" s="10" t="s">
        <v>8865</v>
      </c>
      <c r="H556" s="10" t="s">
        <v>8866</v>
      </c>
      <c r="I556" s="10" t="s">
        <v>5348</v>
      </c>
      <c r="J556" s="10" t="n">
        <v>67150</v>
      </c>
      <c r="K556" s="10" t="s">
        <v>29</v>
      </c>
      <c r="L556" s="10" t="s">
        <v>29</v>
      </c>
      <c r="M556" s="10" t="s">
        <v>8867</v>
      </c>
      <c r="P556" s="10" t="s">
        <v>5352</v>
      </c>
      <c r="S556" s="10" t="s">
        <v>8868</v>
      </c>
      <c r="T556" s="10" t="s">
        <v>29</v>
      </c>
      <c r="U556" s="10" t="s">
        <v>5367</v>
      </c>
      <c r="Z556" s="11" t="n">
        <v>1</v>
      </c>
    </row>
    <row r="557" customFormat="false" ht="17.9" hidden="false" customHeight="false" outlineLevel="0" collapsed="false">
      <c r="B557" s="10" t="s">
        <v>8869</v>
      </c>
      <c r="C557" s="10" t="s">
        <v>8323</v>
      </c>
      <c r="D557" s="10" t="s">
        <v>8870</v>
      </c>
      <c r="F557" s="17" t="str">
        <f aca="false">CONCATENATE(G557,", ",H557)</f>
        <v>อ.ปักธงชัย, จ.นครราชสีมา</v>
      </c>
      <c r="G557" s="10" t="s">
        <v>8871</v>
      </c>
      <c r="H557" s="10" t="s">
        <v>6840</v>
      </c>
      <c r="I557" s="10" t="s">
        <v>5348</v>
      </c>
      <c r="J557" s="10" t="n">
        <v>30150</v>
      </c>
      <c r="K557" s="10" t="s">
        <v>29</v>
      </c>
      <c r="L557" s="10" t="s">
        <v>29</v>
      </c>
      <c r="M557" s="10" t="s">
        <v>8327</v>
      </c>
      <c r="P557" s="10" t="s">
        <v>5352</v>
      </c>
      <c r="S557" s="10" t="s">
        <v>29</v>
      </c>
      <c r="T557" s="10" t="s">
        <v>29</v>
      </c>
      <c r="U557" s="10" t="s">
        <v>5367</v>
      </c>
      <c r="Z557" s="11" t="n">
        <v>1</v>
      </c>
    </row>
    <row r="558" customFormat="false" ht="17.9" hidden="false" customHeight="false" outlineLevel="0" collapsed="false">
      <c r="B558" s="10" t="s">
        <v>8872</v>
      </c>
      <c r="C558" s="10" t="s">
        <v>8873</v>
      </c>
      <c r="D558" s="10" t="s">
        <v>8874</v>
      </c>
      <c r="F558" s="17" t="str">
        <f aca="false">CONCATENATE(G558,", ",H558)</f>
        <v>อ.ศรีราชา , จ.ชลบุรี</v>
      </c>
      <c r="G558" s="10" t="s">
        <v>8875</v>
      </c>
      <c r="H558" s="10" t="s">
        <v>5760</v>
      </c>
      <c r="I558" s="10" t="s">
        <v>5348</v>
      </c>
      <c r="J558" s="10" t="n">
        <v>20110</v>
      </c>
      <c r="K558" s="10" t="s">
        <v>8876</v>
      </c>
      <c r="L558" s="10" t="s">
        <v>8877</v>
      </c>
      <c r="M558" s="10" t="s">
        <v>8878</v>
      </c>
      <c r="P558" s="10" t="s">
        <v>5352</v>
      </c>
      <c r="Q558" s="10" t="s">
        <v>8879</v>
      </c>
      <c r="S558" s="10" t="s">
        <v>29</v>
      </c>
      <c r="T558" s="10" t="s">
        <v>29</v>
      </c>
      <c r="U558" s="10" t="s">
        <v>5367</v>
      </c>
      <c r="Z558" s="11" t="n">
        <v>1</v>
      </c>
    </row>
    <row r="559" customFormat="false" ht="17.9" hidden="false" customHeight="false" outlineLevel="0" collapsed="false">
      <c r="B559" s="10" t="s">
        <v>8880</v>
      </c>
      <c r="C559" s="10" t="s">
        <v>8881</v>
      </c>
      <c r="D559" s="10" t="s">
        <v>8882</v>
      </c>
      <c r="F559" s="17" t="str">
        <f aca="false">CONCATENATE(G559,", ",H559)</f>
        <v>เขตคลองเตย, กรุงเทพมหานคร</v>
      </c>
      <c r="G559" s="10" t="s">
        <v>5576</v>
      </c>
      <c r="H559" s="10" t="s">
        <v>5449</v>
      </c>
      <c r="I559" s="10" t="s">
        <v>5348</v>
      </c>
      <c r="J559" s="10" t="n">
        <v>10260</v>
      </c>
      <c r="K559" s="10" t="s">
        <v>8883</v>
      </c>
      <c r="L559" s="10" t="s">
        <v>29</v>
      </c>
      <c r="M559" s="10" t="s">
        <v>8884</v>
      </c>
      <c r="P559" s="10" t="s">
        <v>5352</v>
      </c>
      <c r="S559" s="10" t="s">
        <v>29</v>
      </c>
      <c r="T559" s="10" t="s">
        <v>29</v>
      </c>
      <c r="U559" s="10" t="s">
        <v>5367</v>
      </c>
      <c r="Z559" s="11" t="n">
        <v>1</v>
      </c>
    </row>
    <row r="560" customFormat="false" ht="17.9" hidden="false" customHeight="false" outlineLevel="0" collapsed="false">
      <c r="B560" s="10" t="s">
        <v>8885</v>
      </c>
      <c r="C560" s="10" t="s">
        <v>8886</v>
      </c>
      <c r="D560" s="10" t="s">
        <v>8887</v>
      </c>
      <c r="F560" s="17" t="str">
        <f aca="false">CONCATENATE(G560,", ",H560)</f>
        <v>อ.บางบัวทอง , จ.ปทุมธานี</v>
      </c>
      <c r="G560" s="10" t="s">
        <v>6535</v>
      </c>
      <c r="H560" s="10" t="s">
        <v>7163</v>
      </c>
      <c r="I560" s="10" t="s">
        <v>5348</v>
      </c>
      <c r="J560" s="10" t="n">
        <v>11110</v>
      </c>
      <c r="K560" s="10" t="s">
        <v>29</v>
      </c>
      <c r="L560" s="10" t="s">
        <v>29</v>
      </c>
      <c r="M560" s="10" t="s">
        <v>8888</v>
      </c>
      <c r="P560" s="10" t="s">
        <v>5352</v>
      </c>
      <c r="S560" s="10" t="s">
        <v>29</v>
      </c>
      <c r="T560" s="10" t="s">
        <v>29</v>
      </c>
      <c r="U560" s="10" t="s">
        <v>5367</v>
      </c>
      <c r="Z560" s="11" t="n">
        <v>1</v>
      </c>
    </row>
    <row r="561" customFormat="false" ht="17.9" hidden="false" customHeight="false" outlineLevel="0" collapsed="false">
      <c r="B561" s="10" t="s">
        <v>8889</v>
      </c>
      <c r="C561" s="10" t="s">
        <v>8890</v>
      </c>
      <c r="D561" s="10" t="s">
        <v>8891</v>
      </c>
      <c r="F561" s="17" t="str">
        <f aca="false">CONCATENATE(G561,", ",H561)</f>
        <v>อ.ห้วยหับหัน , จ.ศรีสะเกษ</v>
      </c>
      <c r="G561" s="10" t="s">
        <v>8892</v>
      </c>
      <c r="H561" s="10" t="s">
        <v>7965</v>
      </c>
      <c r="I561" s="10" t="s">
        <v>5348</v>
      </c>
      <c r="J561" s="10" t="n">
        <v>33210</v>
      </c>
      <c r="K561" s="10" t="s">
        <v>29</v>
      </c>
      <c r="L561" s="10" t="s">
        <v>29</v>
      </c>
      <c r="M561" s="10" t="s">
        <v>8893</v>
      </c>
      <c r="P561" s="10" t="s">
        <v>5352</v>
      </c>
      <c r="S561" s="10" t="s">
        <v>29</v>
      </c>
      <c r="T561" s="10" t="s">
        <v>29</v>
      </c>
      <c r="U561" s="10" t="s">
        <v>5367</v>
      </c>
      <c r="Z561" s="11" t="n">
        <v>1</v>
      </c>
    </row>
    <row r="562" customFormat="false" ht="17.9" hidden="false" customHeight="false" outlineLevel="0" collapsed="false">
      <c r="B562" s="10" t="s">
        <v>8894</v>
      </c>
      <c r="C562" s="10" t="s">
        <v>8895</v>
      </c>
      <c r="D562" s="10" t="s">
        <v>8896</v>
      </c>
      <c r="F562" s="17" t="str">
        <f aca="false">CONCATENATE(G562,", ",H562)</f>
        <v>อ.บางพลี , จ.สมุทรปราการ</v>
      </c>
      <c r="G562" s="10" t="s">
        <v>7444</v>
      </c>
      <c r="H562" s="10" t="s">
        <v>5965</v>
      </c>
      <c r="I562" s="10" t="s">
        <v>5348</v>
      </c>
      <c r="J562" s="10" t="n">
        <v>10540</v>
      </c>
      <c r="K562" s="10" t="s">
        <v>29</v>
      </c>
      <c r="L562" s="10" t="s">
        <v>8897</v>
      </c>
      <c r="M562" s="10" t="s">
        <v>8898</v>
      </c>
      <c r="P562" s="10" t="s">
        <v>5352</v>
      </c>
      <c r="S562" s="10" t="s">
        <v>29</v>
      </c>
      <c r="T562" s="10" t="s">
        <v>29</v>
      </c>
      <c r="U562" s="10" t="s">
        <v>5367</v>
      </c>
      <c r="Z562" s="11" t="n">
        <v>1</v>
      </c>
    </row>
    <row r="563" customFormat="false" ht="17.9" hidden="false" customHeight="false" outlineLevel="0" collapsed="false">
      <c r="B563" s="10" t="s">
        <v>8899</v>
      </c>
      <c r="C563" s="10" t="s">
        <v>8900</v>
      </c>
      <c r="D563" s="10" t="s">
        <v>8901</v>
      </c>
      <c r="F563" s="17" t="str">
        <f aca="false">CONCATENATE(G563,", ",H563)</f>
        <v>อ.หนองหาน , จ.อุดาธานี</v>
      </c>
      <c r="G563" s="10" t="s">
        <v>8902</v>
      </c>
      <c r="H563" s="10" t="s">
        <v>8903</v>
      </c>
      <c r="I563" s="10" t="s">
        <v>5348</v>
      </c>
      <c r="J563" s="10" t="n">
        <v>41130</v>
      </c>
      <c r="K563" s="10" t="s">
        <v>29</v>
      </c>
      <c r="L563" s="10" t="s">
        <v>29</v>
      </c>
      <c r="M563" s="10" t="s">
        <v>8904</v>
      </c>
      <c r="P563" s="10" t="s">
        <v>5352</v>
      </c>
      <c r="S563" s="10" t="s">
        <v>29</v>
      </c>
      <c r="T563" s="10" t="s">
        <v>29</v>
      </c>
      <c r="U563" s="10" t="s">
        <v>5367</v>
      </c>
      <c r="Z563" s="11" t="n">
        <v>1</v>
      </c>
    </row>
    <row r="564" customFormat="false" ht="17.9" hidden="false" customHeight="false" outlineLevel="0" collapsed="false">
      <c r="B564" s="10" t="s">
        <v>8905</v>
      </c>
      <c r="C564" s="10" t="s">
        <v>8906</v>
      </c>
      <c r="D564" s="10" t="s">
        <v>8907</v>
      </c>
      <c r="F564" s="17" t="str">
        <f aca="false">CONCATENATE(G564,", ",H564)</f>
        <v>อำเภอ พยุหะคีรี , จ.นครสวรรค์</v>
      </c>
      <c r="G564" s="10" t="s">
        <v>8908</v>
      </c>
      <c r="H564" s="10" t="s">
        <v>8909</v>
      </c>
      <c r="I564" s="10" t="s">
        <v>5348</v>
      </c>
      <c r="J564" s="10" t="n">
        <v>60130</v>
      </c>
      <c r="K564" s="10" t="s">
        <v>8910</v>
      </c>
      <c r="M564" s="10" t="s">
        <v>8911</v>
      </c>
      <c r="P564" s="10" t="s">
        <v>5352</v>
      </c>
      <c r="Q564" s="10" t="s">
        <v>8538</v>
      </c>
      <c r="S564" s="10" t="s">
        <v>8912</v>
      </c>
      <c r="T564" s="10" t="s">
        <v>29</v>
      </c>
      <c r="U564" s="10" t="s">
        <v>5367</v>
      </c>
      <c r="Z564" s="11" t="n">
        <v>1</v>
      </c>
    </row>
    <row r="565" customFormat="false" ht="17.9" hidden="false" customHeight="false" outlineLevel="0" collapsed="false">
      <c r="B565" s="10" t="s">
        <v>8913</v>
      </c>
      <c r="C565" s="10" t="s">
        <v>8914</v>
      </c>
      <c r="D565" s="10" t="s">
        <v>8915</v>
      </c>
      <c r="F565" s="17" t="str">
        <f aca="false">CONCATENATE(G565,", ",H565)</f>
        <v>อ.บางพลี , จ.สมุทรปราการ</v>
      </c>
      <c r="G565" s="10" t="s">
        <v>7444</v>
      </c>
      <c r="H565" s="10" t="s">
        <v>5965</v>
      </c>
      <c r="I565" s="10" t="s">
        <v>5348</v>
      </c>
      <c r="J565" s="10" t="n">
        <v>10540</v>
      </c>
      <c r="K565" s="10" t="s">
        <v>29</v>
      </c>
      <c r="L565" s="10" t="s">
        <v>29</v>
      </c>
      <c r="M565" s="10" t="s">
        <v>8911</v>
      </c>
      <c r="P565" s="10" t="s">
        <v>5352</v>
      </c>
      <c r="S565" s="10" t="s">
        <v>8916</v>
      </c>
      <c r="T565" s="10" t="s">
        <v>29</v>
      </c>
      <c r="U565" s="10" t="s">
        <v>5367</v>
      </c>
      <c r="Z565" s="11" t="n">
        <v>1</v>
      </c>
    </row>
    <row r="566" customFormat="false" ht="17.9" hidden="false" customHeight="false" outlineLevel="0" collapsed="false">
      <c r="B566" s="10" t="s">
        <v>8917</v>
      </c>
      <c r="C566" s="10" t="s">
        <v>8918</v>
      </c>
      <c r="D566" s="10" t="s">
        <v>8919</v>
      </c>
      <c r="F566" s="17" t="str">
        <f aca="false">CONCATENATE(G566,", ",H566)</f>
        <v>เขตวัฒนา, กรุงเทพมหานคร</v>
      </c>
      <c r="G566" s="10" t="s">
        <v>5381</v>
      </c>
      <c r="H566" s="10" t="s">
        <v>5449</v>
      </c>
      <c r="I566" s="10" t="s">
        <v>5348</v>
      </c>
      <c r="J566" s="10" t="n">
        <v>10330</v>
      </c>
      <c r="K566" s="10" t="s">
        <v>8920</v>
      </c>
      <c r="L566" s="10" t="s">
        <v>8921</v>
      </c>
      <c r="M566" s="10" t="s">
        <v>8922</v>
      </c>
      <c r="P566" s="10" t="s">
        <v>5352</v>
      </c>
      <c r="S566" s="10" t="s">
        <v>29</v>
      </c>
      <c r="T566" s="10" t="s">
        <v>29</v>
      </c>
      <c r="U566" s="10" t="s">
        <v>5377</v>
      </c>
      <c r="Z566" s="11" t="n">
        <v>1</v>
      </c>
    </row>
    <row r="567" customFormat="false" ht="17.9" hidden="false" customHeight="false" outlineLevel="0" collapsed="false">
      <c r="B567" s="10" t="s">
        <v>8923</v>
      </c>
      <c r="C567" s="10" t="s">
        <v>8924</v>
      </c>
      <c r="D567" s="10" t="s">
        <v>8925</v>
      </c>
      <c r="F567" s="17" t="str">
        <f aca="false">CONCATENATE(G567,", ",H567)</f>
        <v>อ.พระสมุทรเจดีย์, จ.สมุทรปราการ</v>
      </c>
      <c r="G567" s="10" t="s">
        <v>8926</v>
      </c>
      <c r="H567" s="10" t="s">
        <v>5965</v>
      </c>
      <c r="I567" s="10" t="s">
        <v>5348</v>
      </c>
      <c r="J567" s="10" t="n">
        <v>10290</v>
      </c>
      <c r="K567" s="10" t="s">
        <v>29</v>
      </c>
      <c r="L567" s="10" t="s">
        <v>29</v>
      </c>
      <c r="M567" s="10" t="s">
        <v>8927</v>
      </c>
      <c r="P567" s="10" t="s">
        <v>5352</v>
      </c>
      <c r="S567" s="10" t="s">
        <v>8928</v>
      </c>
      <c r="T567" s="10" t="s">
        <v>29</v>
      </c>
      <c r="U567" s="10" t="s">
        <v>5367</v>
      </c>
      <c r="Z567" s="11" t="n">
        <v>1</v>
      </c>
    </row>
    <row r="568" customFormat="false" ht="17.9" hidden="false" customHeight="false" outlineLevel="0" collapsed="false">
      <c r="B568" s="10" t="s">
        <v>8929</v>
      </c>
      <c r="C568" s="10" t="s">
        <v>8930</v>
      </c>
      <c r="D568" s="10" t="s">
        <v>8931</v>
      </c>
      <c r="F568" s="17" t="str">
        <f aca="false">CONCATENATE(G568,", ",H568)</f>
        <v>อ.พระประแดง , จ.สมุทรปราการ</v>
      </c>
      <c r="G568" s="10" t="s">
        <v>8932</v>
      </c>
      <c r="H568" s="10" t="s">
        <v>5965</v>
      </c>
      <c r="I568" s="10" t="s">
        <v>5348</v>
      </c>
      <c r="J568" s="10" t="n">
        <v>10130</v>
      </c>
      <c r="K568" s="10" t="s">
        <v>8933</v>
      </c>
      <c r="M568" s="10" t="s">
        <v>8934</v>
      </c>
      <c r="P568" s="10" t="s">
        <v>5352</v>
      </c>
      <c r="S568" s="10" t="s">
        <v>29</v>
      </c>
      <c r="T568" s="10" t="s">
        <v>29</v>
      </c>
      <c r="U568" s="10" t="s">
        <v>5367</v>
      </c>
      <c r="Z568" s="11" t="n">
        <v>1</v>
      </c>
    </row>
    <row r="569" customFormat="false" ht="17.9" hidden="false" customHeight="false" outlineLevel="0" collapsed="false">
      <c r="B569" s="10" t="s">
        <v>8935</v>
      </c>
      <c r="C569" s="10" t="s">
        <v>8936</v>
      </c>
      <c r="D569" s="10" t="s">
        <v>8937</v>
      </c>
      <c r="F569" s="17" t="str">
        <f aca="false">CONCATENATE(G569,", ",H569)</f>
        <v>อ.คลองหลวง, จ.ปทุมธานี</v>
      </c>
      <c r="G569" s="10" t="s">
        <v>5998</v>
      </c>
      <c r="H569" s="10" t="s">
        <v>7163</v>
      </c>
      <c r="I569" s="10" t="s">
        <v>5348</v>
      </c>
      <c r="J569" s="10" t="n">
        <v>12120</v>
      </c>
      <c r="K569" s="10" t="s">
        <v>29</v>
      </c>
      <c r="L569" s="10" t="s">
        <v>29</v>
      </c>
      <c r="M569" s="10" t="s">
        <v>8934</v>
      </c>
      <c r="P569" s="10" t="s">
        <v>5352</v>
      </c>
      <c r="S569" s="10" t="s">
        <v>8938</v>
      </c>
      <c r="T569" s="10" t="s">
        <v>29</v>
      </c>
      <c r="U569" s="10" t="s">
        <v>5367</v>
      </c>
      <c r="Z569" s="11" t="n">
        <v>1</v>
      </c>
    </row>
    <row r="570" customFormat="false" ht="17.9" hidden="false" customHeight="false" outlineLevel="0" collapsed="false">
      <c r="B570" s="10" t="s">
        <v>8939</v>
      </c>
      <c r="C570" s="10" t="s">
        <v>6607</v>
      </c>
      <c r="D570" s="10" t="s">
        <v>8940</v>
      </c>
      <c r="F570" s="17" t="str">
        <f aca="false">CONCATENATE(G570,", ",H570)</f>
        <v>อ.เขาฉกรรณ์ , จ.สระแก้ว</v>
      </c>
      <c r="G570" s="10" t="s">
        <v>8941</v>
      </c>
      <c r="H570" s="10" t="s">
        <v>6582</v>
      </c>
      <c r="I570" s="10" t="s">
        <v>5348</v>
      </c>
      <c r="J570" s="10" t="n">
        <v>27000</v>
      </c>
      <c r="K570" s="10" t="s">
        <v>6611</v>
      </c>
      <c r="M570" s="10" t="s">
        <v>6613</v>
      </c>
      <c r="P570" s="10" t="s">
        <v>5352</v>
      </c>
      <c r="S570" s="10" t="s">
        <v>29</v>
      </c>
      <c r="T570" s="10" t="s">
        <v>29</v>
      </c>
      <c r="U570" s="10" t="s">
        <v>5367</v>
      </c>
      <c r="Z570" s="11" t="n">
        <v>1</v>
      </c>
    </row>
    <row r="571" customFormat="false" ht="17.9" hidden="false" customHeight="false" outlineLevel="0" collapsed="false">
      <c r="B571" s="10" t="s">
        <v>8942</v>
      </c>
      <c r="C571" s="10" t="s">
        <v>8943</v>
      </c>
      <c r="D571" s="10" t="s">
        <v>8944</v>
      </c>
      <c r="F571" s="17" t="str">
        <f aca="false">CONCATENATE(G571,", ",H571)</f>
        <v>อ.ละหานทราย , จ.บุรีรัมย์</v>
      </c>
      <c r="G571" s="10" t="s">
        <v>8945</v>
      </c>
      <c r="H571" s="10" t="s">
        <v>8946</v>
      </c>
      <c r="I571" s="10" t="s">
        <v>5348</v>
      </c>
      <c r="J571" s="10" t="n">
        <v>31170</v>
      </c>
      <c r="K571" s="10" t="s">
        <v>29</v>
      </c>
      <c r="L571" s="10" t="s">
        <v>29</v>
      </c>
      <c r="M571" s="10" t="s">
        <v>8947</v>
      </c>
      <c r="P571" s="10" t="s">
        <v>5352</v>
      </c>
      <c r="S571" s="10" t="s">
        <v>29</v>
      </c>
      <c r="T571" s="10" t="s">
        <v>29</v>
      </c>
      <c r="U571" s="10" t="s">
        <v>5367</v>
      </c>
      <c r="Z571" s="11" t="n">
        <v>1</v>
      </c>
    </row>
    <row r="572" customFormat="false" ht="15" hidden="false" customHeight="false" outlineLevel="0" collapsed="false">
      <c r="B572" s="10" t="s">
        <v>8948</v>
      </c>
      <c r="C572" s="10" t="s">
        <v>8949</v>
      </c>
      <c r="D572" s="10" t="s">
        <v>8950</v>
      </c>
      <c r="F572" s="17" t="str">
        <f aca="false">CONCATENATE(G572,", ",H572)</f>
        <v>Yannawa,, กรุงเทพมหานคร</v>
      </c>
      <c r="G572" s="10" t="s">
        <v>8951</v>
      </c>
      <c r="H572" s="10" t="s">
        <v>5449</v>
      </c>
      <c r="I572" s="10" t="s">
        <v>5348</v>
      </c>
      <c r="J572" s="10" t="n">
        <v>10120</v>
      </c>
      <c r="K572" s="10" t="s">
        <v>8952</v>
      </c>
      <c r="M572" s="10" t="s">
        <v>8953</v>
      </c>
      <c r="P572" s="10" t="s">
        <v>5352</v>
      </c>
      <c r="S572" s="10" t="s">
        <v>29</v>
      </c>
      <c r="T572" s="10" t="s">
        <v>29</v>
      </c>
      <c r="U572" s="10" t="s">
        <v>5367</v>
      </c>
      <c r="Z572" s="11" t="n">
        <v>1</v>
      </c>
    </row>
    <row r="573" customFormat="false" ht="17.9" hidden="false" customHeight="false" outlineLevel="0" collapsed="false">
      <c r="B573" s="10" t="s">
        <v>8954</v>
      </c>
      <c r="C573" s="10" t="s">
        <v>8955</v>
      </c>
      <c r="D573" s="10" t="s">
        <v>8956</v>
      </c>
      <c r="F573" s="17" t="str">
        <f aca="false">CONCATENATE(G573,", ",H573)</f>
        <v>อ.บางปะกง, จ.ฉะเชิงเทรา</v>
      </c>
      <c r="G573" s="10" t="s">
        <v>7470</v>
      </c>
      <c r="H573" s="10" t="s">
        <v>8295</v>
      </c>
      <c r="I573" s="10" t="s">
        <v>5348</v>
      </c>
      <c r="J573" s="10" t="n">
        <v>24180</v>
      </c>
      <c r="K573" s="10" t="s">
        <v>8957</v>
      </c>
      <c r="M573" s="10" t="s">
        <v>29</v>
      </c>
      <c r="P573" s="10" t="s">
        <v>5352</v>
      </c>
      <c r="S573" s="10" t="s">
        <v>8958</v>
      </c>
      <c r="T573" s="10" t="s">
        <v>29</v>
      </c>
      <c r="U573" s="10" t="s">
        <v>5367</v>
      </c>
      <c r="Z573" s="11" t="n">
        <v>1</v>
      </c>
    </row>
    <row r="574" customFormat="false" ht="15" hidden="false" customHeight="false" outlineLevel="0" collapsed="false">
      <c r="B574" s="10" t="s">
        <v>8959</v>
      </c>
      <c r="C574" s="10" t="s">
        <v>8960</v>
      </c>
      <c r="D574" s="10" t="s">
        <v>29</v>
      </c>
      <c r="F574" s="17" t="str">
        <f aca="false">CONCATENATE(G574,", ",H574)</f>
        <v>-, -</v>
      </c>
      <c r="G574" s="10" t="s">
        <v>29</v>
      </c>
      <c r="H574" s="10" t="s">
        <v>29</v>
      </c>
      <c r="I574" s="10" t="s">
        <v>5348</v>
      </c>
      <c r="J574" s="10" t="s">
        <v>29</v>
      </c>
      <c r="K574" s="10" t="s">
        <v>29</v>
      </c>
      <c r="M574" s="10" t="s">
        <v>29</v>
      </c>
      <c r="P574" s="10" t="s">
        <v>5352</v>
      </c>
      <c r="S574" s="10" t="s">
        <v>29</v>
      </c>
      <c r="T574" s="10" t="s">
        <v>29</v>
      </c>
      <c r="U574" s="10" t="s">
        <v>5367</v>
      </c>
      <c r="Z574" s="11" t="n">
        <v>1</v>
      </c>
    </row>
    <row r="575" customFormat="false" ht="17.9" hidden="false" customHeight="false" outlineLevel="0" collapsed="false">
      <c r="B575" s="10" t="s">
        <v>8961</v>
      </c>
      <c r="C575" s="10" t="s">
        <v>8962</v>
      </c>
      <c r="D575" s="10" t="s">
        <v>8963</v>
      </c>
      <c r="F575" s="17" t="str">
        <f aca="false">CONCATENATE(G575,", ",H575)</f>
        <v>A.Bangphlee,, จ.สมุทรปราการ</v>
      </c>
      <c r="G575" s="10" t="s">
        <v>8964</v>
      </c>
      <c r="H575" s="10" t="s">
        <v>5403</v>
      </c>
      <c r="I575" s="10" t="s">
        <v>5348</v>
      </c>
      <c r="J575" s="10" t="n">
        <v>10540</v>
      </c>
      <c r="K575" s="10" t="s">
        <v>8965</v>
      </c>
      <c r="M575" s="10" t="s">
        <v>8966</v>
      </c>
      <c r="P575" s="10" t="s">
        <v>5352</v>
      </c>
      <c r="S575" s="10" t="s">
        <v>29</v>
      </c>
      <c r="T575" s="10" t="s">
        <v>29</v>
      </c>
      <c r="U575" s="10" t="s">
        <v>5367</v>
      </c>
      <c r="Z575" s="11" t="n">
        <v>1</v>
      </c>
    </row>
    <row r="576" customFormat="false" ht="17.9" hidden="false" customHeight="false" outlineLevel="0" collapsed="false">
      <c r="B576" s="10" t="s">
        <v>8967</v>
      </c>
      <c r="C576" s="10" t="s">
        <v>8968</v>
      </c>
      <c r="D576" s="10" t="s">
        <v>8969</v>
      </c>
      <c r="F576" s="17" t="str">
        <f aca="false">CONCATENATE(G576,", ",H576)</f>
        <v>อ.บางพลี , จ.สมุทรปราการ</v>
      </c>
      <c r="G576" s="10" t="s">
        <v>7444</v>
      </c>
      <c r="H576" s="10" t="s">
        <v>5965</v>
      </c>
      <c r="I576" s="10" t="s">
        <v>5348</v>
      </c>
      <c r="J576" s="10" t="n">
        <v>10540</v>
      </c>
      <c r="K576" s="10" t="s">
        <v>8970</v>
      </c>
      <c r="L576" s="10" t="s">
        <v>29</v>
      </c>
      <c r="M576" s="10" t="s">
        <v>8971</v>
      </c>
      <c r="P576" s="10" t="s">
        <v>5352</v>
      </c>
      <c r="S576" s="10" t="s">
        <v>29</v>
      </c>
      <c r="T576" s="10" t="s">
        <v>29</v>
      </c>
      <c r="U576" s="10" t="s">
        <v>5367</v>
      </c>
      <c r="Z576" s="11" t="n">
        <v>1</v>
      </c>
    </row>
    <row r="577" customFormat="false" ht="17.9" hidden="false" customHeight="false" outlineLevel="0" collapsed="false">
      <c r="B577" s="10" t="s">
        <v>8972</v>
      </c>
      <c r="C577" s="10" t="s">
        <v>8973</v>
      </c>
      <c r="D577" s="10" t="s">
        <v>8974</v>
      </c>
      <c r="F577" s="17" t="str">
        <f aca="false">CONCATENATE(G577,", ",H577)</f>
        <v>อ.เมืองสมุทรปราการ, จ.สมุทรปราการ</v>
      </c>
      <c r="G577" s="10" t="s">
        <v>5483</v>
      </c>
      <c r="H577" s="10" t="s">
        <v>5965</v>
      </c>
      <c r="I577" s="10" t="s">
        <v>5348</v>
      </c>
      <c r="J577" s="10" t="n">
        <v>10270</v>
      </c>
      <c r="K577" s="10" t="s">
        <v>8975</v>
      </c>
      <c r="M577" s="10" t="s">
        <v>8976</v>
      </c>
      <c r="P577" s="10" t="s">
        <v>5352</v>
      </c>
      <c r="Q577" s="10" t="s">
        <v>8977</v>
      </c>
      <c r="S577" s="10" t="s">
        <v>8978</v>
      </c>
      <c r="T577" s="10" t="s">
        <v>29</v>
      </c>
      <c r="U577" s="10" t="s">
        <v>5439</v>
      </c>
      <c r="Z577" s="11" t="n">
        <v>1</v>
      </c>
    </row>
    <row r="578" customFormat="false" ht="17.9" hidden="false" customHeight="false" outlineLevel="0" collapsed="false">
      <c r="B578" s="10" t="s">
        <v>8979</v>
      </c>
      <c r="C578" s="10" t="s">
        <v>8980</v>
      </c>
      <c r="D578" s="10" t="s">
        <v>8981</v>
      </c>
      <c r="F578" s="17" t="str">
        <f aca="false">CONCATENATE(G578,", ",H578)</f>
        <v>, Science City Rd, Sola,, Gujarat </v>
      </c>
      <c r="G578" s="10" t="s">
        <v>8982</v>
      </c>
      <c r="H578" s="10" t="s">
        <v>8983</v>
      </c>
      <c r="I578" s="10" t="s">
        <v>5393</v>
      </c>
      <c r="J578" s="10" t="n">
        <v>380059</v>
      </c>
      <c r="K578" s="10" t="s">
        <v>8984</v>
      </c>
      <c r="M578" s="10" t="s">
        <v>29</v>
      </c>
      <c r="P578" s="10" t="s">
        <v>5352</v>
      </c>
      <c r="S578" s="10" t="s">
        <v>29</v>
      </c>
      <c r="T578" s="10" t="s">
        <v>29</v>
      </c>
      <c r="U578" s="10" t="s">
        <v>5367</v>
      </c>
      <c r="Z578" s="11" t="n">
        <v>1</v>
      </c>
    </row>
    <row r="579" customFormat="false" ht="17.9" hidden="false" customHeight="false" outlineLevel="0" collapsed="false">
      <c r="B579" s="10" t="s">
        <v>8985</v>
      </c>
      <c r="C579" s="10" t="s">
        <v>8986</v>
      </c>
      <c r="D579" s="10" t="s">
        <v>8987</v>
      </c>
      <c r="F579" s="17" t="str">
        <f aca="false">CONCATENATE(G579,", ",H579)</f>
        <v>เขตจอมทอง, กรุงเทพมหานคร</v>
      </c>
      <c r="G579" s="10" t="s">
        <v>7421</v>
      </c>
      <c r="H579" s="10" t="s">
        <v>5449</v>
      </c>
      <c r="I579" s="10" t="s">
        <v>5348</v>
      </c>
      <c r="J579" s="10" t="n">
        <v>10150</v>
      </c>
      <c r="K579" s="10" t="s">
        <v>29</v>
      </c>
      <c r="L579" s="10" t="s">
        <v>29</v>
      </c>
      <c r="M579" s="10" t="s">
        <v>8988</v>
      </c>
      <c r="P579" s="10" t="s">
        <v>5352</v>
      </c>
      <c r="S579" s="10" t="s">
        <v>29</v>
      </c>
      <c r="T579" s="10" t="s">
        <v>29</v>
      </c>
      <c r="U579" s="10" t="s">
        <v>5367</v>
      </c>
      <c r="Z579" s="11" t="n">
        <v>1</v>
      </c>
    </row>
    <row r="580" customFormat="false" ht="17.9" hidden="false" customHeight="false" outlineLevel="0" collapsed="false">
      <c r="B580" s="10" t="s">
        <v>8989</v>
      </c>
      <c r="C580" s="10" t="s">
        <v>8986</v>
      </c>
      <c r="D580" s="10" t="s">
        <v>8987</v>
      </c>
      <c r="F580" s="17" t="str">
        <f aca="false">CONCATENATE(G580,", ",H580)</f>
        <v>เขตจอมทอง, กรุงเทพมหานคร</v>
      </c>
      <c r="G580" s="10" t="s">
        <v>7421</v>
      </c>
      <c r="H580" s="10" t="s">
        <v>5449</v>
      </c>
      <c r="I580" s="10" t="s">
        <v>5348</v>
      </c>
      <c r="J580" s="10" t="n">
        <v>10150</v>
      </c>
      <c r="K580" s="10" t="s">
        <v>29</v>
      </c>
      <c r="L580" s="10" t="s">
        <v>29</v>
      </c>
      <c r="M580" s="10" t="s">
        <v>8988</v>
      </c>
      <c r="P580" s="10" t="s">
        <v>5352</v>
      </c>
      <c r="S580" s="10" t="s">
        <v>29</v>
      </c>
      <c r="T580" s="10" t="s">
        <v>29</v>
      </c>
      <c r="U580" s="10" t="s">
        <v>5367</v>
      </c>
      <c r="Z580" s="11" t="n">
        <v>1</v>
      </c>
    </row>
    <row r="581" customFormat="false" ht="17.9" hidden="false" customHeight="false" outlineLevel="0" collapsed="false">
      <c r="B581" s="10" t="s">
        <v>8990</v>
      </c>
      <c r="C581" s="10" t="s">
        <v>8991</v>
      </c>
      <c r="D581" s="10" t="s">
        <v>8992</v>
      </c>
      <c r="F581" s="17" t="str">
        <f aca="false">CONCATENATE(G581,", ",H581)</f>
        <v>เขตบางพลัด, กรุงเทพมหานคร</v>
      </c>
      <c r="G581" s="10" t="s">
        <v>8993</v>
      </c>
      <c r="H581" s="10" t="s">
        <v>5449</v>
      </c>
      <c r="I581" s="10" t="s">
        <v>5348</v>
      </c>
      <c r="J581" s="10" t="n">
        <v>10700</v>
      </c>
      <c r="K581" s="10" t="s">
        <v>29</v>
      </c>
      <c r="L581" s="10" t="s">
        <v>29</v>
      </c>
      <c r="M581" s="10" t="s">
        <v>8994</v>
      </c>
      <c r="P581" s="10" t="s">
        <v>5352</v>
      </c>
      <c r="S581" s="10" t="s">
        <v>29</v>
      </c>
      <c r="T581" s="10" t="s">
        <v>29</v>
      </c>
      <c r="U581" s="10" t="s">
        <v>5367</v>
      </c>
      <c r="Z581" s="11" t="n">
        <v>1</v>
      </c>
    </row>
    <row r="582" customFormat="false" ht="17.9" hidden="false" customHeight="false" outlineLevel="0" collapsed="false">
      <c r="B582" s="10" t="s">
        <v>8995</v>
      </c>
      <c r="C582" s="10" t="s">
        <v>8996</v>
      </c>
      <c r="D582" s="10" t="s">
        <v>8997</v>
      </c>
      <c r="F582" s="17" t="str">
        <f aca="false">CONCATENATE(G582,", ",H582)</f>
        <v>อ.บางบัวทอง , จ.นนทบุรี</v>
      </c>
      <c r="G582" s="10" t="s">
        <v>6535</v>
      </c>
      <c r="H582" s="10" t="s">
        <v>5639</v>
      </c>
      <c r="I582" s="10" t="s">
        <v>5348</v>
      </c>
      <c r="J582" s="10" t="n">
        <v>11110</v>
      </c>
      <c r="K582" s="10" t="s">
        <v>8998</v>
      </c>
      <c r="M582" s="10" t="s">
        <v>8999</v>
      </c>
      <c r="P582" s="10" t="s">
        <v>5352</v>
      </c>
      <c r="Q582" s="10" t="s">
        <v>9000</v>
      </c>
      <c r="S582" s="10" t="s">
        <v>9001</v>
      </c>
      <c r="T582" s="10" t="s">
        <v>29</v>
      </c>
      <c r="U582" s="10" t="s">
        <v>5377</v>
      </c>
      <c r="Z582" s="11" t="n">
        <v>1</v>
      </c>
    </row>
    <row r="583" customFormat="false" ht="17.9" hidden="false" customHeight="false" outlineLevel="0" collapsed="false">
      <c r="B583" s="10" t="s">
        <v>9002</v>
      </c>
      <c r="C583" s="10" t="s">
        <v>9003</v>
      </c>
      <c r="D583" s="10" t="s">
        <v>9004</v>
      </c>
      <c r="F583" s="17" t="str">
        <f aca="false">CONCATENATE(G583,", ",H583)</f>
        <v>เขตประเวศ, กรุงเทพมหานคร</v>
      </c>
      <c r="G583" s="10" t="s">
        <v>5770</v>
      </c>
      <c r="H583" s="10" t="s">
        <v>5449</v>
      </c>
      <c r="I583" s="10" t="s">
        <v>5348</v>
      </c>
      <c r="J583" s="10" t="n">
        <v>10250</v>
      </c>
      <c r="K583" s="10" t="s">
        <v>9005</v>
      </c>
      <c r="M583" s="10" t="s">
        <v>9006</v>
      </c>
      <c r="P583" s="10" t="s">
        <v>5352</v>
      </c>
      <c r="Q583" s="10" t="s">
        <v>9007</v>
      </c>
      <c r="S583" s="10" t="s">
        <v>9008</v>
      </c>
      <c r="T583" s="10" t="s">
        <v>29</v>
      </c>
      <c r="U583" s="10" t="s">
        <v>5367</v>
      </c>
      <c r="Z583" s="11" t="n">
        <v>1</v>
      </c>
    </row>
    <row r="584" customFormat="false" ht="17.9" hidden="false" customHeight="false" outlineLevel="0" collapsed="false">
      <c r="B584" s="10" t="s">
        <v>9009</v>
      </c>
      <c r="C584" s="10" t="s">
        <v>9010</v>
      </c>
      <c r="D584" s="10" t="s">
        <v>9011</v>
      </c>
      <c r="F584" s="17" t="str">
        <f aca="false">CONCATENATE(G584,", ",H584)</f>
        <v>อ.หนองสองห้อง, จ.ขอนแก่น</v>
      </c>
      <c r="G584" s="10" t="s">
        <v>9012</v>
      </c>
      <c r="H584" s="10" t="s">
        <v>9013</v>
      </c>
      <c r="I584" s="10" t="s">
        <v>5348</v>
      </c>
      <c r="J584" s="10" t="n">
        <v>40190</v>
      </c>
      <c r="K584" s="10" t="s">
        <v>9014</v>
      </c>
      <c r="M584" s="10" t="s">
        <v>9015</v>
      </c>
      <c r="P584" s="10" t="s">
        <v>5352</v>
      </c>
      <c r="Q584" s="10" t="s">
        <v>8538</v>
      </c>
      <c r="S584" s="10" t="s">
        <v>9016</v>
      </c>
      <c r="T584" s="10" t="s">
        <v>29</v>
      </c>
      <c r="U584" s="10" t="s">
        <v>5367</v>
      </c>
      <c r="Z584" s="11" t="n">
        <v>1</v>
      </c>
    </row>
    <row r="585" customFormat="false" ht="17.9" hidden="false" customHeight="false" outlineLevel="0" collapsed="false">
      <c r="B585" s="10" t="s">
        <v>9017</v>
      </c>
      <c r="C585" s="10" t="s">
        <v>9018</v>
      </c>
      <c r="D585" s="10" t="s">
        <v>9019</v>
      </c>
      <c r="F585" s="17" t="str">
        <f aca="false">CONCATENATE(G585,", ",H585)</f>
        <v>อ.บางพลี, จ.สมุทรปราการ</v>
      </c>
      <c r="G585" s="10" t="s">
        <v>5434</v>
      </c>
      <c r="H585" s="10" t="s">
        <v>5965</v>
      </c>
      <c r="I585" s="10" t="s">
        <v>5348</v>
      </c>
      <c r="J585" s="10" t="n">
        <v>10540</v>
      </c>
      <c r="K585" s="10" t="s">
        <v>9020</v>
      </c>
      <c r="M585" s="10" t="s">
        <v>5437</v>
      </c>
      <c r="P585" s="10" t="s">
        <v>5352</v>
      </c>
      <c r="S585" s="10" t="s">
        <v>29</v>
      </c>
      <c r="T585" s="10" t="s">
        <v>29</v>
      </c>
      <c r="U585" s="10" t="s">
        <v>5367</v>
      </c>
      <c r="Z585" s="11" t="n">
        <v>1</v>
      </c>
    </row>
    <row r="586" customFormat="false" ht="17.9" hidden="false" customHeight="false" outlineLevel="0" collapsed="false">
      <c r="B586" s="10" t="s">
        <v>9021</v>
      </c>
      <c r="C586" s="10" t="s">
        <v>9022</v>
      </c>
      <c r="D586" s="10" t="s">
        <v>9023</v>
      </c>
      <c r="F586" s="17" t="str">
        <f aca="false">CONCATENATE(G586,", ",H586)</f>
        <v>เขตพระนคร, กรุงเทพมหานคร</v>
      </c>
      <c r="G586" s="10" t="s">
        <v>7642</v>
      </c>
      <c r="H586" s="10" t="s">
        <v>5449</v>
      </c>
      <c r="I586" s="10" t="s">
        <v>5348</v>
      </c>
      <c r="J586" s="10" t="n">
        <v>10200</v>
      </c>
      <c r="K586" s="10" t="s">
        <v>29</v>
      </c>
      <c r="L586" s="10" t="s">
        <v>29</v>
      </c>
      <c r="M586" s="10" t="s">
        <v>9024</v>
      </c>
      <c r="P586" s="10" t="s">
        <v>5352</v>
      </c>
      <c r="S586" s="10" t="s">
        <v>29</v>
      </c>
      <c r="T586" s="10" t="s">
        <v>29</v>
      </c>
      <c r="U586" s="10" t="s">
        <v>5367</v>
      </c>
      <c r="Z586" s="11" t="n">
        <v>1</v>
      </c>
    </row>
    <row r="587" customFormat="false" ht="17.9" hidden="false" customHeight="false" outlineLevel="0" collapsed="false">
      <c r="B587" s="10" t="s">
        <v>9025</v>
      </c>
      <c r="C587" s="10" t="s">
        <v>9026</v>
      </c>
      <c r="D587" s="10" t="s">
        <v>9027</v>
      </c>
      <c r="F587" s="17" t="str">
        <f aca="false">CONCATENATE(G587,", ",H587)</f>
        <v>อ.ศรีราชา , จ.ชลบรุ</v>
      </c>
      <c r="G587" s="10" t="s">
        <v>8013</v>
      </c>
      <c r="H587" s="10" t="s">
        <v>9028</v>
      </c>
      <c r="I587" s="10" t="s">
        <v>5348</v>
      </c>
      <c r="J587" s="10" t="n">
        <v>20230</v>
      </c>
      <c r="K587" s="10" t="s">
        <v>9029</v>
      </c>
      <c r="M587" s="10" t="s">
        <v>29</v>
      </c>
      <c r="P587" s="10" t="s">
        <v>5352</v>
      </c>
      <c r="S587" s="10" t="s">
        <v>29</v>
      </c>
      <c r="T587" s="10" t="s">
        <v>29</v>
      </c>
      <c r="U587" s="10" t="s">
        <v>5367</v>
      </c>
      <c r="Z587" s="11" t="n">
        <v>1</v>
      </c>
    </row>
    <row r="588" customFormat="false" ht="17.9" hidden="false" customHeight="false" outlineLevel="0" collapsed="false">
      <c r="B588" s="10" t="s">
        <v>9030</v>
      </c>
      <c r="C588" s="10" t="s">
        <v>9031</v>
      </c>
      <c r="D588" s="10" t="s">
        <v>9032</v>
      </c>
      <c r="F588" s="17" t="str">
        <f aca="false">CONCATENATE(G588,", ",H588)</f>
        <v>อ.เมืองสมุทรสาคร, จ.สมุทรสาคร</v>
      </c>
      <c r="G588" s="10" t="s">
        <v>9033</v>
      </c>
      <c r="H588" s="10" t="s">
        <v>5347</v>
      </c>
      <c r="I588" s="10" t="s">
        <v>5348</v>
      </c>
      <c r="J588" s="10" t="s">
        <v>5513</v>
      </c>
      <c r="K588" s="10" t="s">
        <v>29</v>
      </c>
      <c r="L588" s="10" t="s">
        <v>29</v>
      </c>
      <c r="M588" s="10" t="s">
        <v>9034</v>
      </c>
      <c r="P588" s="10" t="s">
        <v>5352</v>
      </c>
      <c r="S588" s="10" t="s">
        <v>29</v>
      </c>
      <c r="T588" s="10" t="s">
        <v>29</v>
      </c>
      <c r="U588" s="10" t="s">
        <v>5367</v>
      </c>
      <c r="Z588" s="11" t="n">
        <v>1</v>
      </c>
    </row>
    <row r="589" customFormat="false" ht="17.9" hidden="false" customHeight="false" outlineLevel="0" collapsed="false">
      <c r="B589" s="10" t="s">
        <v>9035</v>
      </c>
      <c r="C589" s="10" t="s">
        <v>9036</v>
      </c>
      <c r="D589" s="10" t="s">
        <v>9037</v>
      </c>
      <c r="F589" s="17" t="str">
        <f aca="false">CONCATENATE(G589,", ",H589)</f>
        <v>อ.ชนแดน , จ.เพชรบูรณ์</v>
      </c>
      <c r="G589" s="10" t="s">
        <v>9038</v>
      </c>
      <c r="H589" s="10" t="s">
        <v>8866</v>
      </c>
      <c r="I589" s="10" t="s">
        <v>5348</v>
      </c>
      <c r="J589" s="10" t="n">
        <v>67150</v>
      </c>
      <c r="K589" s="10" t="s">
        <v>29</v>
      </c>
      <c r="L589" s="10" t="s">
        <v>29</v>
      </c>
      <c r="M589" s="10" t="s">
        <v>9039</v>
      </c>
      <c r="P589" s="10" t="s">
        <v>5352</v>
      </c>
      <c r="S589" s="10" t="s">
        <v>29</v>
      </c>
      <c r="T589" s="10" t="s">
        <v>29</v>
      </c>
      <c r="U589" s="10" t="s">
        <v>5367</v>
      </c>
      <c r="Z589" s="11" t="n">
        <v>1</v>
      </c>
    </row>
    <row r="590" customFormat="false" ht="17.9" hidden="false" customHeight="false" outlineLevel="0" collapsed="false">
      <c r="B590" s="10" t="s">
        <v>9040</v>
      </c>
      <c r="C590" s="10" t="s">
        <v>9041</v>
      </c>
      <c r="D590" s="10" t="s">
        <v>9042</v>
      </c>
      <c r="F590" s="17" t="str">
        <f aca="false">CONCATENATE(G590,", ",H590)</f>
        <v>เขตลาดพร้าว , กรุงเทพมหานคร</v>
      </c>
      <c r="G590" s="10" t="s">
        <v>9043</v>
      </c>
      <c r="H590" s="10" t="s">
        <v>5449</v>
      </c>
      <c r="I590" s="10" t="s">
        <v>5348</v>
      </c>
      <c r="J590" s="10" t="n">
        <v>10230</v>
      </c>
      <c r="K590" s="10" t="s">
        <v>9044</v>
      </c>
      <c r="M590" s="10" t="s">
        <v>9045</v>
      </c>
      <c r="P590" s="10" t="s">
        <v>5352</v>
      </c>
      <c r="Q590" s="10" t="s">
        <v>9046</v>
      </c>
      <c r="S590" s="10" t="s">
        <v>9047</v>
      </c>
      <c r="T590" s="10" t="s">
        <v>29</v>
      </c>
      <c r="U590" s="10" t="s">
        <v>5367</v>
      </c>
      <c r="Z590" s="11" t="n">
        <v>1</v>
      </c>
    </row>
    <row r="591" customFormat="false" ht="17.9" hidden="false" customHeight="false" outlineLevel="0" collapsed="false">
      <c r="B591" s="10" t="s">
        <v>9048</v>
      </c>
      <c r="C591" s="10" t="s">
        <v>9049</v>
      </c>
      <c r="D591" s="10" t="s">
        <v>9050</v>
      </c>
      <c r="F591" s="17" t="str">
        <f aca="false">CONCATENATE(G591,", ",H591)</f>
        <v>เขตสวนหลวง, กรุงเทพมหานคร</v>
      </c>
      <c r="G591" s="10" t="s">
        <v>5448</v>
      </c>
      <c r="H591" s="10" t="s">
        <v>5449</v>
      </c>
      <c r="I591" s="10" t="s">
        <v>5348</v>
      </c>
      <c r="J591" s="10" t="n">
        <v>10250</v>
      </c>
      <c r="K591" s="10" t="s">
        <v>9051</v>
      </c>
      <c r="M591" s="10" t="s">
        <v>9052</v>
      </c>
      <c r="P591" s="10" t="s">
        <v>5352</v>
      </c>
      <c r="Q591" s="10" t="s">
        <v>9053</v>
      </c>
      <c r="S591" s="10" t="s">
        <v>9054</v>
      </c>
      <c r="T591" s="10" t="s">
        <v>29</v>
      </c>
      <c r="U591" s="10" t="s">
        <v>5367</v>
      </c>
      <c r="Z591" s="11" t="n">
        <v>1</v>
      </c>
    </row>
    <row r="592" customFormat="false" ht="17.9" hidden="false" customHeight="false" outlineLevel="0" collapsed="false">
      <c r="B592" s="10" t="s">
        <v>9055</v>
      </c>
      <c r="C592" s="10" t="s">
        <v>9056</v>
      </c>
      <c r="D592" s="10" t="s">
        <v>9057</v>
      </c>
      <c r="F592" s="17" t="str">
        <f aca="false">CONCATENATE(G592,", ",H592)</f>
        <v>แขวงสาธุประดิษฐ์, กรุงเทพมหานคร</v>
      </c>
      <c r="G592" s="10" t="s">
        <v>9058</v>
      </c>
      <c r="H592" s="10" t="s">
        <v>5449</v>
      </c>
      <c r="I592" s="10" t="s">
        <v>5348</v>
      </c>
      <c r="J592" s="10" t="n">
        <v>10120</v>
      </c>
      <c r="K592" s="10" t="s">
        <v>9059</v>
      </c>
      <c r="L592" s="10" t="s">
        <v>29</v>
      </c>
      <c r="M592" s="10" t="s">
        <v>9060</v>
      </c>
      <c r="P592" s="10" t="s">
        <v>5352</v>
      </c>
      <c r="Q592" s="10" t="s">
        <v>9061</v>
      </c>
      <c r="S592" s="10" t="s">
        <v>29</v>
      </c>
      <c r="T592" s="10" t="s">
        <v>29</v>
      </c>
      <c r="U592" s="10" t="s">
        <v>5377</v>
      </c>
      <c r="Z592" s="11" t="n">
        <v>1</v>
      </c>
    </row>
    <row r="593" customFormat="false" ht="17.9" hidden="false" customHeight="false" outlineLevel="0" collapsed="false">
      <c r="B593" s="10" t="s">
        <v>9062</v>
      </c>
      <c r="C593" s="10" t="s">
        <v>9063</v>
      </c>
      <c r="D593" s="10" t="s">
        <v>9064</v>
      </c>
      <c r="F593" s="17" t="str">
        <f aca="false">CONCATENATE(G593,", ",H593)</f>
        <v>อ.เมืองสมุทรปราการ, จ.สมุทรปราการ</v>
      </c>
      <c r="G593" s="10" t="s">
        <v>5483</v>
      </c>
      <c r="H593" s="10" t="s">
        <v>5965</v>
      </c>
      <c r="I593" s="10" t="s">
        <v>5348</v>
      </c>
      <c r="J593" s="10" t="n">
        <v>10280</v>
      </c>
      <c r="K593" s="10" t="s">
        <v>9065</v>
      </c>
      <c r="L593" s="10" t="s">
        <v>29</v>
      </c>
      <c r="M593" s="10" t="s">
        <v>9066</v>
      </c>
      <c r="P593" s="10" t="s">
        <v>5352</v>
      </c>
      <c r="S593" s="10" t="s">
        <v>29</v>
      </c>
      <c r="T593" s="10" t="s">
        <v>29</v>
      </c>
      <c r="U593" s="10" t="s">
        <v>5377</v>
      </c>
      <c r="Z593" s="11" t="n">
        <v>1</v>
      </c>
    </row>
    <row r="594" customFormat="false" ht="17.9" hidden="false" customHeight="false" outlineLevel="0" collapsed="false">
      <c r="B594" s="10" t="s">
        <v>9067</v>
      </c>
      <c r="C594" s="10" t="s">
        <v>9068</v>
      </c>
      <c r="D594" s="10" t="s">
        <v>9069</v>
      </c>
      <c r="E594" s="10" t="s">
        <v>6263</v>
      </c>
      <c r="F594" s="17" t="str">
        <f aca="false">CONCATENATE(G594,", ",H594)</f>
        <v>เขตพญาไท, กรุงเทพมหานคร</v>
      </c>
      <c r="G594" s="10" t="s">
        <v>7415</v>
      </c>
      <c r="H594" s="10" t="s">
        <v>5449</v>
      </c>
      <c r="I594" s="10" t="s">
        <v>5348</v>
      </c>
      <c r="J594" s="10" t="n">
        <v>10400</v>
      </c>
      <c r="K594" s="10" t="n">
        <v>1231</v>
      </c>
      <c r="L594" s="10" t="s">
        <v>9070</v>
      </c>
      <c r="M594" s="10" t="s">
        <v>9071</v>
      </c>
      <c r="P594" s="10" t="s">
        <v>5352</v>
      </c>
      <c r="Q594" s="10" t="s">
        <v>9046</v>
      </c>
      <c r="S594" s="10" t="s">
        <v>29</v>
      </c>
      <c r="T594" s="10" t="s">
        <v>29</v>
      </c>
      <c r="U594" s="10" t="s">
        <v>5367</v>
      </c>
      <c r="Z594" s="11" t="n">
        <v>1</v>
      </c>
    </row>
    <row r="595" customFormat="false" ht="17.9" hidden="false" customHeight="false" outlineLevel="0" collapsed="false">
      <c r="B595" s="10" t="s">
        <v>9072</v>
      </c>
      <c r="C595" s="25" t="s">
        <v>9073</v>
      </c>
      <c r="D595" s="10" t="s">
        <v>9074</v>
      </c>
      <c r="F595" s="17" t="str">
        <f aca="false">CONCATENATE(G595,", ",H595)</f>
        <v>อ.โป่งน้ำร้อน, จ.จันทบุรี</v>
      </c>
      <c r="G595" s="10" t="s">
        <v>9075</v>
      </c>
      <c r="H595" s="10" t="s">
        <v>7755</v>
      </c>
      <c r="I595" s="10" t="s">
        <v>5348</v>
      </c>
      <c r="J595" s="10" t="n">
        <v>22140</v>
      </c>
      <c r="K595" s="10" t="s">
        <v>9076</v>
      </c>
      <c r="L595" s="10" t="s">
        <v>29</v>
      </c>
      <c r="M595" s="10" t="s">
        <v>9077</v>
      </c>
      <c r="P595" s="10" t="s">
        <v>5352</v>
      </c>
      <c r="S595" s="10" t="s">
        <v>29</v>
      </c>
      <c r="T595" s="10" t="s">
        <v>29</v>
      </c>
      <c r="U595" s="10" t="s">
        <v>5367</v>
      </c>
      <c r="Z595" s="11" t="n">
        <v>1</v>
      </c>
    </row>
    <row r="596" customFormat="false" ht="17.9" hidden="false" customHeight="false" outlineLevel="0" collapsed="false">
      <c r="B596" s="10" t="s">
        <v>9078</v>
      </c>
      <c r="C596" s="25" t="s">
        <v>9079</v>
      </c>
      <c r="D596" s="10" t="s">
        <v>9080</v>
      </c>
      <c r="F596" s="17" t="str">
        <f aca="false">CONCATENATE(G596,", ",H596)</f>
        <v>อ.โป่งน้ำร้อน, จ.จันทบุรี</v>
      </c>
      <c r="G596" s="10" t="s">
        <v>9075</v>
      </c>
      <c r="H596" s="10" t="s">
        <v>7755</v>
      </c>
      <c r="I596" s="10" t="s">
        <v>5348</v>
      </c>
      <c r="J596" s="10" t="n">
        <v>22140</v>
      </c>
      <c r="K596" s="10" t="s">
        <v>29</v>
      </c>
      <c r="L596" s="10" t="s">
        <v>29</v>
      </c>
      <c r="M596" s="10" t="s">
        <v>9077</v>
      </c>
      <c r="P596" s="10" t="s">
        <v>5352</v>
      </c>
      <c r="S596" s="10" t="s">
        <v>29</v>
      </c>
      <c r="T596" s="10" t="s">
        <v>29</v>
      </c>
      <c r="U596" s="10" t="s">
        <v>5367</v>
      </c>
      <c r="Z596" s="11" t="n">
        <v>1</v>
      </c>
    </row>
    <row r="597" customFormat="false" ht="17.9" hidden="false" customHeight="false" outlineLevel="0" collapsed="false">
      <c r="B597" s="10" t="s">
        <v>9081</v>
      </c>
      <c r="C597" s="10" t="s">
        <v>9082</v>
      </c>
      <c r="D597" s="10" t="s">
        <v>9083</v>
      </c>
      <c r="F597" s="17" t="str">
        <f aca="false">CONCATENATE(G597,", ",H597)</f>
        <v>อ.พาน , จ.เชียงราย</v>
      </c>
      <c r="G597" s="10" t="s">
        <v>9084</v>
      </c>
      <c r="H597" s="10" t="s">
        <v>9085</v>
      </c>
      <c r="I597" s="10" t="s">
        <v>5348</v>
      </c>
      <c r="J597" s="10" t="n">
        <v>57120</v>
      </c>
      <c r="K597" s="10" t="s">
        <v>29</v>
      </c>
      <c r="L597" s="10" t="s">
        <v>29</v>
      </c>
      <c r="M597" s="10" t="s">
        <v>9086</v>
      </c>
      <c r="P597" s="10" t="s">
        <v>5352</v>
      </c>
      <c r="S597" s="10" t="s">
        <v>29</v>
      </c>
      <c r="T597" s="10" t="s">
        <v>29</v>
      </c>
      <c r="U597" s="10" t="s">
        <v>5367</v>
      </c>
      <c r="Z597" s="11" t="n">
        <v>1</v>
      </c>
    </row>
    <row r="598" customFormat="false" ht="17.9" hidden="false" customHeight="false" outlineLevel="0" collapsed="false">
      <c r="B598" s="10" t="s">
        <v>9087</v>
      </c>
      <c r="C598" s="10" t="s">
        <v>9088</v>
      </c>
      <c r="D598" s="10" t="s">
        <v>9089</v>
      </c>
      <c r="F598" s="17" t="str">
        <f aca="false">CONCATENATE(G598,", ",H598)</f>
        <v>เขตดินแดง, กรุงเทพมหานคร</v>
      </c>
      <c r="G598" s="10" t="s">
        <v>8234</v>
      </c>
      <c r="H598" s="10" t="s">
        <v>5449</v>
      </c>
      <c r="I598" s="10" t="s">
        <v>5348</v>
      </c>
      <c r="J598" s="10" t="n">
        <v>10400</v>
      </c>
      <c r="K598" s="10" t="s">
        <v>9090</v>
      </c>
      <c r="L598" s="10" t="s">
        <v>9091</v>
      </c>
      <c r="M598" s="10" t="s">
        <v>9092</v>
      </c>
      <c r="P598" s="10" t="s">
        <v>5352</v>
      </c>
      <c r="Q598" s="10" t="s">
        <v>7011</v>
      </c>
      <c r="S598" s="10" t="s">
        <v>9093</v>
      </c>
      <c r="T598" s="10" t="s">
        <v>29</v>
      </c>
      <c r="U598" s="10" t="s">
        <v>5367</v>
      </c>
      <c r="Z598" s="11" t="n">
        <v>1</v>
      </c>
    </row>
    <row r="599" customFormat="false" ht="17.9" hidden="false" customHeight="false" outlineLevel="0" collapsed="false">
      <c r="B599" s="10" t="s">
        <v>9094</v>
      </c>
      <c r="C599" s="10" t="s">
        <v>9095</v>
      </c>
      <c r="D599" s="10" t="s">
        <v>9096</v>
      </c>
      <c r="F599" s="17" t="str">
        <f aca="false">CONCATENATE(G599,", ",H599)</f>
        <v>เขตบางคอแหลม, กรุงเทพมหานคร</v>
      </c>
      <c r="G599" s="10" t="s">
        <v>7201</v>
      </c>
      <c r="H599" s="10" t="s">
        <v>5449</v>
      </c>
      <c r="I599" s="10" t="s">
        <v>5348</v>
      </c>
      <c r="J599" s="10" t="n">
        <v>10120</v>
      </c>
      <c r="K599" s="10" t="s">
        <v>9097</v>
      </c>
      <c r="L599" s="10" t="s">
        <v>29</v>
      </c>
      <c r="M599" s="10" t="s">
        <v>9098</v>
      </c>
      <c r="P599" s="10" t="s">
        <v>5352</v>
      </c>
      <c r="S599" s="10" t="s">
        <v>29</v>
      </c>
      <c r="T599" s="10" t="s">
        <v>29</v>
      </c>
      <c r="U599" s="10" t="s">
        <v>5367</v>
      </c>
      <c r="Z599" s="11" t="n">
        <v>1</v>
      </c>
    </row>
    <row r="600" customFormat="false" ht="17.9" hidden="false" customHeight="false" outlineLevel="0" collapsed="false">
      <c r="B600" s="10" t="s">
        <v>9099</v>
      </c>
      <c r="C600" s="10" t="s">
        <v>9100</v>
      </c>
      <c r="D600" s="10" t="s">
        <v>9101</v>
      </c>
      <c r="F600" s="17" t="str">
        <f aca="false">CONCATENATE(G600,", ",H600)</f>
        <v>เขตสายไหม, กรุงเทพมหานคร</v>
      </c>
      <c r="G600" s="10" t="s">
        <v>5419</v>
      </c>
      <c r="H600" s="10" t="s">
        <v>5449</v>
      </c>
      <c r="I600" s="10" t="s">
        <v>5348</v>
      </c>
      <c r="J600" s="10" t="n">
        <v>10220</v>
      </c>
      <c r="K600" s="10" t="s">
        <v>9102</v>
      </c>
      <c r="L600" s="10" t="s">
        <v>9103</v>
      </c>
      <c r="M600" s="10" t="s">
        <v>9104</v>
      </c>
      <c r="P600" s="10" t="s">
        <v>5352</v>
      </c>
      <c r="Q600" s="10" t="s">
        <v>9105</v>
      </c>
      <c r="S600" s="10" t="s">
        <v>9106</v>
      </c>
      <c r="T600" s="10" t="s">
        <v>29</v>
      </c>
      <c r="U600" s="10" t="s">
        <v>5439</v>
      </c>
      <c r="Z600" s="11" t="n">
        <v>1</v>
      </c>
    </row>
    <row r="601" customFormat="false" ht="17.9" hidden="false" customHeight="false" outlineLevel="0" collapsed="false">
      <c r="B601" s="10" t="s">
        <v>9107</v>
      </c>
      <c r="C601" s="10" t="s">
        <v>9108</v>
      </c>
      <c r="D601" s="10" t="s">
        <v>9109</v>
      </c>
      <c r="F601" s="17" t="str">
        <f aca="false">CONCATENATE(G601,", ",H601)</f>
        <v>อ.เมืองสมุทรปราการ , จ.สมุทรปราการ</v>
      </c>
      <c r="G601" s="10" t="s">
        <v>6934</v>
      </c>
      <c r="H601" s="10" t="s">
        <v>5965</v>
      </c>
      <c r="I601" s="10" t="s">
        <v>5348</v>
      </c>
      <c r="J601" s="10" t="n">
        <v>10280</v>
      </c>
      <c r="K601" s="10" t="s">
        <v>29</v>
      </c>
      <c r="L601" s="10" t="s">
        <v>29</v>
      </c>
      <c r="M601" s="10" t="s">
        <v>9110</v>
      </c>
      <c r="P601" s="10" t="s">
        <v>5352</v>
      </c>
      <c r="S601" s="10" t="s">
        <v>29</v>
      </c>
      <c r="T601" s="10" t="s">
        <v>29</v>
      </c>
      <c r="U601" s="10" t="s">
        <v>5367</v>
      </c>
      <c r="Z601" s="11" t="n">
        <v>1</v>
      </c>
    </row>
    <row r="602" customFormat="false" ht="17.9" hidden="false" customHeight="false" outlineLevel="0" collapsed="false">
      <c r="B602" s="10" t="s">
        <v>9111</v>
      </c>
      <c r="C602" s="10" t="s">
        <v>9112</v>
      </c>
      <c r="D602" s="10" t="s">
        <v>9113</v>
      </c>
      <c r="F602" s="17" t="str">
        <f aca="false">CONCATENATE(G602,", ",H602)</f>
        <v>อ.บางน้ำเปรี้ยว , จ.ฉะเชิงเทรา</v>
      </c>
      <c r="G602" s="10" t="s">
        <v>9114</v>
      </c>
      <c r="H602" s="10" t="s">
        <v>8295</v>
      </c>
      <c r="I602" s="10" t="s">
        <v>5348</v>
      </c>
      <c r="J602" s="10" t="n">
        <v>24000</v>
      </c>
      <c r="K602" s="10" t="s">
        <v>9115</v>
      </c>
      <c r="L602" s="10" t="s">
        <v>9116</v>
      </c>
      <c r="M602" s="10" t="s">
        <v>9117</v>
      </c>
      <c r="P602" s="10" t="s">
        <v>5352</v>
      </c>
      <c r="S602" s="10" t="s">
        <v>29</v>
      </c>
      <c r="T602" s="10" t="s">
        <v>29</v>
      </c>
      <c r="U602" s="10" t="s">
        <v>5367</v>
      </c>
      <c r="Z602" s="11" t="n">
        <v>1</v>
      </c>
    </row>
    <row r="603" customFormat="false" ht="17.9" hidden="false" customHeight="false" outlineLevel="0" collapsed="false">
      <c r="B603" s="10" t="s">
        <v>9118</v>
      </c>
      <c r="C603" s="10" t="s">
        <v>9119</v>
      </c>
      <c r="D603" s="10" t="s">
        <v>9120</v>
      </c>
      <c r="F603" s="17" t="str">
        <f aca="false">CONCATENATE(G603,", ",H603)</f>
        <v>อ.เมืองสมุทรปราการ , จ.สมุทรปราการ</v>
      </c>
      <c r="G603" s="10" t="s">
        <v>6934</v>
      </c>
      <c r="H603" s="10" t="s">
        <v>5965</v>
      </c>
      <c r="I603" s="10" t="s">
        <v>5348</v>
      </c>
      <c r="J603" s="10" t="n">
        <v>10270</v>
      </c>
      <c r="K603" s="10" t="s">
        <v>29</v>
      </c>
      <c r="L603" s="10" t="s">
        <v>29</v>
      </c>
      <c r="M603" s="10" t="s">
        <v>9121</v>
      </c>
      <c r="P603" s="10" t="s">
        <v>5352</v>
      </c>
      <c r="S603" s="10" t="s">
        <v>29</v>
      </c>
      <c r="T603" s="10" t="s">
        <v>29</v>
      </c>
      <c r="U603" s="10" t="s">
        <v>5367</v>
      </c>
      <c r="Z603" s="11" t="n">
        <v>1</v>
      </c>
    </row>
    <row r="604" customFormat="false" ht="17.9" hidden="false" customHeight="false" outlineLevel="0" collapsed="false">
      <c r="B604" s="10" t="s">
        <v>9122</v>
      </c>
      <c r="C604" s="10" t="s">
        <v>9123</v>
      </c>
      <c r="D604" s="10" t="s">
        <v>9124</v>
      </c>
      <c r="F604" s="17" t="str">
        <f aca="false">CONCATENATE(G604,", ",H604)</f>
        <v>อ.บางพลี, จ.สมุทรปราการ</v>
      </c>
      <c r="G604" s="10" t="s">
        <v>5434</v>
      </c>
      <c r="H604" s="10" t="s">
        <v>5403</v>
      </c>
      <c r="I604" s="10" t="s">
        <v>5348</v>
      </c>
      <c r="J604" s="10" t="n">
        <v>10540</v>
      </c>
      <c r="K604" s="10" t="s">
        <v>9125</v>
      </c>
      <c r="L604" s="10" t="s">
        <v>9126</v>
      </c>
      <c r="M604" s="10" t="s">
        <v>9127</v>
      </c>
      <c r="P604" s="10" t="s">
        <v>5352</v>
      </c>
      <c r="Q604" s="10" t="s">
        <v>9128</v>
      </c>
      <c r="S604" s="10" t="s">
        <v>29</v>
      </c>
      <c r="T604" s="10" t="s">
        <v>29</v>
      </c>
      <c r="U604" s="10" t="s">
        <v>5367</v>
      </c>
      <c r="Z604" s="11" t="n">
        <v>1</v>
      </c>
    </row>
    <row r="605" customFormat="false" ht="17.9" hidden="false" customHeight="false" outlineLevel="0" collapsed="false">
      <c r="B605" s="10" t="s">
        <v>9129</v>
      </c>
      <c r="C605" s="10" t="s">
        <v>9130</v>
      </c>
      <c r="D605" s="10" t="s">
        <v>9131</v>
      </c>
      <c r="F605" s="17" t="str">
        <f aca="false">CONCATENATE(G605,", ",H605)</f>
        <v>อ.เมืองสมุทรปราการ, จ.สมุทรปราการ</v>
      </c>
      <c r="G605" s="10" t="s">
        <v>5483</v>
      </c>
      <c r="H605" s="10" t="s">
        <v>5403</v>
      </c>
      <c r="I605" s="10" t="s">
        <v>5348</v>
      </c>
      <c r="J605" s="10" t="n">
        <v>10280</v>
      </c>
      <c r="K605" s="10" t="s">
        <v>9132</v>
      </c>
      <c r="L605" s="10" t="s">
        <v>29</v>
      </c>
      <c r="M605" s="10" t="s">
        <v>9133</v>
      </c>
      <c r="P605" s="10" t="s">
        <v>5352</v>
      </c>
      <c r="Q605" s="10" t="s">
        <v>9134</v>
      </c>
      <c r="S605" s="10" t="s">
        <v>29</v>
      </c>
      <c r="T605" s="10" t="s">
        <v>29</v>
      </c>
      <c r="U605" s="10" t="s">
        <v>5367</v>
      </c>
      <c r="Z605" s="11" t="n">
        <v>1</v>
      </c>
    </row>
    <row r="606" customFormat="false" ht="17.9" hidden="false" customHeight="false" outlineLevel="0" collapsed="false">
      <c r="B606" s="10" t="s">
        <v>9135</v>
      </c>
      <c r="C606" s="10" t="s">
        <v>9136</v>
      </c>
      <c r="D606" s="10" t="s">
        <v>9137</v>
      </c>
      <c r="F606" s="17" t="str">
        <f aca="false">CONCATENATE(G606,", ",H606)</f>
        <v>อ.เมือง, จ.</v>
      </c>
      <c r="G606" s="10" t="s">
        <v>5346</v>
      </c>
      <c r="H606" s="10" t="s">
        <v>8331</v>
      </c>
      <c r="I606" s="10" t="s">
        <v>5348</v>
      </c>
      <c r="J606" s="10" t="s">
        <v>5513</v>
      </c>
      <c r="K606" s="10" t="s">
        <v>9138</v>
      </c>
      <c r="L606" s="10" t="s">
        <v>29</v>
      </c>
      <c r="M606" s="10" t="s">
        <v>9139</v>
      </c>
      <c r="P606" s="10" t="s">
        <v>5352</v>
      </c>
      <c r="Q606" s="10" t="s">
        <v>9140</v>
      </c>
      <c r="S606" s="10" t="s">
        <v>29</v>
      </c>
      <c r="T606" s="10" t="s">
        <v>29</v>
      </c>
      <c r="U606" s="10" t="s">
        <v>5367</v>
      </c>
      <c r="Z606" s="11" t="n">
        <v>1</v>
      </c>
    </row>
    <row r="607" customFormat="false" ht="17.9" hidden="false" customHeight="false" outlineLevel="0" collapsed="false">
      <c r="B607" s="10" t="s">
        <v>9141</v>
      </c>
      <c r="C607" s="10" t="s">
        <v>9142</v>
      </c>
      <c r="D607" s="10" t="s">
        <v>9143</v>
      </c>
      <c r="F607" s="17" t="str">
        <f aca="false">CONCATENATE(G607,", ",H607)</f>
        <v>เขตจตุจักร, กรุงเทพมหานคร</v>
      </c>
      <c r="G607" s="10" t="s">
        <v>5659</v>
      </c>
      <c r="H607" s="10" t="s">
        <v>5449</v>
      </c>
      <c r="I607" s="10" t="s">
        <v>5348</v>
      </c>
      <c r="J607" s="10" t="n">
        <v>10900</v>
      </c>
      <c r="K607" s="10" t="s">
        <v>9144</v>
      </c>
      <c r="L607" s="10" t="s">
        <v>29</v>
      </c>
      <c r="M607" s="10" t="s">
        <v>9145</v>
      </c>
      <c r="P607" s="10" t="s">
        <v>5352</v>
      </c>
      <c r="S607" s="10" t="s">
        <v>29</v>
      </c>
      <c r="T607" s="10" t="s">
        <v>29</v>
      </c>
      <c r="U607" s="10" t="s">
        <v>5367</v>
      </c>
      <c r="Z607" s="11" t="n">
        <v>1</v>
      </c>
    </row>
    <row r="608" customFormat="false" ht="17.9" hidden="false" customHeight="false" outlineLevel="0" collapsed="false">
      <c r="B608" s="10" t="s">
        <v>9146</v>
      </c>
      <c r="C608" s="10" t="s">
        <v>9147</v>
      </c>
      <c r="D608" s="10" t="s">
        <v>9148</v>
      </c>
      <c r="E608" s="10" t="s">
        <v>5513</v>
      </c>
      <c r="F608" s="17" t="str">
        <f aca="false">CONCATENATE(G608,", ",H608)</f>
        <v>เขตราชเทวี, กรุงเทพมหานคร</v>
      </c>
      <c r="G608" s="10" t="s">
        <v>9149</v>
      </c>
      <c r="H608" s="10" t="s">
        <v>5449</v>
      </c>
      <c r="I608" s="10" t="s">
        <v>5348</v>
      </c>
      <c r="J608" s="10" t="n">
        <v>10400</v>
      </c>
      <c r="K608" s="10" t="s">
        <v>9150</v>
      </c>
      <c r="L608" s="10" t="s">
        <v>29</v>
      </c>
      <c r="M608" s="10" t="s">
        <v>9151</v>
      </c>
      <c r="P608" s="10" t="s">
        <v>5352</v>
      </c>
      <c r="S608" s="10" t="s">
        <v>29</v>
      </c>
      <c r="T608" s="10" t="s">
        <v>29</v>
      </c>
      <c r="U608" s="10" t="s">
        <v>5367</v>
      </c>
      <c r="Z608" s="11" t="n">
        <v>1</v>
      </c>
    </row>
    <row r="609" customFormat="false" ht="17.9" hidden="false" customHeight="false" outlineLevel="0" collapsed="false">
      <c r="B609" s="10" t="s">
        <v>9152</v>
      </c>
      <c r="C609" s="10" t="s">
        <v>9153</v>
      </c>
      <c r="D609" s="10" t="s">
        <v>9154</v>
      </c>
      <c r="F609" s="17" t="str">
        <f aca="false">CONCATENATE(G609,", ",H609)</f>
        <v>ห้วยขวาง, กรุงเทพมหานคร</v>
      </c>
      <c r="G609" s="10" t="s">
        <v>9155</v>
      </c>
      <c r="H609" s="10" t="s">
        <v>5449</v>
      </c>
      <c r="I609" s="10" t="s">
        <v>5348</v>
      </c>
      <c r="J609" s="10" t="n">
        <v>10310</v>
      </c>
      <c r="K609" s="10" t="s">
        <v>9156</v>
      </c>
      <c r="L609" s="10" t="s">
        <v>9157</v>
      </c>
      <c r="M609" s="10" t="s">
        <v>9158</v>
      </c>
      <c r="P609" s="10" t="s">
        <v>5352</v>
      </c>
      <c r="Q609" s="10" t="s">
        <v>9159</v>
      </c>
      <c r="S609" s="10" t="s">
        <v>29</v>
      </c>
      <c r="T609" s="10" t="s">
        <v>29</v>
      </c>
      <c r="U609" s="10" t="s">
        <v>5367</v>
      </c>
      <c r="Z609" s="11" t="n">
        <v>1</v>
      </c>
    </row>
    <row r="610" customFormat="false" ht="17.9" hidden="false" customHeight="false" outlineLevel="0" collapsed="false">
      <c r="B610" s="10" t="s">
        <v>9160</v>
      </c>
      <c r="C610" s="10" t="s">
        <v>9161</v>
      </c>
      <c r="D610" s="10" t="s">
        <v>9162</v>
      </c>
      <c r="F610" s="17" t="str">
        <f aca="false">CONCATENATE(G610,", ",H610)</f>
        <v>อ.บางพลี, จ.สมุทรปราการ</v>
      </c>
      <c r="G610" s="10" t="s">
        <v>5434</v>
      </c>
      <c r="H610" s="10" t="s">
        <v>5403</v>
      </c>
      <c r="I610" s="10" t="s">
        <v>5348</v>
      </c>
      <c r="J610" s="10" t="n">
        <v>10540</v>
      </c>
      <c r="K610" s="10" t="s">
        <v>9163</v>
      </c>
      <c r="L610" s="10" t="s">
        <v>29</v>
      </c>
      <c r="M610" s="10" t="s">
        <v>9164</v>
      </c>
      <c r="P610" s="10" t="s">
        <v>5352</v>
      </c>
      <c r="Q610" s="10" t="s">
        <v>9165</v>
      </c>
      <c r="S610" s="10" t="s">
        <v>29</v>
      </c>
      <c r="T610" s="10" t="s">
        <v>29</v>
      </c>
      <c r="U610" s="10" t="s">
        <v>5367</v>
      </c>
      <c r="Z610" s="11" t="n">
        <v>1</v>
      </c>
    </row>
    <row r="611" customFormat="false" ht="17.9" hidden="false" customHeight="false" outlineLevel="0" collapsed="false">
      <c r="B611" s="10" t="s">
        <v>9166</v>
      </c>
      <c r="C611" s="10" t="s">
        <v>9167</v>
      </c>
      <c r="D611" s="10" t="s">
        <v>9168</v>
      </c>
      <c r="F611" s="17" t="str">
        <f aca="false">CONCATENATE(G611,", ",H611)</f>
        <v>อ.สามพราน , จ.นครปฐม</v>
      </c>
      <c r="G611" s="10" t="s">
        <v>6273</v>
      </c>
      <c r="H611" s="10" t="s">
        <v>5957</v>
      </c>
      <c r="I611" s="10" t="s">
        <v>5348</v>
      </c>
      <c r="J611" s="10" t="n">
        <v>73220</v>
      </c>
      <c r="K611" s="10" t="s">
        <v>9169</v>
      </c>
      <c r="L611" s="10" t="s">
        <v>9170</v>
      </c>
      <c r="M611" s="10" t="s">
        <v>9171</v>
      </c>
      <c r="P611" s="10" t="s">
        <v>5352</v>
      </c>
      <c r="S611" s="10" t="s">
        <v>29</v>
      </c>
      <c r="T611" s="10" t="s">
        <v>29</v>
      </c>
      <c r="U611" s="10" t="s">
        <v>5367</v>
      </c>
      <c r="Z611" s="11" t="n">
        <v>1</v>
      </c>
    </row>
    <row r="612" customFormat="false" ht="17.9" hidden="false" customHeight="false" outlineLevel="0" collapsed="false">
      <c r="B612" s="10" t="s">
        <v>9172</v>
      </c>
      <c r="C612" s="10" t="s">
        <v>9173</v>
      </c>
      <c r="D612" s="10" t="s">
        <v>9174</v>
      </c>
      <c r="F612" s="17" t="str">
        <f aca="false">CONCATENATE(G612,", ",H612)</f>
        <v>เขตสวนหลวง, กรุงเทพมหานคร</v>
      </c>
      <c r="G612" s="10" t="s">
        <v>5448</v>
      </c>
      <c r="H612" s="10" t="s">
        <v>5449</v>
      </c>
      <c r="I612" s="10" t="s">
        <v>5348</v>
      </c>
      <c r="J612" s="10" t="n">
        <v>10250</v>
      </c>
      <c r="K612" s="10" t="s">
        <v>9175</v>
      </c>
      <c r="L612" s="10" t="s">
        <v>29</v>
      </c>
      <c r="M612" s="10" t="s">
        <v>9176</v>
      </c>
      <c r="P612" s="10" t="s">
        <v>5352</v>
      </c>
      <c r="Q612" s="10" t="s">
        <v>9177</v>
      </c>
      <c r="S612" s="10" t="s">
        <v>29</v>
      </c>
      <c r="T612" s="10" t="s">
        <v>29</v>
      </c>
      <c r="U612" s="10" t="s">
        <v>5367</v>
      </c>
      <c r="Z612" s="11" t="n">
        <v>1</v>
      </c>
    </row>
    <row r="613" customFormat="false" ht="17.9" hidden="false" customHeight="false" outlineLevel="0" collapsed="false">
      <c r="B613" s="10" t="s">
        <v>9178</v>
      </c>
      <c r="C613" s="10" t="s">
        <v>9179</v>
      </c>
      <c r="D613" s="10" t="s">
        <v>9180</v>
      </c>
      <c r="F613" s="17" t="str">
        <f aca="false">CONCATENATE(G613,", ",H613)</f>
        <v>เขตบางรัก , กรุงเทพมหานคร</v>
      </c>
      <c r="G613" s="10" t="s">
        <v>6155</v>
      </c>
      <c r="H613" s="10" t="s">
        <v>5449</v>
      </c>
      <c r="I613" s="10" t="s">
        <v>5348</v>
      </c>
      <c r="J613" s="10" t="n">
        <v>10500</v>
      </c>
      <c r="K613" s="10" t="s">
        <v>9181</v>
      </c>
      <c r="L613" s="10" t="s">
        <v>9182</v>
      </c>
      <c r="M613" s="10" t="s">
        <v>9183</v>
      </c>
      <c r="P613" s="10" t="s">
        <v>5352</v>
      </c>
      <c r="S613" s="10" t="s">
        <v>29</v>
      </c>
      <c r="T613" s="10" t="s">
        <v>29</v>
      </c>
      <c r="U613" s="10" t="s">
        <v>5367</v>
      </c>
      <c r="Z613" s="11" t="n">
        <v>1</v>
      </c>
    </row>
    <row r="614" customFormat="false" ht="17.9" hidden="false" customHeight="false" outlineLevel="0" collapsed="false">
      <c r="B614" s="10" t="s">
        <v>9184</v>
      </c>
      <c r="C614" s="10" t="s">
        <v>9185</v>
      </c>
      <c r="D614" s="10" t="s">
        <v>9186</v>
      </c>
      <c r="F614" s="17" t="str">
        <f aca="false">CONCATENATE(G614,", ",H614)</f>
        <v>เขตตลิ่งชัน, กรุงเทพมหานคร</v>
      </c>
      <c r="G614" s="10" t="s">
        <v>6346</v>
      </c>
      <c r="H614" s="10" t="s">
        <v>5449</v>
      </c>
      <c r="I614" s="10" t="s">
        <v>5348</v>
      </c>
      <c r="J614" s="10" t="n">
        <v>10170</v>
      </c>
      <c r="K614" s="10" t="s">
        <v>9187</v>
      </c>
      <c r="L614" s="10" t="s">
        <v>9188</v>
      </c>
      <c r="M614" s="10" t="s">
        <v>9189</v>
      </c>
      <c r="P614" s="10" t="s">
        <v>5352</v>
      </c>
      <c r="Q614" s="10" t="s">
        <v>9190</v>
      </c>
      <c r="S614" s="10" t="s">
        <v>29</v>
      </c>
      <c r="T614" s="10" t="s">
        <v>29</v>
      </c>
      <c r="U614" s="10" t="s">
        <v>5367</v>
      </c>
      <c r="Z614" s="11" t="n">
        <v>1</v>
      </c>
    </row>
    <row r="615" customFormat="false" ht="17.9" hidden="false" customHeight="false" outlineLevel="0" collapsed="false">
      <c r="B615" s="10" t="s">
        <v>9191</v>
      </c>
      <c r="C615" s="10" t="s">
        <v>9192</v>
      </c>
      <c r="D615" s="10" t="s">
        <v>9193</v>
      </c>
      <c r="F615" s="17" t="str">
        <f aca="false">CONCATENATE(G615,", ",H615)</f>
        <v>เขตห้วยขวาง, กรุงเทพมหานคร</v>
      </c>
      <c r="G615" s="10" t="s">
        <v>6315</v>
      </c>
      <c r="H615" s="10" t="s">
        <v>5449</v>
      </c>
      <c r="I615" s="10" t="s">
        <v>5348</v>
      </c>
      <c r="J615" s="10" t="n">
        <v>10310</v>
      </c>
      <c r="K615" s="10" t="s">
        <v>9194</v>
      </c>
      <c r="L615" s="10" t="s">
        <v>9195</v>
      </c>
      <c r="M615" s="10" t="s">
        <v>9196</v>
      </c>
      <c r="P615" s="10" t="s">
        <v>5352</v>
      </c>
      <c r="S615" s="10" t="s">
        <v>29</v>
      </c>
      <c r="T615" s="10" t="s">
        <v>29</v>
      </c>
      <c r="U615" s="10" t="s">
        <v>5367</v>
      </c>
      <c r="Z615" s="11" t="n">
        <v>1</v>
      </c>
    </row>
    <row r="616" customFormat="false" ht="15" hidden="false" customHeight="false" outlineLevel="0" collapsed="false">
      <c r="B616" s="10" t="s">
        <v>9197</v>
      </c>
      <c r="C616" s="10" t="s">
        <v>9198</v>
      </c>
      <c r="D616" s="10" t="s">
        <v>29</v>
      </c>
      <c r="F616" s="17" t="str">
        <f aca="false">CONCATENATE(G616,", ",H616)</f>
        <v>-, -</v>
      </c>
      <c r="G616" s="10" t="s">
        <v>29</v>
      </c>
      <c r="H616" s="10" t="s">
        <v>29</v>
      </c>
      <c r="I616" s="10" t="s">
        <v>5348</v>
      </c>
      <c r="J616" s="10" t="s">
        <v>29</v>
      </c>
      <c r="K616" s="10" t="s">
        <v>29</v>
      </c>
      <c r="L616" s="10" t="s">
        <v>29</v>
      </c>
      <c r="M616" s="10" t="s">
        <v>29</v>
      </c>
      <c r="P616" s="10" t="s">
        <v>5352</v>
      </c>
      <c r="S616" s="10" t="s">
        <v>29</v>
      </c>
      <c r="T616" s="10" t="s">
        <v>29</v>
      </c>
      <c r="U616" s="10" t="s">
        <v>5367</v>
      </c>
      <c r="Z616" s="11" t="n">
        <v>1</v>
      </c>
    </row>
    <row r="617" customFormat="false" ht="15" hidden="false" customHeight="false" outlineLevel="0" collapsed="false">
      <c r="B617" s="10" t="s">
        <v>9199</v>
      </c>
      <c r="C617" s="10" t="s">
        <v>9200</v>
      </c>
      <c r="D617" s="10" t="s">
        <v>29</v>
      </c>
      <c r="F617" s="17" t="str">
        <f aca="false">CONCATENATE(G617,", ",H617)</f>
        <v>-, -</v>
      </c>
      <c r="G617" s="10" t="s">
        <v>29</v>
      </c>
      <c r="H617" s="10" t="s">
        <v>29</v>
      </c>
      <c r="I617" s="10" t="s">
        <v>5348</v>
      </c>
      <c r="J617" s="10" t="s">
        <v>29</v>
      </c>
      <c r="K617" s="10" t="s">
        <v>29</v>
      </c>
      <c r="L617" s="10" t="s">
        <v>29</v>
      </c>
      <c r="M617" s="10" t="s">
        <v>29</v>
      </c>
      <c r="P617" s="10" t="s">
        <v>5352</v>
      </c>
      <c r="S617" s="10" t="s">
        <v>29</v>
      </c>
      <c r="T617" s="10" t="s">
        <v>29</v>
      </c>
      <c r="U617" s="10" t="s">
        <v>5367</v>
      </c>
      <c r="Z617" s="11" t="n">
        <v>1</v>
      </c>
    </row>
    <row r="618" customFormat="false" ht="15" hidden="false" customHeight="false" outlineLevel="0" collapsed="false">
      <c r="B618" s="10" t="s">
        <v>9201</v>
      </c>
      <c r="C618" s="10" t="s">
        <v>9202</v>
      </c>
      <c r="D618" s="10" t="s">
        <v>29</v>
      </c>
      <c r="F618" s="17" t="str">
        <f aca="false">CONCATENATE(G618,", ",H618)</f>
        <v>-, -</v>
      </c>
      <c r="G618" s="10" t="s">
        <v>29</v>
      </c>
      <c r="H618" s="10" t="s">
        <v>29</v>
      </c>
      <c r="I618" s="10" t="s">
        <v>5348</v>
      </c>
      <c r="J618" s="10" t="s">
        <v>29</v>
      </c>
      <c r="K618" s="10" t="s">
        <v>29</v>
      </c>
      <c r="L618" s="10" t="s">
        <v>29</v>
      </c>
      <c r="M618" s="10" t="s">
        <v>29</v>
      </c>
      <c r="P618" s="10" t="s">
        <v>5352</v>
      </c>
      <c r="S618" s="10" t="s">
        <v>29</v>
      </c>
      <c r="T618" s="10" t="s">
        <v>29</v>
      </c>
      <c r="U618" s="10" t="s">
        <v>5367</v>
      </c>
      <c r="Z618" s="11" t="n">
        <v>1</v>
      </c>
    </row>
    <row r="619" customFormat="false" ht="17.9" hidden="false" customHeight="false" outlineLevel="0" collapsed="false">
      <c r="B619" s="10" t="s">
        <v>9203</v>
      </c>
      <c r="C619" s="10" t="s">
        <v>9204</v>
      </c>
      <c r="D619" s="10" t="s">
        <v>9205</v>
      </c>
      <c r="F619" s="17" t="str">
        <f aca="false">CONCATENATE(G619,", ",H619)</f>
        <v>อ.ลำลูกกา,  จ.ปทุมธานี</v>
      </c>
      <c r="G619" s="10" t="s">
        <v>9206</v>
      </c>
      <c r="H619" s="10" t="s">
        <v>6372</v>
      </c>
      <c r="I619" s="10" t="s">
        <v>5348</v>
      </c>
      <c r="J619" s="10" t="n">
        <v>12150</v>
      </c>
      <c r="K619" s="10" t="s">
        <v>9207</v>
      </c>
      <c r="L619" s="10" t="s">
        <v>9208</v>
      </c>
      <c r="M619" s="10" t="s">
        <v>9209</v>
      </c>
      <c r="P619" s="10" t="s">
        <v>5352</v>
      </c>
      <c r="Q619" s="10" t="s">
        <v>9210</v>
      </c>
      <c r="S619" s="10" t="s">
        <v>29</v>
      </c>
      <c r="T619" s="10" t="s">
        <v>29</v>
      </c>
      <c r="U619" s="10" t="s">
        <v>5367</v>
      </c>
      <c r="Z619" s="11" t="n">
        <v>1</v>
      </c>
    </row>
    <row r="620" customFormat="false" ht="15" hidden="false" customHeight="false" outlineLevel="0" collapsed="false">
      <c r="B620" s="10" t="s">
        <v>9211</v>
      </c>
      <c r="C620" s="10" t="s">
        <v>9212</v>
      </c>
      <c r="D620" s="10" t="s">
        <v>29</v>
      </c>
      <c r="F620" s="17" t="str">
        <f aca="false">CONCATENATE(G620,", ",H620)</f>
        <v>-, -</v>
      </c>
      <c r="G620" s="10" t="s">
        <v>29</v>
      </c>
      <c r="H620" s="10" t="s">
        <v>29</v>
      </c>
      <c r="I620" s="10" t="s">
        <v>5348</v>
      </c>
      <c r="J620" s="10" t="s">
        <v>29</v>
      </c>
      <c r="K620" s="10" t="s">
        <v>29</v>
      </c>
      <c r="L620" s="10" t="s">
        <v>9213</v>
      </c>
      <c r="M620" s="10" t="s">
        <v>29</v>
      </c>
      <c r="P620" s="10" t="s">
        <v>5352</v>
      </c>
      <c r="S620" s="10" t="s">
        <v>29</v>
      </c>
      <c r="T620" s="10" t="s">
        <v>29</v>
      </c>
      <c r="U620" s="10" t="s">
        <v>5367</v>
      </c>
      <c r="Z620" s="11" t="n">
        <v>1</v>
      </c>
    </row>
  </sheetData>
  <hyperlinks>
    <hyperlink ref="L282" r:id="rId1" display="info@tpqtools.com"/>
    <hyperlink ref="L312" r:id="rId2" display="info@vphydraulic.com"/>
    <hyperlink ref="L374" r:id="rId3" display="cbfactory70@gmail.com"/>
    <hyperlink ref="L392" r:id="rId4" display="shoponline@hardwarehouse.co.th"/>
    <hyperlink ref="L496" r:id="rId5" display="sales@jobbkk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4296875" defaultRowHeight="15" zeroHeight="false" outlineLevelRow="0" outlineLevelCol="0"/>
  <cols>
    <col collapsed="false" customWidth="true" hidden="false" outlineLevel="0" max="1" min="1" style="0" width="21.89"/>
  </cols>
  <sheetData>
    <row r="1" customFormat="false" ht="15" hidden="false" customHeight="false" outlineLevel="0" collapsed="false">
      <c r="A1" s="3" t="s">
        <v>4</v>
      </c>
    </row>
    <row r="2" customFormat="false" ht="15" hidden="false" customHeight="false" outlineLevel="0" collapsed="false">
      <c r="A2" s="0" t="s">
        <v>17</v>
      </c>
    </row>
    <row r="3" customFormat="false" ht="15" hidden="false" customHeight="false" outlineLevel="0" collapsed="false">
      <c r="A3" s="0" t="s">
        <v>26</v>
      </c>
    </row>
    <row r="4" customFormat="false" ht="15" hidden="false" customHeight="false" outlineLevel="0" collapsed="false">
      <c r="A4" s="0" t="s">
        <v>31</v>
      </c>
    </row>
    <row r="5" customFormat="false" ht="15" hidden="false" customHeight="false" outlineLevel="0" collapsed="false">
      <c r="A5" s="0" t="s">
        <v>46</v>
      </c>
    </row>
    <row r="6" customFormat="false" ht="15" hidden="false" customHeight="false" outlineLevel="0" collapsed="false">
      <c r="A6" s="0" t="s">
        <v>53</v>
      </c>
    </row>
    <row r="7" customFormat="false" ht="15" hidden="false" customHeight="false" outlineLevel="0" collapsed="false">
      <c r="A7" s="0" t="s">
        <v>61</v>
      </c>
    </row>
    <row r="8" customFormat="false" ht="15" hidden="false" customHeight="false" outlineLevel="0" collapsed="false">
      <c r="A8" s="0" t="s">
        <v>65</v>
      </c>
    </row>
    <row r="9" customFormat="false" ht="15" hidden="false" customHeight="false" outlineLevel="0" collapsed="false">
      <c r="A9" s="0" t="s">
        <v>87</v>
      </c>
    </row>
    <row r="10" customFormat="false" ht="15" hidden="false" customHeight="false" outlineLevel="0" collapsed="false">
      <c r="A10" s="0" t="s">
        <v>93</v>
      </c>
    </row>
    <row r="11" customFormat="false" ht="15" hidden="false" customHeight="false" outlineLevel="0" collapsed="false">
      <c r="A11" s="0" t="s">
        <v>97</v>
      </c>
    </row>
    <row r="12" customFormat="false" ht="15" hidden="false" customHeight="false" outlineLevel="0" collapsed="false">
      <c r="A12" s="0" t="s">
        <v>105</v>
      </c>
    </row>
    <row r="13" customFormat="false" ht="15" hidden="false" customHeight="false" outlineLevel="0" collapsed="false">
      <c r="A13" s="0" t="s">
        <v>121</v>
      </c>
    </row>
    <row r="14" customFormat="false" ht="15" hidden="false" customHeight="false" outlineLevel="0" collapsed="false">
      <c r="A14" s="0" t="s">
        <v>127</v>
      </c>
    </row>
    <row r="15" customFormat="false" ht="15" hidden="false" customHeight="false" outlineLevel="0" collapsed="false">
      <c r="A15" s="0" t="s">
        <v>139</v>
      </c>
    </row>
    <row r="16" customFormat="false" ht="15" hidden="false" customHeight="false" outlineLevel="0" collapsed="false">
      <c r="A16" s="0" t="s">
        <v>146</v>
      </c>
    </row>
    <row r="17" customFormat="false" ht="15" hidden="false" customHeight="false" outlineLevel="0" collapsed="false">
      <c r="A17" s="0" t="s">
        <v>161</v>
      </c>
    </row>
    <row r="18" customFormat="false" ht="15" hidden="false" customHeight="false" outlineLevel="0" collapsed="false">
      <c r="A18" s="0" t="s">
        <v>165</v>
      </c>
    </row>
    <row r="19" customFormat="false" ht="15" hidden="false" customHeight="false" outlineLevel="0" collapsed="false">
      <c r="A19" s="0" t="s">
        <v>197</v>
      </c>
    </row>
    <row r="20" customFormat="false" ht="15" hidden="false" customHeight="false" outlineLevel="0" collapsed="false">
      <c r="A20" s="0" t="s">
        <v>213</v>
      </c>
    </row>
    <row r="21" customFormat="false" ht="15" hidden="false" customHeight="false" outlineLevel="0" collapsed="false">
      <c r="A21" s="0" t="s">
        <v>217</v>
      </c>
    </row>
    <row r="22" customFormat="false" ht="15" hidden="false" customHeight="false" outlineLevel="0" collapsed="false">
      <c r="A22" s="0" t="s">
        <v>221</v>
      </c>
    </row>
    <row r="23" customFormat="false" ht="15" hidden="false" customHeight="false" outlineLevel="0" collapsed="false">
      <c r="A23" s="0" t="s">
        <v>225</v>
      </c>
    </row>
    <row r="24" customFormat="false" ht="15" hidden="false" customHeight="false" outlineLevel="0" collapsed="false">
      <c r="A24" s="0" t="s">
        <v>245</v>
      </c>
    </row>
    <row r="25" customFormat="false" ht="15" hidden="false" customHeight="false" outlineLevel="0" collapsed="false">
      <c r="A25" s="0" t="s">
        <v>254</v>
      </c>
    </row>
    <row r="26" customFormat="false" ht="15" hidden="false" customHeight="false" outlineLevel="0" collapsed="false">
      <c r="A26" s="0" t="s">
        <v>257</v>
      </c>
    </row>
    <row r="27" customFormat="false" ht="15" hidden="false" customHeight="false" outlineLevel="0" collapsed="false">
      <c r="A27" s="0" t="s">
        <v>263</v>
      </c>
    </row>
    <row r="28" customFormat="false" ht="15" hidden="false" customHeight="false" outlineLevel="0" collapsed="false">
      <c r="A28" s="0" t="s">
        <v>267</v>
      </c>
    </row>
    <row r="29" customFormat="false" ht="15" hidden="false" customHeight="false" outlineLevel="0" collapsed="false">
      <c r="A29" s="0" t="s">
        <v>271</v>
      </c>
    </row>
    <row r="30" customFormat="false" ht="15" hidden="false" customHeight="false" outlineLevel="0" collapsed="false">
      <c r="A30" s="0" t="s">
        <v>275</v>
      </c>
    </row>
    <row r="31" customFormat="false" ht="15" hidden="false" customHeight="false" outlineLevel="0" collapsed="false">
      <c r="A31" s="0" t="s">
        <v>279</v>
      </c>
    </row>
    <row r="32" customFormat="false" ht="15" hidden="false" customHeight="false" outlineLevel="0" collapsed="false">
      <c r="A32" s="0" t="s">
        <v>294</v>
      </c>
    </row>
    <row r="33" customFormat="false" ht="15" hidden="false" customHeight="false" outlineLevel="0" collapsed="false">
      <c r="A33" s="0" t="s">
        <v>298</v>
      </c>
    </row>
    <row r="34" customFormat="false" ht="15" hidden="false" customHeight="false" outlineLevel="0" collapsed="false">
      <c r="A34" s="0" t="s">
        <v>334</v>
      </c>
    </row>
    <row r="35" customFormat="false" ht="15" hidden="false" customHeight="false" outlineLevel="0" collapsed="false">
      <c r="A35" s="0" t="s">
        <v>339</v>
      </c>
    </row>
    <row r="36" customFormat="false" ht="15" hidden="false" customHeight="false" outlineLevel="0" collapsed="false">
      <c r="A36" s="0" t="s">
        <v>343</v>
      </c>
    </row>
    <row r="37" customFormat="false" ht="15" hidden="false" customHeight="false" outlineLevel="0" collapsed="false">
      <c r="A37" s="0" t="s">
        <v>354</v>
      </c>
    </row>
    <row r="38" customFormat="false" ht="15" hidden="false" customHeight="false" outlineLevel="0" collapsed="false">
      <c r="A38" s="0" t="s">
        <v>358</v>
      </c>
    </row>
    <row r="39" customFormat="false" ht="15" hidden="false" customHeight="false" outlineLevel="0" collapsed="false">
      <c r="A39" s="0" t="s">
        <v>369</v>
      </c>
    </row>
    <row r="40" customFormat="false" ht="15" hidden="false" customHeight="false" outlineLevel="0" collapsed="false">
      <c r="A40" s="0" t="s">
        <v>374</v>
      </c>
    </row>
    <row r="41" customFormat="false" ht="15" hidden="false" customHeight="false" outlineLevel="0" collapsed="false">
      <c r="A41" s="0" t="s">
        <v>399</v>
      </c>
    </row>
    <row r="42" customFormat="false" ht="15" hidden="false" customHeight="false" outlineLevel="0" collapsed="false">
      <c r="A42" s="0" t="s">
        <v>405</v>
      </c>
    </row>
    <row r="43" customFormat="false" ht="15" hidden="false" customHeight="false" outlineLevel="0" collapsed="false">
      <c r="A43" s="0" t="s">
        <v>443</v>
      </c>
    </row>
    <row r="44" customFormat="false" ht="15" hidden="false" customHeight="false" outlineLevel="0" collapsed="false">
      <c r="A44" s="0" t="s">
        <v>449</v>
      </c>
    </row>
    <row r="45" customFormat="false" ht="15" hidden="false" customHeight="false" outlineLevel="0" collapsed="false">
      <c r="A45" s="0" t="s">
        <v>454</v>
      </c>
    </row>
    <row r="46" customFormat="false" ht="15" hidden="false" customHeight="false" outlineLevel="0" collapsed="false">
      <c r="A46" s="0" t="s">
        <v>459</v>
      </c>
    </row>
    <row r="47" customFormat="false" ht="15" hidden="false" customHeight="false" outlineLevel="0" collapsed="false">
      <c r="A47" s="0" t="s">
        <v>462</v>
      </c>
    </row>
    <row r="48" customFormat="false" ht="15" hidden="false" customHeight="false" outlineLevel="0" collapsed="false">
      <c r="A48" s="0" t="s">
        <v>470</v>
      </c>
    </row>
    <row r="49" customFormat="false" ht="15" hidden="false" customHeight="false" outlineLevel="0" collapsed="false">
      <c r="A49" s="0" t="s">
        <v>476</v>
      </c>
    </row>
    <row r="50" customFormat="false" ht="15" hidden="false" customHeight="false" outlineLevel="0" collapsed="false">
      <c r="A50" s="0" t="s">
        <v>483</v>
      </c>
    </row>
    <row r="51" customFormat="false" ht="15" hidden="false" customHeight="false" outlineLevel="0" collapsed="false">
      <c r="A51" s="0" t="s">
        <v>499</v>
      </c>
    </row>
    <row r="52" customFormat="false" ht="15" hidden="false" customHeight="false" outlineLevel="0" collapsed="false">
      <c r="A52" s="0" t="s">
        <v>505</v>
      </c>
    </row>
    <row r="53" customFormat="false" ht="15" hidden="false" customHeight="false" outlineLevel="0" collapsed="false">
      <c r="A53" s="0" t="s">
        <v>514</v>
      </c>
    </row>
    <row r="54" customFormat="false" ht="15" hidden="false" customHeight="false" outlineLevel="0" collapsed="false">
      <c r="A54" s="0" t="s">
        <v>520</v>
      </c>
    </row>
    <row r="55" customFormat="false" ht="15" hidden="false" customHeight="false" outlineLevel="0" collapsed="false">
      <c r="A55" s="0" t="s">
        <v>524</v>
      </c>
    </row>
    <row r="56" customFormat="false" ht="15" hidden="false" customHeight="false" outlineLevel="0" collapsed="false">
      <c r="A56" s="0" t="s">
        <v>549</v>
      </c>
    </row>
    <row r="57" customFormat="false" ht="15" hidden="false" customHeight="false" outlineLevel="0" collapsed="false">
      <c r="A57" s="0" t="s">
        <v>553</v>
      </c>
    </row>
    <row r="58" customFormat="false" ht="15" hidden="false" customHeight="false" outlineLevel="0" collapsed="false">
      <c r="A58" s="0" t="s">
        <v>572</v>
      </c>
    </row>
    <row r="59" customFormat="false" ht="15" hidden="false" customHeight="false" outlineLevel="0" collapsed="false">
      <c r="A59" s="0" t="s">
        <v>581</v>
      </c>
    </row>
    <row r="60" customFormat="false" ht="15" hidden="false" customHeight="false" outlineLevel="0" collapsed="false">
      <c r="A60" s="0" t="s">
        <v>590</v>
      </c>
    </row>
    <row r="61" customFormat="false" ht="15" hidden="false" customHeight="false" outlineLevel="0" collapsed="false">
      <c r="A61" s="0" t="s">
        <v>593</v>
      </c>
    </row>
    <row r="62" customFormat="false" ht="15" hidden="false" customHeight="false" outlineLevel="0" collapsed="false">
      <c r="A62" s="0" t="s">
        <v>600</v>
      </c>
    </row>
    <row r="63" customFormat="false" ht="15" hidden="false" customHeight="false" outlineLevel="0" collapsed="false">
      <c r="A63" s="0" t="s">
        <v>608</v>
      </c>
    </row>
    <row r="64" customFormat="false" ht="15" hidden="false" customHeight="false" outlineLevel="0" collapsed="false">
      <c r="A64" s="0" t="s">
        <v>613</v>
      </c>
    </row>
    <row r="65" customFormat="false" ht="15" hidden="false" customHeight="false" outlineLevel="0" collapsed="false">
      <c r="A65" s="0" t="s">
        <v>621</v>
      </c>
    </row>
    <row r="66" customFormat="false" ht="15" hidden="false" customHeight="false" outlineLevel="0" collapsed="false">
      <c r="A66" s="0" t="s">
        <v>625</v>
      </c>
    </row>
    <row r="67" customFormat="false" ht="15" hidden="false" customHeight="false" outlineLevel="0" collapsed="false">
      <c r="A67" s="0" t="s">
        <v>659</v>
      </c>
    </row>
    <row r="68" customFormat="false" ht="15" hidden="false" customHeight="false" outlineLevel="0" collapsed="false">
      <c r="A68" s="0" t="s">
        <v>736</v>
      </c>
    </row>
    <row r="69" customFormat="false" ht="15" hidden="false" customHeight="false" outlineLevel="0" collapsed="false">
      <c r="A69" s="0" t="s">
        <v>756</v>
      </c>
    </row>
    <row r="70" customFormat="false" ht="15" hidden="false" customHeight="false" outlineLevel="0" collapsed="false">
      <c r="A70" s="0" t="s">
        <v>819</v>
      </c>
    </row>
    <row r="71" customFormat="false" ht="15" hidden="false" customHeight="false" outlineLevel="0" collapsed="false">
      <c r="A71" s="0" t="s">
        <v>826</v>
      </c>
    </row>
    <row r="72" customFormat="false" ht="15" hidden="false" customHeight="false" outlineLevel="0" collapsed="false">
      <c r="A72" s="0" t="s">
        <v>844</v>
      </c>
    </row>
    <row r="73" customFormat="false" ht="15" hidden="false" customHeight="false" outlineLevel="0" collapsed="false">
      <c r="A73" s="0" t="s">
        <v>874</v>
      </c>
    </row>
    <row r="74" customFormat="false" ht="15" hidden="false" customHeight="false" outlineLevel="0" collapsed="false">
      <c r="A74" s="0" t="s">
        <v>896</v>
      </c>
    </row>
    <row r="75" customFormat="false" ht="15" hidden="false" customHeight="false" outlineLevel="0" collapsed="false">
      <c r="A75" s="0" t="s">
        <v>901</v>
      </c>
    </row>
    <row r="76" customFormat="false" ht="15" hidden="false" customHeight="false" outlineLevel="0" collapsed="false">
      <c r="A76" s="0" t="s">
        <v>907</v>
      </c>
    </row>
    <row r="77" customFormat="false" ht="15" hidden="false" customHeight="false" outlineLevel="0" collapsed="false">
      <c r="A77" s="0" t="s">
        <v>923</v>
      </c>
    </row>
    <row r="78" customFormat="false" ht="15" hidden="false" customHeight="false" outlineLevel="0" collapsed="false">
      <c r="A78" s="0" t="s">
        <v>940</v>
      </c>
    </row>
    <row r="79" customFormat="false" ht="15" hidden="false" customHeight="false" outlineLevel="0" collapsed="false">
      <c r="A79" s="0" t="s">
        <v>944</v>
      </c>
    </row>
    <row r="80" customFormat="false" ht="15" hidden="false" customHeight="false" outlineLevel="0" collapsed="false">
      <c r="A80" s="0" t="s">
        <v>950</v>
      </c>
    </row>
    <row r="81" customFormat="false" ht="15" hidden="false" customHeight="false" outlineLevel="0" collapsed="false">
      <c r="A81" s="0" t="s">
        <v>957</v>
      </c>
    </row>
    <row r="82" customFormat="false" ht="15" hidden="false" customHeight="false" outlineLevel="0" collapsed="false">
      <c r="A82" s="0" t="s">
        <v>961</v>
      </c>
    </row>
    <row r="83" customFormat="false" ht="15" hidden="false" customHeight="false" outlineLevel="0" collapsed="false">
      <c r="A83" s="0" t="s">
        <v>965</v>
      </c>
    </row>
    <row r="84" customFormat="false" ht="15" hidden="false" customHeight="false" outlineLevel="0" collapsed="false">
      <c r="A84" s="0" t="s">
        <v>1000</v>
      </c>
    </row>
    <row r="85" customFormat="false" ht="15" hidden="false" customHeight="false" outlineLevel="0" collapsed="false">
      <c r="A85" s="0" t="s">
        <v>1014</v>
      </c>
    </row>
    <row r="86" customFormat="false" ht="15" hidden="false" customHeight="false" outlineLevel="0" collapsed="false">
      <c r="A86" s="0" t="s">
        <v>1026</v>
      </c>
    </row>
    <row r="87" customFormat="false" ht="15" hidden="false" customHeight="false" outlineLevel="0" collapsed="false">
      <c r="A87" s="0" t="s">
        <v>1044</v>
      </c>
    </row>
    <row r="88" customFormat="false" ht="15" hidden="false" customHeight="false" outlineLevel="0" collapsed="false">
      <c r="A88" s="0" t="s">
        <v>1129</v>
      </c>
    </row>
    <row r="89" customFormat="false" ht="15" hidden="false" customHeight="false" outlineLevel="0" collapsed="false">
      <c r="A89" s="0" t="s">
        <v>1154</v>
      </c>
    </row>
    <row r="90" customFormat="false" ht="15" hidden="false" customHeight="false" outlineLevel="0" collapsed="false">
      <c r="A90" s="0" t="s">
        <v>1246</v>
      </c>
    </row>
    <row r="91" customFormat="false" ht="15" hidden="false" customHeight="false" outlineLevel="0" collapsed="false">
      <c r="A91" s="0" t="s">
        <v>1262</v>
      </c>
    </row>
    <row r="92" customFormat="false" ht="15" hidden="false" customHeight="false" outlineLevel="0" collapsed="false">
      <c r="A92" s="0" t="s">
        <v>1290</v>
      </c>
    </row>
    <row r="93" customFormat="false" ht="15" hidden="false" customHeight="false" outlineLevel="0" collapsed="false">
      <c r="A93" s="0" t="s">
        <v>1299</v>
      </c>
    </row>
    <row r="94" customFormat="false" ht="15" hidden="false" customHeight="false" outlineLevel="0" collapsed="false">
      <c r="A94" s="0" t="s">
        <v>1320</v>
      </c>
    </row>
    <row r="95" customFormat="false" ht="15" hidden="false" customHeight="false" outlineLevel="0" collapsed="false">
      <c r="A95" s="0" t="s">
        <v>1328</v>
      </c>
    </row>
    <row r="96" customFormat="false" ht="15" hidden="false" customHeight="false" outlineLevel="0" collapsed="false">
      <c r="A96" s="0" t="s">
        <v>1331</v>
      </c>
    </row>
    <row r="97" customFormat="false" ht="15" hidden="false" customHeight="false" outlineLevel="0" collapsed="false">
      <c r="A97" s="0" t="s">
        <v>1340</v>
      </c>
    </row>
    <row r="98" customFormat="false" ht="15" hidden="false" customHeight="false" outlineLevel="0" collapsed="false">
      <c r="A98" s="0" t="s">
        <v>1352</v>
      </c>
    </row>
    <row r="99" customFormat="false" ht="15" hidden="false" customHeight="false" outlineLevel="0" collapsed="false">
      <c r="A99" s="0" t="s">
        <v>1356</v>
      </c>
    </row>
    <row r="100" customFormat="false" ht="15" hidden="false" customHeight="false" outlineLevel="0" collapsed="false">
      <c r="A100" s="0" t="s">
        <v>1366</v>
      </c>
    </row>
    <row r="101" customFormat="false" ht="15" hidden="false" customHeight="false" outlineLevel="0" collapsed="false">
      <c r="A101" s="0" t="s">
        <v>1373</v>
      </c>
    </row>
    <row r="102" customFormat="false" ht="15" hidden="false" customHeight="false" outlineLevel="0" collapsed="false">
      <c r="A102" s="0" t="s">
        <v>1383</v>
      </c>
    </row>
    <row r="103" customFormat="false" ht="15" hidden="false" customHeight="false" outlineLevel="0" collapsed="false">
      <c r="A103" s="0" t="s">
        <v>1417</v>
      </c>
    </row>
    <row r="104" customFormat="false" ht="15" hidden="false" customHeight="false" outlineLevel="0" collapsed="false">
      <c r="A104" s="0" t="s">
        <v>1431</v>
      </c>
    </row>
    <row r="105" customFormat="false" ht="15" hidden="false" customHeight="false" outlineLevel="0" collapsed="false">
      <c r="A105" s="0" t="s">
        <v>1435</v>
      </c>
    </row>
    <row r="106" customFormat="false" ht="15" hidden="false" customHeight="false" outlineLevel="0" collapsed="false">
      <c r="A106" s="0" t="s">
        <v>1446</v>
      </c>
    </row>
    <row r="107" customFormat="false" ht="15" hidden="false" customHeight="false" outlineLevel="0" collapsed="false">
      <c r="A107" s="0" t="s">
        <v>1450</v>
      </c>
    </row>
    <row r="108" customFormat="false" ht="15" hidden="false" customHeight="false" outlineLevel="0" collapsed="false">
      <c r="A108" s="0" t="s">
        <v>1454</v>
      </c>
    </row>
    <row r="109" customFormat="false" ht="15" hidden="false" customHeight="false" outlineLevel="0" collapsed="false">
      <c r="A109" s="0" t="s">
        <v>1458</v>
      </c>
    </row>
    <row r="110" customFormat="false" ht="15" hidden="false" customHeight="false" outlineLevel="0" collapsed="false">
      <c r="A110" s="0" t="s">
        <v>1462</v>
      </c>
    </row>
    <row r="111" customFormat="false" ht="15" hidden="false" customHeight="false" outlineLevel="0" collapsed="false">
      <c r="A111" s="0" t="s">
        <v>1466</v>
      </c>
    </row>
    <row r="112" customFormat="false" ht="15" hidden="false" customHeight="false" outlineLevel="0" collapsed="false">
      <c r="A112" s="0" t="s">
        <v>1479</v>
      </c>
    </row>
    <row r="113" customFormat="false" ht="15" hidden="false" customHeight="false" outlineLevel="0" collapsed="false">
      <c r="A113" s="0" t="s">
        <v>1501</v>
      </c>
    </row>
    <row r="114" customFormat="false" ht="15" hidden="false" customHeight="false" outlineLevel="0" collapsed="false">
      <c r="A114" s="0" t="s">
        <v>1505</v>
      </c>
    </row>
    <row r="115" customFormat="false" ht="15" hidden="false" customHeight="false" outlineLevel="0" collapsed="false">
      <c r="A115" s="0" t="s">
        <v>1543</v>
      </c>
    </row>
    <row r="116" customFormat="false" ht="15" hidden="false" customHeight="false" outlineLevel="0" collapsed="false">
      <c r="A116" s="0" t="s">
        <v>1597</v>
      </c>
    </row>
    <row r="117" customFormat="false" ht="15" hidden="false" customHeight="false" outlineLevel="0" collapsed="false">
      <c r="A117" s="0" t="s">
        <v>1601</v>
      </c>
    </row>
    <row r="118" customFormat="false" ht="15" hidden="false" customHeight="false" outlineLevel="0" collapsed="false">
      <c r="A118" s="0" t="s">
        <v>1605</v>
      </c>
    </row>
    <row r="119" customFormat="false" ht="15" hidden="false" customHeight="false" outlineLevel="0" collapsed="false">
      <c r="A119" s="0" t="s">
        <v>1612</v>
      </c>
    </row>
    <row r="120" customFormat="false" ht="15" hidden="false" customHeight="false" outlineLevel="0" collapsed="false">
      <c r="A120" s="0" t="s">
        <v>1634</v>
      </c>
    </row>
    <row r="121" customFormat="false" ht="15" hidden="false" customHeight="false" outlineLevel="0" collapsed="false">
      <c r="A121" s="0" t="s">
        <v>1653</v>
      </c>
    </row>
    <row r="122" customFormat="false" ht="15" hidden="false" customHeight="false" outlineLevel="0" collapsed="false">
      <c r="A122" s="0" t="s">
        <v>1684</v>
      </c>
    </row>
    <row r="123" customFormat="false" ht="15" hidden="false" customHeight="false" outlineLevel="0" collapsed="false">
      <c r="A123" s="0" t="s">
        <v>1727</v>
      </c>
    </row>
    <row r="124" customFormat="false" ht="15" hidden="false" customHeight="false" outlineLevel="0" collapsed="false">
      <c r="A124" s="0" t="s">
        <v>1734</v>
      </c>
    </row>
    <row r="125" customFormat="false" ht="15" hidden="false" customHeight="false" outlineLevel="0" collapsed="false">
      <c r="A125" s="0" t="s">
        <v>1764</v>
      </c>
    </row>
    <row r="126" customFormat="false" ht="15" hidden="false" customHeight="false" outlineLevel="0" collapsed="false">
      <c r="A126" s="0" t="s">
        <v>1804</v>
      </c>
    </row>
    <row r="127" customFormat="false" ht="15" hidden="false" customHeight="false" outlineLevel="0" collapsed="false">
      <c r="A127" s="0" t="s">
        <v>1811</v>
      </c>
    </row>
    <row r="128" customFormat="false" ht="15" hidden="false" customHeight="false" outlineLevel="0" collapsed="false">
      <c r="A128" s="0" t="s">
        <v>1815</v>
      </c>
    </row>
    <row r="129" customFormat="false" ht="15" hidden="false" customHeight="false" outlineLevel="0" collapsed="false">
      <c r="A129" s="0" t="s">
        <v>1891</v>
      </c>
    </row>
    <row r="130" customFormat="false" ht="15" hidden="false" customHeight="false" outlineLevel="0" collapsed="false">
      <c r="A130" s="0" t="s">
        <v>1970</v>
      </c>
    </row>
    <row r="131" customFormat="false" ht="15" hidden="false" customHeight="false" outlineLevel="0" collapsed="false">
      <c r="A131" s="0" t="s">
        <v>2035</v>
      </c>
    </row>
    <row r="132" customFormat="false" ht="15" hidden="false" customHeight="false" outlineLevel="0" collapsed="false">
      <c r="A132" s="0" t="s">
        <v>2048</v>
      </c>
    </row>
    <row r="133" customFormat="false" ht="15" hidden="false" customHeight="false" outlineLevel="0" collapsed="false">
      <c r="A133" s="0" t="s">
        <v>2056</v>
      </c>
    </row>
    <row r="134" customFormat="false" ht="15" hidden="false" customHeight="false" outlineLevel="0" collapsed="false">
      <c r="A134" s="0" t="s">
        <v>2085</v>
      </c>
    </row>
    <row r="135" customFormat="false" ht="15" hidden="false" customHeight="false" outlineLevel="0" collapsed="false">
      <c r="A135" s="0" t="s">
        <v>2167</v>
      </c>
    </row>
    <row r="136" customFormat="false" ht="15" hidden="false" customHeight="false" outlineLevel="0" collapsed="false">
      <c r="A136" s="0" t="s">
        <v>2171</v>
      </c>
    </row>
    <row r="137" customFormat="false" ht="15" hidden="false" customHeight="false" outlineLevel="0" collapsed="false">
      <c r="A137" s="0" t="s">
        <v>2178</v>
      </c>
    </row>
    <row r="138" customFormat="false" ht="15" hidden="false" customHeight="false" outlineLevel="0" collapsed="false">
      <c r="A138" s="0" t="s">
        <v>2185</v>
      </c>
    </row>
    <row r="139" customFormat="false" ht="15" hidden="false" customHeight="false" outlineLevel="0" collapsed="false">
      <c r="A139" s="0" t="s">
        <v>2195</v>
      </c>
    </row>
    <row r="140" customFormat="false" ht="15" hidden="false" customHeight="false" outlineLevel="0" collapsed="false">
      <c r="A140" s="0" t="s">
        <v>2208</v>
      </c>
    </row>
    <row r="141" customFormat="false" ht="15" hidden="false" customHeight="false" outlineLevel="0" collapsed="false">
      <c r="A141" s="0" t="s">
        <v>2242</v>
      </c>
    </row>
    <row r="142" customFormat="false" ht="15" hidden="false" customHeight="false" outlineLevel="0" collapsed="false">
      <c r="A142" s="0" t="s">
        <v>2363</v>
      </c>
    </row>
    <row r="143" customFormat="false" ht="15" hidden="false" customHeight="false" outlineLevel="0" collapsed="false">
      <c r="A143" s="0" t="s">
        <v>2367</v>
      </c>
    </row>
    <row r="144" customFormat="false" ht="15" hidden="false" customHeight="false" outlineLevel="0" collapsed="false">
      <c r="A144" s="0" t="s">
        <v>2383</v>
      </c>
    </row>
    <row r="145" customFormat="false" ht="15" hidden="false" customHeight="false" outlineLevel="0" collapsed="false">
      <c r="A145" s="0" t="s">
        <v>2492</v>
      </c>
    </row>
    <row r="146" customFormat="false" ht="15" hidden="false" customHeight="false" outlineLevel="0" collapsed="false">
      <c r="A146" s="0" t="s">
        <v>2509</v>
      </c>
    </row>
    <row r="147" customFormat="false" ht="15" hidden="false" customHeight="false" outlineLevel="0" collapsed="false">
      <c r="A147" s="0" t="s">
        <v>2543</v>
      </c>
    </row>
    <row r="148" customFormat="false" ht="15" hidden="false" customHeight="false" outlineLevel="0" collapsed="false">
      <c r="A148" s="0" t="s">
        <v>2547</v>
      </c>
    </row>
    <row r="149" customFormat="false" ht="15" hidden="false" customHeight="false" outlineLevel="0" collapsed="false">
      <c r="A149" s="0" t="s">
        <v>2570</v>
      </c>
    </row>
    <row r="150" customFormat="false" ht="15" hidden="false" customHeight="false" outlineLevel="0" collapsed="false">
      <c r="A150" s="0" t="s">
        <v>2596</v>
      </c>
    </row>
    <row r="151" customFormat="false" ht="15" hidden="false" customHeight="false" outlineLevel="0" collapsed="false">
      <c r="A151" s="0" t="s">
        <v>2615</v>
      </c>
    </row>
    <row r="152" customFormat="false" ht="15" hidden="false" customHeight="false" outlineLevel="0" collapsed="false">
      <c r="A152" s="0" t="s">
        <v>2684</v>
      </c>
    </row>
    <row r="153" customFormat="false" ht="15" hidden="false" customHeight="false" outlineLevel="0" collapsed="false">
      <c r="A153" s="0" t="s">
        <v>2801</v>
      </c>
    </row>
    <row r="154" customFormat="false" ht="15" hidden="false" customHeight="false" outlineLevel="0" collapsed="false">
      <c r="A154" s="0" t="s">
        <v>2918</v>
      </c>
    </row>
    <row r="155" customFormat="false" ht="15" hidden="false" customHeight="false" outlineLevel="0" collapsed="false">
      <c r="A155" s="0" t="s">
        <v>2934</v>
      </c>
    </row>
    <row r="156" customFormat="false" ht="15" hidden="false" customHeight="false" outlineLevel="0" collapsed="false">
      <c r="A156" s="0" t="s">
        <v>2983</v>
      </c>
    </row>
    <row r="157" customFormat="false" ht="15" hidden="false" customHeight="false" outlineLevel="0" collapsed="false">
      <c r="A157" s="0" t="s">
        <v>3286</v>
      </c>
    </row>
    <row r="158" customFormat="false" ht="15" hidden="false" customHeight="false" outlineLevel="0" collapsed="false">
      <c r="A158" s="0" t="s">
        <v>3336</v>
      </c>
    </row>
    <row r="159" customFormat="false" ht="15" hidden="false" customHeight="false" outlineLevel="0" collapsed="false">
      <c r="A159" s="0" t="s">
        <v>3346</v>
      </c>
    </row>
    <row r="160" customFormat="false" ht="15" hidden="false" customHeight="false" outlineLevel="0" collapsed="false">
      <c r="A160" s="0" t="s">
        <v>3365</v>
      </c>
    </row>
    <row r="161" customFormat="false" ht="15" hidden="false" customHeight="false" outlineLevel="0" collapsed="false">
      <c r="A161" s="0" t="s">
        <v>3558</v>
      </c>
    </row>
    <row r="162" customFormat="false" ht="15" hidden="false" customHeight="false" outlineLevel="0" collapsed="false">
      <c r="A162" s="0" t="s">
        <v>3627</v>
      </c>
    </row>
    <row r="163" customFormat="false" ht="15" hidden="false" customHeight="false" outlineLevel="0" collapsed="false">
      <c r="A163" s="0" t="s">
        <v>3678</v>
      </c>
    </row>
    <row r="164" customFormat="false" ht="15" hidden="false" customHeight="false" outlineLevel="0" collapsed="false">
      <c r="A164" s="0" t="s">
        <v>3800</v>
      </c>
    </row>
    <row r="165" customFormat="false" ht="15" hidden="false" customHeight="false" outlineLevel="0" collapsed="false">
      <c r="A165" s="0" t="s">
        <v>3804</v>
      </c>
    </row>
    <row r="166" customFormat="false" ht="15" hidden="false" customHeight="false" outlineLevel="0" collapsed="false">
      <c r="A166" s="0" t="s">
        <v>3844</v>
      </c>
    </row>
    <row r="167" customFormat="false" ht="15" hidden="false" customHeight="false" outlineLevel="0" collapsed="false">
      <c r="A167" s="0" t="s">
        <v>3860</v>
      </c>
    </row>
    <row r="168" customFormat="false" ht="15" hidden="false" customHeight="false" outlineLevel="0" collapsed="false">
      <c r="A168" s="0" t="s">
        <v>3886</v>
      </c>
    </row>
    <row r="169" customFormat="false" ht="15" hidden="false" customHeight="false" outlineLevel="0" collapsed="false">
      <c r="A169" s="0" t="s">
        <v>3914</v>
      </c>
    </row>
    <row r="170" customFormat="false" ht="15" hidden="false" customHeight="false" outlineLevel="0" collapsed="false">
      <c r="A170" s="0" t="s">
        <v>3939</v>
      </c>
    </row>
    <row r="171" customFormat="false" ht="15" hidden="false" customHeight="false" outlineLevel="0" collapsed="false">
      <c r="A171" s="0" t="s">
        <v>4058</v>
      </c>
    </row>
    <row r="172" customFormat="false" ht="15" hidden="false" customHeight="false" outlineLevel="0" collapsed="false">
      <c r="A172" s="0" t="s">
        <v>4174</v>
      </c>
    </row>
    <row r="173" customFormat="false" ht="15" hidden="false" customHeight="false" outlineLevel="0" collapsed="false">
      <c r="A173" s="0" t="s">
        <v>4608</v>
      </c>
    </row>
    <row r="174" customFormat="false" ht="15" hidden="false" customHeight="false" outlineLevel="0" collapsed="false">
      <c r="A174" s="0" t="s">
        <v>4972</v>
      </c>
    </row>
    <row r="175" customFormat="false" ht="15" hidden="false" customHeight="false" outlineLevel="0" collapsed="false">
      <c r="A175" s="0" t="s">
        <v>5062</v>
      </c>
    </row>
    <row r="176" customFormat="false" ht="15" hidden="false" customHeight="false" outlineLevel="0" collapsed="false">
      <c r="A176" s="0" t="s">
        <v>5088</v>
      </c>
    </row>
    <row r="177" customFormat="false" ht="15" hidden="false" customHeight="false" outlineLevel="0" collapsed="false">
      <c r="A177" s="0" t="s">
        <v>5152</v>
      </c>
    </row>
    <row r="178" customFormat="false" ht="15" hidden="false" customHeight="false" outlineLevel="0" collapsed="false">
      <c r="A178" s="0" t="s">
        <v>5250</v>
      </c>
    </row>
    <row r="179" customFormat="false" ht="15" hidden="false" customHeight="false" outlineLevel="0" collapsed="false">
      <c r="A179" s="0" t="s">
        <v>5297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7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4296875" defaultRowHeight="15" zeroHeight="false" outlineLevelRow="0" outlineLevelCol="0"/>
  <cols>
    <col collapsed="false" customWidth="true" hidden="false" outlineLevel="0" max="1" min="1" style="0" width="22.78"/>
  </cols>
  <sheetData>
    <row r="1" customFormat="false" ht="15" hidden="false" customHeight="false" outlineLevel="0" collapsed="false">
      <c r="A1" s="3" t="s">
        <v>9214</v>
      </c>
    </row>
    <row r="2" customFormat="false" ht="15" hidden="false" customHeight="false" outlineLevel="0" collapsed="false">
      <c r="A2" s="0" t="n">
        <v>513010</v>
      </c>
    </row>
    <row r="3" customFormat="false" ht="15" hidden="false" customHeight="false" outlineLevel="0" collapsed="false">
      <c r="A3" s="0" t="n">
        <v>513010</v>
      </c>
    </row>
    <row r="4" customFormat="false" ht="15" hidden="false" customHeight="false" outlineLevel="0" collapsed="false">
      <c r="A4" s="0" t="n">
        <v>513010</v>
      </c>
    </row>
    <row r="5" customFormat="false" ht="15" hidden="false" customHeight="false" outlineLevel="0" collapsed="false">
      <c r="A5" s="0" t="n">
        <v>513010</v>
      </c>
    </row>
    <row r="6" customFormat="false" ht="15" hidden="false" customHeight="false" outlineLevel="0" collapsed="false">
      <c r="A6" s="0" t="n">
        <v>513010</v>
      </c>
    </row>
    <row r="7" customFormat="false" ht="15" hidden="false" customHeight="false" outlineLevel="0" collapsed="false">
      <c r="A7" s="0" t="n">
        <v>513010</v>
      </c>
    </row>
    <row r="8" customFormat="false" ht="15" hidden="false" customHeight="false" outlineLevel="0" collapsed="false">
      <c r="A8" s="0" t="n">
        <v>513010</v>
      </c>
    </row>
    <row r="9" customFormat="false" ht="15" hidden="false" customHeight="false" outlineLevel="0" collapsed="false">
      <c r="A9" s="0" t="n">
        <v>513010</v>
      </c>
    </row>
    <row r="10" customFormat="false" ht="15" hidden="false" customHeight="false" outlineLevel="0" collapsed="false">
      <c r="A10" s="0" t="n">
        <v>513010</v>
      </c>
    </row>
    <row r="11" customFormat="false" ht="15" hidden="false" customHeight="false" outlineLevel="0" collapsed="false">
      <c r="A11" s="0" t="n">
        <v>513025</v>
      </c>
    </row>
    <row r="12" customFormat="false" ht="15" hidden="false" customHeight="false" outlineLevel="0" collapsed="false">
      <c r="A12" s="0" t="n">
        <v>513025</v>
      </c>
    </row>
    <row r="13" customFormat="false" ht="15" hidden="false" customHeight="false" outlineLevel="0" collapsed="false">
      <c r="A13" s="0" t="n">
        <v>513025</v>
      </c>
    </row>
    <row r="14" customFormat="false" ht="15" hidden="false" customHeight="false" outlineLevel="0" collapsed="false">
      <c r="A14" s="0" t="n">
        <v>513025</v>
      </c>
    </row>
    <row r="15" customFormat="false" ht="15" hidden="false" customHeight="false" outlineLevel="0" collapsed="false">
      <c r="A15" s="0" t="n">
        <v>513025</v>
      </c>
    </row>
    <row r="16" customFormat="false" ht="15" hidden="false" customHeight="false" outlineLevel="0" collapsed="false">
      <c r="A16" s="0" t="n">
        <v>513025</v>
      </c>
    </row>
    <row r="17" customFormat="false" ht="15" hidden="false" customHeight="false" outlineLevel="0" collapsed="false">
      <c r="A17" s="0" t="n">
        <v>513025</v>
      </c>
    </row>
    <row r="18" customFormat="false" ht="15" hidden="false" customHeight="false" outlineLevel="0" collapsed="false">
      <c r="A18" s="0" t="n">
        <v>513025</v>
      </c>
    </row>
    <row r="19" customFormat="false" ht="15" hidden="false" customHeight="false" outlineLevel="0" collapsed="false">
      <c r="A19" s="0" t="n">
        <v>513025</v>
      </c>
    </row>
    <row r="20" customFormat="false" ht="15" hidden="false" customHeight="false" outlineLevel="0" collapsed="false">
      <c r="A20" s="0" t="n">
        <v>513025</v>
      </c>
    </row>
    <row r="21" customFormat="false" ht="15" hidden="false" customHeight="false" outlineLevel="0" collapsed="false">
      <c r="A21" s="0" t="n">
        <v>513025</v>
      </c>
    </row>
    <row r="22" customFormat="false" ht="15" hidden="false" customHeight="false" outlineLevel="0" collapsed="false">
      <c r="A22" s="0" t="n">
        <v>513025</v>
      </c>
    </row>
    <row r="23" customFormat="false" ht="15" hidden="false" customHeight="false" outlineLevel="0" collapsed="false">
      <c r="A23" s="0" t="n">
        <v>513025</v>
      </c>
    </row>
    <row r="24" customFormat="false" ht="15" hidden="false" customHeight="false" outlineLevel="0" collapsed="false">
      <c r="A24" s="0" t="n">
        <v>513025</v>
      </c>
    </row>
    <row r="25" customFormat="false" ht="15" hidden="false" customHeight="false" outlineLevel="0" collapsed="false">
      <c r="A25" s="0" t="n">
        <v>513025</v>
      </c>
    </row>
    <row r="26" customFormat="false" ht="15" hidden="false" customHeight="false" outlineLevel="0" collapsed="false">
      <c r="A26" s="0" t="n">
        <v>513025</v>
      </c>
    </row>
    <row r="27" customFormat="false" ht="15" hidden="false" customHeight="false" outlineLevel="0" collapsed="false">
      <c r="A27" s="0" t="n">
        <v>513025</v>
      </c>
    </row>
    <row r="28" customFormat="false" ht="15" hidden="false" customHeight="false" outlineLevel="0" collapsed="false">
      <c r="A28" s="0" t="n">
        <v>513025</v>
      </c>
    </row>
    <row r="29" customFormat="false" ht="15" hidden="false" customHeight="false" outlineLevel="0" collapsed="false">
      <c r="A29" s="0" t="n">
        <v>513025</v>
      </c>
    </row>
    <row r="30" customFormat="false" ht="15" hidden="false" customHeight="false" outlineLevel="0" collapsed="false">
      <c r="A30" s="0" t="n">
        <v>513025</v>
      </c>
    </row>
    <row r="31" customFormat="false" ht="15" hidden="false" customHeight="false" outlineLevel="0" collapsed="false">
      <c r="A31" s="0" t="n">
        <v>513025</v>
      </c>
    </row>
    <row r="32" customFormat="false" ht="15" hidden="false" customHeight="false" outlineLevel="0" collapsed="false">
      <c r="A32" s="0" t="n">
        <v>513025</v>
      </c>
    </row>
    <row r="33" customFormat="false" ht="15" hidden="false" customHeight="false" outlineLevel="0" collapsed="false">
      <c r="A33" s="0" t="n">
        <v>513025</v>
      </c>
    </row>
    <row r="34" customFormat="false" ht="15" hidden="false" customHeight="false" outlineLevel="0" collapsed="false">
      <c r="A34" s="0" t="n">
        <v>513025</v>
      </c>
    </row>
    <row r="35" customFormat="false" ht="15" hidden="false" customHeight="false" outlineLevel="0" collapsed="false">
      <c r="A35" s="0" t="n">
        <v>513025</v>
      </c>
    </row>
    <row r="36" customFormat="false" ht="15" hidden="false" customHeight="false" outlineLevel="0" collapsed="false">
      <c r="A36" s="0" t="n">
        <v>513025</v>
      </c>
    </row>
    <row r="37" customFormat="false" ht="15" hidden="false" customHeight="false" outlineLevel="0" collapsed="false">
      <c r="A37" s="0" t="n">
        <v>513025</v>
      </c>
    </row>
    <row r="38" customFormat="false" ht="15" hidden="false" customHeight="false" outlineLevel="0" collapsed="false">
      <c r="A38" s="0" t="n">
        <v>513025</v>
      </c>
    </row>
    <row r="39" customFormat="false" ht="15" hidden="false" customHeight="false" outlineLevel="0" collapsed="false">
      <c r="A39" s="0" t="n">
        <v>513025</v>
      </c>
    </row>
    <row r="40" customFormat="false" ht="15" hidden="false" customHeight="false" outlineLevel="0" collapsed="false">
      <c r="A40" s="0" t="n">
        <v>513025</v>
      </c>
    </row>
    <row r="41" customFormat="false" ht="15" hidden="false" customHeight="false" outlineLevel="0" collapsed="false">
      <c r="A41" s="0" t="n">
        <v>513025</v>
      </c>
    </row>
    <row r="42" customFormat="false" ht="15" hidden="false" customHeight="false" outlineLevel="0" collapsed="false">
      <c r="A42" s="0" t="n">
        <v>513025</v>
      </c>
    </row>
    <row r="43" customFormat="false" ht="15" hidden="false" customHeight="false" outlineLevel="0" collapsed="false">
      <c r="A43" s="0" t="n">
        <v>513025</v>
      </c>
    </row>
    <row r="44" customFormat="false" ht="15" hidden="false" customHeight="false" outlineLevel="0" collapsed="false">
      <c r="A44" s="0" t="n">
        <v>513025</v>
      </c>
    </row>
    <row r="45" customFormat="false" ht="15" hidden="false" customHeight="false" outlineLevel="0" collapsed="false">
      <c r="A45" s="0" t="n">
        <v>513025</v>
      </c>
    </row>
    <row r="46" customFormat="false" ht="15" hidden="false" customHeight="false" outlineLevel="0" collapsed="false">
      <c r="A46" s="0" t="n">
        <v>513025</v>
      </c>
    </row>
    <row r="47" customFormat="false" ht="15" hidden="false" customHeight="false" outlineLevel="0" collapsed="false">
      <c r="A47" s="0" t="n">
        <v>513025</v>
      </c>
    </row>
    <row r="48" customFormat="false" ht="15" hidden="false" customHeight="false" outlineLevel="0" collapsed="false">
      <c r="A48" s="0" t="n">
        <v>513025</v>
      </c>
    </row>
    <row r="49" customFormat="false" ht="15" hidden="false" customHeight="false" outlineLevel="0" collapsed="false">
      <c r="A49" s="0" t="n">
        <v>513025</v>
      </c>
    </row>
    <row r="50" customFormat="false" ht="15" hidden="false" customHeight="false" outlineLevel="0" collapsed="false">
      <c r="A50" s="0" t="n">
        <v>513025</v>
      </c>
    </row>
    <row r="51" customFormat="false" ht="15" hidden="false" customHeight="false" outlineLevel="0" collapsed="false">
      <c r="A51" s="0" t="n">
        <v>513025</v>
      </c>
    </row>
    <row r="52" customFormat="false" ht="15" hidden="false" customHeight="false" outlineLevel="0" collapsed="false">
      <c r="A52" s="0" t="n">
        <v>513025</v>
      </c>
    </row>
    <row r="53" customFormat="false" ht="15" hidden="false" customHeight="false" outlineLevel="0" collapsed="false">
      <c r="A53" s="0" t="n">
        <v>513025</v>
      </c>
    </row>
    <row r="54" customFormat="false" ht="15" hidden="false" customHeight="false" outlineLevel="0" collapsed="false">
      <c r="A54" s="0" t="n">
        <v>513025</v>
      </c>
    </row>
    <row r="55" customFormat="false" ht="15" hidden="false" customHeight="false" outlineLevel="0" collapsed="false">
      <c r="A55" s="0" t="n">
        <v>513025</v>
      </c>
    </row>
    <row r="56" customFormat="false" ht="15" hidden="false" customHeight="false" outlineLevel="0" collapsed="false">
      <c r="A56" s="0" t="n">
        <v>513025</v>
      </c>
    </row>
    <row r="57" customFormat="false" ht="15" hidden="false" customHeight="false" outlineLevel="0" collapsed="false">
      <c r="A57" s="0" t="n">
        <v>513025</v>
      </c>
    </row>
    <row r="58" customFormat="false" ht="15" hidden="false" customHeight="false" outlineLevel="0" collapsed="false">
      <c r="A58" s="0" t="n">
        <v>513025</v>
      </c>
    </row>
    <row r="59" customFormat="false" ht="15" hidden="false" customHeight="false" outlineLevel="0" collapsed="false">
      <c r="A59" s="0" t="n">
        <v>513025</v>
      </c>
    </row>
    <row r="60" customFormat="false" ht="15" hidden="false" customHeight="false" outlineLevel="0" collapsed="false">
      <c r="A60" s="0" t="n">
        <v>513025</v>
      </c>
    </row>
    <row r="61" customFormat="false" ht="15" hidden="false" customHeight="false" outlineLevel="0" collapsed="false">
      <c r="A61" s="0" t="n">
        <v>513025</v>
      </c>
    </row>
    <row r="62" customFormat="false" ht="15" hidden="false" customHeight="false" outlineLevel="0" collapsed="false">
      <c r="A62" s="0" t="n">
        <v>114003</v>
      </c>
    </row>
    <row r="63" customFormat="false" ht="15" hidden="false" customHeight="false" outlineLevel="0" collapsed="false">
      <c r="A63" s="0" t="n">
        <v>114003</v>
      </c>
    </row>
    <row r="64" customFormat="false" ht="15" hidden="false" customHeight="false" outlineLevel="0" collapsed="false">
      <c r="A64" s="0" t="n">
        <v>114003</v>
      </c>
    </row>
    <row r="65" customFormat="false" ht="15" hidden="false" customHeight="false" outlineLevel="0" collapsed="false">
      <c r="A65" s="0" t="n">
        <v>114003</v>
      </c>
    </row>
    <row r="66" customFormat="false" ht="15" hidden="false" customHeight="false" outlineLevel="0" collapsed="false">
      <c r="A66" s="0" t="n">
        <v>114003</v>
      </c>
    </row>
    <row r="67" customFormat="false" ht="15" hidden="false" customHeight="false" outlineLevel="0" collapsed="false">
      <c r="A67" s="0" t="n">
        <v>114003</v>
      </c>
    </row>
    <row r="68" customFormat="false" ht="15" hidden="false" customHeight="false" outlineLevel="0" collapsed="false">
      <c r="A68" s="0" t="n">
        <v>114003</v>
      </c>
    </row>
    <row r="69" customFormat="false" ht="15" hidden="false" customHeight="false" outlineLevel="0" collapsed="false">
      <c r="A69" s="0" t="n">
        <v>114003</v>
      </c>
    </row>
    <row r="70" customFormat="false" ht="15" hidden="false" customHeight="false" outlineLevel="0" collapsed="false">
      <c r="A70" s="0" t="n">
        <v>114003</v>
      </c>
    </row>
    <row r="71" customFormat="false" ht="15" hidden="false" customHeight="false" outlineLevel="0" collapsed="false">
      <c r="A71" s="0" t="n">
        <v>114003</v>
      </c>
    </row>
    <row r="72" customFormat="false" ht="15" hidden="false" customHeight="false" outlineLevel="0" collapsed="false">
      <c r="A72" s="0" t="n">
        <v>114003</v>
      </c>
    </row>
    <row r="73" customFormat="false" ht="15" hidden="false" customHeight="false" outlineLevel="0" collapsed="false">
      <c r="A73" s="0" t="n">
        <v>114003</v>
      </c>
    </row>
    <row r="74" customFormat="false" ht="15" hidden="false" customHeight="false" outlineLevel="0" collapsed="false">
      <c r="A74" s="0" t="n">
        <v>114003</v>
      </c>
    </row>
    <row r="75" customFormat="false" ht="15" hidden="false" customHeight="false" outlineLevel="0" collapsed="false">
      <c r="A75" s="0" t="n">
        <v>114003</v>
      </c>
    </row>
    <row r="76" customFormat="false" ht="15" hidden="false" customHeight="false" outlineLevel="0" collapsed="false">
      <c r="A76" s="0" t="n">
        <v>114003</v>
      </c>
    </row>
    <row r="77" customFormat="false" ht="15" hidden="false" customHeight="false" outlineLevel="0" collapsed="false">
      <c r="A77" s="0" t="n">
        <v>114003</v>
      </c>
    </row>
    <row r="78" customFormat="false" ht="15" hidden="false" customHeight="false" outlineLevel="0" collapsed="false">
      <c r="A78" s="0" t="n">
        <v>114003</v>
      </c>
    </row>
    <row r="79" customFormat="false" ht="15" hidden="false" customHeight="false" outlineLevel="0" collapsed="false">
      <c r="A79" s="0" t="n">
        <v>114003</v>
      </c>
    </row>
    <row r="80" customFormat="false" ht="15" hidden="false" customHeight="false" outlineLevel="0" collapsed="false">
      <c r="A80" s="0" t="n">
        <v>114003</v>
      </c>
    </row>
    <row r="81" customFormat="false" ht="15" hidden="false" customHeight="false" outlineLevel="0" collapsed="false">
      <c r="A81" s="0" t="n">
        <v>114003</v>
      </c>
    </row>
    <row r="82" customFormat="false" ht="15" hidden="false" customHeight="false" outlineLevel="0" collapsed="false">
      <c r="A82" s="0" t="n">
        <v>114001</v>
      </c>
    </row>
    <row r="83" customFormat="false" ht="15" hidden="false" customHeight="false" outlineLevel="0" collapsed="false">
      <c r="A83" s="0" t="n">
        <v>114001</v>
      </c>
    </row>
    <row r="84" customFormat="false" ht="15" hidden="false" customHeight="false" outlineLevel="0" collapsed="false">
      <c r="A84" s="0" t="n">
        <v>114001</v>
      </c>
    </row>
    <row r="85" customFormat="false" ht="15" hidden="false" customHeight="false" outlineLevel="0" collapsed="false">
      <c r="A85" s="0" t="n">
        <v>114001</v>
      </c>
    </row>
    <row r="86" customFormat="false" ht="15" hidden="false" customHeight="false" outlineLevel="0" collapsed="false">
      <c r="A86" s="0" t="n">
        <v>114001</v>
      </c>
    </row>
    <row r="87" customFormat="false" ht="15" hidden="false" customHeight="false" outlineLevel="0" collapsed="false">
      <c r="A87" s="0" t="n">
        <v>114001</v>
      </c>
    </row>
    <row r="88" customFormat="false" ht="15" hidden="false" customHeight="false" outlineLevel="0" collapsed="false">
      <c r="A88" s="0" t="n">
        <v>114001</v>
      </c>
    </row>
    <row r="89" customFormat="false" ht="15" hidden="false" customHeight="false" outlineLevel="0" collapsed="false">
      <c r="A89" s="0" t="n">
        <v>114001</v>
      </c>
    </row>
    <row r="90" customFormat="false" ht="15" hidden="false" customHeight="false" outlineLevel="0" collapsed="false">
      <c r="A90" s="0" t="n">
        <v>114001</v>
      </c>
    </row>
    <row r="91" customFormat="false" ht="15" hidden="false" customHeight="false" outlineLevel="0" collapsed="false">
      <c r="A91" s="0" t="n">
        <v>114001</v>
      </c>
    </row>
    <row r="92" customFormat="false" ht="15" hidden="false" customHeight="false" outlineLevel="0" collapsed="false">
      <c r="A92" s="0" t="n">
        <v>114001</v>
      </c>
    </row>
    <row r="93" customFormat="false" ht="15" hidden="false" customHeight="false" outlineLevel="0" collapsed="false">
      <c r="A93" s="0" t="n">
        <v>114001</v>
      </c>
    </row>
    <row r="94" customFormat="false" ht="15" hidden="false" customHeight="false" outlineLevel="0" collapsed="false">
      <c r="A94" s="0" t="n">
        <v>114001</v>
      </c>
    </row>
    <row r="95" customFormat="false" ht="15" hidden="false" customHeight="false" outlineLevel="0" collapsed="false">
      <c r="A95" s="0" t="n">
        <v>114001</v>
      </c>
    </row>
    <row r="96" customFormat="false" ht="15" hidden="false" customHeight="false" outlineLevel="0" collapsed="false">
      <c r="A96" s="0" t="n">
        <v>114001</v>
      </c>
    </row>
    <row r="97" customFormat="false" ht="15" hidden="false" customHeight="false" outlineLevel="0" collapsed="false">
      <c r="A97" s="0" t="n">
        <v>114001</v>
      </c>
    </row>
    <row r="98" customFormat="false" ht="15" hidden="false" customHeight="false" outlineLevel="0" collapsed="false">
      <c r="A98" s="0" t="n">
        <v>114001</v>
      </c>
    </row>
    <row r="99" customFormat="false" ht="15" hidden="false" customHeight="false" outlineLevel="0" collapsed="false">
      <c r="A99" s="0" t="n">
        <v>114001</v>
      </c>
    </row>
    <row r="100" customFormat="false" ht="15" hidden="false" customHeight="false" outlineLevel="0" collapsed="false">
      <c r="A100" s="0" t="n">
        <v>114001</v>
      </c>
    </row>
    <row r="101" customFormat="false" ht="15" hidden="false" customHeight="false" outlineLevel="0" collapsed="false">
      <c r="A101" s="0" t="n">
        <v>114001</v>
      </c>
    </row>
    <row r="102" customFormat="false" ht="15" hidden="false" customHeight="false" outlineLevel="0" collapsed="false">
      <c r="A102" s="0" t="n">
        <v>114001</v>
      </c>
    </row>
    <row r="103" customFormat="false" ht="15" hidden="false" customHeight="false" outlineLevel="0" collapsed="false">
      <c r="A103" s="0" t="n">
        <v>114001</v>
      </c>
    </row>
    <row r="104" customFormat="false" ht="15" hidden="false" customHeight="false" outlineLevel="0" collapsed="false">
      <c r="A104" s="0" t="n">
        <v>114001</v>
      </c>
    </row>
    <row r="105" customFormat="false" ht="15" hidden="false" customHeight="false" outlineLevel="0" collapsed="false">
      <c r="A105" s="0" t="n">
        <v>114001</v>
      </c>
    </row>
    <row r="106" customFormat="false" ht="15" hidden="false" customHeight="false" outlineLevel="0" collapsed="false">
      <c r="A106" s="0" t="n">
        <v>114001</v>
      </c>
    </row>
    <row r="107" customFormat="false" ht="15" hidden="false" customHeight="false" outlineLevel="0" collapsed="false">
      <c r="A107" s="0" t="n">
        <v>114001</v>
      </c>
    </row>
    <row r="108" customFormat="false" ht="15" hidden="false" customHeight="false" outlineLevel="0" collapsed="false">
      <c r="A108" s="0" t="n">
        <v>114001</v>
      </c>
    </row>
    <row r="109" customFormat="false" ht="15" hidden="false" customHeight="false" outlineLevel="0" collapsed="false">
      <c r="A109" s="0" t="n">
        <v>114001</v>
      </c>
    </row>
    <row r="110" customFormat="false" ht="15" hidden="false" customHeight="false" outlineLevel="0" collapsed="false">
      <c r="A110" s="0" t="n">
        <v>114001</v>
      </c>
    </row>
    <row r="111" customFormat="false" ht="15" hidden="false" customHeight="false" outlineLevel="0" collapsed="false">
      <c r="A111" s="0" t="n">
        <v>114001</v>
      </c>
    </row>
    <row r="112" customFormat="false" ht="15" hidden="false" customHeight="false" outlineLevel="0" collapsed="false">
      <c r="A112" s="0" t="n">
        <v>114001</v>
      </c>
    </row>
    <row r="113" customFormat="false" ht="15" hidden="false" customHeight="false" outlineLevel="0" collapsed="false">
      <c r="A113" s="0" t="n">
        <v>114001</v>
      </c>
    </row>
    <row r="114" customFormat="false" ht="15" hidden="false" customHeight="false" outlineLevel="0" collapsed="false">
      <c r="A114" s="0" t="n">
        <v>114001</v>
      </c>
    </row>
    <row r="115" customFormat="false" ht="15" hidden="false" customHeight="false" outlineLevel="0" collapsed="false">
      <c r="A115" s="0" t="n">
        <v>114001</v>
      </c>
    </row>
    <row r="116" customFormat="false" ht="15" hidden="false" customHeight="false" outlineLevel="0" collapsed="false">
      <c r="A116" s="0" t="n">
        <v>114001</v>
      </c>
    </row>
    <row r="117" customFormat="false" ht="15" hidden="false" customHeight="false" outlineLevel="0" collapsed="false">
      <c r="A117" s="0" t="n">
        <v>114001</v>
      </c>
    </row>
    <row r="118" customFormat="false" ht="15" hidden="false" customHeight="false" outlineLevel="0" collapsed="false">
      <c r="A118" s="0" t="n">
        <v>114001</v>
      </c>
    </row>
    <row r="119" customFormat="false" ht="15" hidden="false" customHeight="false" outlineLevel="0" collapsed="false">
      <c r="A119" s="0" t="n">
        <v>114001</v>
      </c>
    </row>
    <row r="120" customFormat="false" ht="15" hidden="false" customHeight="false" outlineLevel="0" collapsed="false">
      <c r="A120" s="0" t="n">
        <v>114001</v>
      </c>
    </row>
    <row r="121" customFormat="false" ht="15" hidden="false" customHeight="false" outlineLevel="0" collapsed="false">
      <c r="A121" s="0" t="n">
        <v>114001</v>
      </c>
    </row>
    <row r="122" customFormat="false" ht="15" hidden="false" customHeight="false" outlineLevel="0" collapsed="false">
      <c r="A122" s="0" t="n">
        <v>114001</v>
      </c>
    </row>
    <row r="123" customFormat="false" ht="15" hidden="false" customHeight="false" outlineLevel="0" collapsed="false">
      <c r="A123" s="0" t="n">
        <v>114001</v>
      </c>
    </row>
    <row r="124" customFormat="false" ht="15" hidden="false" customHeight="false" outlineLevel="0" collapsed="false">
      <c r="A124" s="0" t="n">
        <v>114001</v>
      </c>
    </row>
    <row r="125" customFormat="false" ht="15" hidden="false" customHeight="false" outlineLevel="0" collapsed="false">
      <c r="A125" s="0" t="n">
        <v>114001</v>
      </c>
    </row>
    <row r="126" customFormat="false" ht="15" hidden="false" customHeight="false" outlineLevel="0" collapsed="false">
      <c r="A126" s="0" t="n">
        <v>114001</v>
      </c>
    </row>
    <row r="127" customFormat="false" ht="15" hidden="false" customHeight="false" outlineLevel="0" collapsed="false">
      <c r="A127" s="0" t="n">
        <v>114001</v>
      </c>
    </row>
    <row r="128" customFormat="false" ht="15" hidden="false" customHeight="false" outlineLevel="0" collapsed="false">
      <c r="A128" s="0" t="n">
        <v>114001</v>
      </c>
    </row>
    <row r="129" customFormat="false" ht="15" hidden="false" customHeight="false" outlineLevel="0" collapsed="false">
      <c r="A129" s="0" t="n">
        <v>114001</v>
      </c>
    </row>
    <row r="130" customFormat="false" ht="15" hidden="false" customHeight="false" outlineLevel="0" collapsed="false">
      <c r="A130" s="0" t="n">
        <v>114001</v>
      </c>
    </row>
    <row r="131" customFormat="false" ht="15" hidden="false" customHeight="false" outlineLevel="0" collapsed="false">
      <c r="A131" s="0" t="n">
        <v>114001</v>
      </c>
    </row>
    <row r="132" customFormat="false" ht="15" hidden="false" customHeight="false" outlineLevel="0" collapsed="false">
      <c r="A132" s="0" t="n">
        <v>114001</v>
      </c>
    </row>
    <row r="133" customFormat="false" ht="15" hidden="false" customHeight="false" outlineLevel="0" collapsed="false">
      <c r="A133" s="0" t="n">
        <v>114001</v>
      </c>
    </row>
    <row r="134" customFormat="false" ht="15" hidden="false" customHeight="false" outlineLevel="0" collapsed="false">
      <c r="A134" s="0" t="n">
        <v>114001</v>
      </c>
    </row>
    <row r="135" customFormat="false" ht="15" hidden="false" customHeight="false" outlineLevel="0" collapsed="false">
      <c r="A135" s="0" t="n">
        <v>114001</v>
      </c>
    </row>
    <row r="136" customFormat="false" ht="15" hidden="false" customHeight="false" outlineLevel="0" collapsed="false">
      <c r="A136" s="0" t="n">
        <v>114001</v>
      </c>
    </row>
    <row r="137" customFormat="false" ht="15" hidden="false" customHeight="false" outlineLevel="0" collapsed="false">
      <c r="A137" s="0" t="n">
        <v>114001</v>
      </c>
    </row>
    <row r="138" customFormat="false" ht="15" hidden="false" customHeight="false" outlineLevel="0" collapsed="false">
      <c r="A138" s="0" t="n">
        <v>114001</v>
      </c>
    </row>
    <row r="139" customFormat="false" ht="15" hidden="false" customHeight="false" outlineLevel="0" collapsed="false">
      <c r="A139" s="0" t="n">
        <v>114001</v>
      </c>
    </row>
    <row r="140" customFormat="false" ht="15" hidden="false" customHeight="false" outlineLevel="0" collapsed="false">
      <c r="A140" s="0" t="n">
        <v>114001</v>
      </c>
    </row>
    <row r="141" customFormat="false" ht="15" hidden="false" customHeight="false" outlineLevel="0" collapsed="false">
      <c r="A141" s="0" t="n">
        <v>114001</v>
      </c>
    </row>
    <row r="142" customFormat="false" ht="15" hidden="false" customHeight="false" outlineLevel="0" collapsed="false">
      <c r="A142" s="0" t="n">
        <v>114001</v>
      </c>
    </row>
    <row r="143" customFormat="false" ht="15" hidden="false" customHeight="false" outlineLevel="0" collapsed="false">
      <c r="A143" s="0" t="n">
        <v>114001</v>
      </c>
    </row>
    <row r="144" customFormat="false" ht="15" hidden="false" customHeight="false" outlineLevel="0" collapsed="false">
      <c r="A144" s="0" t="n">
        <v>114001</v>
      </c>
    </row>
    <row r="145" customFormat="false" ht="15" hidden="false" customHeight="false" outlineLevel="0" collapsed="false">
      <c r="A145" s="0" t="n">
        <v>114001</v>
      </c>
    </row>
    <row r="146" customFormat="false" ht="15" hidden="false" customHeight="false" outlineLevel="0" collapsed="false">
      <c r="A146" s="0" t="n">
        <v>114001</v>
      </c>
    </row>
    <row r="147" customFormat="false" ht="15" hidden="false" customHeight="false" outlineLevel="0" collapsed="false">
      <c r="A147" s="0" t="n">
        <v>114001</v>
      </c>
    </row>
    <row r="148" customFormat="false" ht="15" hidden="false" customHeight="false" outlineLevel="0" collapsed="false">
      <c r="A148" s="0" t="n">
        <v>114001</v>
      </c>
    </row>
    <row r="149" customFormat="false" ht="15" hidden="false" customHeight="false" outlineLevel="0" collapsed="false">
      <c r="A149" s="0" t="n">
        <v>114001</v>
      </c>
    </row>
    <row r="150" customFormat="false" ht="15" hidden="false" customHeight="false" outlineLevel="0" collapsed="false">
      <c r="A150" s="0" t="n">
        <v>114001</v>
      </c>
    </row>
    <row r="151" customFormat="false" ht="15" hidden="false" customHeight="false" outlineLevel="0" collapsed="false">
      <c r="A151" s="0" t="n">
        <v>114001</v>
      </c>
    </row>
    <row r="152" customFormat="false" ht="15" hidden="false" customHeight="false" outlineLevel="0" collapsed="false">
      <c r="A152" s="0" t="n">
        <v>114001</v>
      </c>
    </row>
    <row r="153" customFormat="false" ht="15" hidden="false" customHeight="false" outlineLevel="0" collapsed="false">
      <c r="A153" s="0" t="n">
        <v>114001</v>
      </c>
    </row>
    <row r="154" customFormat="false" ht="15" hidden="false" customHeight="false" outlineLevel="0" collapsed="false">
      <c r="A154" s="0" t="n">
        <v>114001</v>
      </c>
    </row>
    <row r="155" customFormat="false" ht="15" hidden="false" customHeight="false" outlineLevel="0" collapsed="false">
      <c r="A155" s="0" t="n">
        <v>114001</v>
      </c>
    </row>
    <row r="156" customFormat="false" ht="15" hidden="false" customHeight="false" outlineLevel="0" collapsed="false">
      <c r="A156" s="0" t="n">
        <v>114001</v>
      </c>
    </row>
    <row r="157" customFormat="false" ht="15" hidden="false" customHeight="false" outlineLevel="0" collapsed="false">
      <c r="A157" s="0" t="n">
        <v>114001</v>
      </c>
    </row>
    <row r="158" customFormat="false" ht="15" hidden="false" customHeight="false" outlineLevel="0" collapsed="false">
      <c r="A158" s="0" t="n">
        <v>114001</v>
      </c>
    </row>
    <row r="159" customFormat="false" ht="15" hidden="false" customHeight="false" outlineLevel="0" collapsed="false">
      <c r="A159" s="0" t="n">
        <v>114001</v>
      </c>
    </row>
    <row r="160" customFormat="false" ht="15" hidden="false" customHeight="false" outlineLevel="0" collapsed="false">
      <c r="A160" s="0" t="n">
        <v>114001</v>
      </c>
    </row>
    <row r="161" customFormat="false" ht="15" hidden="false" customHeight="false" outlineLevel="0" collapsed="false">
      <c r="A161" s="0" t="n">
        <v>114001</v>
      </c>
    </row>
    <row r="162" customFormat="false" ht="15" hidden="false" customHeight="false" outlineLevel="0" collapsed="false">
      <c r="A162" s="0" t="n">
        <v>114001</v>
      </c>
    </row>
    <row r="163" customFormat="false" ht="15" hidden="false" customHeight="false" outlineLevel="0" collapsed="false">
      <c r="A163" s="0" t="n">
        <v>114001</v>
      </c>
    </row>
    <row r="164" customFormat="false" ht="15" hidden="false" customHeight="false" outlineLevel="0" collapsed="false">
      <c r="A164" s="0" t="n">
        <v>114001</v>
      </c>
    </row>
    <row r="165" customFormat="false" ht="15" hidden="false" customHeight="false" outlineLevel="0" collapsed="false">
      <c r="A165" s="0" t="n">
        <v>114001</v>
      </c>
    </row>
    <row r="166" customFormat="false" ht="15" hidden="false" customHeight="false" outlineLevel="0" collapsed="false">
      <c r="A166" s="0" t="n">
        <v>114001</v>
      </c>
    </row>
    <row r="167" customFormat="false" ht="15" hidden="false" customHeight="false" outlineLevel="0" collapsed="false">
      <c r="A167" s="0" t="n">
        <v>114001</v>
      </c>
    </row>
    <row r="168" customFormat="false" ht="15" hidden="false" customHeight="false" outlineLevel="0" collapsed="false">
      <c r="A168" s="0" t="n">
        <v>114001</v>
      </c>
    </row>
    <row r="169" customFormat="false" ht="15" hidden="false" customHeight="false" outlineLevel="0" collapsed="false">
      <c r="A169" s="0" t="n">
        <v>114001</v>
      </c>
    </row>
    <row r="170" customFormat="false" ht="15" hidden="false" customHeight="false" outlineLevel="0" collapsed="false">
      <c r="A170" s="0" t="n">
        <v>114001</v>
      </c>
    </row>
    <row r="171" customFormat="false" ht="15" hidden="false" customHeight="false" outlineLevel="0" collapsed="false">
      <c r="A171" s="0" t="n">
        <v>114001</v>
      </c>
    </row>
    <row r="172" customFormat="false" ht="15" hidden="false" customHeight="false" outlineLevel="0" collapsed="false">
      <c r="A172" s="0" t="n">
        <v>114001</v>
      </c>
    </row>
    <row r="173" customFormat="false" ht="15" hidden="false" customHeight="false" outlineLevel="0" collapsed="false">
      <c r="A173" s="0" t="n">
        <v>114001</v>
      </c>
    </row>
    <row r="174" customFormat="false" ht="15" hidden="false" customHeight="false" outlineLevel="0" collapsed="false">
      <c r="A174" s="0" t="n">
        <v>114001</v>
      </c>
    </row>
    <row r="175" customFormat="false" ht="15" hidden="false" customHeight="false" outlineLevel="0" collapsed="false">
      <c r="A175" s="0" t="n">
        <v>114001</v>
      </c>
    </row>
    <row r="176" customFormat="false" ht="15" hidden="false" customHeight="false" outlineLevel="0" collapsed="false">
      <c r="A176" s="0" t="n">
        <v>114001</v>
      </c>
    </row>
    <row r="177" customFormat="false" ht="15" hidden="false" customHeight="false" outlineLevel="0" collapsed="false">
      <c r="A177" s="0" t="n">
        <v>114001</v>
      </c>
    </row>
    <row r="178" customFormat="false" ht="15" hidden="false" customHeight="false" outlineLevel="0" collapsed="false">
      <c r="A178" s="0" t="n">
        <v>114001</v>
      </c>
    </row>
    <row r="179" customFormat="false" ht="15" hidden="false" customHeight="false" outlineLevel="0" collapsed="false">
      <c r="A179" s="0" t="n">
        <v>114001</v>
      </c>
    </row>
    <row r="180" customFormat="false" ht="15" hidden="false" customHeight="false" outlineLevel="0" collapsed="false">
      <c r="A180" s="0" t="n">
        <v>114001</v>
      </c>
    </row>
    <row r="181" customFormat="false" ht="15" hidden="false" customHeight="false" outlineLevel="0" collapsed="false">
      <c r="A181" s="0" t="n">
        <v>114001</v>
      </c>
    </row>
    <row r="182" customFormat="false" ht="15" hidden="false" customHeight="false" outlineLevel="0" collapsed="false">
      <c r="A182" s="0" t="n">
        <v>114001</v>
      </c>
    </row>
    <row r="183" customFormat="false" ht="15" hidden="false" customHeight="false" outlineLevel="0" collapsed="false">
      <c r="A183" s="0" t="n">
        <v>114001</v>
      </c>
    </row>
    <row r="184" customFormat="false" ht="15" hidden="false" customHeight="false" outlineLevel="0" collapsed="false">
      <c r="A184" s="0" t="n">
        <v>114001</v>
      </c>
    </row>
    <row r="185" customFormat="false" ht="15" hidden="false" customHeight="false" outlineLevel="0" collapsed="false">
      <c r="A185" s="0" t="n">
        <v>114001</v>
      </c>
    </row>
    <row r="186" customFormat="false" ht="15" hidden="false" customHeight="false" outlineLevel="0" collapsed="false">
      <c r="A186" s="0" t="n">
        <v>114001</v>
      </c>
    </row>
    <row r="187" customFormat="false" ht="15" hidden="false" customHeight="false" outlineLevel="0" collapsed="false">
      <c r="A187" s="0" t="n">
        <v>114001</v>
      </c>
    </row>
    <row r="188" customFormat="false" ht="15" hidden="false" customHeight="false" outlineLevel="0" collapsed="false">
      <c r="A188" s="0" t="n">
        <v>114001</v>
      </c>
    </row>
    <row r="189" customFormat="false" ht="15" hidden="false" customHeight="false" outlineLevel="0" collapsed="false">
      <c r="A189" s="0" t="n">
        <v>114001</v>
      </c>
    </row>
    <row r="190" customFormat="false" ht="15" hidden="false" customHeight="false" outlineLevel="0" collapsed="false">
      <c r="A190" s="0" t="n">
        <v>114001</v>
      </c>
    </row>
    <row r="191" customFormat="false" ht="15" hidden="false" customHeight="false" outlineLevel="0" collapsed="false">
      <c r="A191" s="0" t="n">
        <v>114001</v>
      </c>
    </row>
    <row r="192" customFormat="false" ht="15" hidden="false" customHeight="false" outlineLevel="0" collapsed="false">
      <c r="A192" s="0" t="n">
        <v>114001</v>
      </c>
    </row>
    <row r="193" customFormat="false" ht="15" hidden="false" customHeight="false" outlineLevel="0" collapsed="false">
      <c r="A193" s="0" t="n">
        <v>114001</v>
      </c>
    </row>
    <row r="194" customFormat="false" ht="15" hidden="false" customHeight="false" outlineLevel="0" collapsed="false">
      <c r="A194" s="0" t="n">
        <v>114001</v>
      </c>
    </row>
    <row r="195" customFormat="false" ht="15" hidden="false" customHeight="false" outlineLevel="0" collapsed="false">
      <c r="A195" s="0" t="n">
        <v>114001</v>
      </c>
    </row>
    <row r="196" customFormat="false" ht="15" hidden="false" customHeight="false" outlineLevel="0" collapsed="false">
      <c r="A196" s="0" t="n">
        <v>114001</v>
      </c>
    </row>
    <row r="197" customFormat="false" ht="15" hidden="false" customHeight="false" outlineLevel="0" collapsed="false">
      <c r="A197" s="0" t="n">
        <v>114001</v>
      </c>
    </row>
    <row r="198" customFormat="false" ht="15" hidden="false" customHeight="false" outlineLevel="0" collapsed="false">
      <c r="A198" s="0" t="n">
        <v>114001</v>
      </c>
    </row>
    <row r="199" customFormat="false" ht="15" hidden="false" customHeight="false" outlineLevel="0" collapsed="false">
      <c r="A199" s="0" t="n">
        <v>114001</v>
      </c>
    </row>
    <row r="200" customFormat="false" ht="15" hidden="false" customHeight="false" outlineLevel="0" collapsed="false">
      <c r="A200" s="0" t="n">
        <v>114001</v>
      </c>
    </row>
    <row r="201" customFormat="false" ht="15" hidden="false" customHeight="false" outlineLevel="0" collapsed="false">
      <c r="A201" s="0" t="n">
        <v>114001</v>
      </c>
    </row>
    <row r="202" customFormat="false" ht="15" hidden="false" customHeight="false" outlineLevel="0" collapsed="false">
      <c r="A202" s="0" t="n">
        <v>114001</v>
      </c>
    </row>
    <row r="203" customFormat="false" ht="15" hidden="false" customHeight="false" outlineLevel="0" collapsed="false">
      <c r="A203" s="0" t="n">
        <v>114001</v>
      </c>
    </row>
    <row r="204" customFormat="false" ht="15" hidden="false" customHeight="false" outlineLevel="0" collapsed="false">
      <c r="A204" s="0" t="n">
        <v>114001</v>
      </c>
    </row>
    <row r="205" customFormat="false" ht="15" hidden="false" customHeight="false" outlineLevel="0" collapsed="false">
      <c r="A205" s="0" t="n">
        <v>114001</v>
      </c>
    </row>
    <row r="206" customFormat="false" ht="15" hidden="false" customHeight="false" outlineLevel="0" collapsed="false">
      <c r="A206" s="0" t="n">
        <v>114001</v>
      </c>
    </row>
    <row r="207" customFormat="false" ht="15" hidden="false" customHeight="false" outlineLevel="0" collapsed="false">
      <c r="A207" s="0" t="n">
        <v>114001</v>
      </c>
    </row>
    <row r="208" customFormat="false" ht="15" hidden="false" customHeight="false" outlineLevel="0" collapsed="false">
      <c r="A208" s="0" t="n">
        <v>114001</v>
      </c>
    </row>
    <row r="209" customFormat="false" ht="15" hidden="false" customHeight="false" outlineLevel="0" collapsed="false">
      <c r="A209" s="0" t="n">
        <v>114001</v>
      </c>
    </row>
    <row r="210" customFormat="false" ht="15" hidden="false" customHeight="false" outlineLevel="0" collapsed="false">
      <c r="A210" s="0" t="n">
        <v>114001</v>
      </c>
    </row>
    <row r="211" customFormat="false" ht="15" hidden="false" customHeight="false" outlineLevel="0" collapsed="false">
      <c r="A211" s="0" t="n">
        <v>114001</v>
      </c>
    </row>
    <row r="212" customFormat="false" ht="15" hidden="false" customHeight="false" outlineLevel="0" collapsed="false">
      <c r="A212" s="0" t="n">
        <v>114001</v>
      </c>
    </row>
    <row r="213" customFormat="false" ht="15" hidden="false" customHeight="false" outlineLevel="0" collapsed="false">
      <c r="A213" s="0" t="n">
        <v>114001</v>
      </c>
    </row>
    <row r="214" customFormat="false" ht="15" hidden="false" customHeight="false" outlineLevel="0" collapsed="false">
      <c r="A214" s="0" t="n">
        <v>114001</v>
      </c>
    </row>
    <row r="215" customFormat="false" ht="15" hidden="false" customHeight="false" outlineLevel="0" collapsed="false">
      <c r="A215" s="0" t="n">
        <v>114001</v>
      </c>
    </row>
    <row r="216" customFormat="false" ht="15" hidden="false" customHeight="false" outlineLevel="0" collapsed="false">
      <c r="A216" s="0" t="n">
        <v>114001</v>
      </c>
    </row>
    <row r="217" customFormat="false" ht="15" hidden="false" customHeight="false" outlineLevel="0" collapsed="false">
      <c r="A217" s="0" t="n">
        <v>114001</v>
      </c>
    </row>
    <row r="218" customFormat="false" ht="15" hidden="false" customHeight="false" outlineLevel="0" collapsed="false">
      <c r="A218" s="0" t="n">
        <v>114001</v>
      </c>
    </row>
    <row r="219" customFormat="false" ht="15" hidden="false" customHeight="false" outlineLevel="0" collapsed="false">
      <c r="A219" s="0" t="n">
        <v>114001</v>
      </c>
    </row>
    <row r="220" customFormat="false" ht="15" hidden="false" customHeight="false" outlineLevel="0" collapsed="false">
      <c r="A220" s="0" t="n">
        <v>114001</v>
      </c>
    </row>
    <row r="221" customFormat="false" ht="15" hidden="false" customHeight="false" outlineLevel="0" collapsed="false">
      <c r="A221" s="0" t="n">
        <v>114001</v>
      </c>
    </row>
    <row r="222" customFormat="false" ht="15" hidden="false" customHeight="false" outlineLevel="0" collapsed="false">
      <c r="A222" s="0" t="n">
        <v>114001</v>
      </c>
    </row>
    <row r="223" customFormat="false" ht="15" hidden="false" customHeight="false" outlineLevel="0" collapsed="false">
      <c r="A223" s="0" t="n">
        <v>114001</v>
      </c>
    </row>
    <row r="224" customFormat="false" ht="15" hidden="false" customHeight="false" outlineLevel="0" collapsed="false">
      <c r="A224" s="0" t="n">
        <v>114001</v>
      </c>
    </row>
    <row r="225" customFormat="false" ht="15" hidden="false" customHeight="false" outlineLevel="0" collapsed="false">
      <c r="A225" s="0" t="n">
        <v>114001</v>
      </c>
    </row>
    <row r="226" customFormat="false" ht="15" hidden="false" customHeight="false" outlineLevel="0" collapsed="false">
      <c r="A226" s="0" t="n">
        <v>114001</v>
      </c>
    </row>
    <row r="227" customFormat="false" ht="15" hidden="false" customHeight="false" outlineLevel="0" collapsed="false">
      <c r="A227" s="0" t="n">
        <v>114001</v>
      </c>
    </row>
    <row r="228" customFormat="false" ht="15" hidden="false" customHeight="false" outlineLevel="0" collapsed="false">
      <c r="A228" s="0" t="n">
        <v>114001</v>
      </c>
    </row>
    <row r="229" customFormat="false" ht="15" hidden="false" customHeight="false" outlineLevel="0" collapsed="false">
      <c r="A229" s="0" t="n">
        <v>114001</v>
      </c>
    </row>
    <row r="230" customFormat="false" ht="15" hidden="false" customHeight="false" outlineLevel="0" collapsed="false">
      <c r="A230" s="0" t="n">
        <v>114001</v>
      </c>
    </row>
    <row r="231" customFormat="false" ht="15" hidden="false" customHeight="false" outlineLevel="0" collapsed="false">
      <c r="A231" s="0" t="n">
        <v>114001</v>
      </c>
    </row>
    <row r="232" customFormat="false" ht="15" hidden="false" customHeight="false" outlineLevel="0" collapsed="false">
      <c r="A232" s="0" t="n">
        <v>114001</v>
      </c>
    </row>
    <row r="233" customFormat="false" ht="15" hidden="false" customHeight="false" outlineLevel="0" collapsed="false">
      <c r="A233" s="0" t="n">
        <v>114001</v>
      </c>
    </row>
    <row r="234" customFormat="false" ht="15" hidden="false" customHeight="false" outlineLevel="0" collapsed="false">
      <c r="A234" s="0" t="n">
        <v>114001</v>
      </c>
    </row>
    <row r="235" customFormat="false" ht="15" hidden="false" customHeight="false" outlineLevel="0" collapsed="false">
      <c r="A235" s="0" t="n">
        <v>114001</v>
      </c>
    </row>
    <row r="236" customFormat="false" ht="15" hidden="false" customHeight="false" outlineLevel="0" collapsed="false">
      <c r="A236" s="0" t="n">
        <v>114001</v>
      </c>
    </row>
    <row r="237" customFormat="false" ht="15" hidden="false" customHeight="false" outlineLevel="0" collapsed="false">
      <c r="A237" s="0" t="n">
        <v>114001</v>
      </c>
    </row>
    <row r="238" customFormat="false" ht="15" hidden="false" customHeight="false" outlineLevel="0" collapsed="false">
      <c r="A238" s="0" t="n">
        <v>114001</v>
      </c>
    </row>
    <row r="239" customFormat="false" ht="15" hidden="false" customHeight="false" outlineLevel="0" collapsed="false">
      <c r="A239" s="0" t="n">
        <v>114001</v>
      </c>
    </row>
    <row r="240" customFormat="false" ht="15" hidden="false" customHeight="false" outlineLevel="0" collapsed="false">
      <c r="A240" s="0" t="n">
        <v>114001</v>
      </c>
    </row>
    <row r="241" customFormat="false" ht="15" hidden="false" customHeight="false" outlineLevel="0" collapsed="false">
      <c r="A241" s="0" t="n">
        <v>114001</v>
      </c>
    </row>
    <row r="242" customFormat="false" ht="15" hidden="false" customHeight="false" outlineLevel="0" collapsed="false">
      <c r="A242" s="0" t="n">
        <v>114001</v>
      </c>
    </row>
    <row r="243" customFormat="false" ht="15" hidden="false" customHeight="false" outlineLevel="0" collapsed="false">
      <c r="A243" s="0" t="n">
        <v>114001</v>
      </c>
    </row>
    <row r="244" customFormat="false" ht="15" hidden="false" customHeight="false" outlineLevel="0" collapsed="false">
      <c r="A244" s="0" t="n">
        <v>114001</v>
      </c>
    </row>
    <row r="245" customFormat="false" ht="15" hidden="false" customHeight="false" outlineLevel="0" collapsed="false">
      <c r="A245" s="0" t="n">
        <v>114001</v>
      </c>
    </row>
    <row r="246" customFormat="false" ht="15" hidden="false" customHeight="false" outlineLevel="0" collapsed="false">
      <c r="A246" s="0" t="n">
        <v>114001</v>
      </c>
    </row>
    <row r="247" customFormat="false" ht="15" hidden="false" customHeight="false" outlineLevel="0" collapsed="false">
      <c r="A247" s="0" t="n">
        <v>114001</v>
      </c>
    </row>
    <row r="248" customFormat="false" ht="15" hidden="false" customHeight="false" outlineLevel="0" collapsed="false">
      <c r="A248" s="0" t="n">
        <v>114001</v>
      </c>
    </row>
    <row r="249" customFormat="false" ht="15" hidden="false" customHeight="false" outlineLevel="0" collapsed="false">
      <c r="A249" s="0" t="n">
        <v>114001</v>
      </c>
    </row>
    <row r="250" customFormat="false" ht="15" hidden="false" customHeight="false" outlineLevel="0" collapsed="false">
      <c r="A250" s="0" t="n">
        <v>114001</v>
      </c>
    </row>
    <row r="251" customFormat="false" ht="15" hidden="false" customHeight="false" outlineLevel="0" collapsed="false">
      <c r="A251" s="0" t="n">
        <v>114001</v>
      </c>
    </row>
    <row r="252" customFormat="false" ht="15" hidden="false" customHeight="false" outlineLevel="0" collapsed="false">
      <c r="A252" s="0" t="n">
        <v>114001</v>
      </c>
    </row>
    <row r="253" customFormat="false" ht="15" hidden="false" customHeight="false" outlineLevel="0" collapsed="false">
      <c r="A253" s="0" t="n">
        <v>114001</v>
      </c>
    </row>
    <row r="254" customFormat="false" ht="15" hidden="false" customHeight="false" outlineLevel="0" collapsed="false">
      <c r="A254" s="0" t="n">
        <v>114001</v>
      </c>
    </row>
    <row r="255" customFormat="false" ht="15" hidden="false" customHeight="false" outlineLevel="0" collapsed="false">
      <c r="A255" s="0" t="n">
        <v>114001</v>
      </c>
    </row>
    <row r="256" customFormat="false" ht="15" hidden="false" customHeight="false" outlineLevel="0" collapsed="false">
      <c r="A256" s="0" t="n">
        <v>114001</v>
      </c>
    </row>
    <row r="257" customFormat="false" ht="15" hidden="false" customHeight="false" outlineLevel="0" collapsed="false">
      <c r="A257" s="0" t="n">
        <v>114001</v>
      </c>
    </row>
    <row r="258" customFormat="false" ht="15" hidden="false" customHeight="false" outlineLevel="0" collapsed="false">
      <c r="A258" s="0" t="n">
        <v>114001</v>
      </c>
    </row>
    <row r="259" customFormat="false" ht="15" hidden="false" customHeight="false" outlineLevel="0" collapsed="false">
      <c r="A259" s="0" t="n">
        <v>114001</v>
      </c>
    </row>
    <row r="260" customFormat="false" ht="15" hidden="false" customHeight="false" outlineLevel="0" collapsed="false">
      <c r="A260" s="0" t="n">
        <v>114001</v>
      </c>
    </row>
    <row r="261" customFormat="false" ht="15" hidden="false" customHeight="false" outlineLevel="0" collapsed="false">
      <c r="A261" s="0" t="n">
        <v>114001</v>
      </c>
    </row>
    <row r="262" customFormat="false" ht="15" hidden="false" customHeight="false" outlineLevel="0" collapsed="false">
      <c r="A262" s="0" t="n">
        <v>114001</v>
      </c>
    </row>
    <row r="263" customFormat="false" ht="15" hidden="false" customHeight="false" outlineLevel="0" collapsed="false">
      <c r="A263" s="0" t="n">
        <v>114001</v>
      </c>
    </row>
    <row r="264" customFormat="false" ht="15" hidden="false" customHeight="false" outlineLevel="0" collapsed="false">
      <c r="A264" s="0" t="n">
        <v>114001</v>
      </c>
    </row>
    <row r="265" customFormat="false" ht="15" hidden="false" customHeight="false" outlineLevel="0" collapsed="false">
      <c r="A265" s="0" t="n">
        <v>114001</v>
      </c>
    </row>
    <row r="266" customFormat="false" ht="15" hidden="false" customHeight="false" outlineLevel="0" collapsed="false">
      <c r="A266" s="0" t="n">
        <v>114001</v>
      </c>
    </row>
    <row r="267" customFormat="false" ht="15" hidden="false" customHeight="false" outlineLevel="0" collapsed="false">
      <c r="A267" s="0" t="n">
        <v>114001</v>
      </c>
    </row>
    <row r="268" customFormat="false" ht="15" hidden="false" customHeight="false" outlineLevel="0" collapsed="false">
      <c r="A268" s="0" t="n">
        <v>114001</v>
      </c>
    </row>
    <row r="269" customFormat="false" ht="15" hidden="false" customHeight="false" outlineLevel="0" collapsed="false">
      <c r="A269" s="0" t="n">
        <v>114001</v>
      </c>
    </row>
    <row r="270" customFormat="false" ht="15" hidden="false" customHeight="false" outlineLevel="0" collapsed="false">
      <c r="A270" s="0" t="n">
        <v>114001</v>
      </c>
    </row>
    <row r="271" customFormat="false" ht="15" hidden="false" customHeight="false" outlineLevel="0" collapsed="false">
      <c r="A271" s="0" t="n">
        <v>114001</v>
      </c>
    </row>
    <row r="272" customFormat="false" ht="15" hidden="false" customHeight="false" outlineLevel="0" collapsed="false">
      <c r="A272" s="0" t="n">
        <v>114001</v>
      </c>
    </row>
    <row r="273" customFormat="false" ht="15" hidden="false" customHeight="false" outlineLevel="0" collapsed="false">
      <c r="A273" s="0" t="n">
        <v>114001</v>
      </c>
    </row>
    <row r="274" customFormat="false" ht="15" hidden="false" customHeight="false" outlineLevel="0" collapsed="false">
      <c r="A274" s="0" t="n">
        <v>114001</v>
      </c>
    </row>
    <row r="275" customFormat="false" ht="15" hidden="false" customHeight="false" outlineLevel="0" collapsed="false">
      <c r="A275" s="0" t="n">
        <v>114003</v>
      </c>
    </row>
    <row r="276" customFormat="false" ht="15" hidden="false" customHeight="false" outlineLevel="0" collapsed="false">
      <c r="A276" s="0" t="n">
        <v>114003</v>
      </c>
    </row>
    <row r="277" customFormat="false" ht="15" hidden="false" customHeight="false" outlineLevel="0" collapsed="false">
      <c r="A277" s="0" t="n">
        <v>114003</v>
      </c>
    </row>
    <row r="278" customFormat="false" ht="15" hidden="false" customHeight="false" outlineLevel="0" collapsed="false">
      <c r="A278" s="0" t="n">
        <v>114003</v>
      </c>
    </row>
    <row r="279" customFormat="false" ht="15" hidden="false" customHeight="false" outlineLevel="0" collapsed="false">
      <c r="A279" s="0" t="n">
        <v>114003</v>
      </c>
    </row>
    <row r="280" customFormat="false" ht="15" hidden="false" customHeight="false" outlineLevel="0" collapsed="false">
      <c r="A280" s="0" t="n">
        <v>114003</v>
      </c>
    </row>
    <row r="281" customFormat="false" ht="15" hidden="false" customHeight="false" outlineLevel="0" collapsed="false">
      <c r="A281" s="0" t="n">
        <v>114003</v>
      </c>
    </row>
    <row r="282" customFormat="false" ht="15" hidden="false" customHeight="false" outlineLevel="0" collapsed="false">
      <c r="A282" s="0" t="n">
        <v>114003</v>
      </c>
    </row>
    <row r="283" customFormat="false" ht="15" hidden="false" customHeight="false" outlineLevel="0" collapsed="false">
      <c r="A283" s="0" t="n">
        <v>114003</v>
      </c>
    </row>
    <row r="284" customFormat="false" ht="15" hidden="false" customHeight="false" outlineLevel="0" collapsed="false">
      <c r="A284" s="0" t="n">
        <v>114003</v>
      </c>
    </row>
    <row r="285" customFormat="false" ht="15" hidden="false" customHeight="false" outlineLevel="0" collapsed="false">
      <c r="A285" s="0" t="n">
        <v>114003</v>
      </c>
    </row>
    <row r="286" customFormat="false" ht="15" hidden="false" customHeight="false" outlineLevel="0" collapsed="false">
      <c r="A286" s="0" t="n">
        <v>114003</v>
      </c>
    </row>
    <row r="287" customFormat="false" ht="15" hidden="false" customHeight="false" outlineLevel="0" collapsed="false">
      <c r="A287" s="0" t="n">
        <v>114003</v>
      </c>
    </row>
    <row r="288" customFormat="false" ht="15" hidden="false" customHeight="false" outlineLevel="0" collapsed="false">
      <c r="A288" s="0" t="n">
        <v>114003</v>
      </c>
    </row>
    <row r="289" customFormat="false" ht="15" hidden="false" customHeight="false" outlineLevel="0" collapsed="false">
      <c r="A289" s="0" t="n">
        <v>114003</v>
      </c>
    </row>
    <row r="290" customFormat="false" ht="15" hidden="false" customHeight="false" outlineLevel="0" collapsed="false">
      <c r="A290" s="0" t="n">
        <v>114003</v>
      </c>
    </row>
    <row r="291" customFormat="false" ht="15" hidden="false" customHeight="false" outlineLevel="0" collapsed="false">
      <c r="A291" s="0" t="n">
        <v>114003</v>
      </c>
    </row>
    <row r="292" customFormat="false" ht="15" hidden="false" customHeight="false" outlineLevel="0" collapsed="false">
      <c r="A292" s="0" t="n">
        <v>114003</v>
      </c>
    </row>
    <row r="293" customFormat="false" ht="15" hidden="false" customHeight="false" outlineLevel="0" collapsed="false">
      <c r="A293" s="0" t="n">
        <v>114003</v>
      </c>
    </row>
    <row r="294" customFormat="false" ht="15" hidden="false" customHeight="false" outlineLevel="0" collapsed="false">
      <c r="A294" s="0" t="n">
        <v>114003</v>
      </c>
    </row>
    <row r="295" customFormat="false" ht="15" hidden="false" customHeight="false" outlineLevel="0" collapsed="false">
      <c r="A295" s="0" t="n">
        <v>114003</v>
      </c>
    </row>
    <row r="296" customFormat="false" ht="15" hidden="false" customHeight="false" outlineLevel="0" collapsed="false">
      <c r="A296" s="0" t="n">
        <v>114003</v>
      </c>
    </row>
    <row r="297" customFormat="false" ht="15" hidden="false" customHeight="false" outlineLevel="0" collapsed="false">
      <c r="A297" s="0" t="n">
        <v>114003</v>
      </c>
    </row>
    <row r="298" customFormat="false" ht="15" hidden="false" customHeight="false" outlineLevel="0" collapsed="false">
      <c r="A298" s="0" t="n">
        <v>114003</v>
      </c>
    </row>
    <row r="299" customFormat="false" ht="15" hidden="false" customHeight="false" outlineLevel="0" collapsed="false">
      <c r="A299" s="0" t="n">
        <v>114003</v>
      </c>
    </row>
    <row r="300" customFormat="false" ht="15" hidden="false" customHeight="false" outlineLevel="0" collapsed="false">
      <c r="A300" s="0" t="n">
        <v>114003</v>
      </c>
    </row>
    <row r="301" customFormat="false" ht="15" hidden="false" customHeight="false" outlineLevel="0" collapsed="false">
      <c r="A301" s="0" t="n">
        <v>114003</v>
      </c>
    </row>
    <row r="302" customFormat="false" ht="15" hidden="false" customHeight="false" outlineLevel="0" collapsed="false">
      <c r="A302" s="0" t="n">
        <v>114003</v>
      </c>
    </row>
    <row r="303" customFormat="false" ht="15" hidden="false" customHeight="false" outlineLevel="0" collapsed="false">
      <c r="A303" s="0" t="n">
        <v>114003</v>
      </c>
    </row>
    <row r="304" customFormat="false" ht="15" hidden="false" customHeight="false" outlineLevel="0" collapsed="false">
      <c r="A304" s="0" t="n">
        <v>114003</v>
      </c>
    </row>
    <row r="305" customFormat="false" ht="15" hidden="false" customHeight="false" outlineLevel="0" collapsed="false">
      <c r="A305" s="0" t="n">
        <v>114004</v>
      </c>
    </row>
    <row r="306" customFormat="false" ht="15" hidden="false" customHeight="false" outlineLevel="0" collapsed="false">
      <c r="A306" s="0" t="n">
        <v>114004</v>
      </c>
    </row>
    <row r="307" customFormat="false" ht="15" hidden="false" customHeight="false" outlineLevel="0" collapsed="false">
      <c r="A307" s="0" t="n">
        <v>114004</v>
      </c>
    </row>
    <row r="308" customFormat="false" ht="15" hidden="false" customHeight="false" outlineLevel="0" collapsed="false">
      <c r="A308" s="0" t="n">
        <v>114004</v>
      </c>
    </row>
    <row r="309" customFormat="false" ht="15" hidden="false" customHeight="false" outlineLevel="0" collapsed="false">
      <c r="A309" s="0" t="n">
        <v>114004</v>
      </c>
    </row>
    <row r="310" customFormat="false" ht="15" hidden="false" customHeight="false" outlineLevel="0" collapsed="false">
      <c r="A310" s="0" t="n">
        <v>114004</v>
      </c>
    </row>
    <row r="311" customFormat="false" ht="15" hidden="false" customHeight="false" outlineLevel="0" collapsed="false">
      <c r="A311" s="0" t="n">
        <v>114004</v>
      </c>
    </row>
    <row r="312" customFormat="false" ht="15" hidden="false" customHeight="false" outlineLevel="0" collapsed="false">
      <c r="A312" s="0" t="n">
        <v>114004</v>
      </c>
    </row>
    <row r="313" customFormat="false" ht="15" hidden="false" customHeight="false" outlineLevel="0" collapsed="false">
      <c r="A313" s="0" t="n">
        <v>114004</v>
      </c>
    </row>
    <row r="314" customFormat="false" ht="15" hidden="false" customHeight="false" outlineLevel="0" collapsed="false">
      <c r="A314" s="0" t="n">
        <v>114004</v>
      </c>
    </row>
    <row r="315" customFormat="false" ht="15" hidden="false" customHeight="false" outlineLevel="0" collapsed="false">
      <c r="A315" s="0" t="n">
        <v>114004</v>
      </c>
    </row>
    <row r="316" customFormat="false" ht="15" hidden="false" customHeight="false" outlineLevel="0" collapsed="false">
      <c r="A316" s="0" t="n">
        <v>114004</v>
      </c>
    </row>
    <row r="317" customFormat="false" ht="15" hidden="false" customHeight="false" outlineLevel="0" collapsed="false">
      <c r="A317" s="0" t="n">
        <v>114004</v>
      </c>
    </row>
    <row r="318" customFormat="false" ht="15" hidden="false" customHeight="false" outlineLevel="0" collapsed="false">
      <c r="A318" s="0" t="n">
        <v>114004</v>
      </c>
    </row>
    <row r="319" customFormat="false" ht="15" hidden="false" customHeight="false" outlineLevel="0" collapsed="false">
      <c r="A319" s="0" t="n">
        <v>114004</v>
      </c>
    </row>
    <row r="320" customFormat="false" ht="15" hidden="false" customHeight="false" outlineLevel="0" collapsed="false">
      <c r="A320" s="0" t="n">
        <v>114004</v>
      </c>
    </row>
    <row r="321" customFormat="false" ht="15" hidden="false" customHeight="false" outlineLevel="0" collapsed="false">
      <c r="A321" s="0" t="n">
        <v>114004</v>
      </c>
    </row>
    <row r="322" customFormat="false" ht="15" hidden="false" customHeight="false" outlineLevel="0" collapsed="false">
      <c r="A322" s="0" t="n">
        <v>114004</v>
      </c>
    </row>
    <row r="323" customFormat="false" ht="15" hidden="false" customHeight="false" outlineLevel="0" collapsed="false">
      <c r="A323" s="0" t="n">
        <v>114004</v>
      </c>
    </row>
    <row r="324" customFormat="false" ht="15" hidden="false" customHeight="false" outlineLevel="0" collapsed="false">
      <c r="A324" s="0" t="n">
        <v>114004</v>
      </c>
    </row>
    <row r="325" customFormat="false" ht="15" hidden="false" customHeight="false" outlineLevel="0" collapsed="false">
      <c r="A325" s="0" t="n">
        <v>114004</v>
      </c>
    </row>
    <row r="326" customFormat="false" ht="15" hidden="false" customHeight="false" outlineLevel="0" collapsed="false">
      <c r="A326" s="0" t="n">
        <v>114004</v>
      </c>
    </row>
    <row r="327" customFormat="false" ht="15" hidden="false" customHeight="false" outlineLevel="0" collapsed="false">
      <c r="A327" s="0" t="n">
        <v>114004</v>
      </c>
    </row>
    <row r="328" customFormat="false" ht="15" hidden="false" customHeight="false" outlineLevel="0" collapsed="false">
      <c r="A328" s="0" t="n">
        <v>114004</v>
      </c>
    </row>
    <row r="329" customFormat="false" ht="15" hidden="false" customHeight="false" outlineLevel="0" collapsed="false">
      <c r="A329" s="0" t="n">
        <v>114004</v>
      </c>
    </row>
    <row r="330" customFormat="false" ht="15" hidden="false" customHeight="false" outlineLevel="0" collapsed="false">
      <c r="A330" s="0" t="n">
        <v>114004</v>
      </c>
    </row>
    <row r="331" customFormat="false" ht="15" hidden="false" customHeight="false" outlineLevel="0" collapsed="false">
      <c r="A331" s="0" t="n">
        <v>114004</v>
      </c>
    </row>
    <row r="332" customFormat="false" ht="15" hidden="false" customHeight="false" outlineLevel="0" collapsed="false">
      <c r="A332" s="0" t="n">
        <v>114004</v>
      </c>
    </row>
    <row r="333" customFormat="false" ht="15" hidden="false" customHeight="false" outlineLevel="0" collapsed="false">
      <c r="A333" s="0" t="n">
        <v>114004</v>
      </c>
    </row>
    <row r="334" customFormat="false" ht="15" hidden="false" customHeight="false" outlineLevel="0" collapsed="false">
      <c r="A334" s="0" t="n">
        <v>114004</v>
      </c>
    </row>
    <row r="335" customFormat="false" ht="15" hidden="false" customHeight="false" outlineLevel="0" collapsed="false">
      <c r="A335" s="0" t="n">
        <v>114004</v>
      </c>
    </row>
    <row r="336" customFormat="false" ht="15" hidden="false" customHeight="false" outlineLevel="0" collapsed="false">
      <c r="A336" s="0" t="n">
        <v>114004</v>
      </c>
    </row>
    <row r="337" customFormat="false" ht="15" hidden="false" customHeight="false" outlineLevel="0" collapsed="false">
      <c r="A337" s="0" t="n">
        <v>114004</v>
      </c>
    </row>
    <row r="338" customFormat="false" ht="15" hidden="false" customHeight="false" outlineLevel="0" collapsed="false">
      <c r="A338" s="0" t="n">
        <v>114004</v>
      </c>
    </row>
    <row r="339" customFormat="false" ht="15" hidden="false" customHeight="false" outlineLevel="0" collapsed="false">
      <c r="A339" s="0" t="n">
        <v>114004</v>
      </c>
    </row>
    <row r="340" customFormat="false" ht="15" hidden="false" customHeight="false" outlineLevel="0" collapsed="false">
      <c r="A340" s="0" t="n">
        <v>114004</v>
      </c>
    </row>
    <row r="341" customFormat="false" ht="15" hidden="false" customHeight="false" outlineLevel="0" collapsed="false">
      <c r="A341" s="0" t="n">
        <v>114004</v>
      </c>
    </row>
    <row r="342" customFormat="false" ht="15" hidden="false" customHeight="false" outlineLevel="0" collapsed="false">
      <c r="A342" s="0" t="n">
        <v>114004</v>
      </c>
    </row>
    <row r="343" customFormat="false" ht="15" hidden="false" customHeight="false" outlineLevel="0" collapsed="false">
      <c r="A343" s="0" t="n">
        <v>114004</v>
      </c>
    </row>
    <row r="344" customFormat="false" ht="15" hidden="false" customHeight="false" outlineLevel="0" collapsed="false">
      <c r="A344" s="0" t="n">
        <v>114004</v>
      </c>
    </row>
    <row r="345" customFormat="false" ht="15" hidden="false" customHeight="false" outlineLevel="0" collapsed="false">
      <c r="A345" s="0" t="n">
        <v>114004</v>
      </c>
    </row>
    <row r="346" customFormat="false" ht="15" hidden="false" customHeight="false" outlineLevel="0" collapsed="false">
      <c r="A346" s="0" t="n">
        <v>114004</v>
      </c>
    </row>
    <row r="347" customFormat="false" ht="15" hidden="false" customHeight="false" outlineLevel="0" collapsed="false">
      <c r="A347" s="0" t="n">
        <v>114004</v>
      </c>
    </row>
    <row r="348" customFormat="false" ht="15" hidden="false" customHeight="false" outlineLevel="0" collapsed="false">
      <c r="A348" s="0" t="n">
        <v>114004</v>
      </c>
    </row>
    <row r="349" customFormat="false" ht="15" hidden="false" customHeight="false" outlineLevel="0" collapsed="false">
      <c r="A349" s="0" t="n">
        <v>114004</v>
      </c>
    </row>
    <row r="350" customFormat="false" ht="15" hidden="false" customHeight="false" outlineLevel="0" collapsed="false">
      <c r="A350" s="0" t="n">
        <v>114004</v>
      </c>
    </row>
    <row r="351" customFormat="false" ht="15" hidden="false" customHeight="false" outlineLevel="0" collapsed="false">
      <c r="A351" s="0" t="n">
        <v>114004</v>
      </c>
    </row>
    <row r="352" customFormat="false" ht="15" hidden="false" customHeight="false" outlineLevel="0" collapsed="false">
      <c r="A352" s="0" t="n">
        <v>114004</v>
      </c>
    </row>
    <row r="353" customFormat="false" ht="15" hidden="false" customHeight="false" outlineLevel="0" collapsed="false">
      <c r="A353" s="0" t="n">
        <v>114004</v>
      </c>
    </row>
    <row r="354" customFormat="false" ht="15" hidden="false" customHeight="false" outlineLevel="0" collapsed="false">
      <c r="A354" s="0" t="n">
        <v>114004</v>
      </c>
    </row>
    <row r="355" customFormat="false" ht="15" hidden="false" customHeight="false" outlineLevel="0" collapsed="false">
      <c r="A355" s="0" t="n">
        <v>114004</v>
      </c>
    </row>
    <row r="356" customFormat="false" ht="15" hidden="false" customHeight="false" outlineLevel="0" collapsed="false">
      <c r="A356" s="0" t="n">
        <v>114004</v>
      </c>
    </row>
    <row r="357" customFormat="false" ht="15" hidden="false" customHeight="false" outlineLevel="0" collapsed="false">
      <c r="A357" s="0" t="n">
        <v>114004</v>
      </c>
    </row>
    <row r="358" customFormat="false" ht="15" hidden="false" customHeight="false" outlineLevel="0" collapsed="false">
      <c r="A358" s="0" t="n">
        <v>114004</v>
      </c>
    </row>
    <row r="359" customFormat="false" ht="15" hidden="false" customHeight="false" outlineLevel="0" collapsed="false">
      <c r="A359" s="0" t="n">
        <v>114004</v>
      </c>
    </row>
    <row r="360" customFormat="false" ht="15" hidden="false" customHeight="false" outlineLevel="0" collapsed="false">
      <c r="A360" s="0" t="n">
        <v>114004</v>
      </c>
    </row>
    <row r="361" customFormat="false" ht="15" hidden="false" customHeight="false" outlineLevel="0" collapsed="false">
      <c r="A361" s="0" t="n">
        <v>114004</v>
      </c>
    </row>
    <row r="362" customFormat="false" ht="15" hidden="false" customHeight="false" outlineLevel="0" collapsed="false">
      <c r="A362" s="0" t="n">
        <v>114004</v>
      </c>
    </row>
    <row r="363" customFormat="false" ht="15" hidden="false" customHeight="false" outlineLevel="0" collapsed="false">
      <c r="A363" s="0" t="n">
        <v>114004</v>
      </c>
    </row>
    <row r="364" customFormat="false" ht="15" hidden="false" customHeight="false" outlineLevel="0" collapsed="false">
      <c r="A364" s="0" t="n">
        <v>114004</v>
      </c>
    </row>
    <row r="365" customFormat="false" ht="15" hidden="false" customHeight="false" outlineLevel="0" collapsed="false">
      <c r="A365" s="0" t="n">
        <v>114004</v>
      </c>
    </row>
    <row r="366" customFormat="false" ht="15" hidden="false" customHeight="false" outlineLevel="0" collapsed="false">
      <c r="A366" s="0" t="n">
        <v>114004</v>
      </c>
    </row>
    <row r="367" customFormat="false" ht="15" hidden="false" customHeight="false" outlineLevel="0" collapsed="false">
      <c r="A367" s="0" t="n">
        <v>114004</v>
      </c>
    </row>
    <row r="368" customFormat="false" ht="15" hidden="false" customHeight="false" outlineLevel="0" collapsed="false">
      <c r="A368" s="0" t="n">
        <v>114004</v>
      </c>
    </row>
    <row r="369" customFormat="false" ht="15" hidden="false" customHeight="false" outlineLevel="0" collapsed="false">
      <c r="A369" s="0" t="n">
        <v>114004</v>
      </c>
    </row>
    <row r="370" customFormat="false" ht="15" hidden="false" customHeight="false" outlineLevel="0" collapsed="false">
      <c r="A370" s="0" t="n">
        <v>114004</v>
      </c>
    </row>
    <row r="371" customFormat="false" ht="15" hidden="false" customHeight="false" outlineLevel="0" collapsed="false">
      <c r="A371" s="0" t="n">
        <v>114004</v>
      </c>
    </row>
    <row r="372" customFormat="false" ht="15" hidden="false" customHeight="false" outlineLevel="0" collapsed="false">
      <c r="A372" s="0" t="n">
        <v>114004</v>
      </c>
    </row>
    <row r="373" customFormat="false" ht="15" hidden="false" customHeight="false" outlineLevel="0" collapsed="false">
      <c r="A373" s="0" t="n">
        <v>114004</v>
      </c>
    </row>
    <row r="374" customFormat="false" ht="15" hidden="false" customHeight="false" outlineLevel="0" collapsed="false">
      <c r="A374" s="0" t="n">
        <v>114004</v>
      </c>
    </row>
    <row r="375" customFormat="false" ht="15" hidden="false" customHeight="false" outlineLevel="0" collapsed="false">
      <c r="A375" s="0" t="n">
        <v>114004</v>
      </c>
    </row>
    <row r="376" customFormat="false" ht="15" hidden="false" customHeight="false" outlineLevel="0" collapsed="false">
      <c r="A376" s="0" t="n">
        <v>114004</v>
      </c>
    </row>
    <row r="377" customFormat="false" ht="15" hidden="false" customHeight="false" outlineLevel="0" collapsed="false">
      <c r="A377" s="0" t="n">
        <v>114004</v>
      </c>
    </row>
    <row r="378" customFormat="false" ht="15" hidden="false" customHeight="false" outlineLevel="0" collapsed="false">
      <c r="A378" s="0" t="n">
        <v>114004</v>
      </c>
    </row>
    <row r="379" customFormat="false" ht="15" hidden="false" customHeight="false" outlineLevel="0" collapsed="false">
      <c r="A379" s="0" t="n">
        <v>114004</v>
      </c>
    </row>
    <row r="380" customFormat="false" ht="15" hidden="false" customHeight="false" outlineLevel="0" collapsed="false">
      <c r="A380" s="0" t="n">
        <v>114004</v>
      </c>
    </row>
    <row r="381" customFormat="false" ht="15" hidden="false" customHeight="false" outlineLevel="0" collapsed="false">
      <c r="A381" s="0" t="n">
        <v>114004</v>
      </c>
    </row>
    <row r="382" customFormat="false" ht="15" hidden="false" customHeight="false" outlineLevel="0" collapsed="false">
      <c r="A382" s="0" t="n">
        <v>114004</v>
      </c>
    </row>
    <row r="383" customFormat="false" ht="15" hidden="false" customHeight="false" outlineLevel="0" collapsed="false">
      <c r="A383" s="0" t="n">
        <v>114004</v>
      </c>
    </row>
    <row r="384" customFormat="false" ht="15" hidden="false" customHeight="false" outlineLevel="0" collapsed="false">
      <c r="A384" s="0" t="n">
        <v>114004</v>
      </c>
    </row>
    <row r="385" customFormat="false" ht="15" hidden="false" customHeight="false" outlineLevel="0" collapsed="false">
      <c r="A385" s="0" t="n">
        <v>114004</v>
      </c>
    </row>
    <row r="386" customFormat="false" ht="15" hidden="false" customHeight="false" outlineLevel="0" collapsed="false">
      <c r="A386" s="0" t="n">
        <v>114004</v>
      </c>
    </row>
    <row r="387" customFormat="false" ht="15" hidden="false" customHeight="false" outlineLevel="0" collapsed="false">
      <c r="A387" s="0" t="n">
        <v>114004</v>
      </c>
    </row>
    <row r="388" customFormat="false" ht="15" hidden="false" customHeight="false" outlineLevel="0" collapsed="false">
      <c r="A388" s="0" t="n">
        <v>114004</v>
      </c>
    </row>
    <row r="389" customFormat="false" ht="15" hidden="false" customHeight="false" outlineLevel="0" collapsed="false">
      <c r="A389" s="0" t="n">
        <v>114004</v>
      </c>
    </row>
    <row r="390" customFormat="false" ht="15" hidden="false" customHeight="false" outlineLevel="0" collapsed="false">
      <c r="A390" s="0" t="n">
        <v>114004</v>
      </c>
    </row>
    <row r="391" customFormat="false" ht="15" hidden="false" customHeight="false" outlineLevel="0" collapsed="false">
      <c r="A391" s="0" t="n">
        <v>114004</v>
      </c>
    </row>
    <row r="392" customFormat="false" ht="15" hidden="false" customHeight="false" outlineLevel="0" collapsed="false">
      <c r="A392" s="0" t="n">
        <v>114004</v>
      </c>
    </row>
    <row r="393" customFormat="false" ht="15" hidden="false" customHeight="false" outlineLevel="0" collapsed="false">
      <c r="A393" s="0" t="n">
        <v>114004</v>
      </c>
    </row>
    <row r="394" customFormat="false" ht="15" hidden="false" customHeight="false" outlineLevel="0" collapsed="false">
      <c r="A394" s="0" t="n">
        <v>114004</v>
      </c>
    </row>
    <row r="395" customFormat="false" ht="15" hidden="false" customHeight="false" outlineLevel="0" collapsed="false">
      <c r="A395" s="0" t="n">
        <v>114004</v>
      </c>
    </row>
    <row r="396" customFormat="false" ht="15" hidden="false" customHeight="false" outlineLevel="0" collapsed="false">
      <c r="A396" s="0" t="n">
        <v>114004</v>
      </c>
    </row>
    <row r="397" customFormat="false" ht="15" hidden="false" customHeight="false" outlineLevel="0" collapsed="false">
      <c r="A397" s="0" t="n">
        <v>114004</v>
      </c>
    </row>
    <row r="398" customFormat="false" ht="15" hidden="false" customHeight="false" outlineLevel="0" collapsed="false">
      <c r="A398" s="0" t="n">
        <v>114004</v>
      </c>
    </row>
    <row r="399" customFormat="false" ht="15" hidden="false" customHeight="false" outlineLevel="0" collapsed="false">
      <c r="A399" s="0" t="n">
        <v>114004</v>
      </c>
    </row>
    <row r="400" customFormat="false" ht="15" hidden="false" customHeight="false" outlineLevel="0" collapsed="false">
      <c r="A400" s="0" t="n">
        <v>114004</v>
      </c>
    </row>
    <row r="401" customFormat="false" ht="15" hidden="false" customHeight="false" outlineLevel="0" collapsed="false">
      <c r="A401" s="0" t="n">
        <v>114004</v>
      </c>
    </row>
    <row r="402" customFormat="false" ht="15" hidden="false" customHeight="false" outlineLevel="0" collapsed="false">
      <c r="A402" s="0" t="n">
        <v>114004</v>
      </c>
    </row>
    <row r="403" customFormat="false" ht="15" hidden="false" customHeight="false" outlineLevel="0" collapsed="false">
      <c r="A403" s="0" t="n">
        <v>114004</v>
      </c>
    </row>
    <row r="404" customFormat="false" ht="15" hidden="false" customHeight="false" outlineLevel="0" collapsed="false">
      <c r="A404" s="0" t="n">
        <v>114004</v>
      </c>
    </row>
    <row r="405" customFormat="false" ht="15" hidden="false" customHeight="false" outlineLevel="0" collapsed="false">
      <c r="A405" s="0" t="n">
        <v>114004</v>
      </c>
    </row>
    <row r="406" customFormat="false" ht="15" hidden="false" customHeight="false" outlineLevel="0" collapsed="false">
      <c r="A406" s="0" t="n">
        <v>114004</v>
      </c>
    </row>
    <row r="407" customFormat="false" ht="15" hidden="false" customHeight="false" outlineLevel="0" collapsed="false">
      <c r="A407" s="0" t="n">
        <v>114004</v>
      </c>
    </row>
    <row r="408" customFormat="false" ht="15" hidden="false" customHeight="false" outlineLevel="0" collapsed="false">
      <c r="A408" s="0" t="n">
        <v>114004</v>
      </c>
    </row>
    <row r="409" customFormat="false" ht="15" hidden="false" customHeight="false" outlineLevel="0" collapsed="false">
      <c r="A409" s="0" t="n">
        <v>114004</v>
      </c>
    </row>
    <row r="410" customFormat="false" ht="15" hidden="false" customHeight="false" outlineLevel="0" collapsed="false">
      <c r="A410" s="0" t="n">
        <v>114004</v>
      </c>
    </row>
    <row r="411" customFormat="false" ht="15" hidden="false" customHeight="false" outlineLevel="0" collapsed="false">
      <c r="A411" s="0" t="n">
        <v>114004</v>
      </c>
    </row>
    <row r="412" customFormat="false" ht="15" hidden="false" customHeight="false" outlineLevel="0" collapsed="false">
      <c r="A412" s="0" t="n">
        <v>114004</v>
      </c>
    </row>
    <row r="413" customFormat="false" ht="15" hidden="false" customHeight="false" outlineLevel="0" collapsed="false">
      <c r="A413" s="0" t="n">
        <v>114004</v>
      </c>
    </row>
    <row r="414" customFormat="false" ht="15" hidden="false" customHeight="false" outlineLevel="0" collapsed="false">
      <c r="A414" s="0" t="n">
        <v>114004</v>
      </c>
    </row>
    <row r="415" customFormat="false" ht="15" hidden="false" customHeight="false" outlineLevel="0" collapsed="false">
      <c r="A415" s="0" t="n">
        <v>114004</v>
      </c>
    </row>
    <row r="416" customFormat="false" ht="15" hidden="false" customHeight="false" outlineLevel="0" collapsed="false">
      <c r="A416" s="0" t="n">
        <v>114004</v>
      </c>
    </row>
    <row r="417" customFormat="false" ht="15" hidden="false" customHeight="false" outlineLevel="0" collapsed="false">
      <c r="A417" s="0" t="n">
        <v>114004</v>
      </c>
    </row>
    <row r="418" customFormat="false" ht="15" hidden="false" customHeight="false" outlineLevel="0" collapsed="false">
      <c r="A418" s="0" t="n">
        <v>114004</v>
      </c>
    </row>
    <row r="419" customFormat="false" ht="15" hidden="false" customHeight="false" outlineLevel="0" collapsed="false">
      <c r="A419" s="0" t="n">
        <v>114004</v>
      </c>
    </row>
    <row r="420" customFormat="false" ht="15" hidden="false" customHeight="false" outlineLevel="0" collapsed="false">
      <c r="A420" s="0" t="n">
        <v>114004</v>
      </c>
    </row>
    <row r="421" customFormat="false" ht="15" hidden="false" customHeight="false" outlineLevel="0" collapsed="false">
      <c r="A421" s="0" t="n">
        <v>114004</v>
      </c>
    </row>
    <row r="422" customFormat="false" ht="15" hidden="false" customHeight="false" outlineLevel="0" collapsed="false">
      <c r="A422" s="0" t="n">
        <v>114004</v>
      </c>
    </row>
    <row r="423" customFormat="false" ht="15" hidden="false" customHeight="false" outlineLevel="0" collapsed="false">
      <c r="A423" s="0" t="n">
        <v>114004</v>
      </c>
    </row>
    <row r="424" customFormat="false" ht="15" hidden="false" customHeight="false" outlineLevel="0" collapsed="false">
      <c r="A424" s="0" t="n">
        <v>114004</v>
      </c>
    </row>
    <row r="425" customFormat="false" ht="15" hidden="false" customHeight="false" outlineLevel="0" collapsed="false">
      <c r="A425" s="0" t="n">
        <v>114004</v>
      </c>
    </row>
    <row r="426" customFormat="false" ht="15" hidden="false" customHeight="false" outlineLevel="0" collapsed="false">
      <c r="A426" s="0" t="n">
        <v>114004</v>
      </c>
    </row>
    <row r="427" customFormat="false" ht="15" hidden="false" customHeight="false" outlineLevel="0" collapsed="false">
      <c r="A427" s="0" t="n">
        <v>114004</v>
      </c>
    </row>
    <row r="428" customFormat="false" ht="15" hidden="false" customHeight="false" outlineLevel="0" collapsed="false">
      <c r="A428" s="0" t="n">
        <v>114004</v>
      </c>
    </row>
    <row r="429" customFormat="false" ht="15" hidden="false" customHeight="false" outlineLevel="0" collapsed="false">
      <c r="A429" s="0" t="n">
        <v>114004</v>
      </c>
    </row>
    <row r="430" customFormat="false" ht="15" hidden="false" customHeight="false" outlineLevel="0" collapsed="false">
      <c r="A430" s="0" t="n">
        <v>114004</v>
      </c>
    </row>
    <row r="431" customFormat="false" ht="15" hidden="false" customHeight="false" outlineLevel="0" collapsed="false">
      <c r="A431" s="0" t="n">
        <v>114004</v>
      </c>
    </row>
    <row r="432" customFormat="false" ht="15" hidden="false" customHeight="false" outlineLevel="0" collapsed="false">
      <c r="A432" s="0" t="n">
        <v>114004</v>
      </c>
    </row>
    <row r="433" customFormat="false" ht="15" hidden="false" customHeight="false" outlineLevel="0" collapsed="false">
      <c r="A433" s="0" t="n">
        <v>114004</v>
      </c>
    </row>
    <row r="434" customFormat="false" ht="15" hidden="false" customHeight="false" outlineLevel="0" collapsed="false">
      <c r="A434" s="0" t="n">
        <v>114004</v>
      </c>
    </row>
    <row r="435" customFormat="false" ht="15" hidden="false" customHeight="false" outlineLevel="0" collapsed="false">
      <c r="A435" s="0" t="n">
        <v>114004</v>
      </c>
    </row>
    <row r="436" customFormat="false" ht="15" hidden="false" customHeight="false" outlineLevel="0" collapsed="false">
      <c r="A436" s="0" t="n">
        <v>114004</v>
      </c>
    </row>
    <row r="437" customFormat="false" ht="15" hidden="false" customHeight="false" outlineLevel="0" collapsed="false">
      <c r="A437" s="0" t="n">
        <v>114004</v>
      </c>
    </row>
    <row r="438" customFormat="false" ht="15" hidden="false" customHeight="false" outlineLevel="0" collapsed="false">
      <c r="A438" s="0" t="n">
        <v>114004</v>
      </c>
    </row>
    <row r="439" customFormat="false" ht="15" hidden="false" customHeight="false" outlineLevel="0" collapsed="false">
      <c r="A439" s="0" t="n">
        <v>114004</v>
      </c>
    </row>
    <row r="440" customFormat="false" ht="15" hidden="false" customHeight="false" outlineLevel="0" collapsed="false">
      <c r="A440" s="0" t="n">
        <v>114004</v>
      </c>
    </row>
    <row r="441" customFormat="false" ht="15" hidden="false" customHeight="false" outlineLevel="0" collapsed="false">
      <c r="A441" s="0" t="n">
        <v>114004</v>
      </c>
    </row>
    <row r="442" customFormat="false" ht="15" hidden="false" customHeight="false" outlineLevel="0" collapsed="false">
      <c r="A442" s="0" t="n">
        <v>114004</v>
      </c>
    </row>
    <row r="443" customFormat="false" ht="15" hidden="false" customHeight="false" outlineLevel="0" collapsed="false">
      <c r="A443" s="0" t="n">
        <v>114004</v>
      </c>
    </row>
    <row r="444" customFormat="false" ht="15" hidden="false" customHeight="false" outlineLevel="0" collapsed="false">
      <c r="A444" s="0" t="n">
        <v>114004</v>
      </c>
    </row>
    <row r="445" customFormat="false" ht="15" hidden="false" customHeight="false" outlineLevel="0" collapsed="false">
      <c r="A445" s="0" t="n">
        <v>114004</v>
      </c>
    </row>
    <row r="446" customFormat="false" ht="15" hidden="false" customHeight="false" outlineLevel="0" collapsed="false">
      <c r="A446" s="0" t="n">
        <v>114004</v>
      </c>
    </row>
    <row r="447" customFormat="false" ht="15" hidden="false" customHeight="false" outlineLevel="0" collapsed="false">
      <c r="A447" s="0" t="n">
        <v>114004</v>
      </c>
    </row>
    <row r="448" customFormat="false" ht="15" hidden="false" customHeight="false" outlineLevel="0" collapsed="false">
      <c r="A448" s="0" t="n">
        <v>114004</v>
      </c>
    </row>
    <row r="449" customFormat="false" ht="15" hidden="false" customHeight="false" outlineLevel="0" collapsed="false">
      <c r="A449" s="0" t="n">
        <v>114004</v>
      </c>
    </row>
    <row r="450" customFormat="false" ht="15" hidden="false" customHeight="false" outlineLevel="0" collapsed="false">
      <c r="A450" s="0" t="n">
        <v>114004</v>
      </c>
    </row>
    <row r="451" customFormat="false" ht="15" hidden="false" customHeight="false" outlineLevel="0" collapsed="false">
      <c r="A451" s="0" t="n">
        <v>114004</v>
      </c>
    </row>
    <row r="452" customFormat="false" ht="15" hidden="false" customHeight="false" outlineLevel="0" collapsed="false">
      <c r="A452" s="0" t="n">
        <v>114004</v>
      </c>
    </row>
    <row r="453" customFormat="false" ht="15" hidden="false" customHeight="false" outlineLevel="0" collapsed="false">
      <c r="A453" s="0" t="n">
        <v>114004</v>
      </c>
    </row>
    <row r="454" customFormat="false" ht="15" hidden="false" customHeight="false" outlineLevel="0" collapsed="false">
      <c r="A454" s="0" t="n">
        <v>114004</v>
      </c>
    </row>
    <row r="455" customFormat="false" ht="15" hidden="false" customHeight="false" outlineLevel="0" collapsed="false">
      <c r="A455" s="0" t="n">
        <v>114004</v>
      </c>
    </row>
    <row r="456" customFormat="false" ht="15" hidden="false" customHeight="false" outlineLevel="0" collapsed="false">
      <c r="A456" s="0" t="n">
        <v>114004</v>
      </c>
    </row>
    <row r="457" customFormat="false" ht="15" hidden="false" customHeight="false" outlineLevel="0" collapsed="false">
      <c r="A457" s="0" t="n">
        <v>114004</v>
      </c>
    </row>
    <row r="458" customFormat="false" ht="15" hidden="false" customHeight="false" outlineLevel="0" collapsed="false">
      <c r="A458" s="0" t="n">
        <v>114004</v>
      </c>
    </row>
    <row r="459" customFormat="false" ht="15" hidden="false" customHeight="false" outlineLevel="0" collapsed="false">
      <c r="A459" s="0" t="n">
        <v>114004</v>
      </c>
    </row>
    <row r="460" customFormat="false" ht="15" hidden="false" customHeight="false" outlineLevel="0" collapsed="false">
      <c r="A460" s="0" t="n">
        <v>114004</v>
      </c>
    </row>
    <row r="461" customFormat="false" ht="15" hidden="false" customHeight="false" outlineLevel="0" collapsed="false">
      <c r="A461" s="0" t="n">
        <v>114004</v>
      </c>
    </row>
    <row r="462" customFormat="false" ht="15" hidden="false" customHeight="false" outlineLevel="0" collapsed="false">
      <c r="A462" s="0" t="n">
        <v>114004</v>
      </c>
    </row>
    <row r="463" customFormat="false" ht="15" hidden="false" customHeight="false" outlineLevel="0" collapsed="false">
      <c r="A463" s="0" t="n">
        <v>114004</v>
      </c>
    </row>
    <row r="464" customFormat="false" ht="15" hidden="false" customHeight="false" outlineLevel="0" collapsed="false">
      <c r="A464" s="0" t="n">
        <v>114004</v>
      </c>
    </row>
    <row r="465" customFormat="false" ht="15" hidden="false" customHeight="false" outlineLevel="0" collapsed="false">
      <c r="A465" s="0" t="n">
        <v>114001</v>
      </c>
    </row>
    <row r="466" customFormat="false" ht="15" hidden="false" customHeight="false" outlineLevel="0" collapsed="false">
      <c r="A466" s="0" t="n">
        <v>114001</v>
      </c>
    </row>
    <row r="467" customFormat="false" ht="15" hidden="false" customHeight="false" outlineLevel="0" collapsed="false">
      <c r="A467" s="0" t="n">
        <v>114001</v>
      </c>
    </row>
    <row r="468" customFormat="false" ht="15" hidden="false" customHeight="false" outlineLevel="0" collapsed="false">
      <c r="A468" s="0" t="n">
        <v>114001</v>
      </c>
    </row>
    <row r="469" customFormat="false" ht="15" hidden="false" customHeight="false" outlineLevel="0" collapsed="false">
      <c r="A469" s="0" t="n">
        <v>114001</v>
      </c>
    </row>
    <row r="470" customFormat="false" ht="15" hidden="false" customHeight="false" outlineLevel="0" collapsed="false">
      <c r="A470" s="0" t="n">
        <v>114001</v>
      </c>
    </row>
    <row r="471" customFormat="false" ht="15" hidden="false" customHeight="false" outlineLevel="0" collapsed="false">
      <c r="A471" s="0" t="n">
        <v>114001</v>
      </c>
    </row>
    <row r="472" customFormat="false" ht="15" hidden="false" customHeight="false" outlineLevel="0" collapsed="false">
      <c r="A472" s="0" t="n">
        <v>114001</v>
      </c>
    </row>
    <row r="473" customFormat="false" ht="15" hidden="false" customHeight="false" outlineLevel="0" collapsed="false">
      <c r="A473" s="0" t="n">
        <v>114001</v>
      </c>
    </row>
    <row r="474" customFormat="false" ht="15" hidden="false" customHeight="false" outlineLevel="0" collapsed="false">
      <c r="A474" s="0" t="n">
        <v>114001</v>
      </c>
    </row>
    <row r="475" customFormat="false" ht="15" hidden="false" customHeight="false" outlineLevel="0" collapsed="false">
      <c r="A475" s="0" t="n">
        <v>114001</v>
      </c>
    </row>
    <row r="476" customFormat="false" ht="15" hidden="false" customHeight="false" outlineLevel="0" collapsed="false">
      <c r="A476" s="0" t="n">
        <v>114001</v>
      </c>
    </row>
    <row r="477" customFormat="false" ht="15" hidden="false" customHeight="false" outlineLevel="0" collapsed="false">
      <c r="A477" s="0" t="n">
        <v>114001</v>
      </c>
    </row>
    <row r="478" customFormat="false" ht="15" hidden="false" customHeight="false" outlineLevel="0" collapsed="false">
      <c r="A478" s="0" t="n">
        <v>114001</v>
      </c>
    </row>
    <row r="479" customFormat="false" ht="15" hidden="false" customHeight="false" outlineLevel="0" collapsed="false">
      <c r="A479" s="0" t="n">
        <v>114001</v>
      </c>
    </row>
    <row r="480" customFormat="false" ht="15" hidden="false" customHeight="false" outlineLevel="0" collapsed="false">
      <c r="A480" s="0" t="n">
        <v>114001</v>
      </c>
    </row>
    <row r="481" customFormat="false" ht="15" hidden="false" customHeight="false" outlineLevel="0" collapsed="false">
      <c r="A481" s="0" t="n">
        <v>114001</v>
      </c>
    </row>
    <row r="482" customFormat="false" ht="15" hidden="false" customHeight="false" outlineLevel="0" collapsed="false">
      <c r="A482" s="0" t="n">
        <v>114001</v>
      </c>
    </row>
    <row r="483" customFormat="false" ht="15" hidden="false" customHeight="false" outlineLevel="0" collapsed="false">
      <c r="A483" s="0" t="n">
        <v>114001</v>
      </c>
    </row>
    <row r="484" customFormat="false" ht="15" hidden="false" customHeight="false" outlineLevel="0" collapsed="false">
      <c r="A484" s="0" t="n">
        <v>114001</v>
      </c>
    </row>
    <row r="485" customFormat="false" ht="15" hidden="false" customHeight="false" outlineLevel="0" collapsed="false">
      <c r="A485" s="0" t="n">
        <v>114001</v>
      </c>
    </row>
    <row r="486" customFormat="false" ht="15" hidden="false" customHeight="false" outlineLevel="0" collapsed="false">
      <c r="A486" s="0" t="n">
        <v>114001</v>
      </c>
    </row>
    <row r="487" customFormat="false" ht="15" hidden="false" customHeight="false" outlineLevel="0" collapsed="false">
      <c r="A487" s="0" t="n">
        <v>114001</v>
      </c>
    </row>
    <row r="488" customFormat="false" ht="15" hidden="false" customHeight="false" outlineLevel="0" collapsed="false">
      <c r="A488" s="0" t="n">
        <v>114001</v>
      </c>
    </row>
    <row r="489" customFormat="false" ht="15" hidden="false" customHeight="false" outlineLevel="0" collapsed="false">
      <c r="A489" s="0" t="n">
        <v>114001</v>
      </c>
    </row>
    <row r="490" customFormat="false" ht="15" hidden="false" customHeight="false" outlineLevel="0" collapsed="false">
      <c r="A490" s="0" t="n">
        <v>114001</v>
      </c>
    </row>
    <row r="491" customFormat="false" ht="15" hidden="false" customHeight="false" outlineLevel="0" collapsed="false">
      <c r="A491" s="0" t="n">
        <v>114001</v>
      </c>
    </row>
    <row r="492" customFormat="false" ht="15" hidden="false" customHeight="false" outlineLevel="0" collapsed="false">
      <c r="A492" s="0" t="n">
        <v>114001</v>
      </c>
    </row>
    <row r="493" customFormat="false" ht="15" hidden="false" customHeight="false" outlineLevel="0" collapsed="false">
      <c r="A493" s="0" t="n">
        <v>114001</v>
      </c>
    </row>
    <row r="494" customFormat="false" ht="15" hidden="false" customHeight="false" outlineLevel="0" collapsed="false">
      <c r="A494" s="0" t="n">
        <v>114001</v>
      </c>
    </row>
    <row r="495" customFormat="false" ht="15" hidden="false" customHeight="false" outlineLevel="0" collapsed="false">
      <c r="A495" s="0" t="n">
        <v>114001</v>
      </c>
    </row>
    <row r="496" customFormat="false" ht="15" hidden="false" customHeight="false" outlineLevel="0" collapsed="false">
      <c r="A496" s="0" t="n">
        <v>114001</v>
      </c>
    </row>
    <row r="497" customFormat="false" ht="15" hidden="false" customHeight="false" outlineLevel="0" collapsed="false">
      <c r="A497" s="0" t="n">
        <v>114001</v>
      </c>
    </row>
    <row r="498" customFormat="false" ht="15" hidden="false" customHeight="false" outlineLevel="0" collapsed="false">
      <c r="A498" s="0" t="n">
        <v>114001</v>
      </c>
    </row>
    <row r="499" customFormat="false" ht="15" hidden="false" customHeight="false" outlineLevel="0" collapsed="false">
      <c r="A499" s="0" t="n">
        <v>114001</v>
      </c>
    </row>
    <row r="500" customFormat="false" ht="15" hidden="false" customHeight="false" outlineLevel="0" collapsed="false">
      <c r="A500" s="0" t="n">
        <v>114001</v>
      </c>
    </row>
    <row r="501" customFormat="false" ht="15" hidden="false" customHeight="false" outlineLevel="0" collapsed="false">
      <c r="A501" s="0" t="n">
        <v>114001</v>
      </c>
    </row>
    <row r="502" customFormat="false" ht="15" hidden="false" customHeight="false" outlineLevel="0" collapsed="false">
      <c r="A502" s="0" t="n">
        <v>114001</v>
      </c>
    </row>
    <row r="503" customFormat="false" ht="15" hidden="false" customHeight="false" outlineLevel="0" collapsed="false">
      <c r="A503" s="0" t="n">
        <v>114001</v>
      </c>
    </row>
    <row r="504" customFormat="false" ht="15" hidden="false" customHeight="false" outlineLevel="0" collapsed="false">
      <c r="A504" s="0" t="n">
        <v>114001</v>
      </c>
    </row>
    <row r="505" customFormat="false" ht="15" hidden="false" customHeight="false" outlineLevel="0" collapsed="false">
      <c r="A505" s="0" t="n">
        <v>114001</v>
      </c>
    </row>
    <row r="506" customFormat="false" ht="15" hidden="false" customHeight="false" outlineLevel="0" collapsed="false">
      <c r="A506" s="0" t="n">
        <v>114001</v>
      </c>
    </row>
    <row r="507" customFormat="false" ht="15" hidden="false" customHeight="false" outlineLevel="0" collapsed="false">
      <c r="A507" s="0" t="n">
        <v>114001</v>
      </c>
    </row>
    <row r="508" customFormat="false" ht="15" hidden="false" customHeight="false" outlineLevel="0" collapsed="false">
      <c r="A508" s="0" t="n">
        <v>114001</v>
      </c>
    </row>
    <row r="509" customFormat="false" ht="15" hidden="false" customHeight="false" outlineLevel="0" collapsed="false">
      <c r="A509" s="0" t="n">
        <v>114001</v>
      </c>
    </row>
    <row r="510" customFormat="false" ht="15" hidden="false" customHeight="false" outlineLevel="0" collapsed="false">
      <c r="A510" s="0" t="n">
        <v>114001</v>
      </c>
    </row>
    <row r="511" customFormat="false" ht="15" hidden="false" customHeight="false" outlineLevel="0" collapsed="false">
      <c r="A511" s="0" t="n">
        <v>114001</v>
      </c>
    </row>
    <row r="512" customFormat="false" ht="15" hidden="false" customHeight="false" outlineLevel="0" collapsed="false">
      <c r="A512" s="0" t="n">
        <v>114001</v>
      </c>
    </row>
    <row r="513" customFormat="false" ht="15" hidden="false" customHeight="false" outlineLevel="0" collapsed="false">
      <c r="A513" s="0" t="n">
        <v>114001</v>
      </c>
    </row>
    <row r="514" customFormat="false" ht="15" hidden="false" customHeight="false" outlineLevel="0" collapsed="false">
      <c r="A514" s="0" t="n">
        <v>114001</v>
      </c>
    </row>
    <row r="515" customFormat="false" ht="15" hidden="false" customHeight="false" outlineLevel="0" collapsed="false">
      <c r="A515" s="0" t="n">
        <v>114001</v>
      </c>
    </row>
    <row r="516" customFormat="false" ht="15" hidden="false" customHeight="false" outlineLevel="0" collapsed="false">
      <c r="A516" s="0" t="n">
        <v>114001</v>
      </c>
    </row>
    <row r="517" customFormat="false" ht="15" hidden="false" customHeight="false" outlineLevel="0" collapsed="false">
      <c r="A517" s="0" t="n">
        <v>114001</v>
      </c>
    </row>
    <row r="518" customFormat="false" ht="15" hidden="false" customHeight="false" outlineLevel="0" collapsed="false">
      <c r="A518" s="0" t="n">
        <v>114001</v>
      </c>
    </row>
    <row r="519" customFormat="false" ht="15" hidden="false" customHeight="false" outlineLevel="0" collapsed="false">
      <c r="A519" s="0" t="n">
        <v>114001</v>
      </c>
    </row>
    <row r="520" customFormat="false" ht="15" hidden="false" customHeight="false" outlineLevel="0" collapsed="false">
      <c r="A520" s="0" t="n">
        <v>114001</v>
      </c>
    </row>
    <row r="521" customFormat="false" ht="15" hidden="false" customHeight="false" outlineLevel="0" collapsed="false">
      <c r="A521" s="0" t="n">
        <v>114001</v>
      </c>
    </row>
    <row r="522" customFormat="false" ht="15" hidden="false" customHeight="false" outlineLevel="0" collapsed="false">
      <c r="A522" s="0" t="n">
        <v>114001</v>
      </c>
    </row>
    <row r="523" customFormat="false" ht="15" hidden="false" customHeight="false" outlineLevel="0" collapsed="false">
      <c r="A523" s="0" t="n">
        <v>114001</v>
      </c>
    </row>
    <row r="524" customFormat="false" ht="15" hidden="false" customHeight="false" outlineLevel="0" collapsed="false">
      <c r="A524" s="0" t="n">
        <v>114001</v>
      </c>
    </row>
    <row r="525" customFormat="false" ht="15" hidden="false" customHeight="false" outlineLevel="0" collapsed="false">
      <c r="A525" s="0" t="n">
        <v>114001</v>
      </c>
    </row>
    <row r="526" customFormat="false" ht="15" hidden="false" customHeight="false" outlineLevel="0" collapsed="false">
      <c r="A526" s="0" t="n">
        <v>114001</v>
      </c>
    </row>
    <row r="527" customFormat="false" ht="15" hidden="false" customHeight="false" outlineLevel="0" collapsed="false">
      <c r="A527" s="0" t="n">
        <v>114001</v>
      </c>
    </row>
    <row r="528" customFormat="false" ht="15" hidden="false" customHeight="false" outlineLevel="0" collapsed="false">
      <c r="A528" s="0" t="n">
        <v>114001</v>
      </c>
    </row>
    <row r="529" customFormat="false" ht="15" hidden="false" customHeight="false" outlineLevel="0" collapsed="false">
      <c r="A529" s="0" t="n">
        <v>114001</v>
      </c>
    </row>
    <row r="530" customFormat="false" ht="15" hidden="false" customHeight="false" outlineLevel="0" collapsed="false">
      <c r="A530" s="0" t="n">
        <v>114001</v>
      </c>
    </row>
    <row r="531" customFormat="false" ht="15" hidden="false" customHeight="false" outlineLevel="0" collapsed="false">
      <c r="A531" s="0" t="n">
        <v>114001</v>
      </c>
    </row>
    <row r="532" customFormat="false" ht="15" hidden="false" customHeight="false" outlineLevel="0" collapsed="false">
      <c r="A532" s="0" t="n">
        <v>114001</v>
      </c>
    </row>
    <row r="533" customFormat="false" ht="15" hidden="false" customHeight="false" outlineLevel="0" collapsed="false">
      <c r="A533" s="0" t="n">
        <v>114001</v>
      </c>
    </row>
    <row r="534" customFormat="false" ht="15" hidden="false" customHeight="false" outlineLevel="0" collapsed="false">
      <c r="A534" s="0" t="n">
        <v>114001</v>
      </c>
    </row>
    <row r="535" customFormat="false" ht="15" hidden="false" customHeight="false" outlineLevel="0" collapsed="false">
      <c r="A535" s="0" t="n">
        <v>114001</v>
      </c>
    </row>
    <row r="536" customFormat="false" ht="15" hidden="false" customHeight="false" outlineLevel="0" collapsed="false">
      <c r="A536" s="0" t="n">
        <v>114001</v>
      </c>
    </row>
    <row r="537" customFormat="false" ht="15" hidden="false" customHeight="false" outlineLevel="0" collapsed="false">
      <c r="A537" s="0" t="n">
        <v>114001</v>
      </c>
    </row>
    <row r="538" customFormat="false" ht="15" hidden="false" customHeight="false" outlineLevel="0" collapsed="false">
      <c r="A538" s="0" t="n">
        <v>114001</v>
      </c>
    </row>
    <row r="539" customFormat="false" ht="15" hidden="false" customHeight="false" outlineLevel="0" collapsed="false">
      <c r="A539" s="0" t="n">
        <v>114001</v>
      </c>
    </row>
    <row r="540" customFormat="false" ht="15" hidden="false" customHeight="false" outlineLevel="0" collapsed="false">
      <c r="A540" s="0" t="n">
        <v>114001</v>
      </c>
    </row>
    <row r="541" customFormat="false" ht="15" hidden="false" customHeight="false" outlineLevel="0" collapsed="false">
      <c r="A541" s="0" t="n">
        <v>114001</v>
      </c>
    </row>
    <row r="542" customFormat="false" ht="15" hidden="false" customHeight="false" outlineLevel="0" collapsed="false">
      <c r="A542" s="0" t="n">
        <v>114001</v>
      </c>
    </row>
    <row r="543" customFormat="false" ht="15" hidden="false" customHeight="false" outlineLevel="0" collapsed="false">
      <c r="A543" s="0" t="n">
        <v>114001</v>
      </c>
    </row>
    <row r="544" customFormat="false" ht="15" hidden="false" customHeight="false" outlineLevel="0" collapsed="false">
      <c r="A544" s="0" t="n">
        <v>114001</v>
      </c>
    </row>
    <row r="545" customFormat="false" ht="15" hidden="false" customHeight="false" outlineLevel="0" collapsed="false">
      <c r="A545" s="0" t="n">
        <v>114001</v>
      </c>
    </row>
    <row r="546" customFormat="false" ht="15" hidden="false" customHeight="false" outlineLevel="0" collapsed="false">
      <c r="A546" s="0" t="n">
        <v>114001</v>
      </c>
    </row>
    <row r="547" customFormat="false" ht="15" hidden="false" customHeight="false" outlineLevel="0" collapsed="false">
      <c r="A547" s="0" t="n">
        <v>114001</v>
      </c>
    </row>
    <row r="548" customFormat="false" ht="15" hidden="false" customHeight="false" outlineLevel="0" collapsed="false">
      <c r="A548" s="0" t="n">
        <v>114001</v>
      </c>
    </row>
    <row r="549" customFormat="false" ht="15" hidden="false" customHeight="false" outlineLevel="0" collapsed="false">
      <c r="A549" s="0" t="n">
        <v>114001</v>
      </c>
    </row>
    <row r="550" customFormat="false" ht="15" hidden="false" customHeight="false" outlineLevel="0" collapsed="false">
      <c r="A550" s="0" t="n">
        <v>114001</v>
      </c>
    </row>
    <row r="551" customFormat="false" ht="15" hidden="false" customHeight="false" outlineLevel="0" collapsed="false">
      <c r="A551" s="0" t="n">
        <v>114001</v>
      </c>
    </row>
    <row r="552" customFormat="false" ht="15" hidden="false" customHeight="false" outlineLevel="0" collapsed="false">
      <c r="A552" s="0" t="n">
        <v>114001</v>
      </c>
    </row>
    <row r="553" customFormat="false" ht="15" hidden="false" customHeight="false" outlineLevel="0" collapsed="false">
      <c r="A553" s="0" t="n">
        <v>114001</v>
      </c>
    </row>
    <row r="554" customFormat="false" ht="15" hidden="false" customHeight="false" outlineLevel="0" collapsed="false">
      <c r="A554" s="0" t="n">
        <v>114001</v>
      </c>
    </row>
    <row r="555" customFormat="false" ht="15" hidden="false" customHeight="false" outlineLevel="0" collapsed="false">
      <c r="A555" s="0" t="n">
        <v>114001</v>
      </c>
    </row>
    <row r="556" customFormat="false" ht="15" hidden="false" customHeight="false" outlineLevel="0" collapsed="false">
      <c r="A556" s="0" t="n">
        <v>114001</v>
      </c>
    </row>
    <row r="557" customFormat="false" ht="15" hidden="false" customHeight="false" outlineLevel="0" collapsed="false">
      <c r="A557" s="0" t="n">
        <v>114001</v>
      </c>
    </row>
    <row r="558" customFormat="false" ht="15" hidden="false" customHeight="false" outlineLevel="0" collapsed="false">
      <c r="A558" s="0" t="n">
        <v>114001</v>
      </c>
    </row>
    <row r="559" customFormat="false" ht="15" hidden="false" customHeight="false" outlineLevel="0" collapsed="false">
      <c r="A559" s="0" t="n">
        <v>114001</v>
      </c>
    </row>
    <row r="560" customFormat="false" ht="15" hidden="false" customHeight="false" outlineLevel="0" collapsed="false">
      <c r="A560" s="0" t="n">
        <v>114001</v>
      </c>
    </row>
    <row r="561" customFormat="false" ht="15" hidden="false" customHeight="false" outlineLevel="0" collapsed="false">
      <c r="A561" s="0" t="n">
        <v>114001</v>
      </c>
    </row>
    <row r="562" customFormat="false" ht="15" hidden="false" customHeight="false" outlineLevel="0" collapsed="false">
      <c r="A562" s="0" t="n">
        <v>114001</v>
      </c>
    </row>
    <row r="563" customFormat="false" ht="15" hidden="false" customHeight="false" outlineLevel="0" collapsed="false">
      <c r="A563" s="0" t="n">
        <v>114001</v>
      </c>
    </row>
    <row r="564" customFormat="false" ht="15" hidden="false" customHeight="false" outlineLevel="0" collapsed="false">
      <c r="A564" s="0" t="n">
        <v>114001</v>
      </c>
    </row>
    <row r="565" customFormat="false" ht="15" hidden="false" customHeight="false" outlineLevel="0" collapsed="false">
      <c r="A565" s="0" t="n">
        <v>114001</v>
      </c>
    </row>
    <row r="566" customFormat="false" ht="15" hidden="false" customHeight="false" outlineLevel="0" collapsed="false">
      <c r="A566" s="0" t="n">
        <v>114001</v>
      </c>
    </row>
    <row r="567" customFormat="false" ht="15" hidden="false" customHeight="false" outlineLevel="0" collapsed="false">
      <c r="A567" s="0" t="n">
        <v>114001</v>
      </c>
    </row>
    <row r="568" customFormat="false" ht="15" hidden="false" customHeight="false" outlineLevel="0" collapsed="false">
      <c r="A568" s="0" t="n">
        <v>114001</v>
      </c>
    </row>
    <row r="569" customFormat="false" ht="15" hidden="false" customHeight="false" outlineLevel="0" collapsed="false">
      <c r="A569" s="0" t="n">
        <v>114001</v>
      </c>
    </row>
    <row r="570" customFormat="false" ht="15" hidden="false" customHeight="false" outlineLevel="0" collapsed="false">
      <c r="A570" s="0" t="n">
        <v>114001</v>
      </c>
    </row>
    <row r="571" customFormat="false" ht="15" hidden="false" customHeight="false" outlineLevel="0" collapsed="false">
      <c r="A571" s="0" t="n">
        <v>114001</v>
      </c>
    </row>
    <row r="572" customFormat="false" ht="15" hidden="false" customHeight="false" outlineLevel="0" collapsed="false">
      <c r="A572" s="0" t="n">
        <v>114001</v>
      </c>
    </row>
    <row r="573" customFormat="false" ht="15" hidden="false" customHeight="false" outlineLevel="0" collapsed="false">
      <c r="A573" s="0" t="n">
        <v>114001</v>
      </c>
    </row>
    <row r="574" customFormat="false" ht="15" hidden="false" customHeight="false" outlineLevel="0" collapsed="false">
      <c r="A574" s="0" t="n">
        <v>114001</v>
      </c>
    </row>
    <row r="575" customFormat="false" ht="15" hidden="false" customHeight="false" outlineLevel="0" collapsed="false">
      <c r="A575" s="0" t="n">
        <v>114001</v>
      </c>
    </row>
    <row r="576" customFormat="false" ht="15" hidden="false" customHeight="false" outlineLevel="0" collapsed="false">
      <c r="A576" s="0" t="n">
        <v>114001</v>
      </c>
    </row>
    <row r="577" customFormat="false" ht="15" hidden="false" customHeight="false" outlineLevel="0" collapsed="false">
      <c r="A577" s="0" t="n">
        <v>114001</v>
      </c>
    </row>
    <row r="578" customFormat="false" ht="15" hidden="false" customHeight="false" outlineLevel="0" collapsed="false">
      <c r="A578" s="0" t="n">
        <v>114001</v>
      </c>
    </row>
    <row r="579" customFormat="false" ht="15" hidden="false" customHeight="false" outlineLevel="0" collapsed="false">
      <c r="A579" s="0" t="n">
        <v>114001</v>
      </c>
    </row>
    <row r="580" customFormat="false" ht="15" hidden="false" customHeight="false" outlineLevel="0" collapsed="false">
      <c r="A580" s="0" t="n">
        <v>114001</v>
      </c>
    </row>
    <row r="581" customFormat="false" ht="15" hidden="false" customHeight="false" outlineLevel="0" collapsed="false">
      <c r="A581" s="0" t="n">
        <v>114001</v>
      </c>
    </row>
    <row r="582" customFormat="false" ht="15" hidden="false" customHeight="false" outlineLevel="0" collapsed="false">
      <c r="A582" s="0" t="n">
        <v>114001</v>
      </c>
    </row>
    <row r="583" customFormat="false" ht="15" hidden="false" customHeight="false" outlineLevel="0" collapsed="false">
      <c r="A583" s="0" t="n">
        <v>114001</v>
      </c>
    </row>
    <row r="584" customFormat="false" ht="15" hidden="false" customHeight="false" outlineLevel="0" collapsed="false">
      <c r="A584" s="0" t="n">
        <v>114001</v>
      </c>
    </row>
    <row r="585" customFormat="false" ht="15" hidden="false" customHeight="false" outlineLevel="0" collapsed="false">
      <c r="A585" s="0" t="n">
        <v>114001</v>
      </c>
    </row>
    <row r="586" customFormat="false" ht="15" hidden="false" customHeight="false" outlineLevel="0" collapsed="false">
      <c r="A586" s="0" t="n">
        <v>114001</v>
      </c>
    </row>
    <row r="587" customFormat="false" ht="15" hidden="false" customHeight="false" outlineLevel="0" collapsed="false">
      <c r="A587" s="0" t="n">
        <v>114001</v>
      </c>
    </row>
    <row r="588" customFormat="false" ht="15" hidden="false" customHeight="false" outlineLevel="0" collapsed="false">
      <c r="A588" s="0" t="n">
        <v>114001</v>
      </c>
    </row>
    <row r="589" customFormat="false" ht="15" hidden="false" customHeight="false" outlineLevel="0" collapsed="false">
      <c r="A589" s="0" t="n">
        <v>114001</v>
      </c>
    </row>
    <row r="590" customFormat="false" ht="15" hidden="false" customHeight="false" outlineLevel="0" collapsed="false">
      <c r="A590" s="0" t="n">
        <v>114001</v>
      </c>
    </row>
    <row r="591" customFormat="false" ht="15" hidden="false" customHeight="false" outlineLevel="0" collapsed="false">
      <c r="A591" s="0" t="n">
        <v>114001</v>
      </c>
    </row>
    <row r="592" customFormat="false" ht="15" hidden="false" customHeight="false" outlineLevel="0" collapsed="false">
      <c r="A592" s="0" t="n">
        <v>114001</v>
      </c>
    </row>
    <row r="593" customFormat="false" ht="15" hidden="false" customHeight="false" outlineLevel="0" collapsed="false">
      <c r="A593" s="0" t="n">
        <v>114001</v>
      </c>
    </row>
    <row r="594" customFormat="false" ht="15" hidden="false" customHeight="false" outlineLevel="0" collapsed="false">
      <c r="A594" s="0" t="n">
        <v>114001</v>
      </c>
    </row>
    <row r="595" customFormat="false" ht="15" hidden="false" customHeight="false" outlineLevel="0" collapsed="false">
      <c r="A595" s="0" t="n">
        <v>114001</v>
      </c>
    </row>
    <row r="596" customFormat="false" ht="15" hidden="false" customHeight="false" outlineLevel="0" collapsed="false">
      <c r="A596" s="0" t="n">
        <v>114001</v>
      </c>
    </row>
    <row r="597" customFormat="false" ht="15" hidden="false" customHeight="false" outlineLevel="0" collapsed="false">
      <c r="A597" s="0" t="n">
        <v>114001</v>
      </c>
    </row>
    <row r="598" customFormat="false" ht="15" hidden="false" customHeight="false" outlineLevel="0" collapsed="false">
      <c r="A598" s="0" t="n">
        <v>114001</v>
      </c>
    </row>
    <row r="599" customFormat="false" ht="15" hidden="false" customHeight="false" outlineLevel="0" collapsed="false">
      <c r="A599" s="0" t="n">
        <v>114001</v>
      </c>
    </row>
    <row r="600" customFormat="false" ht="15" hidden="false" customHeight="false" outlineLevel="0" collapsed="false">
      <c r="A600" s="0" t="n">
        <v>114001</v>
      </c>
    </row>
    <row r="601" customFormat="false" ht="15" hidden="false" customHeight="false" outlineLevel="0" collapsed="false">
      <c r="A601" s="0" t="n">
        <v>114001</v>
      </c>
    </row>
    <row r="602" customFormat="false" ht="15" hidden="false" customHeight="false" outlineLevel="0" collapsed="false">
      <c r="A602" s="0" t="n">
        <v>114001</v>
      </c>
    </row>
    <row r="603" customFormat="false" ht="15" hidden="false" customHeight="false" outlineLevel="0" collapsed="false">
      <c r="A603" s="0" t="n">
        <v>114001</v>
      </c>
    </row>
    <row r="604" customFormat="false" ht="15" hidden="false" customHeight="false" outlineLevel="0" collapsed="false">
      <c r="A604" s="0" t="n">
        <v>114001</v>
      </c>
    </row>
    <row r="605" customFormat="false" ht="15" hidden="false" customHeight="false" outlineLevel="0" collapsed="false">
      <c r="A605" s="0" t="n">
        <v>114001</v>
      </c>
    </row>
    <row r="606" customFormat="false" ht="15" hidden="false" customHeight="false" outlineLevel="0" collapsed="false">
      <c r="A606" s="0" t="n">
        <v>114001</v>
      </c>
    </row>
    <row r="607" customFormat="false" ht="15" hidden="false" customHeight="false" outlineLevel="0" collapsed="false">
      <c r="A607" s="0" t="n">
        <v>114001</v>
      </c>
    </row>
    <row r="608" customFormat="false" ht="15" hidden="false" customHeight="false" outlineLevel="0" collapsed="false">
      <c r="A608" s="0" t="n">
        <v>114001</v>
      </c>
    </row>
    <row r="609" customFormat="false" ht="15" hidden="false" customHeight="false" outlineLevel="0" collapsed="false">
      <c r="A609" s="0" t="n">
        <v>114001</v>
      </c>
    </row>
    <row r="610" customFormat="false" ht="15" hidden="false" customHeight="false" outlineLevel="0" collapsed="false">
      <c r="A610" s="0" t="n">
        <v>114001</v>
      </c>
    </row>
    <row r="611" customFormat="false" ht="15" hidden="false" customHeight="false" outlineLevel="0" collapsed="false">
      <c r="A611" s="0" t="n">
        <v>114001</v>
      </c>
    </row>
    <row r="612" customFormat="false" ht="15" hidden="false" customHeight="false" outlineLevel="0" collapsed="false">
      <c r="A612" s="0" t="n">
        <v>114001</v>
      </c>
    </row>
    <row r="613" customFormat="false" ht="15" hidden="false" customHeight="false" outlineLevel="0" collapsed="false">
      <c r="A613" s="0" t="n">
        <v>114001</v>
      </c>
    </row>
    <row r="614" customFormat="false" ht="15" hidden="false" customHeight="false" outlineLevel="0" collapsed="false">
      <c r="A614" s="0" t="n">
        <v>114001</v>
      </c>
    </row>
    <row r="615" customFormat="false" ht="15" hidden="false" customHeight="false" outlineLevel="0" collapsed="false">
      <c r="A615" s="0" t="n">
        <v>114001</v>
      </c>
    </row>
    <row r="616" customFormat="false" ht="15" hidden="false" customHeight="false" outlineLevel="0" collapsed="false">
      <c r="A616" s="0" t="n">
        <v>114001</v>
      </c>
    </row>
    <row r="617" customFormat="false" ht="15" hidden="false" customHeight="false" outlineLevel="0" collapsed="false">
      <c r="A617" s="0" t="n">
        <v>114001</v>
      </c>
    </row>
    <row r="618" customFormat="false" ht="15" hidden="false" customHeight="false" outlineLevel="0" collapsed="false">
      <c r="A618" s="0" t="n">
        <v>114001</v>
      </c>
    </row>
    <row r="619" customFormat="false" ht="15" hidden="false" customHeight="false" outlineLevel="0" collapsed="false">
      <c r="A619" s="0" t="n">
        <v>114001</v>
      </c>
    </row>
    <row r="620" customFormat="false" ht="15" hidden="false" customHeight="false" outlineLevel="0" collapsed="false">
      <c r="A620" s="0" t="n">
        <v>114001</v>
      </c>
    </row>
    <row r="621" customFormat="false" ht="15" hidden="false" customHeight="false" outlineLevel="0" collapsed="false">
      <c r="A621" s="0" t="n">
        <v>114001</v>
      </c>
    </row>
    <row r="622" customFormat="false" ht="15" hidden="false" customHeight="false" outlineLevel="0" collapsed="false">
      <c r="A622" s="0" t="n">
        <v>114001</v>
      </c>
    </row>
    <row r="623" customFormat="false" ht="15" hidden="false" customHeight="false" outlineLevel="0" collapsed="false">
      <c r="A623" s="0" t="n">
        <v>114001</v>
      </c>
    </row>
    <row r="624" customFormat="false" ht="15" hidden="false" customHeight="false" outlineLevel="0" collapsed="false">
      <c r="A624" s="0" t="n">
        <v>114001</v>
      </c>
    </row>
    <row r="625" customFormat="false" ht="15" hidden="false" customHeight="false" outlineLevel="0" collapsed="false">
      <c r="A625" s="0" t="n">
        <v>114001</v>
      </c>
    </row>
    <row r="626" customFormat="false" ht="15" hidden="false" customHeight="false" outlineLevel="0" collapsed="false">
      <c r="A626" s="0" t="n">
        <v>114001</v>
      </c>
    </row>
    <row r="627" customFormat="false" ht="15" hidden="false" customHeight="false" outlineLevel="0" collapsed="false">
      <c r="A627" s="0" t="n">
        <v>114001</v>
      </c>
    </row>
    <row r="628" customFormat="false" ht="15" hidden="false" customHeight="false" outlineLevel="0" collapsed="false">
      <c r="A628" s="0" t="n">
        <v>114001</v>
      </c>
    </row>
    <row r="629" customFormat="false" ht="15" hidden="false" customHeight="false" outlineLevel="0" collapsed="false">
      <c r="A629" s="0" t="n">
        <v>114001</v>
      </c>
    </row>
    <row r="630" customFormat="false" ht="15" hidden="false" customHeight="false" outlineLevel="0" collapsed="false">
      <c r="A630" s="0" t="n">
        <v>114001</v>
      </c>
    </row>
    <row r="631" customFormat="false" ht="15" hidden="false" customHeight="false" outlineLevel="0" collapsed="false">
      <c r="A631" s="0" t="n">
        <v>114001</v>
      </c>
    </row>
    <row r="632" customFormat="false" ht="15" hidden="false" customHeight="false" outlineLevel="0" collapsed="false">
      <c r="A632" s="0" t="n">
        <v>114001</v>
      </c>
    </row>
    <row r="633" customFormat="false" ht="15" hidden="false" customHeight="false" outlineLevel="0" collapsed="false">
      <c r="A633" s="0" t="n">
        <v>114001</v>
      </c>
    </row>
    <row r="634" customFormat="false" ht="15" hidden="false" customHeight="false" outlineLevel="0" collapsed="false">
      <c r="A634" s="0" t="n">
        <v>114001</v>
      </c>
    </row>
    <row r="635" customFormat="false" ht="15" hidden="false" customHeight="false" outlineLevel="0" collapsed="false">
      <c r="A635" s="0" t="n">
        <v>114001</v>
      </c>
    </row>
    <row r="636" customFormat="false" ht="15" hidden="false" customHeight="false" outlineLevel="0" collapsed="false">
      <c r="A636" s="0" t="n">
        <v>114001</v>
      </c>
    </row>
    <row r="637" customFormat="false" ht="15" hidden="false" customHeight="false" outlineLevel="0" collapsed="false">
      <c r="A637" s="0" t="n">
        <v>114001</v>
      </c>
    </row>
    <row r="638" customFormat="false" ht="15" hidden="false" customHeight="false" outlineLevel="0" collapsed="false">
      <c r="A638" s="0" t="n">
        <v>114001</v>
      </c>
    </row>
    <row r="639" customFormat="false" ht="15" hidden="false" customHeight="false" outlineLevel="0" collapsed="false">
      <c r="A639" s="0" t="n">
        <v>114001</v>
      </c>
    </row>
    <row r="640" customFormat="false" ht="15" hidden="false" customHeight="false" outlineLevel="0" collapsed="false">
      <c r="A640" s="0" t="n">
        <v>114001</v>
      </c>
    </row>
    <row r="641" customFormat="false" ht="15" hidden="false" customHeight="false" outlineLevel="0" collapsed="false">
      <c r="A641" s="0" t="n">
        <v>114001</v>
      </c>
    </row>
    <row r="642" customFormat="false" ht="15" hidden="false" customHeight="false" outlineLevel="0" collapsed="false">
      <c r="A642" s="0" t="n">
        <v>114001</v>
      </c>
    </row>
    <row r="643" customFormat="false" ht="15" hidden="false" customHeight="false" outlineLevel="0" collapsed="false">
      <c r="A643" s="0" t="n">
        <v>114001</v>
      </c>
    </row>
    <row r="644" customFormat="false" ht="15" hidden="false" customHeight="false" outlineLevel="0" collapsed="false">
      <c r="A644" s="0" t="n">
        <v>114001</v>
      </c>
    </row>
    <row r="645" customFormat="false" ht="15" hidden="false" customHeight="false" outlineLevel="0" collapsed="false">
      <c r="A645" s="0" t="n">
        <v>114001</v>
      </c>
    </row>
    <row r="646" customFormat="false" ht="15" hidden="false" customHeight="false" outlineLevel="0" collapsed="false">
      <c r="A646" s="0" t="n">
        <v>114001</v>
      </c>
    </row>
    <row r="647" customFormat="false" ht="15" hidden="false" customHeight="false" outlineLevel="0" collapsed="false">
      <c r="A647" s="0" t="n">
        <v>114001</v>
      </c>
    </row>
    <row r="648" customFormat="false" ht="15" hidden="false" customHeight="false" outlineLevel="0" collapsed="false">
      <c r="A648" s="0" t="n">
        <v>114001</v>
      </c>
    </row>
    <row r="649" customFormat="false" ht="15" hidden="false" customHeight="false" outlineLevel="0" collapsed="false">
      <c r="A649" s="0" t="n">
        <v>114001</v>
      </c>
    </row>
    <row r="650" customFormat="false" ht="15" hidden="false" customHeight="false" outlineLevel="0" collapsed="false">
      <c r="A650" s="0" t="n">
        <v>114001</v>
      </c>
    </row>
    <row r="651" customFormat="false" ht="15" hidden="false" customHeight="false" outlineLevel="0" collapsed="false">
      <c r="A651" s="0" t="n">
        <v>114001</v>
      </c>
    </row>
    <row r="652" customFormat="false" ht="15" hidden="false" customHeight="false" outlineLevel="0" collapsed="false">
      <c r="A652" s="0" t="n">
        <v>114001</v>
      </c>
    </row>
    <row r="653" customFormat="false" ht="15" hidden="false" customHeight="false" outlineLevel="0" collapsed="false">
      <c r="A653" s="0" t="n">
        <v>114001</v>
      </c>
    </row>
    <row r="654" customFormat="false" ht="15" hidden="false" customHeight="false" outlineLevel="0" collapsed="false">
      <c r="A654" s="0" t="n">
        <v>114001</v>
      </c>
    </row>
    <row r="655" customFormat="false" ht="15" hidden="false" customHeight="false" outlineLevel="0" collapsed="false">
      <c r="A655" s="0" t="n">
        <v>114001</v>
      </c>
    </row>
    <row r="656" customFormat="false" ht="15" hidden="false" customHeight="false" outlineLevel="0" collapsed="false">
      <c r="A656" s="0" t="n">
        <v>114001</v>
      </c>
    </row>
    <row r="657" customFormat="false" ht="15" hidden="false" customHeight="false" outlineLevel="0" collapsed="false">
      <c r="A657" s="0" t="n">
        <v>114001</v>
      </c>
    </row>
    <row r="658" customFormat="false" ht="15" hidden="false" customHeight="false" outlineLevel="0" collapsed="false">
      <c r="A658" s="0" t="n">
        <v>114001</v>
      </c>
    </row>
    <row r="659" customFormat="false" ht="15" hidden="false" customHeight="false" outlineLevel="0" collapsed="false">
      <c r="A659" s="0" t="n">
        <v>114001</v>
      </c>
    </row>
    <row r="660" customFormat="false" ht="15" hidden="false" customHeight="false" outlineLevel="0" collapsed="false">
      <c r="A660" s="0" t="n">
        <v>114001</v>
      </c>
    </row>
    <row r="661" customFormat="false" ht="15" hidden="false" customHeight="false" outlineLevel="0" collapsed="false">
      <c r="A661" s="0" t="n">
        <v>114001</v>
      </c>
    </row>
    <row r="662" customFormat="false" ht="15" hidden="false" customHeight="false" outlineLevel="0" collapsed="false">
      <c r="A662" s="0" t="n">
        <v>114001</v>
      </c>
    </row>
    <row r="663" customFormat="false" ht="15" hidden="false" customHeight="false" outlineLevel="0" collapsed="false">
      <c r="A663" s="0" t="n">
        <v>114001</v>
      </c>
    </row>
    <row r="664" customFormat="false" ht="15" hidden="false" customHeight="false" outlineLevel="0" collapsed="false">
      <c r="A664" s="0" t="n">
        <v>114001</v>
      </c>
    </row>
    <row r="665" customFormat="false" ht="15" hidden="false" customHeight="false" outlineLevel="0" collapsed="false">
      <c r="A665" s="0" t="n">
        <v>114001</v>
      </c>
    </row>
    <row r="666" customFormat="false" ht="15" hidden="false" customHeight="false" outlineLevel="0" collapsed="false">
      <c r="A666" s="0" t="n">
        <v>114001</v>
      </c>
    </row>
    <row r="667" customFormat="false" ht="15" hidden="false" customHeight="false" outlineLevel="0" collapsed="false">
      <c r="A667" s="0" t="n">
        <v>114001</v>
      </c>
    </row>
    <row r="668" customFormat="false" ht="15" hidden="false" customHeight="false" outlineLevel="0" collapsed="false">
      <c r="A668" s="0" t="n">
        <v>114001</v>
      </c>
    </row>
    <row r="669" customFormat="false" ht="15" hidden="false" customHeight="false" outlineLevel="0" collapsed="false">
      <c r="A669" s="0" t="n">
        <v>114001</v>
      </c>
    </row>
    <row r="670" customFormat="false" ht="15" hidden="false" customHeight="false" outlineLevel="0" collapsed="false">
      <c r="A670" s="0" t="n">
        <v>114001</v>
      </c>
    </row>
    <row r="671" customFormat="false" ht="15" hidden="false" customHeight="false" outlineLevel="0" collapsed="false">
      <c r="A671" s="0" t="n">
        <v>114001</v>
      </c>
    </row>
    <row r="672" customFormat="false" ht="15" hidden="false" customHeight="false" outlineLevel="0" collapsed="false">
      <c r="A672" s="0" t="n">
        <v>114001</v>
      </c>
    </row>
    <row r="673" customFormat="false" ht="15" hidden="false" customHeight="false" outlineLevel="0" collapsed="false">
      <c r="A673" s="0" t="n">
        <v>114001</v>
      </c>
    </row>
    <row r="674" customFormat="false" ht="15" hidden="false" customHeight="false" outlineLevel="0" collapsed="false">
      <c r="A674" s="0" t="n">
        <v>114001</v>
      </c>
    </row>
    <row r="675" customFormat="false" ht="15" hidden="false" customHeight="false" outlineLevel="0" collapsed="false">
      <c r="A675" s="0" t="n">
        <v>114001</v>
      </c>
    </row>
    <row r="676" customFormat="false" ht="15" hidden="false" customHeight="false" outlineLevel="0" collapsed="false">
      <c r="A676" s="0" t="n">
        <v>114001</v>
      </c>
    </row>
    <row r="677" customFormat="false" ht="15" hidden="false" customHeight="false" outlineLevel="0" collapsed="false">
      <c r="A677" s="0" t="n">
        <v>114001</v>
      </c>
    </row>
    <row r="678" customFormat="false" ht="15" hidden="false" customHeight="false" outlineLevel="0" collapsed="false">
      <c r="A678" s="0" t="n">
        <v>114001</v>
      </c>
    </row>
    <row r="679" customFormat="false" ht="15" hidden="false" customHeight="false" outlineLevel="0" collapsed="false">
      <c r="A679" s="0" t="n">
        <v>114001</v>
      </c>
    </row>
    <row r="680" customFormat="false" ht="15" hidden="false" customHeight="false" outlineLevel="0" collapsed="false">
      <c r="A680" s="0" t="n">
        <v>114001</v>
      </c>
    </row>
    <row r="681" customFormat="false" ht="15" hidden="false" customHeight="false" outlineLevel="0" collapsed="false">
      <c r="A681" s="0" t="n">
        <v>114001</v>
      </c>
    </row>
    <row r="682" customFormat="false" ht="15" hidden="false" customHeight="false" outlineLevel="0" collapsed="false">
      <c r="A682" s="0" t="n">
        <v>114001</v>
      </c>
    </row>
    <row r="683" customFormat="false" ht="15" hidden="false" customHeight="false" outlineLevel="0" collapsed="false">
      <c r="A683" s="0" t="n">
        <v>114001</v>
      </c>
    </row>
    <row r="684" customFormat="false" ht="15" hidden="false" customHeight="false" outlineLevel="0" collapsed="false">
      <c r="A684" s="0" t="n">
        <v>114001</v>
      </c>
    </row>
    <row r="685" customFormat="false" ht="15" hidden="false" customHeight="false" outlineLevel="0" collapsed="false">
      <c r="A685" s="0" t="n">
        <v>114001</v>
      </c>
    </row>
    <row r="686" customFormat="false" ht="15" hidden="false" customHeight="false" outlineLevel="0" collapsed="false">
      <c r="A686" s="0" t="n">
        <v>114001</v>
      </c>
    </row>
    <row r="687" customFormat="false" ht="15" hidden="false" customHeight="false" outlineLevel="0" collapsed="false">
      <c r="A687" s="0" t="n">
        <v>114001</v>
      </c>
    </row>
    <row r="688" customFormat="false" ht="15" hidden="false" customHeight="false" outlineLevel="0" collapsed="false">
      <c r="A688" s="0" t="n">
        <v>114001</v>
      </c>
    </row>
    <row r="689" customFormat="false" ht="15" hidden="false" customHeight="false" outlineLevel="0" collapsed="false">
      <c r="A689" s="0" t="n">
        <v>114001</v>
      </c>
    </row>
    <row r="690" customFormat="false" ht="15" hidden="false" customHeight="false" outlineLevel="0" collapsed="false">
      <c r="A690" s="0" t="n">
        <v>114001</v>
      </c>
    </row>
    <row r="691" customFormat="false" ht="15" hidden="false" customHeight="false" outlineLevel="0" collapsed="false">
      <c r="A691" s="0" t="n">
        <v>114001</v>
      </c>
    </row>
    <row r="692" customFormat="false" ht="15" hidden="false" customHeight="false" outlineLevel="0" collapsed="false">
      <c r="A692" s="0" t="n">
        <v>114001</v>
      </c>
    </row>
    <row r="693" customFormat="false" ht="15" hidden="false" customHeight="false" outlineLevel="0" collapsed="false">
      <c r="A693" s="0" t="n">
        <v>114001</v>
      </c>
    </row>
    <row r="694" customFormat="false" ht="15" hidden="false" customHeight="false" outlineLevel="0" collapsed="false">
      <c r="A694" s="0" t="n">
        <v>114001</v>
      </c>
    </row>
    <row r="695" customFormat="false" ht="15" hidden="false" customHeight="false" outlineLevel="0" collapsed="false">
      <c r="A695" s="0" t="n">
        <v>114001</v>
      </c>
    </row>
    <row r="696" customFormat="false" ht="15" hidden="false" customHeight="false" outlineLevel="0" collapsed="false">
      <c r="A696" s="0" t="n">
        <v>114001</v>
      </c>
    </row>
    <row r="697" customFormat="false" ht="15" hidden="false" customHeight="false" outlineLevel="0" collapsed="false">
      <c r="A697" s="0" t="n">
        <v>114001</v>
      </c>
    </row>
    <row r="698" customFormat="false" ht="15" hidden="false" customHeight="false" outlineLevel="0" collapsed="false">
      <c r="A698" s="0" t="n">
        <v>114001</v>
      </c>
    </row>
    <row r="699" customFormat="false" ht="15" hidden="false" customHeight="false" outlineLevel="0" collapsed="false">
      <c r="A699" s="0" t="n">
        <v>114001</v>
      </c>
    </row>
    <row r="700" customFormat="false" ht="15" hidden="false" customHeight="false" outlineLevel="0" collapsed="false">
      <c r="A700" s="0" t="n">
        <v>114001</v>
      </c>
    </row>
    <row r="701" customFormat="false" ht="15" hidden="false" customHeight="false" outlineLevel="0" collapsed="false">
      <c r="A701" s="0" t="n">
        <v>114001</v>
      </c>
    </row>
    <row r="702" customFormat="false" ht="15" hidden="false" customHeight="false" outlineLevel="0" collapsed="false">
      <c r="A702" s="0" t="n">
        <v>114001</v>
      </c>
    </row>
    <row r="703" customFormat="false" ht="15" hidden="false" customHeight="false" outlineLevel="0" collapsed="false">
      <c r="A703" s="0" t="n">
        <v>114001</v>
      </c>
    </row>
    <row r="704" customFormat="false" ht="15" hidden="false" customHeight="false" outlineLevel="0" collapsed="false">
      <c r="A704" s="0" t="n">
        <v>114001</v>
      </c>
    </row>
    <row r="705" customFormat="false" ht="15" hidden="false" customHeight="false" outlineLevel="0" collapsed="false">
      <c r="A705" s="0" t="n">
        <v>114001</v>
      </c>
    </row>
    <row r="706" customFormat="false" ht="15" hidden="false" customHeight="false" outlineLevel="0" collapsed="false">
      <c r="A706" s="0" t="n">
        <v>114001</v>
      </c>
    </row>
    <row r="707" customFormat="false" ht="15" hidden="false" customHeight="false" outlineLevel="0" collapsed="false">
      <c r="A707" s="0" t="n">
        <v>114001</v>
      </c>
    </row>
    <row r="708" customFormat="false" ht="15" hidden="false" customHeight="false" outlineLevel="0" collapsed="false">
      <c r="A708" s="0" t="n">
        <v>114001</v>
      </c>
    </row>
    <row r="709" customFormat="false" ht="15" hidden="false" customHeight="false" outlineLevel="0" collapsed="false">
      <c r="A709" s="0" t="n">
        <v>114001</v>
      </c>
    </row>
    <row r="710" customFormat="false" ht="15" hidden="false" customHeight="false" outlineLevel="0" collapsed="false">
      <c r="A710" s="0" t="n">
        <v>114001</v>
      </c>
    </row>
    <row r="711" customFormat="false" ht="15" hidden="false" customHeight="false" outlineLevel="0" collapsed="false">
      <c r="A711" s="0" t="n">
        <v>114001</v>
      </c>
    </row>
    <row r="712" customFormat="false" ht="15" hidden="false" customHeight="false" outlineLevel="0" collapsed="false">
      <c r="A712" s="0" t="n">
        <v>114001</v>
      </c>
    </row>
    <row r="713" customFormat="false" ht="15" hidden="false" customHeight="false" outlineLevel="0" collapsed="false">
      <c r="A713" s="0" t="n">
        <v>114001</v>
      </c>
    </row>
    <row r="714" customFormat="false" ht="15" hidden="false" customHeight="false" outlineLevel="0" collapsed="false">
      <c r="A714" s="0" t="n">
        <v>114001</v>
      </c>
    </row>
    <row r="715" customFormat="false" ht="15" hidden="false" customHeight="false" outlineLevel="0" collapsed="false">
      <c r="A715" s="0" t="n">
        <v>114001</v>
      </c>
    </row>
    <row r="716" customFormat="false" ht="15" hidden="false" customHeight="false" outlineLevel="0" collapsed="false">
      <c r="A716" s="0" t="n">
        <v>114001</v>
      </c>
    </row>
    <row r="717" customFormat="false" ht="15" hidden="false" customHeight="false" outlineLevel="0" collapsed="false">
      <c r="A717" s="0" t="n">
        <v>114001</v>
      </c>
    </row>
    <row r="718" customFormat="false" ht="15" hidden="false" customHeight="false" outlineLevel="0" collapsed="false">
      <c r="A718" s="0" t="n">
        <v>114001</v>
      </c>
    </row>
    <row r="719" customFormat="false" ht="15" hidden="false" customHeight="false" outlineLevel="0" collapsed="false">
      <c r="A719" s="0" t="n">
        <v>114001</v>
      </c>
    </row>
    <row r="720" customFormat="false" ht="15" hidden="false" customHeight="false" outlineLevel="0" collapsed="false">
      <c r="A720" s="0" t="n">
        <v>114001</v>
      </c>
    </row>
    <row r="721" customFormat="false" ht="15" hidden="false" customHeight="false" outlineLevel="0" collapsed="false">
      <c r="A721" s="0" t="n">
        <v>114001</v>
      </c>
    </row>
    <row r="722" customFormat="false" ht="15" hidden="false" customHeight="false" outlineLevel="0" collapsed="false">
      <c r="A722" s="0" t="n">
        <v>114001</v>
      </c>
    </row>
    <row r="723" customFormat="false" ht="15" hidden="false" customHeight="false" outlineLevel="0" collapsed="false">
      <c r="A723" s="0" t="n">
        <v>114001</v>
      </c>
    </row>
    <row r="724" customFormat="false" ht="15" hidden="false" customHeight="false" outlineLevel="0" collapsed="false">
      <c r="A724" s="0" t="n">
        <v>114001</v>
      </c>
    </row>
    <row r="725" customFormat="false" ht="15" hidden="false" customHeight="false" outlineLevel="0" collapsed="false">
      <c r="A725" s="0" t="n">
        <v>114001</v>
      </c>
    </row>
    <row r="726" customFormat="false" ht="15" hidden="false" customHeight="false" outlineLevel="0" collapsed="false">
      <c r="A726" s="0" t="n">
        <v>114001</v>
      </c>
    </row>
    <row r="727" customFormat="false" ht="15" hidden="false" customHeight="false" outlineLevel="0" collapsed="false">
      <c r="A727" s="0" t="n">
        <v>114001</v>
      </c>
    </row>
    <row r="728" customFormat="false" ht="15" hidden="false" customHeight="false" outlineLevel="0" collapsed="false">
      <c r="A728" s="0" t="n">
        <v>114001</v>
      </c>
    </row>
    <row r="729" customFormat="false" ht="15" hidden="false" customHeight="false" outlineLevel="0" collapsed="false">
      <c r="A729" s="0" t="n">
        <v>114001</v>
      </c>
    </row>
    <row r="730" customFormat="false" ht="15" hidden="false" customHeight="false" outlineLevel="0" collapsed="false">
      <c r="A730" s="0" t="n">
        <v>114001</v>
      </c>
    </row>
    <row r="731" customFormat="false" ht="15" hidden="false" customHeight="false" outlineLevel="0" collapsed="false">
      <c r="A731" s="0" t="n">
        <v>114001</v>
      </c>
    </row>
    <row r="732" customFormat="false" ht="15" hidden="false" customHeight="false" outlineLevel="0" collapsed="false">
      <c r="A732" s="0" t="n">
        <v>114001</v>
      </c>
    </row>
    <row r="733" customFormat="false" ht="15" hidden="false" customHeight="false" outlineLevel="0" collapsed="false">
      <c r="A733" s="0" t="n">
        <v>114001</v>
      </c>
    </row>
    <row r="734" customFormat="false" ht="15" hidden="false" customHeight="false" outlineLevel="0" collapsed="false">
      <c r="A734" s="0" t="n">
        <v>114001</v>
      </c>
    </row>
    <row r="735" customFormat="false" ht="15" hidden="false" customHeight="false" outlineLevel="0" collapsed="false">
      <c r="A735" s="0" t="n">
        <v>114001</v>
      </c>
    </row>
    <row r="736" customFormat="false" ht="15" hidden="false" customHeight="false" outlineLevel="0" collapsed="false">
      <c r="A736" s="0" t="n">
        <v>114001</v>
      </c>
    </row>
    <row r="737" customFormat="false" ht="15" hidden="false" customHeight="false" outlineLevel="0" collapsed="false">
      <c r="A737" s="0" t="n">
        <v>114001</v>
      </c>
    </row>
    <row r="738" customFormat="false" ht="15" hidden="false" customHeight="false" outlineLevel="0" collapsed="false">
      <c r="A738" s="0" t="n">
        <v>114001</v>
      </c>
    </row>
    <row r="739" customFormat="false" ht="15" hidden="false" customHeight="false" outlineLevel="0" collapsed="false">
      <c r="A739" s="0" t="n">
        <v>114001</v>
      </c>
    </row>
    <row r="740" customFormat="false" ht="15" hidden="false" customHeight="false" outlineLevel="0" collapsed="false">
      <c r="A740" s="0" t="n">
        <v>114001</v>
      </c>
    </row>
    <row r="741" customFormat="false" ht="15" hidden="false" customHeight="false" outlineLevel="0" collapsed="false">
      <c r="A741" s="0" t="n">
        <v>114001</v>
      </c>
    </row>
    <row r="742" customFormat="false" ht="15" hidden="false" customHeight="false" outlineLevel="0" collapsed="false">
      <c r="A742" s="0" t="n">
        <v>114001</v>
      </c>
    </row>
    <row r="743" customFormat="false" ht="15" hidden="false" customHeight="false" outlineLevel="0" collapsed="false">
      <c r="A743" s="0" t="n">
        <v>114001</v>
      </c>
    </row>
    <row r="744" customFormat="false" ht="15" hidden="false" customHeight="false" outlineLevel="0" collapsed="false">
      <c r="A744" s="0" t="n">
        <v>114001</v>
      </c>
    </row>
    <row r="745" customFormat="false" ht="15" hidden="false" customHeight="false" outlineLevel="0" collapsed="false">
      <c r="A745" s="0" t="n">
        <v>114001</v>
      </c>
    </row>
    <row r="746" customFormat="false" ht="15" hidden="false" customHeight="false" outlineLevel="0" collapsed="false">
      <c r="A746" s="0" t="n">
        <v>114001</v>
      </c>
    </row>
    <row r="747" customFormat="false" ht="15" hidden="false" customHeight="false" outlineLevel="0" collapsed="false">
      <c r="A747" s="0" t="n">
        <v>114001</v>
      </c>
    </row>
    <row r="748" customFormat="false" ht="15" hidden="false" customHeight="false" outlineLevel="0" collapsed="false">
      <c r="A748" s="0" t="n">
        <v>114001</v>
      </c>
    </row>
    <row r="749" customFormat="false" ht="15" hidden="false" customHeight="false" outlineLevel="0" collapsed="false">
      <c r="A749" s="0" t="n">
        <v>114001</v>
      </c>
    </row>
    <row r="750" customFormat="false" ht="15" hidden="false" customHeight="false" outlineLevel="0" collapsed="false">
      <c r="A750" s="0" t="n">
        <v>114001</v>
      </c>
    </row>
    <row r="751" customFormat="false" ht="15" hidden="false" customHeight="false" outlineLevel="0" collapsed="false">
      <c r="A751" s="0" t="n">
        <v>114001</v>
      </c>
    </row>
    <row r="752" customFormat="false" ht="15" hidden="false" customHeight="false" outlineLevel="0" collapsed="false">
      <c r="A752" s="0" t="n">
        <v>114001</v>
      </c>
    </row>
    <row r="753" customFormat="false" ht="15" hidden="false" customHeight="false" outlineLevel="0" collapsed="false">
      <c r="A753" s="0" t="n">
        <v>114001</v>
      </c>
    </row>
    <row r="754" customFormat="false" ht="15" hidden="false" customHeight="false" outlineLevel="0" collapsed="false">
      <c r="A754" s="0" t="n">
        <v>114001</v>
      </c>
    </row>
    <row r="755" customFormat="false" ht="15" hidden="false" customHeight="false" outlineLevel="0" collapsed="false">
      <c r="A755" s="0" t="n">
        <v>114001</v>
      </c>
    </row>
    <row r="756" customFormat="false" ht="15" hidden="false" customHeight="false" outlineLevel="0" collapsed="false">
      <c r="A756" s="0" t="n">
        <v>114001</v>
      </c>
    </row>
    <row r="757" customFormat="false" ht="15" hidden="false" customHeight="false" outlineLevel="0" collapsed="false">
      <c r="A757" s="0" t="n">
        <v>114001</v>
      </c>
    </row>
    <row r="758" customFormat="false" ht="15" hidden="false" customHeight="false" outlineLevel="0" collapsed="false">
      <c r="A758" s="0" t="n">
        <v>114001</v>
      </c>
    </row>
    <row r="759" customFormat="false" ht="15" hidden="false" customHeight="false" outlineLevel="0" collapsed="false">
      <c r="A759" s="0" t="n">
        <v>114001</v>
      </c>
    </row>
    <row r="760" customFormat="false" ht="15" hidden="false" customHeight="false" outlineLevel="0" collapsed="false">
      <c r="A760" s="0" t="n">
        <v>114001</v>
      </c>
    </row>
    <row r="761" customFormat="false" ht="15" hidden="false" customHeight="false" outlineLevel="0" collapsed="false">
      <c r="A761" s="0" t="n">
        <v>114001</v>
      </c>
    </row>
    <row r="762" customFormat="false" ht="15" hidden="false" customHeight="false" outlineLevel="0" collapsed="false">
      <c r="A762" s="0" t="n">
        <v>114001</v>
      </c>
    </row>
    <row r="763" customFormat="false" ht="15" hidden="false" customHeight="false" outlineLevel="0" collapsed="false">
      <c r="A763" s="0" t="n">
        <v>114001</v>
      </c>
    </row>
    <row r="764" customFormat="false" ht="15" hidden="false" customHeight="false" outlineLevel="0" collapsed="false">
      <c r="A764" s="0" t="n">
        <v>114001</v>
      </c>
    </row>
    <row r="765" customFormat="false" ht="15" hidden="false" customHeight="false" outlineLevel="0" collapsed="false">
      <c r="A765" s="0" t="n">
        <v>114001</v>
      </c>
    </row>
    <row r="766" customFormat="false" ht="15" hidden="false" customHeight="false" outlineLevel="0" collapsed="false">
      <c r="A766" s="0" t="n">
        <v>114001</v>
      </c>
    </row>
    <row r="767" customFormat="false" ht="15" hidden="false" customHeight="false" outlineLevel="0" collapsed="false">
      <c r="A767" s="0" t="n">
        <v>114001</v>
      </c>
    </row>
    <row r="768" customFormat="false" ht="15" hidden="false" customHeight="false" outlineLevel="0" collapsed="false">
      <c r="A768" s="0" t="n">
        <v>114001</v>
      </c>
    </row>
    <row r="769" customFormat="false" ht="15" hidden="false" customHeight="false" outlineLevel="0" collapsed="false">
      <c r="A769" s="0" t="n">
        <v>114001</v>
      </c>
    </row>
    <row r="770" customFormat="false" ht="15" hidden="false" customHeight="false" outlineLevel="0" collapsed="false">
      <c r="A770" s="0" t="n">
        <v>114001</v>
      </c>
    </row>
    <row r="771" customFormat="false" ht="15" hidden="false" customHeight="false" outlineLevel="0" collapsed="false">
      <c r="A771" s="0" t="n">
        <v>114001</v>
      </c>
    </row>
    <row r="772" customFormat="false" ht="15" hidden="false" customHeight="false" outlineLevel="0" collapsed="false">
      <c r="A772" s="0" t="n">
        <v>114001</v>
      </c>
    </row>
    <row r="773" customFormat="false" ht="15" hidden="false" customHeight="false" outlineLevel="0" collapsed="false">
      <c r="A773" s="0" t="n">
        <v>114001</v>
      </c>
    </row>
    <row r="774" customFormat="false" ht="15" hidden="false" customHeight="false" outlineLevel="0" collapsed="false">
      <c r="A774" s="0" t="n">
        <v>114001</v>
      </c>
    </row>
    <row r="775" customFormat="false" ht="15" hidden="false" customHeight="false" outlineLevel="0" collapsed="false">
      <c r="A775" s="0" t="n">
        <v>114001</v>
      </c>
    </row>
    <row r="776" customFormat="false" ht="15" hidden="false" customHeight="false" outlineLevel="0" collapsed="false">
      <c r="A776" s="0" t="n">
        <v>114001</v>
      </c>
    </row>
    <row r="777" customFormat="false" ht="15" hidden="false" customHeight="false" outlineLevel="0" collapsed="false">
      <c r="A777" s="0" t="n">
        <v>114001</v>
      </c>
    </row>
    <row r="778" customFormat="false" ht="15" hidden="false" customHeight="false" outlineLevel="0" collapsed="false">
      <c r="A778" s="0" t="n">
        <v>114001</v>
      </c>
    </row>
    <row r="779" customFormat="false" ht="15" hidden="false" customHeight="false" outlineLevel="0" collapsed="false">
      <c r="A779" s="0" t="n">
        <v>114001</v>
      </c>
    </row>
    <row r="780" customFormat="false" ht="15" hidden="false" customHeight="false" outlineLevel="0" collapsed="false">
      <c r="A780" s="0" t="n">
        <v>114001</v>
      </c>
    </row>
    <row r="781" customFormat="false" ht="15" hidden="false" customHeight="false" outlineLevel="0" collapsed="false">
      <c r="A781" s="0" t="n">
        <v>114001</v>
      </c>
    </row>
    <row r="782" customFormat="false" ht="15" hidden="false" customHeight="false" outlineLevel="0" collapsed="false">
      <c r="A782" s="0" t="n">
        <v>114001</v>
      </c>
    </row>
    <row r="783" customFormat="false" ht="15" hidden="false" customHeight="false" outlineLevel="0" collapsed="false">
      <c r="A783" s="0" t="n">
        <v>114001</v>
      </c>
    </row>
    <row r="784" customFormat="false" ht="15" hidden="false" customHeight="false" outlineLevel="0" collapsed="false">
      <c r="A784" s="0" t="n">
        <v>114001</v>
      </c>
    </row>
    <row r="785" customFormat="false" ht="15" hidden="false" customHeight="false" outlineLevel="0" collapsed="false">
      <c r="A785" s="0" t="n">
        <v>114001</v>
      </c>
    </row>
    <row r="786" customFormat="false" ht="15" hidden="false" customHeight="false" outlineLevel="0" collapsed="false">
      <c r="A786" s="0" t="n">
        <v>114001</v>
      </c>
    </row>
    <row r="787" customFormat="false" ht="15" hidden="false" customHeight="false" outlineLevel="0" collapsed="false">
      <c r="A787" s="0" t="n">
        <v>114001</v>
      </c>
    </row>
    <row r="788" customFormat="false" ht="15" hidden="false" customHeight="false" outlineLevel="0" collapsed="false">
      <c r="A788" s="0" t="n">
        <v>114001</v>
      </c>
    </row>
    <row r="789" customFormat="false" ht="15" hidden="false" customHeight="false" outlineLevel="0" collapsed="false">
      <c r="A789" s="0" t="n">
        <v>114001</v>
      </c>
    </row>
    <row r="790" customFormat="false" ht="15" hidden="false" customHeight="false" outlineLevel="0" collapsed="false">
      <c r="A790" s="0" t="n">
        <v>114001</v>
      </c>
    </row>
    <row r="791" customFormat="false" ht="15" hidden="false" customHeight="false" outlineLevel="0" collapsed="false">
      <c r="A791" s="0" t="n">
        <v>114001</v>
      </c>
    </row>
    <row r="792" customFormat="false" ht="15" hidden="false" customHeight="false" outlineLevel="0" collapsed="false">
      <c r="A792" s="0" t="n">
        <v>114001</v>
      </c>
    </row>
    <row r="793" customFormat="false" ht="15" hidden="false" customHeight="false" outlineLevel="0" collapsed="false">
      <c r="A793" s="0" t="n">
        <v>114001</v>
      </c>
    </row>
    <row r="794" customFormat="false" ht="15" hidden="false" customHeight="false" outlineLevel="0" collapsed="false">
      <c r="A794" s="0" t="n">
        <v>114001</v>
      </c>
    </row>
    <row r="795" customFormat="false" ht="15" hidden="false" customHeight="false" outlineLevel="0" collapsed="false">
      <c r="A795" s="0" t="n">
        <v>114001</v>
      </c>
    </row>
    <row r="796" customFormat="false" ht="15" hidden="false" customHeight="false" outlineLevel="0" collapsed="false">
      <c r="A796" s="0" t="n">
        <v>114001</v>
      </c>
    </row>
    <row r="797" customFormat="false" ht="15" hidden="false" customHeight="false" outlineLevel="0" collapsed="false">
      <c r="A797" s="0" t="n">
        <v>114001</v>
      </c>
    </row>
    <row r="798" customFormat="false" ht="15" hidden="false" customHeight="false" outlineLevel="0" collapsed="false">
      <c r="A798" s="0" t="n">
        <v>114001</v>
      </c>
    </row>
    <row r="799" customFormat="false" ht="15" hidden="false" customHeight="false" outlineLevel="0" collapsed="false">
      <c r="A799" s="0" t="n">
        <v>114001</v>
      </c>
    </row>
    <row r="800" customFormat="false" ht="15" hidden="false" customHeight="false" outlineLevel="0" collapsed="false">
      <c r="A800" s="0" t="n">
        <v>114001</v>
      </c>
    </row>
    <row r="801" customFormat="false" ht="15" hidden="false" customHeight="false" outlineLevel="0" collapsed="false">
      <c r="A801" s="0" t="n">
        <v>114001</v>
      </c>
    </row>
    <row r="802" customFormat="false" ht="15" hidden="false" customHeight="false" outlineLevel="0" collapsed="false">
      <c r="A802" s="0" t="n">
        <v>114001</v>
      </c>
    </row>
    <row r="803" customFormat="false" ht="15" hidden="false" customHeight="false" outlineLevel="0" collapsed="false">
      <c r="A803" s="0" t="n">
        <v>114001</v>
      </c>
    </row>
    <row r="804" customFormat="false" ht="15" hidden="false" customHeight="false" outlineLevel="0" collapsed="false">
      <c r="A804" s="0" t="n">
        <v>114001</v>
      </c>
    </row>
    <row r="805" customFormat="false" ht="15" hidden="false" customHeight="false" outlineLevel="0" collapsed="false">
      <c r="A805" s="0" t="n">
        <v>114001</v>
      </c>
    </row>
    <row r="806" customFormat="false" ht="15" hidden="false" customHeight="false" outlineLevel="0" collapsed="false">
      <c r="A806" s="0" t="n">
        <v>114001</v>
      </c>
    </row>
    <row r="807" customFormat="false" ht="15" hidden="false" customHeight="false" outlineLevel="0" collapsed="false">
      <c r="A807" s="0" t="n">
        <v>114001</v>
      </c>
    </row>
    <row r="808" customFormat="false" ht="15" hidden="false" customHeight="false" outlineLevel="0" collapsed="false">
      <c r="A808" s="0" t="n">
        <v>114001</v>
      </c>
    </row>
    <row r="809" customFormat="false" ht="15" hidden="false" customHeight="false" outlineLevel="0" collapsed="false">
      <c r="A809" s="0" t="n">
        <v>114001</v>
      </c>
    </row>
    <row r="810" customFormat="false" ht="15" hidden="false" customHeight="false" outlineLevel="0" collapsed="false">
      <c r="A810" s="0" t="n">
        <v>114001</v>
      </c>
    </row>
    <row r="811" customFormat="false" ht="15" hidden="false" customHeight="false" outlineLevel="0" collapsed="false">
      <c r="A811" s="0" t="n">
        <v>114001</v>
      </c>
    </row>
    <row r="812" customFormat="false" ht="15" hidden="false" customHeight="false" outlineLevel="0" collapsed="false">
      <c r="A812" s="0" t="n">
        <v>114001</v>
      </c>
    </row>
    <row r="813" customFormat="false" ht="15" hidden="false" customHeight="false" outlineLevel="0" collapsed="false">
      <c r="A813" s="0" t="n">
        <v>114001</v>
      </c>
    </row>
    <row r="814" customFormat="false" ht="15" hidden="false" customHeight="false" outlineLevel="0" collapsed="false">
      <c r="A814" s="0" t="n">
        <v>114001</v>
      </c>
    </row>
    <row r="815" customFormat="false" ht="15" hidden="false" customHeight="false" outlineLevel="0" collapsed="false">
      <c r="A815" s="0" t="n">
        <v>114001</v>
      </c>
    </row>
    <row r="816" customFormat="false" ht="15" hidden="false" customHeight="false" outlineLevel="0" collapsed="false">
      <c r="A816" s="0" t="n">
        <v>114001</v>
      </c>
    </row>
    <row r="817" customFormat="false" ht="15" hidden="false" customHeight="false" outlineLevel="0" collapsed="false">
      <c r="A817" s="0" t="n">
        <v>114001</v>
      </c>
    </row>
    <row r="818" customFormat="false" ht="15" hidden="false" customHeight="false" outlineLevel="0" collapsed="false">
      <c r="A818" s="0" t="n">
        <v>114001</v>
      </c>
    </row>
    <row r="819" customFormat="false" ht="15" hidden="false" customHeight="false" outlineLevel="0" collapsed="false">
      <c r="A819" s="0" t="n">
        <v>114001</v>
      </c>
    </row>
    <row r="820" customFormat="false" ht="15" hidden="false" customHeight="false" outlineLevel="0" collapsed="false">
      <c r="A820" s="0" t="n">
        <v>114001</v>
      </c>
    </row>
    <row r="821" customFormat="false" ht="15" hidden="false" customHeight="false" outlineLevel="0" collapsed="false">
      <c r="A821" s="0" t="n">
        <v>114001</v>
      </c>
    </row>
    <row r="822" customFormat="false" ht="15" hidden="false" customHeight="false" outlineLevel="0" collapsed="false">
      <c r="A822" s="0" t="n">
        <v>114001</v>
      </c>
    </row>
    <row r="823" customFormat="false" ht="15" hidden="false" customHeight="false" outlineLevel="0" collapsed="false">
      <c r="A823" s="0" t="n">
        <v>114001</v>
      </c>
    </row>
    <row r="824" customFormat="false" ht="15" hidden="false" customHeight="false" outlineLevel="0" collapsed="false">
      <c r="A824" s="0" t="n">
        <v>114001</v>
      </c>
    </row>
    <row r="825" customFormat="false" ht="15" hidden="false" customHeight="false" outlineLevel="0" collapsed="false">
      <c r="A825" s="0" t="n">
        <v>114001</v>
      </c>
    </row>
    <row r="826" customFormat="false" ht="15" hidden="false" customHeight="false" outlineLevel="0" collapsed="false">
      <c r="A826" s="0" t="n">
        <v>114001</v>
      </c>
    </row>
    <row r="827" customFormat="false" ht="15" hidden="false" customHeight="false" outlineLevel="0" collapsed="false">
      <c r="A827" s="0" t="n">
        <v>114001</v>
      </c>
    </row>
    <row r="828" customFormat="false" ht="15" hidden="false" customHeight="false" outlineLevel="0" collapsed="false">
      <c r="A828" s="0" t="n">
        <v>114001</v>
      </c>
    </row>
    <row r="829" customFormat="false" ht="15" hidden="false" customHeight="false" outlineLevel="0" collapsed="false">
      <c r="A829" s="0" t="n">
        <v>114001</v>
      </c>
    </row>
    <row r="830" customFormat="false" ht="15" hidden="false" customHeight="false" outlineLevel="0" collapsed="false">
      <c r="A830" s="0" t="n">
        <v>114001</v>
      </c>
    </row>
    <row r="831" customFormat="false" ht="15" hidden="false" customHeight="false" outlineLevel="0" collapsed="false">
      <c r="A831" s="0" t="n">
        <v>114001</v>
      </c>
    </row>
    <row r="832" customFormat="false" ht="15" hidden="false" customHeight="false" outlineLevel="0" collapsed="false">
      <c r="A832" s="0" t="n">
        <v>114001</v>
      </c>
    </row>
    <row r="833" customFormat="false" ht="15" hidden="false" customHeight="false" outlineLevel="0" collapsed="false">
      <c r="A833" s="0" t="n">
        <v>114001</v>
      </c>
    </row>
    <row r="834" customFormat="false" ht="15" hidden="false" customHeight="false" outlineLevel="0" collapsed="false">
      <c r="A834" s="0" t="n">
        <v>114001</v>
      </c>
    </row>
    <row r="835" customFormat="false" ht="15" hidden="false" customHeight="false" outlineLevel="0" collapsed="false">
      <c r="A835" s="0" t="n">
        <v>114001</v>
      </c>
    </row>
    <row r="836" customFormat="false" ht="15" hidden="false" customHeight="false" outlineLevel="0" collapsed="false">
      <c r="A836" s="0" t="n">
        <v>114001</v>
      </c>
    </row>
    <row r="837" customFormat="false" ht="15" hidden="false" customHeight="false" outlineLevel="0" collapsed="false">
      <c r="A837" s="0" t="n">
        <v>114001</v>
      </c>
    </row>
    <row r="838" customFormat="false" ht="15" hidden="false" customHeight="false" outlineLevel="0" collapsed="false">
      <c r="A838" s="0" t="n">
        <v>114001</v>
      </c>
    </row>
    <row r="839" customFormat="false" ht="15" hidden="false" customHeight="false" outlineLevel="0" collapsed="false">
      <c r="A839" s="0" t="n">
        <v>114001</v>
      </c>
    </row>
    <row r="840" customFormat="false" ht="15" hidden="false" customHeight="false" outlineLevel="0" collapsed="false">
      <c r="A840" s="0" t="n">
        <v>114001</v>
      </c>
    </row>
    <row r="841" customFormat="false" ht="15" hidden="false" customHeight="false" outlineLevel="0" collapsed="false">
      <c r="A841" s="0" t="n">
        <v>114001</v>
      </c>
    </row>
    <row r="842" customFormat="false" ht="15" hidden="false" customHeight="false" outlineLevel="0" collapsed="false">
      <c r="A842" s="0" t="n">
        <v>114001</v>
      </c>
    </row>
    <row r="843" customFormat="false" ht="15" hidden="false" customHeight="false" outlineLevel="0" collapsed="false">
      <c r="A843" s="0" t="n">
        <v>114001</v>
      </c>
    </row>
    <row r="844" customFormat="false" ht="15" hidden="false" customHeight="false" outlineLevel="0" collapsed="false">
      <c r="A844" s="0" t="n">
        <v>114001</v>
      </c>
    </row>
    <row r="845" customFormat="false" ht="15" hidden="false" customHeight="false" outlineLevel="0" collapsed="false">
      <c r="A845" s="0" t="n">
        <v>114001</v>
      </c>
    </row>
    <row r="846" customFormat="false" ht="15" hidden="false" customHeight="false" outlineLevel="0" collapsed="false">
      <c r="A846" s="0" t="n">
        <v>114001</v>
      </c>
    </row>
    <row r="847" customFormat="false" ht="15" hidden="false" customHeight="false" outlineLevel="0" collapsed="false">
      <c r="A847" s="0" t="n">
        <v>114001</v>
      </c>
    </row>
    <row r="848" customFormat="false" ht="15" hidden="false" customHeight="false" outlineLevel="0" collapsed="false">
      <c r="A848" s="0" t="n">
        <v>114001</v>
      </c>
    </row>
    <row r="849" customFormat="false" ht="15" hidden="false" customHeight="false" outlineLevel="0" collapsed="false">
      <c r="A849" s="0" t="n">
        <v>114001</v>
      </c>
    </row>
    <row r="850" customFormat="false" ht="15" hidden="false" customHeight="false" outlineLevel="0" collapsed="false">
      <c r="A850" s="0" t="n">
        <v>114001</v>
      </c>
    </row>
    <row r="851" customFormat="false" ht="15" hidden="false" customHeight="false" outlineLevel="0" collapsed="false">
      <c r="A851" s="0" t="n">
        <v>114001</v>
      </c>
    </row>
    <row r="852" customFormat="false" ht="15" hidden="false" customHeight="false" outlineLevel="0" collapsed="false">
      <c r="A852" s="0" t="n">
        <v>114001</v>
      </c>
    </row>
    <row r="853" customFormat="false" ht="15" hidden="false" customHeight="false" outlineLevel="0" collapsed="false">
      <c r="A853" s="0" t="n">
        <v>114001</v>
      </c>
    </row>
    <row r="854" customFormat="false" ht="15" hidden="false" customHeight="false" outlineLevel="0" collapsed="false">
      <c r="A854" s="0" t="n">
        <v>114001</v>
      </c>
    </row>
    <row r="855" customFormat="false" ht="15" hidden="false" customHeight="false" outlineLevel="0" collapsed="false">
      <c r="A855" s="0" t="n">
        <v>114001</v>
      </c>
    </row>
    <row r="856" customFormat="false" ht="15" hidden="false" customHeight="false" outlineLevel="0" collapsed="false">
      <c r="A856" s="0" t="n">
        <v>114001</v>
      </c>
    </row>
    <row r="857" customFormat="false" ht="15" hidden="false" customHeight="false" outlineLevel="0" collapsed="false">
      <c r="A857" s="0" t="n">
        <v>114001</v>
      </c>
    </row>
    <row r="858" customFormat="false" ht="15" hidden="false" customHeight="false" outlineLevel="0" collapsed="false">
      <c r="A858" s="0" t="n">
        <v>114001</v>
      </c>
    </row>
    <row r="859" customFormat="false" ht="15" hidden="false" customHeight="false" outlineLevel="0" collapsed="false">
      <c r="A859" s="0" t="n">
        <v>114001</v>
      </c>
    </row>
    <row r="860" customFormat="false" ht="15" hidden="false" customHeight="false" outlineLevel="0" collapsed="false">
      <c r="A860" s="0" t="n">
        <v>114001</v>
      </c>
    </row>
    <row r="861" customFormat="false" ht="15" hidden="false" customHeight="false" outlineLevel="0" collapsed="false">
      <c r="A861" s="0" t="n">
        <v>114001</v>
      </c>
    </row>
    <row r="862" customFormat="false" ht="15" hidden="false" customHeight="false" outlineLevel="0" collapsed="false">
      <c r="A862" s="0" t="n">
        <v>114001</v>
      </c>
    </row>
    <row r="863" customFormat="false" ht="15" hidden="false" customHeight="false" outlineLevel="0" collapsed="false">
      <c r="A863" s="0" t="n">
        <v>114001</v>
      </c>
    </row>
    <row r="864" customFormat="false" ht="15" hidden="false" customHeight="false" outlineLevel="0" collapsed="false">
      <c r="A864" s="0" t="n">
        <v>114001</v>
      </c>
    </row>
    <row r="865" customFormat="false" ht="15" hidden="false" customHeight="false" outlineLevel="0" collapsed="false">
      <c r="A865" s="0" t="n">
        <v>114001</v>
      </c>
    </row>
    <row r="866" customFormat="false" ht="15" hidden="false" customHeight="false" outlineLevel="0" collapsed="false">
      <c r="A866" s="0" t="n">
        <v>114001</v>
      </c>
    </row>
    <row r="867" customFormat="false" ht="15" hidden="false" customHeight="false" outlineLevel="0" collapsed="false">
      <c r="A867" s="0" t="n">
        <v>114001</v>
      </c>
    </row>
    <row r="868" customFormat="false" ht="15" hidden="false" customHeight="false" outlineLevel="0" collapsed="false">
      <c r="A868" s="0" t="n">
        <v>114001</v>
      </c>
    </row>
    <row r="869" customFormat="false" ht="15" hidden="false" customHeight="false" outlineLevel="0" collapsed="false">
      <c r="A869" s="0" t="n">
        <v>114001</v>
      </c>
    </row>
    <row r="870" customFormat="false" ht="15" hidden="false" customHeight="false" outlineLevel="0" collapsed="false">
      <c r="A870" s="0" t="n">
        <v>114001</v>
      </c>
    </row>
    <row r="871" customFormat="false" ht="15" hidden="false" customHeight="false" outlineLevel="0" collapsed="false">
      <c r="A871" s="0" t="n">
        <v>114001</v>
      </c>
    </row>
    <row r="872" customFormat="false" ht="15" hidden="false" customHeight="false" outlineLevel="0" collapsed="false">
      <c r="A872" s="0" t="n">
        <v>114001</v>
      </c>
    </row>
    <row r="873" customFormat="false" ht="15" hidden="false" customHeight="false" outlineLevel="0" collapsed="false">
      <c r="A873" s="0" t="n">
        <v>114001</v>
      </c>
    </row>
    <row r="874" customFormat="false" ht="15" hidden="false" customHeight="false" outlineLevel="0" collapsed="false">
      <c r="A874" s="0" t="n">
        <v>114001</v>
      </c>
    </row>
    <row r="875" customFormat="false" ht="15" hidden="false" customHeight="false" outlineLevel="0" collapsed="false">
      <c r="A875" s="0" t="n">
        <v>114001</v>
      </c>
    </row>
    <row r="876" customFormat="false" ht="15" hidden="false" customHeight="false" outlineLevel="0" collapsed="false">
      <c r="A876" s="0" t="n">
        <v>114001</v>
      </c>
    </row>
    <row r="877" customFormat="false" ht="15" hidden="false" customHeight="false" outlineLevel="0" collapsed="false">
      <c r="A877" s="0" t="n">
        <v>114001</v>
      </c>
    </row>
    <row r="878" customFormat="false" ht="15" hidden="false" customHeight="false" outlineLevel="0" collapsed="false">
      <c r="A878" s="0" t="n">
        <v>114001</v>
      </c>
    </row>
    <row r="879" customFormat="false" ht="15" hidden="false" customHeight="false" outlineLevel="0" collapsed="false">
      <c r="A879" s="0" t="n">
        <v>114001</v>
      </c>
    </row>
    <row r="880" customFormat="false" ht="15" hidden="false" customHeight="false" outlineLevel="0" collapsed="false">
      <c r="A880" s="0" t="n">
        <v>114001</v>
      </c>
    </row>
    <row r="881" customFormat="false" ht="15" hidden="false" customHeight="false" outlineLevel="0" collapsed="false">
      <c r="A881" s="0" t="n">
        <v>114001</v>
      </c>
    </row>
    <row r="882" customFormat="false" ht="15" hidden="false" customHeight="false" outlineLevel="0" collapsed="false">
      <c r="A882" s="0" t="n">
        <v>114001</v>
      </c>
    </row>
    <row r="883" customFormat="false" ht="15" hidden="false" customHeight="false" outlineLevel="0" collapsed="false">
      <c r="A883" s="0" t="n">
        <v>114001</v>
      </c>
    </row>
    <row r="884" customFormat="false" ht="15" hidden="false" customHeight="false" outlineLevel="0" collapsed="false">
      <c r="A884" s="0" t="n">
        <v>114001</v>
      </c>
    </row>
    <row r="885" customFormat="false" ht="15" hidden="false" customHeight="false" outlineLevel="0" collapsed="false">
      <c r="A885" s="0" t="n">
        <v>114001</v>
      </c>
    </row>
    <row r="886" customFormat="false" ht="15" hidden="false" customHeight="false" outlineLevel="0" collapsed="false">
      <c r="A886" s="0" t="n">
        <v>114001</v>
      </c>
    </row>
    <row r="887" customFormat="false" ht="15" hidden="false" customHeight="false" outlineLevel="0" collapsed="false">
      <c r="A887" s="0" t="n">
        <v>114001</v>
      </c>
    </row>
    <row r="888" customFormat="false" ht="15" hidden="false" customHeight="false" outlineLevel="0" collapsed="false">
      <c r="A888" s="0" t="n">
        <v>114001</v>
      </c>
    </row>
    <row r="889" customFormat="false" ht="15" hidden="false" customHeight="false" outlineLevel="0" collapsed="false">
      <c r="A889" s="0" t="n">
        <v>114001</v>
      </c>
    </row>
    <row r="890" customFormat="false" ht="15" hidden="false" customHeight="false" outlineLevel="0" collapsed="false">
      <c r="A890" s="0" t="n">
        <v>114001</v>
      </c>
    </row>
    <row r="891" customFormat="false" ht="15" hidden="false" customHeight="false" outlineLevel="0" collapsed="false">
      <c r="A891" s="0" t="n">
        <v>114001</v>
      </c>
    </row>
    <row r="892" customFormat="false" ht="15" hidden="false" customHeight="false" outlineLevel="0" collapsed="false">
      <c r="A892" s="0" t="n">
        <v>114001</v>
      </c>
    </row>
    <row r="893" customFormat="false" ht="15" hidden="false" customHeight="false" outlineLevel="0" collapsed="false">
      <c r="A893" s="0" t="n">
        <v>114001</v>
      </c>
    </row>
    <row r="894" customFormat="false" ht="15" hidden="false" customHeight="false" outlineLevel="0" collapsed="false">
      <c r="A894" s="0" t="n">
        <v>114001</v>
      </c>
    </row>
    <row r="895" customFormat="false" ht="15" hidden="false" customHeight="false" outlineLevel="0" collapsed="false">
      <c r="A895" s="0" t="n">
        <v>114001</v>
      </c>
    </row>
    <row r="896" customFormat="false" ht="15" hidden="false" customHeight="false" outlineLevel="0" collapsed="false">
      <c r="A896" s="0" t="n">
        <v>114001</v>
      </c>
    </row>
    <row r="897" customFormat="false" ht="15" hidden="false" customHeight="false" outlineLevel="0" collapsed="false">
      <c r="A897" s="0" t="n">
        <v>114001</v>
      </c>
    </row>
    <row r="898" customFormat="false" ht="15" hidden="false" customHeight="false" outlineLevel="0" collapsed="false">
      <c r="A898" s="0" t="n">
        <v>114001</v>
      </c>
    </row>
    <row r="899" customFormat="false" ht="15" hidden="false" customHeight="false" outlineLevel="0" collapsed="false">
      <c r="A899" s="0" t="n">
        <v>114001</v>
      </c>
    </row>
    <row r="900" customFormat="false" ht="15" hidden="false" customHeight="false" outlineLevel="0" collapsed="false">
      <c r="A900" s="0" t="n">
        <v>114001</v>
      </c>
    </row>
    <row r="901" customFormat="false" ht="15" hidden="false" customHeight="false" outlineLevel="0" collapsed="false">
      <c r="A901" s="0" t="n">
        <v>114001</v>
      </c>
    </row>
    <row r="902" customFormat="false" ht="15" hidden="false" customHeight="false" outlineLevel="0" collapsed="false">
      <c r="A902" s="0" t="n">
        <v>114001</v>
      </c>
    </row>
    <row r="903" customFormat="false" ht="15" hidden="false" customHeight="false" outlineLevel="0" collapsed="false">
      <c r="A903" s="0" t="n">
        <v>114001</v>
      </c>
    </row>
    <row r="904" customFormat="false" ht="15" hidden="false" customHeight="false" outlineLevel="0" collapsed="false">
      <c r="A904" s="0" t="n">
        <v>114001</v>
      </c>
    </row>
    <row r="905" customFormat="false" ht="15" hidden="false" customHeight="false" outlineLevel="0" collapsed="false">
      <c r="A905" s="0" t="n">
        <v>114001</v>
      </c>
    </row>
    <row r="906" customFormat="false" ht="15" hidden="false" customHeight="false" outlineLevel="0" collapsed="false">
      <c r="A906" s="0" t="n">
        <v>114001</v>
      </c>
    </row>
    <row r="907" customFormat="false" ht="15" hidden="false" customHeight="false" outlineLevel="0" collapsed="false">
      <c r="A907" s="0" t="n">
        <v>114001</v>
      </c>
    </row>
    <row r="908" customFormat="false" ht="15" hidden="false" customHeight="false" outlineLevel="0" collapsed="false">
      <c r="A908" s="0" t="n">
        <v>114001</v>
      </c>
    </row>
    <row r="909" customFormat="false" ht="15" hidden="false" customHeight="false" outlineLevel="0" collapsed="false">
      <c r="A909" s="0" t="n">
        <v>114001</v>
      </c>
    </row>
    <row r="910" customFormat="false" ht="15" hidden="false" customHeight="false" outlineLevel="0" collapsed="false">
      <c r="A910" s="0" t="n">
        <v>114001</v>
      </c>
    </row>
    <row r="911" customFormat="false" ht="15" hidden="false" customHeight="false" outlineLevel="0" collapsed="false">
      <c r="A911" s="0" t="n">
        <v>114001</v>
      </c>
    </row>
    <row r="912" customFormat="false" ht="15" hidden="false" customHeight="false" outlineLevel="0" collapsed="false">
      <c r="A912" s="0" t="n">
        <v>114001</v>
      </c>
    </row>
    <row r="913" customFormat="false" ht="15" hidden="false" customHeight="false" outlineLevel="0" collapsed="false">
      <c r="A913" s="0" t="n">
        <v>114001</v>
      </c>
    </row>
    <row r="914" customFormat="false" ht="15" hidden="false" customHeight="false" outlineLevel="0" collapsed="false">
      <c r="A914" s="0" t="n">
        <v>114001</v>
      </c>
    </row>
    <row r="915" customFormat="false" ht="15" hidden="false" customHeight="false" outlineLevel="0" collapsed="false">
      <c r="A915" s="0" t="n">
        <v>114001</v>
      </c>
    </row>
    <row r="916" customFormat="false" ht="15" hidden="false" customHeight="false" outlineLevel="0" collapsed="false">
      <c r="A916" s="0" t="n">
        <v>114001</v>
      </c>
    </row>
    <row r="917" customFormat="false" ht="15" hidden="false" customHeight="false" outlineLevel="0" collapsed="false">
      <c r="A917" s="0" t="n">
        <v>114001</v>
      </c>
    </row>
    <row r="918" customFormat="false" ht="15" hidden="false" customHeight="false" outlineLevel="0" collapsed="false">
      <c r="A918" s="0" t="n">
        <v>114001</v>
      </c>
    </row>
    <row r="919" customFormat="false" ht="15" hidden="false" customHeight="false" outlineLevel="0" collapsed="false">
      <c r="A919" s="0" t="n">
        <v>114001</v>
      </c>
    </row>
    <row r="920" customFormat="false" ht="15" hidden="false" customHeight="false" outlineLevel="0" collapsed="false">
      <c r="A920" s="0" t="n">
        <v>114001</v>
      </c>
    </row>
    <row r="921" customFormat="false" ht="15" hidden="false" customHeight="false" outlineLevel="0" collapsed="false">
      <c r="A921" s="0" t="n">
        <v>114001</v>
      </c>
    </row>
    <row r="922" customFormat="false" ht="15" hidden="false" customHeight="false" outlineLevel="0" collapsed="false">
      <c r="A922" s="0" t="n">
        <v>114001</v>
      </c>
    </row>
    <row r="923" customFormat="false" ht="15" hidden="false" customHeight="false" outlineLevel="0" collapsed="false">
      <c r="A923" s="0" t="n">
        <v>114001</v>
      </c>
    </row>
    <row r="924" customFormat="false" ht="15" hidden="false" customHeight="false" outlineLevel="0" collapsed="false">
      <c r="A924" s="0" t="n">
        <v>114001</v>
      </c>
    </row>
    <row r="925" customFormat="false" ht="15" hidden="false" customHeight="false" outlineLevel="0" collapsed="false">
      <c r="A925" s="0" t="n">
        <v>114001</v>
      </c>
    </row>
    <row r="926" customFormat="false" ht="15" hidden="false" customHeight="false" outlineLevel="0" collapsed="false">
      <c r="A926" s="0" t="n">
        <v>114001</v>
      </c>
    </row>
    <row r="927" customFormat="false" ht="15" hidden="false" customHeight="false" outlineLevel="0" collapsed="false">
      <c r="A927" s="0" t="n">
        <v>114001</v>
      </c>
    </row>
    <row r="928" customFormat="false" ht="15" hidden="false" customHeight="false" outlineLevel="0" collapsed="false">
      <c r="A928" s="0" t="n">
        <v>114001</v>
      </c>
    </row>
    <row r="929" customFormat="false" ht="15" hidden="false" customHeight="false" outlineLevel="0" collapsed="false">
      <c r="A929" s="0" t="n">
        <v>114001</v>
      </c>
    </row>
    <row r="930" customFormat="false" ht="15" hidden="false" customHeight="false" outlineLevel="0" collapsed="false">
      <c r="A930" s="0" t="n">
        <v>114001</v>
      </c>
    </row>
    <row r="931" customFormat="false" ht="15" hidden="false" customHeight="false" outlineLevel="0" collapsed="false">
      <c r="A931" s="0" t="n">
        <v>114001</v>
      </c>
    </row>
    <row r="932" customFormat="false" ht="15" hidden="false" customHeight="false" outlineLevel="0" collapsed="false">
      <c r="A932" s="0" t="n">
        <v>114001</v>
      </c>
    </row>
    <row r="933" customFormat="false" ht="15" hidden="false" customHeight="false" outlineLevel="0" collapsed="false">
      <c r="A933" s="0" t="n">
        <v>114001</v>
      </c>
    </row>
    <row r="934" customFormat="false" ht="15" hidden="false" customHeight="false" outlineLevel="0" collapsed="false">
      <c r="A934" s="0" t="n">
        <v>114001</v>
      </c>
    </row>
    <row r="935" customFormat="false" ht="15" hidden="false" customHeight="false" outlineLevel="0" collapsed="false">
      <c r="A935" s="0" t="n">
        <v>114001</v>
      </c>
    </row>
    <row r="936" customFormat="false" ht="15" hidden="false" customHeight="false" outlineLevel="0" collapsed="false">
      <c r="A936" s="0" t="n">
        <v>114001</v>
      </c>
    </row>
    <row r="937" customFormat="false" ht="15" hidden="false" customHeight="false" outlineLevel="0" collapsed="false">
      <c r="A937" s="0" t="n">
        <v>114001</v>
      </c>
    </row>
    <row r="938" customFormat="false" ht="15" hidden="false" customHeight="false" outlineLevel="0" collapsed="false">
      <c r="A938" s="0" t="n">
        <v>114001</v>
      </c>
    </row>
    <row r="939" customFormat="false" ht="15" hidden="false" customHeight="false" outlineLevel="0" collapsed="false">
      <c r="A939" s="0" t="n">
        <v>114001</v>
      </c>
    </row>
    <row r="940" customFormat="false" ht="15" hidden="false" customHeight="false" outlineLevel="0" collapsed="false">
      <c r="A940" s="0" t="n">
        <v>114001</v>
      </c>
    </row>
    <row r="941" customFormat="false" ht="15" hidden="false" customHeight="false" outlineLevel="0" collapsed="false">
      <c r="A941" s="0" t="n">
        <v>114001</v>
      </c>
    </row>
    <row r="942" customFormat="false" ht="15" hidden="false" customHeight="false" outlineLevel="0" collapsed="false">
      <c r="A942" s="0" t="n">
        <v>114001</v>
      </c>
    </row>
    <row r="943" customFormat="false" ht="15" hidden="false" customHeight="false" outlineLevel="0" collapsed="false">
      <c r="A943" s="0" t="n">
        <v>114001</v>
      </c>
    </row>
    <row r="944" customFormat="false" ht="15" hidden="false" customHeight="false" outlineLevel="0" collapsed="false">
      <c r="A944" s="0" t="n">
        <v>114001</v>
      </c>
    </row>
    <row r="945" customFormat="false" ht="15" hidden="false" customHeight="false" outlineLevel="0" collapsed="false">
      <c r="A945" s="0" t="n">
        <v>114001</v>
      </c>
    </row>
    <row r="946" customFormat="false" ht="15" hidden="false" customHeight="false" outlineLevel="0" collapsed="false">
      <c r="A946" s="0" t="n">
        <v>114001</v>
      </c>
    </row>
    <row r="947" customFormat="false" ht="15" hidden="false" customHeight="false" outlineLevel="0" collapsed="false">
      <c r="A947" s="0" t="n">
        <v>114001</v>
      </c>
    </row>
    <row r="948" customFormat="false" ht="15" hidden="false" customHeight="false" outlineLevel="0" collapsed="false">
      <c r="A948" s="0" t="n">
        <v>114001</v>
      </c>
    </row>
    <row r="949" customFormat="false" ht="15" hidden="false" customHeight="false" outlineLevel="0" collapsed="false">
      <c r="A949" s="0" t="n">
        <v>114001</v>
      </c>
    </row>
    <row r="950" customFormat="false" ht="15" hidden="false" customHeight="false" outlineLevel="0" collapsed="false">
      <c r="A950" s="0" t="n">
        <v>114001</v>
      </c>
    </row>
    <row r="951" customFormat="false" ht="15" hidden="false" customHeight="false" outlineLevel="0" collapsed="false">
      <c r="A951" s="0" t="n">
        <v>114001</v>
      </c>
    </row>
    <row r="952" customFormat="false" ht="15" hidden="false" customHeight="false" outlineLevel="0" collapsed="false">
      <c r="A952" s="0" t="n">
        <v>114001</v>
      </c>
    </row>
    <row r="953" customFormat="false" ht="15" hidden="false" customHeight="false" outlineLevel="0" collapsed="false">
      <c r="A953" s="0" t="n">
        <v>114001</v>
      </c>
    </row>
    <row r="954" customFormat="false" ht="15" hidden="false" customHeight="false" outlineLevel="0" collapsed="false">
      <c r="A954" s="0" t="n">
        <v>114001</v>
      </c>
    </row>
    <row r="955" customFormat="false" ht="15" hidden="false" customHeight="false" outlineLevel="0" collapsed="false">
      <c r="A955" s="0" t="n">
        <v>114001</v>
      </c>
    </row>
    <row r="956" customFormat="false" ht="15" hidden="false" customHeight="false" outlineLevel="0" collapsed="false">
      <c r="A956" s="0" t="n">
        <v>114001</v>
      </c>
    </row>
    <row r="957" customFormat="false" ht="15" hidden="false" customHeight="false" outlineLevel="0" collapsed="false">
      <c r="A957" s="0" t="n">
        <v>114001</v>
      </c>
    </row>
    <row r="958" customFormat="false" ht="15" hidden="false" customHeight="false" outlineLevel="0" collapsed="false">
      <c r="A958" s="0" t="n">
        <v>114001</v>
      </c>
    </row>
    <row r="959" customFormat="false" ht="15" hidden="false" customHeight="false" outlineLevel="0" collapsed="false">
      <c r="A959" s="0" t="n">
        <v>114001</v>
      </c>
    </row>
    <row r="960" customFormat="false" ht="15" hidden="false" customHeight="false" outlineLevel="0" collapsed="false">
      <c r="A960" s="0" t="n">
        <v>114001</v>
      </c>
    </row>
    <row r="961" customFormat="false" ht="15" hidden="false" customHeight="false" outlineLevel="0" collapsed="false">
      <c r="A961" s="0" t="n">
        <v>114001</v>
      </c>
    </row>
    <row r="962" customFormat="false" ht="15" hidden="false" customHeight="false" outlineLevel="0" collapsed="false">
      <c r="A962" s="0" t="n">
        <v>114001</v>
      </c>
    </row>
    <row r="963" customFormat="false" ht="15" hidden="false" customHeight="false" outlineLevel="0" collapsed="false">
      <c r="A963" s="0" t="n">
        <v>114001</v>
      </c>
    </row>
    <row r="964" customFormat="false" ht="15" hidden="false" customHeight="false" outlineLevel="0" collapsed="false">
      <c r="A964" s="0" t="n">
        <v>114001</v>
      </c>
    </row>
    <row r="965" customFormat="false" ht="15" hidden="false" customHeight="false" outlineLevel="0" collapsed="false">
      <c r="A965" s="0" t="n">
        <v>114001</v>
      </c>
    </row>
    <row r="966" customFormat="false" ht="15" hidden="false" customHeight="false" outlineLevel="0" collapsed="false">
      <c r="A966" s="0" t="n">
        <v>114001</v>
      </c>
    </row>
    <row r="967" customFormat="false" ht="15" hidden="false" customHeight="false" outlineLevel="0" collapsed="false">
      <c r="A967" s="0" t="n">
        <v>114001</v>
      </c>
    </row>
    <row r="968" customFormat="false" ht="15" hidden="false" customHeight="false" outlineLevel="0" collapsed="false">
      <c r="A968" s="0" t="n">
        <v>114001</v>
      </c>
    </row>
    <row r="969" customFormat="false" ht="15" hidden="false" customHeight="false" outlineLevel="0" collapsed="false">
      <c r="A969" s="0" t="n">
        <v>114001</v>
      </c>
    </row>
    <row r="970" customFormat="false" ht="15" hidden="false" customHeight="false" outlineLevel="0" collapsed="false">
      <c r="A970" s="0" t="n">
        <v>114001</v>
      </c>
    </row>
    <row r="971" customFormat="false" ht="15" hidden="false" customHeight="false" outlineLevel="0" collapsed="false">
      <c r="A971" s="0" t="n">
        <v>114001</v>
      </c>
    </row>
    <row r="972" customFormat="false" ht="15" hidden="false" customHeight="false" outlineLevel="0" collapsed="false">
      <c r="A972" s="0" t="n">
        <v>114001</v>
      </c>
    </row>
    <row r="973" customFormat="false" ht="15" hidden="false" customHeight="false" outlineLevel="0" collapsed="false">
      <c r="A973" s="0" t="n">
        <v>114001</v>
      </c>
    </row>
    <row r="974" customFormat="false" ht="15" hidden="false" customHeight="false" outlineLevel="0" collapsed="false">
      <c r="A974" s="0" t="n">
        <v>114001</v>
      </c>
    </row>
    <row r="975" customFormat="false" ht="15" hidden="false" customHeight="false" outlineLevel="0" collapsed="false">
      <c r="A975" s="0" t="n">
        <v>114001</v>
      </c>
    </row>
    <row r="976" customFormat="false" ht="15" hidden="false" customHeight="false" outlineLevel="0" collapsed="false">
      <c r="A976" s="0" t="n">
        <v>114001</v>
      </c>
    </row>
    <row r="977" customFormat="false" ht="15" hidden="false" customHeight="false" outlineLevel="0" collapsed="false">
      <c r="A977" s="0" t="n">
        <v>114001</v>
      </c>
    </row>
    <row r="978" customFormat="false" ht="15" hidden="false" customHeight="false" outlineLevel="0" collapsed="false">
      <c r="A978" s="0" t="n">
        <v>114001</v>
      </c>
    </row>
    <row r="979" customFormat="false" ht="15" hidden="false" customHeight="false" outlineLevel="0" collapsed="false">
      <c r="A979" s="0" t="n">
        <v>114001</v>
      </c>
    </row>
    <row r="980" customFormat="false" ht="15" hidden="false" customHeight="false" outlineLevel="0" collapsed="false">
      <c r="A980" s="0" t="n">
        <v>114001</v>
      </c>
    </row>
    <row r="981" customFormat="false" ht="15" hidden="false" customHeight="false" outlineLevel="0" collapsed="false">
      <c r="A981" s="0" t="n">
        <v>114001</v>
      </c>
    </row>
    <row r="982" customFormat="false" ht="15" hidden="false" customHeight="false" outlineLevel="0" collapsed="false">
      <c r="A982" s="0" t="n">
        <v>114001</v>
      </c>
    </row>
    <row r="983" customFormat="false" ht="15" hidden="false" customHeight="false" outlineLevel="0" collapsed="false">
      <c r="A983" s="0" t="n">
        <v>114001</v>
      </c>
    </row>
    <row r="984" customFormat="false" ht="15" hidden="false" customHeight="false" outlineLevel="0" collapsed="false">
      <c r="A984" s="0" t="n">
        <v>114001</v>
      </c>
    </row>
    <row r="985" customFormat="false" ht="15" hidden="false" customHeight="false" outlineLevel="0" collapsed="false">
      <c r="A985" s="0" t="n">
        <v>114001</v>
      </c>
    </row>
    <row r="986" customFormat="false" ht="15" hidden="false" customHeight="false" outlineLevel="0" collapsed="false">
      <c r="A986" s="0" t="n">
        <v>114001</v>
      </c>
    </row>
    <row r="987" customFormat="false" ht="15" hidden="false" customHeight="false" outlineLevel="0" collapsed="false">
      <c r="A987" s="0" t="n">
        <v>114001</v>
      </c>
    </row>
    <row r="988" customFormat="false" ht="15" hidden="false" customHeight="false" outlineLevel="0" collapsed="false">
      <c r="A988" s="0" t="n">
        <v>114001</v>
      </c>
    </row>
    <row r="989" customFormat="false" ht="15" hidden="false" customHeight="false" outlineLevel="0" collapsed="false">
      <c r="A989" s="0" t="n">
        <v>114001</v>
      </c>
    </row>
    <row r="990" customFormat="false" ht="15" hidden="false" customHeight="false" outlineLevel="0" collapsed="false">
      <c r="A990" s="0" t="n">
        <v>114001</v>
      </c>
    </row>
    <row r="991" customFormat="false" ht="15" hidden="false" customHeight="false" outlineLevel="0" collapsed="false">
      <c r="A991" s="0" t="n">
        <v>114001</v>
      </c>
    </row>
    <row r="992" customFormat="false" ht="15" hidden="false" customHeight="false" outlineLevel="0" collapsed="false">
      <c r="A992" s="0" t="n">
        <v>114001</v>
      </c>
    </row>
    <row r="993" customFormat="false" ht="15" hidden="false" customHeight="false" outlineLevel="0" collapsed="false">
      <c r="A993" s="0" t="n">
        <v>114001</v>
      </c>
    </row>
    <row r="994" customFormat="false" ht="15" hidden="false" customHeight="false" outlineLevel="0" collapsed="false">
      <c r="A994" s="0" t="n">
        <v>114001</v>
      </c>
    </row>
    <row r="995" customFormat="false" ht="15" hidden="false" customHeight="false" outlineLevel="0" collapsed="false">
      <c r="A995" s="0" t="n">
        <v>114001</v>
      </c>
    </row>
    <row r="996" customFormat="false" ht="15" hidden="false" customHeight="false" outlineLevel="0" collapsed="false">
      <c r="A996" s="0" t="n">
        <v>114001</v>
      </c>
    </row>
    <row r="997" customFormat="false" ht="15" hidden="false" customHeight="false" outlineLevel="0" collapsed="false">
      <c r="A997" s="0" t="n">
        <v>114001</v>
      </c>
    </row>
    <row r="998" customFormat="false" ht="15" hidden="false" customHeight="false" outlineLevel="0" collapsed="false">
      <c r="A998" s="0" t="n">
        <v>114001</v>
      </c>
    </row>
    <row r="999" customFormat="false" ht="15" hidden="false" customHeight="false" outlineLevel="0" collapsed="false">
      <c r="A999" s="0" t="n">
        <v>114001</v>
      </c>
    </row>
    <row r="1000" customFormat="false" ht="15" hidden="false" customHeight="false" outlineLevel="0" collapsed="false">
      <c r="A1000" s="0" t="n">
        <v>114001</v>
      </c>
    </row>
    <row r="1001" customFormat="false" ht="15" hidden="false" customHeight="false" outlineLevel="0" collapsed="false">
      <c r="A1001" s="0" t="n">
        <v>114001</v>
      </c>
    </row>
    <row r="1002" customFormat="false" ht="15" hidden="false" customHeight="false" outlineLevel="0" collapsed="false">
      <c r="A1002" s="0" t="n">
        <v>114001</v>
      </c>
    </row>
    <row r="1003" customFormat="false" ht="15" hidden="false" customHeight="false" outlineLevel="0" collapsed="false">
      <c r="A1003" s="0" t="n">
        <v>114001</v>
      </c>
    </row>
    <row r="1004" customFormat="false" ht="15" hidden="false" customHeight="false" outlineLevel="0" collapsed="false">
      <c r="A1004" s="0" t="n">
        <v>114001</v>
      </c>
    </row>
    <row r="1005" customFormat="false" ht="15" hidden="false" customHeight="false" outlineLevel="0" collapsed="false">
      <c r="A1005" s="0" t="n">
        <v>114001</v>
      </c>
    </row>
    <row r="1006" customFormat="false" ht="15" hidden="false" customHeight="false" outlineLevel="0" collapsed="false">
      <c r="A1006" s="0" t="n">
        <v>114001</v>
      </c>
    </row>
    <row r="1007" customFormat="false" ht="15" hidden="false" customHeight="false" outlineLevel="0" collapsed="false">
      <c r="A1007" s="0" t="n">
        <v>114001</v>
      </c>
    </row>
    <row r="1008" customFormat="false" ht="15" hidden="false" customHeight="false" outlineLevel="0" collapsed="false">
      <c r="A1008" s="0" t="n">
        <v>114001</v>
      </c>
    </row>
    <row r="1009" customFormat="false" ht="15" hidden="false" customHeight="false" outlineLevel="0" collapsed="false">
      <c r="A1009" s="0" t="n">
        <v>114001</v>
      </c>
    </row>
    <row r="1010" customFormat="false" ht="15" hidden="false" customHeight="false" outlineLevel="0" collapsed="false">
      <c r="A1010" s="0" t="n">
        <v>114001</v>
      </c>
    </row>
    <row r="1011" customFormat="false" ht="15" hidden="false" customHeight="false" outlineLevel="0" collapsed="false">
      <c r="A1011" s="0" t="n">
        <v>114001</v>
      </c>
    </row>
    <row r="1012" customFormat="false" ht="15" hidden="false" customHeight="false" outlineLevel="0" collapsed="false">
      <c r="A1012" s="0" t="n">
        <v>114001</v>
      </c>
    </row>
    <row r="1013" customFormat="false" ht="15" hidden="false" customHeight="false" outlineLevel="0" collapsed="false">
      <c r="A1013" s="0" t="n">
        <v>114001</v>
      </c>
    </row>
    <row r="1014" customFormat="false" ht="15" hidden="false" customHeight="false" outlineLevel="0" collapsed="false">
      <c r="A1014" s="0" t="n">
        <v>114001</v>
      </c>
    </row>
    <row r="1015" customFormat="false" ht="15" hidden="false" customHeight="false" outlineLevel="0" collapsed="false">
      <c r="A1015" s="0" t="n">
        <v>114001</v>
      </c>
    </row>
    <row r="1016" customFormat="false" ht="15" hidden="false" customHeight="false" outlineLevel="0" collapsed="false">
      <c r="A1016" s="0" t="n">
        <v>114001</v>
      </c>
    </row>
    <row r="1017" customFormat="false" ht="15" hidden="false" customHeight="false" outlineLevel="0" collapsed="false">
      <c r="A1017" s="0" t="n">
        <v>114001</v>
      </c>
    </row>
    <row r="1018" customFormat="false" ht="15" hidden="false" customHeight="false" outlineLevel="0" collapsed="false">
      <c r="A1018" s="0" t="n">
        <v>114001</v>
      </c>
    </row>
    <row r="1019" customFormat="false" ht="15" hidden="false" customHeight="false" outlineLevel="0" collapsed="false">
      <c r="A1019" s="0" t="n">
        <v>114001</v>
      </c>
    </row>
    <row r="1020" customFormat="false" ht="15" hidden="false" customHeight="false" outlineLevel="0" collapsed="false">
      <c r="A1020" s="0" t="n">
        <v>114001</v>
      </c>
    </row>
    <row r="1021" customFormat="false" ht="15" hidden="false" customHeight="false" outlineLevel="0" collapsed="false">
      <c r="A1021" s="0" t="n">
        <v>114001</v>
      </c>
    </row>
    <row r="1022" customFormat="false" ht="15" hidden="false" customHeight="false" outlineLevel="0" collapsed="false">
      <c r="A1022" s="0" t="n">
        <v>114001</v>
      </c>
    </row>
    <row r="1023" customFormat="false" ht="15" hidden="false" customHeight="false" outlineLevel="0" collapsed="false">
      <c r="A1023" s="0" t="n">
        <v>114001</v>
      </c>
    </row>
    <row r="1024" customFormat="false" ht="15" hidden="false" customHeight="false" outlineLevel="0" collapsed="false">
      <c r="A1024" s="0" t="n">
        <v>114001</v>
      </c>
    </row>
    <row r="1025" customFormat="false" ht="15" hidden="false" customHeight="false" outlineLevel="0" collapsed="false">
      <c r="A1025" s="0" t="n">
        <v>114001</v>
      </c>
    </row>
    <row r="1026" customFormat="false" ht="15" hidden="false" customHeight="false" outlineLevel="0" collapsed="false">
      <c r="A1026" s="0" t="n">
        <v>114001</v>
      </c>
    </row>
    <row r="1027" customFormat="false" ht="15" hidden="false" customHeight="false" outlineLevel="0" collapsed="false">
      <c r="A1027" s="0" t="n">
        <v>114001</v>
      </c>
    </row>
    <row r="1028" customFormat="false" ht="15" hidden="false" customHeight="false" outlineLevel="0" collapsed="false">
      <c r="A1028" s="0" t="n">
        <v>114001</v>
      </c>
    </row>
    <row r="1029" customFormat="false" ht="15" hidden="false" customHeight="false" outlineLevel="0" collapsed="false">
      <c r="A1029" s="0" t="n">
        <v>114001</v>
      </c>
    </row>
    <row r="1030" customFormat="false" ht="15" hidden="false" customHeight="false" outlineLevel="0" collapsed="false">
      <c r="A1030" s="0" t="n">
        <v>114001</v>
      </c>
    </row>
    <row r="1031" customFormat="false" ht="15" hidden="false" customHeight="false" outlineLevel="0" collapsed="false">
      <c r="A1031" s="0" t="n">
        <v>114001</v>
      </c>
    </row>
    <row r="1032" customFormat="false" ht="15" hidden="false" customHeight="false" outlineLevel="0" collapsed="false">
      <c r="A1032" s="0" t="n">
        <v>114001</v>
      </c>
    </row>
    <row r="1033" customFormat="false" ht="15" hidden="false" customHeight="false" outlineLevel="0" collapsed="false">
      <c r="A1033" s="0" t="n">
        <v>114001</v>
      </c>
    </row>
    <row r="1034" customFormat="false" ht="15" hidden="false" customHeight="false" outlineLevel="0" collapsed="false">
      <c r="A1034" s="0" t="n">
        <v>114001</v>
      </c>
    </row>
    <row r="1035" customFormat="false" ht="15" hidden="false" customHeight="false" outlineLevel="0" collapsed="false">
      <c r="A1035" s="0" t="n">
        <v>114001</v>
      </c>
    </row>
    <row r="1036" customFormat="false" ht="15" hidden="false" customHeight="false" outlineLevel="0" collapsed="false">
      <c r="A1036" s="0" t="n">
        <v>114001</v>
      </c>
    </row>
    <row r="1037" customFormat="false" ht="15" hidden="false" customHeight="false" outlineLevel="0" collapsed="false">
      <c r="A1037" s="0" t="n">
        <v>114001</v>
      </c>
    </row>
    <row r="1038" customFormat="false" ht="15" hidden="false" customHeight="false" outlineLevel="0" collapsed="false">
      <c r="A1038" s="0" t="n">
        <v>114001</v>
      </c>
    </row>
    <row r="1039" customFormat="false" ht="15" hidden="false" customHeight="false" outlineLevel="0" collapsed="false">
      <c r="A1039" s="0" t="n">
        <v>114001</v>
      </c>
    </row>
    <row r="1040" customFormat="false" ht="15" hidden="false" customHeight="false" outlineLevel="0" collapsed="false">
      <c r="A1040" s="0" t="n">
        <v>114001</v>
      </c>
    </row>
    <row r="1041" customFormat="false" ht="15" hidden="false" customHeight="false" outlineLevel="0" collapsed="false">
      <c r="A1041" s="0" t="n">
        <v>114001</v>
      </c>
    </row>
    <row r="1042" customFormat="false" ht="15" hidden="false" customHeight="false" outlineLevel="0" collapsed="false">
      <c r="A1042" s="0" t="n">
        <v>114001</v>
      </c>
    </row>
    <row r="1043" customFormat="false" ht="15" hidden="false" customHeight="false" outlineLevel="0" collapsed="false">
      <c r="A1043" s="0" t="n">
        <v>114001</v>
      </c>
    </row>
    <row r="1044" customFormat="false" ht="15" hidden="false" customHeight="false" outlineLevel="0" collapsed="false">
      <c r="A1044" s="0" t="n">
        <v>114001</v>
      </c>
    </row>
    <row r="1045" customFormat="false" ht="15" hidden="false" customHeight="false" outlineLevel="0" collapsed="false">
      <c r="A1045" s="0" t="n">
        <v>114001</v>
      </c>
    </row>
    <row r="1046" customFormat="false" ht="15" hidden="false" customHeight="false" outlineLevel="0" collapsed="false">
      <c r="A1046" s="0" t="n">
        <v>114001</v>
      </c>
    </row>
    <row r="1047" customFormat="false" ht="15" hidden="false" customHeight="false" outlineLevel="0" collapsed="false">
      <c r="A1047" s="0" t="n">
        <v>114001</v>
      </c>
    </row>
    <row r="1048" customFormat="false" ht="15" hidden="false" customHeight="false" outlineLevel="0" collapsed="false">
      <c r="A1048" s="0" t="n">
        <v>114001</v>
      </c>
    </row>
    <row r="1049" customFormat="false" ht="15" hidden="false" customHeight="false" outlineLevel="0" collapsed="false">
      <c r="A1049" s="0" t="n">
        <v>114001</v>
      </c>
    </row>
    <row r="1050" customFormat="false" ht="15" hidden="false" customHeight="false" outlineLevel="0" collapsed="false">
      <c r="A1050" s="0" t="n">
        <v>114001</v>
      </c>
    </row>
    <row r="1051" customFormat="false" ht="15" hidden="false" customHeight="false" outlineLevel="0" collapsed="false">
      <c r="A1051" s="0" t="n">
        <v>114001</v>
      </c>
    </row>
    <row r="1052" customFormat="false" ht="15" hidden="false" customHeight="false" outlineLevel="0" collapsed="false">
      <c r="A1052" s="0" t="n">
        <v>114001</v>
      </c>
    </row>
    <row r="1053" customFormat="false" ht="15" hidden="false" customHeight="false" outlineLevel="0" collapsed="false">
      <c r="A1053" s="0" t="n">
        <v>114001</v>
      </c>
    </row>
    <row r="1054" customFormat="false" ht="15" hidden="false" customHeight="false" outlineLevel="0" collapsed="false">
      <c r="A1054" s="0" t="n">
        <v>114001</v>
      </c>
    </row>
    <row r="1055" customFormat="false" ht="15" hidden="false" customHeight="false" outlineLevel="0" collapsed="false">
      <c r="A1055" s="0" t="n">
        <v>114001</v>
      </c>
    </row>
    <row r="1056" customFormat="false" ht="15" hidden="false" customHeight="false" outlineLevel="0" collapsed="false">
      <c r="A1056" s="0" t="n">
        <v>114001</v>
      </c>
    </row>
    <row r="1057" customFormat="false" ht="15" hidden="false" customHeight="false" outlineLevel="0" collapsed="false">
      <c r="A1057" s="0" t="n">
        <v>114001</v>
      </c>
    </row>
    <row r="1058" customFormat="false" ht="15" hidden="false" customHeight="false" outlineLevel="0" collapsed="false">
      <c r="A1058" s="0" t="n">
        <v>114001</v>
      </c>
    </row>
    <row r="1059" customFormat="false" ht="15" hidden="false" customHeight="false" outlineLevel="0" collapsed="false">
      <c r="A1059" s="0" t="n">
        <v>114001</v>
      </c>
    </row>
    <row r="1060" customFormat="false" ht="15" hidden="false" customHeight="false" outlineLevel="0" collapsed="false">
      <c r="A1060" s="0" t="n">
        <v>114001</v>
      </c>
    </row>
    <row r="1061" customFormat="false" ht="15" hidden="false" customHeight="false" outlineLevel="0" collapsed="false">
      <c r="A1061" s="0" t="n">
        <v>114001</v>
      </c>
    </row>
    <row r="1062" customFormat="false" ht="15" hidden="false" customHeight="false" outlineLevel="0" collapsed="false">
      <c r="A1062" s="0" t="n">
        <v>114001</v>
      </c>
    </row>
    <row r="1063" customFormat="false" ht="15" hidden="false" customHeight="false" outlineLevel="0" collapsed="false">
      <c r="A1063" s="0" t="n">
        <v>114001</v>
      </c>
    </row>
    <row r="1064" customFormat="false" ht="15" hidden="false" customHeight="false" outlineLevel="0" collapsed="false">
      <c r="A1064" s="0" t="n">
        <v>114001</v>
      </c>
    </row>
    <row r="1065" customFormat="false" ht="15" hidden="false" customHeight="false" outlineLevel="0" collapsed="false">
      <c r="A1065" s="0" t="n">
        <v>114001</v>
      </c>
    </row>
    <row r="1066" customFormat="false" ht="15" hidden="false" customHeight="false" outlineLevel="0" collapsed="false">
      <c r="A1066" s="0" t="n">
        <v>114001</v>
      </c>
    </row>
    <row r="1067" customFormat="false" ht="15" hidden="false" customHeight="false" outlineLevel="0" collapsed="false">
      <c r="A1067" s="0" t="n">
        <v>114001</v>
      </c>
    </row>
    <row r="1068" customFormat="false" ht="15" hidden="false" customHeight="false" outlineLevel="0" collapsed="false">
      <c r="A1068" s="0" t="n">
        <v>114001</v>
      </c>
    </row>
    <row r="1069" customFormat="false" ht="15" hidden="false" customHeight="false" outlineLevel="0" collapsed="false">
      <c r="A1069" s="0" t="n">
        <v>114001</v>
      </c>
    </row>
    <row r="1070" customFormat="false" ht="15" hidden="false" customHeight="false" outlineLevel="0" collapsed="false">
      <c r="A1070" s="0" t="n">
        <v>114001</v>
      </c>
    </row>
    <row r="1071" customFormat="false" ht="15" hidden="false" customHeight="false" outlineLevel="0" collapsed="false">
      <c r="A1071" s="0" t="n">
        <v>114001</v>
      </c>
    </row>
    <row r="1072" customFormat="false" ht="15" hidden="false" customHeight="false" outlineLevel="0" collapsed="false">
      <c r="A1072" s="0" t="n">
        <v>114001</v>
      </c>
    </row>
    <row r="1073" customFormat="false" ht="15" hidden="false" customHeight="false" outlineLevel="0" collapsed="false">
      <c r="A1073" s="0" t="n">
        <v>114001</v>
      </c>
    </row>
    <row r="1074" customFormat="false" ht="15" hidden="false" customHeight="false" outlineLevel="0" collapsed="false">
      <c r="A1074" s="0" t="n">
        <v>114001</v>
      </c>
    </row>
    <row r="1075" customFormat="false" ht="15" hidden="false" customHeight="false" outlineLevel="0" collapsed="false">
      <c r="A1075" s="0" t="n">
        <v>114001</v>
      </c>
    </row>
    <row r="1076" customFormat="false" ht="15" hidden="false" customHeight="false" outlineLevel="0" collapsed="false">
      <c r="A1076" s="0" t="n">
        <v>114001</v>
      </c>
    </row>
    <row r="1077" customFormat="false" ht="15" hidden="false" customHeight="false" outlineLevel="0" collapsed="false">
      <c r="A1077" s="0" t="n">
        <v>114001</v>
      </c>
    </row>
    <row r="1078" customFormat="false" ht="15" hidden="false" customHeight="false" outlineLevel="0" collapsed="false">
      <c r="A1078" s="0" t="n">
        <v>114001</v>
      </c>
    </row>
    <row r="1079" customFormat="false" ht="15" hidden="false" customHeight="false" outlineLevel="0" collapsed="false">
      <c r="A1079" s="0" t="n">
        <v>114001</v>
      </c>
    </row>
    <row r="1080" customFormat="false" ht="15" hidden="false" customHeight="false" outlineLevel="0" collapsed="false">
      <c r="A1080" s="0" t="n">
        <v>114001</v>
      </c>
    </row>
    <row r="1081" customFormat="false" ht="15" hidden="false" customHeight="false" outlineLevel="0" collapsed="false">
      <c r="A1081" s="0" t="n">
        <v>114001</v>
      </c>
    </row>
    <row r="1082" customFormat="false" ht="15" hidden="false" customHeight="false" outlineLevel="0" collapsed="false">
      <c r="A1082" s="0" t="n">
        <v>114001</v>
      </c>
    </row>
    <row r="1083" customFormat="false" ht="15" hidden="false" customHeight="false" outlineLevel="0" collapsed="false">
      <c r="A1083" s="0" t="n">
        <v>114001</v>
      </c>
    </row>
    <row r="1084" customFormat="false" ht="15" hidden="false" customHeight="false" outlineLevel="0" collapsed="false">
      <c r="A1084" s="0" t="n">
        <v>114001</v>
      </c>
    </row>
    <row r="1085" customFormat="false" ht="15" hidden="false" customHeight="false" outlineLevel="0" collapsed="false">
      <c r="A1085" s="0" t="n">
        <v>114001</v>
      </c>
    </row>
    <row r="1086" customFormat="false" ht="15" hidden="false" customHeight="false" outlineLevel="0" collapsed="false">
      <c r="A1086" s="0" t="n">
        <v>114001</v>
      </c>
    </row>
    <row r="1087" customFormat="false" ht="15" hidden="false" customHeight="false" outlineLevel="0" collapsed="false">
      <c r="A1087" s="0" t="n">
        <v>114001</v>
      </c>
    </row>
    <row r="1088" customFormat="false" ht="15" hidden="false" customHeight="false" outlineLevel="0" collapsed="false">
      <c r="A1088" s="0" t="n">
        <v>114001</v>
      </c>
    </row>
    <row r="1089" customFormat="false" ht="15" hidden="false" customHeight="false" outlineLevel="0" collapsed="false">
      <c r="A1089" s="0" t="n">
        <v>114001</v>
      </c>
    </row>
    <row r="1090" customFormat="false" ht="15" hidden="false" customHeight="false" outlineLevel="0" collapsed="false">
      <c r="A1090" s="0" t="n">
        <v>114001</v>
      </c>
    </row>
    <row r="1091" customFormat="false" ht="15" hidden="false" customHeight="false" outlineLevel="0" collapsed="false">
      <c r="A1091" s="0" t="n">
        <v>114001</v>
      </c>
    </row>
    <row r="1092" customFormat="false" ht="15" hidden="false" customHeight="false" outlineLevel="0" collapsed="false">
      <c r="A1092" s="0" t="n">
        <v>114001</v>
      </c>
    </row>
    <row r="1093" customFormat="false" ht="15" hidden="false" customHeight="false" outlineLevel="0" collapsed="false">
      <c r="A1093" s="0" t="n">
        <v>114001</v>
      </c>
    </row>
    <row r="1094" customFormat="false" ht="15" hidden="false" customHeight="false" outlineLevel="0" collapsed="false">
      <c r="A1094" s="0" t="n">
        <v>114001</v>
      </c>
    </row>
    <row r="1095" customFormat="false" ht="15" hidden="false" customHeight="false" outlineLevel="0" collapsed="false">
      <c r="A1095" s="0" t="n">
        <v>114001</v>
      </c>
    </row>
    <row r="1096" customFormat="false" ht="15" hidden="false" customHeight="false" outlineLevel="0" collapsed="false">
      <c r="A1096" s="0" t="n">
        <v>114001</v>
      </c>
    </row>
    <row r="1097" customFormat="false" ht="15" hidden="false" customHeight="false" outlineLevel="0" collapsed="false">
      <c r="A1097" s="0" t="n">
        <v>114001</v>
      </c>
    </row>
    <row r="1098" customFormat="false" ht="15" hidden="false" customHeight="false" outlineLevel="0" collapsed="false">
      <c r="A1098" s="0" t="n">
        <v>114001</v>
      </c>
    </row>
    <row r="1099" customFormat="false" ht="15" hidden="false" customHeight="false" outlineLevel="0" collapsed="false">
      <c r="A1099" s="0" t="n">
        <v>114001</v>
      </c>
    </row>
    <row r="1100" customFormat="false" ht="15" hidden="false" customHeight="false" outlineLevel="0" collapsed="false">
      <c r="A1100" s="0" t="n">
        <v>114001</v>
      </c>
    </row>
    <row r="1101" customFormat="false" ht="15" hidden="false" customHeight="false" outlineLevel="0" collapsed="false">
      <c r="A1101" s="0" t="n">
        <v>114001</v>
      </c>
    </row>
    <row r="1102" customFormat="false" ht="15" hidden="false" customHeight="false" outlineLevel="0" collapsed="false">
      <c r="A1102" s="0" t="n">
        <v>114001</v>
      </c>
    </row>
    <row r="1103" customFormat="false" ht="15" hidden="false" customHeight="false" outlineLevel="0" collapsed="false">
      <c r="A1103" s="0" t="n">
        <v>114001</v>
      </c>
    </row>
    <row r="1104" customFormat="false" ht="15" hidden="false" customHeight="false" outlineLevel="0" collapsed="false">
      <c r="A1104" s="0" t="n">
        <v>114001</v>
      </c>
    </row>
    <row r="1105" customFormat="false" ht="15" hidden="false" customHeight="false" outlineLevel="0" collapsed="false">
      <c r="A1105" s="0" t="n">
        <v>114001</v>
      </c>
    </row>
    <row r="1106" customFormat="false" ht="15" hidden="false" customHeight="false" outlineLevel="0" collapsed="false">
      <c r="A1106" s="0" t="n">
        <v>114001</v>
      </c>
    </row>
    <row r="1107" customFormat="false" ht="15" hidden="false" customHeight="false" outlineLevel="0" collapsed="false">
      <c r="A1107" s="0" t="n">
        <v>114001</v>
      </c>
    </row>
    <row r="1108" customFormat="false" ht="15" hidden="false" customHeight="false" outlineLevel="0" collapsed="false">
      <c r="A1108" s="0" t="n">
        <v>114001</v>
      </c>
    </row>
    <row r="1109" customFormat="false" ht="15" hidden="false" customHeight="false" outlineLevel="0" collapsed="false">
      <c r="A1109" s="0" t="n">
        <v>114001</v>
      </c>
    </row>
    <row r="1110" customFormat="false" ht="15" hidden="false" customHeight="false" outlineLevel="0" collapsed="false">
      <c r="A1110" s="0" t="n">
        <v>114001</v>
      </c>
    </row>
    <row r="1111" customFormat="false" ht="15" hidden="false" customHeight="false" outlineLevel="0" collapsed="false">
      <c r="A1111" s="0" t="n">
        <v>114001</v>
      </c>
    </row>
    <row r="1112" customFormat="false" ht="15" hidden="false" customHeight="false" outlineLevel="0" collapsed="false">
      <c r="A1112" s="0" t="n">
        <v>114001</v>
      </c>
    </row>
    <row r="1113" customFormat="false" ht="15" hidden="false" customHeight="false" outlineLevel="0" collapsed="false">
      <c r="A1113" s="0" t="n">
        <v>114001</v>
      </c>
    </row>
    <row r="1114" customFormat="false" ht="15" hidden="false" customHeight="false" outlineLevel="0" collapsed="false">
      <c r="A1114" s="0" t="n">
        <v>114001</v>
      </c>
    </row>
    <row r="1115" customFormat="false" ht="15" hidden="false" customHeight="false" outlineLevel="0" collapsed="false">
      <c r="A1115" s="0" t="n">
        <v>114001</v>
      </c>
    </row>
    <row r="1116" customFormat="false" ht="15" hidden="false" customHeight="false" outlineLevel="0" collapsed="false">
      <c r="A1116" s="0" t="n">
        <v>114001</v>
      </c>
    </row>
    <row r="1117" customFormat="false" ht="15" hidden="false" customHeight="false" outlineLevel="0" collapsed="false">
      <c r="A1117" s="0" t="n">
        <v>114001</v>
      </c>
    </row>
    <row r="1118" customFormat="false" ht="15" hidden="false" customHeight="false" outlineLevel="0" collapsed="false">
      <c r="A1118" s="0" t="n">
        <v>114001</v>
      </c>
    </row>
    <row r="1119" customFormat="false" ht="15" hidden="false" customHeight="false" outlineLevel="0" collapsed="false">
      <c r="A1119" s="0" t="n">
        <v>114001</v>
      </c>
    </row>
    <row r="1120" customFormat="false" ht="15" hidden="false" customHeight="false" outlineLevel="0" collapsed="false">
      <c r="A1120" s="0" t="n">
        <v>114001</v>
      </c>
    </row>
    <row r="1121" customFormat="false" ht="15" hidden="false" customHeight="false" outlineLevel="0" collapsed="false">
      <c r="A1121" s="0" t="n">
        <v>114001</v>
      </c>
    </row>
    <row r="1122" customFormat="false" ht="15" hidden="false" customHeight="false" outlineLevel="0" collapsed="false">
      <c r="A1122" s="0" t="n">
        <v>114001</v>
      </c>
    </row>
    <row r="1123" customFormat="false" ht="15" hidden="false" customHeight="false" outlineLevel="0" collapsed="false">
      <c r="A1123" s="0" t="n">
        <v>114001</v>
      </c>
    </row>
    <row r="1124" customFormat="false" ht="15" hidden="false" customHeight="false" outlineLevel="0" collapsed="false">
      <c r="A1124" s="0" t="n">
        <v>114001</v>
      </c>
    </row>
    <row r="1125" customFormat="false" ht="15" hidden="false" customHeight="false" outlineLevel="0" collapsed="false">
      <c r="A1125" s="0" t="n">
        <v>114001</v>
      </c>
    </row>
    <row r="1126" customFormat="false" ht="15" hidden="false" customHeight="false" outlineLevel="0" collapsed="false">
      <c r="A1126" s="0" t="n">
        <v>114001</v>
      </c>
    </row>
    <row r="1127" customFormat="false" ht="15" hidden="false" customHeight="false" outlineLevel="0" collapsed="false">
      <c r="A1127" s="0" t="n">
        <v>114001</v>
      </c>
    </row>
    <row r="1128" customFormat="false" ht="15" hidden="false" customHeight="false" outlineLevel="0" collapsed="false">
      <c r="A1128" s="0" t="n">
        <v>114001</v>
      </c>
    </row>
    <row r="1129" customFormat="false" ht="15" hidden="false" customHeight="false" outlineLevel="0" collapsed="false">
      <c r="A1129" s="0" t="n">
        <v>114001</v>
      </c>
    </row>
    <row r="1130" customFormat="false" ht="15" hidden="false" customHeight="false" outlineLevel="0" collapsed="false">
      <c r="A1130" s="0" t="n">
        <v>114001</v>
      </c>
    </row>
    <row r="1131" customFormat="false" ht="15" hidden="false" customHeight="false" outlineLevel="0" collapsed="false">
      <c r="A1131" s="0" t="n">
        <v>114001</v>
      </c>
    </row>
    <row r="1132" customFormat="false" ht="15" hidden="false" customHeight="false" outlineLevel="0" collapsed="false">
      <c r="A1132" s="0" t="n">
        <v>114001</v>
      </c>
    </row>
    <row r="1133" customFormat="false" ht="15" hidden="false" customHeight="false" outlineLevel="0" collapsed="false">
      <c r="A1133" s="0" t="n">
        <v>114001</v>
      </c>
    </row>
    <row r="1134" customFormat="false" ht="15" hidden="false" customHeight="false" outlineLevel="0" collapsed="false">
      <c r="A1134" s="0" t="n">
        <v>114001</v>
      </c>
    </row>
    <row r="1135" customFormat="false" ht="15" hidden="false" customHeight="false" outlineLevel="0" collapsed="false">
      <c r="A1135" s="0" t="n">
        <v>114001</v>
      </c>
    </row>
    <row r="1136" customFormat="false" ht="15" hidden="false" customHeight="false" outlineLevel="0" collapsed="false">
      <c r="A1136" s="0" t="n">
        <v>114001</v>
      </c>
    </row>
    <row r="1137" customFormat="false" ht="15" hidden="false" customHeight="false" outlineLevel="0" collapsed="false">
      <c r="A1137" s="0" t="n">
        <v>114001</v>
      </c>
    </row>
    <row r="1138" customFormat="false" ht="15" hidden="false" customHeight="false" outlineLevel="0" collapsed="false">
      <c r="A1138" s="0" t="n">
        <v>114001</v>
      </c>
    </row>
    <row r="1139" customFormat="false" ht="15" hidden="false" customHeight="false" outlineLevel="0" collapsed="false">
      <c r="A1139" s="0" t="n">
        <v>114001</v>
      </c>
    </row>
    <row r="1140" customFormat="false" ht="15" hidden="false" customHeight="false" outlineLevel="0" collapsed="false">
      <c r="A1140" s="0" t="n">
        <v>114001</v>
      </c>
    </row>
    <row r="1141" customFormat="false" ht="15" hidden="false" customHeight="false" outlineLevel="0" collapsed="false">
      <c r="A1141" s="0" t="n">
        <v>114001</v>
      </c>
    </row>
    <row r="1142" customFormat="false" ht="15" hidden="false" customHeight="false" outlineLevel="0" collapsed="false">
      <c r="A1142" s="0" t="n">
        <v>114001</v>
      </c>
    </row>
    <row r="1143" customFormat="false" ht="15" hidden="false" customHeight="false" outlineLevel="0" collapsed="false">
      <c r="A1143" s="0" t="n">
        <v>114001</v>
      </c>
    </row>
    <row r="1144" customFormat="false" ht="15" hidden="false" customHeight="false" outlineLevel="0" collapsed="false">
      <c r="A1144" s="0" t="n">
        <v>114001</v>
      </c>
    </row>
    <row r="1145" customFormat="false" ht="15" hidden="false" customHeight="false" outlineLevel="0" collapsed="false">
      <c r="A1145" s="0" t="n">
        <v>114001</v>
      </c>
    </row>
    <row r="1146" customFormat="false" ht="15" hidden="false" customHeight="false" outlineLevel="0" collapsed="false">
      <c r="A1146" s="0" t="n">
        <v>114001</v>
      </c>
    </row>
    <row r="1147" customFormat="false" ht="15" hidden="false" customHeight="false" outlineLevel="0" collapsed="false">
      <c r="A1147" s="0" t="n">
        <v>114001</v>
      </c>
    </row>
    <row r="1148" customFormat="false" ht="15" hidden="false" customHeight="false" outlineLevel="0" collapsed="false">
      <c r="A1148" s="0" t="n">
        <v>114001</v>
      </c>
    </row>
    <row r="1149" customFormat="false" ht="15" hidden="false" customHeight="false" outlineLevel="0" collapsed="false">
      <c r="A1149" s="0" t="n">
        <v>114001</v>
      </c>
    </row>
    <row r="1150" customFormat="false" ht="15" hidden="false" customHeight="false" outlineLevel="0" collapsed="false">
      <c r="A1150" s="0" t="n">
        <v>114001</v>
      </c>
    </row>
    <row r="1151" customFormat="false" ht="15" hidden="false" customHeight="false" outlineLevel="0" collapsed="false">
      <c r="A1151" s="0" t="n">
        <v>114001</v>
      </c>
    </row>
    <row r="1152" customFormat="false" ht="15" hidden="false" customHeight="false" outlineLevel="0" collapsed="false">
      <c r="A1152" s="0" t="n">
        <v>114001</v>
      </c>
    </row>
    <row r="1153" customFormat="false" ht="15" hidden="false" customHeight="false" outlineLevel="0" collapsed="false">
      <c r="A1153" s="0" t="n">
        <v>114001</v>
      </c>
    </row>
    <row r="1154" customFormat="false" ht="15" hidden="false" customHeight="false" outlineLevel="0" collapsed="false">
      <c r="A1154" s="0" t="n">
        <v>114001</v>
      </c>
    </row>
    <row r="1155" customFormat="false" ht="15" hidden="false" customHeight="false" outlineLevel="0" collapsed="false">
      <c r="A1155" s="0" t="n">
        <v>114001</v>
      </c>
    </row>
    <row r="1156" customFormat="false" ht="15" hidden="false" customHeight="false" outlineLevel="0" collapsed="false">
      <c r="A1156" s="0" t="n">
        <v>114001</v>
      </c>
    </row>
    <row r="1157" customFormat="false" ht="15" hidden="false" customHeight="false" outlineLevel="0" collapsed="false">
      <c r="A1157" s="0" t="n">
        <v>114001</v>
      </c>
    </row>
    <row r="1158" customFormat="false" ht="15" hidden="false" customHeight="false" outlineLevel="0" collapsed="false">
      <c r="A1158" s="0" t="n">
        <v>114001</v>
      </c>
    </row>
    <row r="1159" customFormat="false" ht="15" hidden="false" customHeight="false" outlineLevel="0" collapsed="false">
      <c r="A1159" s="0" t="n">
        <v>114001</v>
      </c>
    </row>
    <row r="1160" customFormat="false" ht="15" hidden="false" customHeight="false" outlineLevel="0" collapsed="false">
      <c r="A1160" s="0" t="n">
        <v>114001</v>
      </c>
    </row>
    <row r="1161" customFormat="false" ht="15" hidden="false" customHeight="false" outlineLevel="0" collapsed="false">
      <c r="A1161" s="0" t="n">
        <v>114001</v>
      </c>
    </row>
    <row r="1162" customFormat="false" ht="15" hidden="false" customHeight="false" outlineLevel="0" collapsed="false">
      <c r="A1162" s="0" t="n">
        <v>114001</v>
      </c>
    </row>
    <row r="1163" customFormat="false" ht="15" hidden="false" customHeight="false" outlineLevel="0" collapsed="false">
      <c r="A1163" s="0" t="n">
        <v>114001</v>
      </c>
    </row>
    <row r="1164" customFormat="false" ht="15" hidden="false" customHeight="false" outlineLevel="0" collapsed="false">
      <c r="A1164" s="0" t="n">
        <v>114001</v>
      </c>
    </row>
    <row r="1165" customFormat="false" ht="15" hidden="false" customHeight="false" outlineLevel="0" collapsed="false">
      <c r="A1165" s="0" t="n">
        <v>114001</v>
      </c>
    </row>
    <row r="1166" customFormat="false" ht="15" hidden="false" customHeight="false" outlineLevel="0" collapsed="false">
      <c r="A1166" s="0" t="n">
        <v>114001</v>
      </c>
    </row>
    <row r="1167" customFormat="false" ht="15" hidden="false" customHeight="false" outlineLevel="0" collapsed="false">
      <c r="A1167" s="0" t="n">
        <v>114001</v>
      </c>
    </row>
    <row r="1168" customFormat="false" ht="15" hidden="false" customHeight="false" outlineLevel="0" collapsed="false">
      <c r="A1168" s="0" t="n">
        <v>114001</v>
      </c>
    </row>
    <row r="1169" customFormat="false" ht="15" hidden="false" customHeight="false" outlineLevel="0" collapsed="false">
      <c r="A1169" s="0" t="n">
        <v>114001</v>
      </c>
    </row>
    <row r="1170" customFormat="false" ht="15" hidden="false" customHeight="false" outlineLevel="0" collapsed="false">
      <c r="A1170" s="0" t="n">
        <v>114001</v>
      </c>
    </row>
    <row r="1171" customFormat="false" ht="15" hidden="false" customHeight="false" outlineLevel="0" collapsed="false">
      <c r="A1171" s="0" t="n">
        <v>114001</v>
      </c>
    </row>
    <row r="1172" customFormat="false" ht="15" hidden="false" customHeight="false" outlineLevel="0" collapsed="false">
      <c r="A1172" s="0" t="n">
        <v>114001</v>
      </c>
    </row>
    <row r="1173" customFormat="false" ht="15" hidden="false" customHeight="false" outlineLevel="0" collapsed="false">
      <c r="A1173" s="0" t="n">
        <v>114001</v>
      </c>
    </row>
    <row r="1174" customFormat="false" ht="15" hidden="false" customHeight="false" outlineLevel="0" collapsed="false">
      <c r="A1174" s="0" t="n">
        <v>114001</v>
      </c>
    </row>
    <row r="1175" customFormat="false" ht="15" hidden="false" customHeight="false" outlineLevel="0" collapsed="false">
      <c r="A1175" s="0" t="n">
        <v>114001</v>
      </c>
    </row>
    <row r="1176" customFormat="false" ht="15" hidden="false" customHeight="false" outlineLevel="0" collapsed="false">
      <c r="A1176" s="0" t="n">
        <v>114001</v>
      </c>
    </row>
    <row r="1177" customFormat="false" ht="15" hidden="false" customHeight="false" outlineLevel="0" collapsed="false">
      <c r="A1177" s="0" t="n">
        <v>114001</v>
      </c>
    </row>
    <row r="1178" customFormat="false" ht="15" hidden="false" customHeight="false" outlineLevel="0" collapsed="false">
      <c r="A1178" s="0" t="n">
        <v>114001</v>
      </c>
    </row>
    <row r="1179" customFormat="false" ht="15" hidden="false" customHeight="false" outlineLevel="0" collapsed="false">
      <c r="A1179" s="0" t="n">
        <v>114001</v>
      </c>
    </row>
    <row r="1180" customFormat="false" ht="15" hidden="false" customHeight="false" outlineLevel="0" collapsed="false">
      <c r="A1180" s="0" t="n">
        <v>114001</v>
      </c>
    </row>
    <row r="1181" customFormat="false" ht="15" hidden="false" customHeight="false" outlineLevel="0" collapsed="false">
      <c r="A1181" s="0" t="n">
        <v>114001</v>
      </c>
    </row>
    <row r="1182" customFormat="false" ht="15" hidden="false" customHeight="false" outlineLevel="0" collapsed="false">
      <c r="A1182" s="0" t="n">
        <v>114001</v>
      </c>
    </row>
    <row r="1183" customFormat="false" ht="15" hidden="false" customHeight="false" outlineLevel="0" collapsed="false">
      <c r="A1183" s="0" t="n">
        <v>114001</v>
      </c>
    </row>
    <row r="1184" customFormat="false" ht="15" hidden="false" customHeight="false" outlineLevel="0" collapsed="false">
      <c r="A1184" s="0" t="n">
        <v>114001</v>
      </c>
    </row>
    <row r="1185" customFormat="false" ht="15" hidden="false" customHeight="false" outlineLevel="0" collapsed="false">
      <c r="A1185" s="0" t="n">
        <v>114001</v>
      </c>
    </row>
    <row r="1186" customFormat="false" ht="15" hidden="false" customHeight="false" outlineLevel="0" collapsed="false">
      <c r="A1186" s="0" t="n">
        <v>114001</v>
      </c>
    </row>
    <row r="1187" customFormat="false" ht="15" hidden="false" customHeight="false" outlineLevel="0" collapsed="false">
      <c r="A1187" s="0" t="n">
        <v>114001</v>
      </c>
    </row>
    <row r="1188" customFormat="false" ht="15" hidden="false" customHeight="false" outlineLevel="0" collapsed="false">
      <c r="A1188" s="0" t="n">
        <v>114001</v>
      </c>
    </row>
    <row r="1189" customFormat="false" ht="15" hidden="false" customHeight="false" outlineLevel="0" collapsed="false">
      <c r="A1189" s="0" t="n">
        <v>114001</v>
      </c>
    </row>
    <row r="1190" customFormat="false" ht="15" hidden="false" customHeight="false" outlineLevel="0" collapsed="false">
      <c r="A1190" s="0" t="n">
        <v>114001</v>
      </c>
    </row>
    <row r="1191" customFormat="false" ht="15" hidden="false" customHeight="false" outlineLevel="0" collapsed="false">
      <c r="A1191" s="0" t="n">
        <v>114001</v>
      </c>
    </row>
    <row r="1192" customFormat="false" ht="15" hidden="false" customHeight="false" outlineLevel="0" collapsed="false">
      <c r="A1192" s="0" t="n">
        <v>114001</v>
      </c>
    </row>
    <row r="1193" customFormat="false" ht="15" hidden="false" customHeight="false" outlineLevel="0" collapsed="false">
      <c r="A1193" s="0" t="n">
        <v>114001</v>
      </c>
    </row>
    <row r="1194" customFormat="false" ht="15" hidden="false" customHeight="false" outlineLevel="0" collapsed="false">
      <c r="A1194" s="0" t="n">
        <v>114001</v>
      </c>
    </row>
    <row r="1195" customFormat="false" ht="15" hidden="false" customHeight="false" outlineLevel="0" collapsed="false">
      <c r="A1195" s="0" t="n">
        <v>114001</v>
      </c>
    </row>
    <row r="1196" customFormat="false" ht="15" hidden="false" customHeight="false" outlineLevel="0" collapsed="false">
      <c r="A1196" s="0" t="n">
        <v>114001</v>
      </c>
    </row>
    <row r="1197" customFormat="false" ht="15" hidden="false" customHeight="false" outlineLevel="0" collapsed="false">
      <c r="A1197" s="0" t="n">
        <v>114001</v>
      </c>
    </row>
    <row r="1198" customFormat="false" ht="15" hidden="false" customHeight="false" outlineLevel="0" collapsed="false">
      <c r="A1198" s="0" t="n">
        <v>114001</v>
      </c>
    </row>
    <row r="1199" customFormat="false" ht="15" hidden="false" customHeight="false" outlineLevel="0" collapsed="false">
      <c r="A1199" s="0" t="n">
        <v>114001</v>
      </c>
    </row>
    <row r="1200" customFormat="false" ht="15" hidden="false" customHeight="false" outlineLevel="0" collapsed="false">
      <c r="A1200" s="0" t="n">
        <v>114001</v>
      </c>
    </row>
    <row r="1201" customFormat="false" ht="15" hidden="false" customHeight="false" outlineLevel="0" collapsed="false">
      <c r="A1201" s="0" t="n">
        <v>114001</v>
      </c>
    </row>
    <row r="1202" customFormat="false" ht="15" hidden="false" customHeight="false" outlineLevel="0" collapsed="false">
      <c r="A1202" s="0" t="n">
        <v>114001</v>
      </c>
    </row>
    <row r="1203" customFormat="false" ht="15" hidden="false" customHeight="false" outlineLevel="0" collapsed="false">
      <c r="A1203" s="0" t="n">
        <v>114001</v>
      </c>
    </row>
    <row r="1204" customFormat="false" ht="15" hidden="false" customHeight="false" outlineLevel="0" collapsed="false">
      <c r="A1204" s="0" t="n">
        <v>114001</v>
      </c>
    </row>
    <row r="1205" customFormat="false" ht="15" hidden="false" customHeight="false" outlineLevel="0" collapsed="false">
      <c r="A1205" s="0" t="n">
        <v>114001</v>
      </c>
    </row>
    <row r="1206" customFormat="false" ht="15" hidden="false" customHeight="false" outlineLevel="0" collapsed="false">
      <c r="A1206" s="0" t="n">
        <v>114001</v>
      </c>
    </row>
    <row r="1207" customFormat="false" ht="15" hidden="false" customHeight="false" outlineLevel="0" collapsed="false">
      <c r="A1207" s="0" t="n">
        <v>114001</v>
      </c>
    </row>
    <row r="1208" customFormat="false" ht="15" hidden="false" customHeight="false" outlineLevel="0" collapsed="false">
      <c r="A1208" s="0" t="n">
        <v>114001</v>
      </c>
    </row>
    <row r="1209" customFormat="false" ht="15" hidden="false" customHeight="false" outlineLevel="0" collapsed="false">
      <c r="A1209" s="0" t="n">
        <v>114001</v>
      </c>
    </row>
    <row r="1210" customFormat="false" ht="15" hidden="false" customHeight="false" outlineLevel="0" collapsed="false">
      <c r="A1210" s="0" t="n">
        <v>114001</v>
      </c>
    </row>
    <row r="1211" customFormat="false" ht="15" hidden="false" customHeight="false" outlineLevel="0" collapsed="false">
      <c r="A1211" s="0" t="n">
        <v>114001</v>
      </c>
    </row>
    <row r="1212" customFormat="false" ht="15" hidden="false" customHeight="false" outlineLevel="0" collapsed="false">
      <c r="A1212" s="0" t="n">
        <v>114001</v>
      </c>
    </row>
    <row r="1213" customFormat="false" ht="15" hidden="false" customHeight="false" outlineLevel="0" collapsed="false">
      <c r="A1213" s="0" t="n">
        <v>114001</v>
      </c>
    </row>
    <row r="1214" customFormat="false" ht="15" hidden="false" customHeight="false" outlineLevel="0" collapsed="false">
      <c r="A1214" s="0" t="n">
        <v>114001</v>
      </c>
    </row>
    <row r="1215" customFormat="false" ht="15" hidden="false" customHeight="false" outlineLevel="0" collapsed="false">
      <c r="A1215" s="0" t="n">
        <v>114001</v>
      </c>
    </row>
    <row r="1216" customFormat="false" ht="15" hidden="false" customHeight="false" outlineLevel="0" collapsed="false">
      <c r="A1216" s="0" t="n">
        <v>114001</v>
      </c>
    </row>
    <row r="1217" customFormat="false" ht="15" hidden="false" customHeight="false" outlineLevel="0" collapsed="false">
      <c r="A1217" s="0" t="n">
        <v>114001</v>
      </c>
    </row>
    <row r="1218" customFormat="false" ht="15" hidden="false" customHeight="false" outlineLevel="0" collapsed="false">
      <c r="A1218" s="0" t="n">
        <v>114001</v>
      </c>
    </row>
    <row r="1219" customFormat="false" ht="15" hidden="false" customHeight="false" outlineLevel="0" collapsed="false">
      <c r="A1219" s="0" t="n">
        <v>114001</v>
      </c>
    </row>
    <row r="1220" customFormat="false" ht="15" hidden="false" customHeight="false" outlineLevel="0" collapsed="false">
      <c r="A1220" s="0" t="n">
        <v>114001</v>
      </c>
    </row>
    <row r="1221" customFormat="false" ht="15" hidden="false" customHeight="false" outlineLevel="0" collapsed="false">
      <c r="A1221" s="0" t="n">
        <v>114001</v>
      </c>
    </row>
    <row r="1222" customFormat="false" ht="15" hidden="false" customHeight="false" outlineLevel="0" collapsed="false">
      <c r="A1222" s="0" t="n">
        <v>114001</v>
      </c>
    </row>
    <row r="1223" customFormat="false" ht="15" hidden="false" customHeight="false" outlineLevel="0" collapsed="false">
      <c r="A1223" s="0" t="n">
        <v>114001</v>
      </c>
    </row>
    <row r="1224" customFormat="false" ht="15" hidden="false" customHeight="false" outlineLevel="0" collapsed="false">
      <c r="A1224" s="0" t="n">
        <v>114001</v>
      </c>
    </row>
    <row r="1225" customFormat="false" ht="15" hidden="false" customHeight="false" outlineLevel="0" collapsed="false">
      <c r="A1225" s="0" t="n">
        <v>114001</v>
      </c>
    </row>
    <row r="1226" customFormat="false" ht="15" hidden="false" customHeight="false" outlineLevel="0" collapsed="false">
      <c r="A1226" s="0" t="n">
        <v>114001</v>
      </c>
    </row>
    <row r="1227" customFormat="false" ht="15" hidden="false" customHeight="false" outlineLevel="0" collapsed="false">
      <c r="A1227" s="0" t="n">
        <v>114001</v>
      </c>
    </row>
    <row r="1228" customFormat="false" ht="15" hidden="false" customHeight="false" outlineLevel="0" collapsed="false">
      <c r="A1228" s="0" t="n">
        <v>114001</v>
      </c>
    </row>
    <row r="1229" customFormat="false" ht="15" hidden="false" customHeight="false" outlineLevel="0" collapsed="false">
      <c r="A1229" s="0" t="n">
        <v>114001</v>
      </c>
    </row>
    <row r="1230" customFormat="false" ht="15" hidden="false" customHeight="false" outlineLevel="0" collapsed="false">
      <c r="A1230" s="0" t="n">
        <v>114001</v>
      </c>
    </row>
    <row r="1231" customFormat="false" ht="15" hidden="false" customHeight="false" outlineLevel="0" collapsed="false">
      <c r="A1231" s="0" t="n">
        <v>114001</v>
      </c>
    </row>
    <row r="1232" customFormat="false" ht="15" hidden="false" customHeight="false" outlineLevel="0" collapsed="false">
      <c r="A1232" s="0" t="n">
        <v>114001</v>
      </c>
    </row>
    <row r="1233" customFormat="false" ht="15" hidden="false" customHeight="false" outlineLevel="0" collapsed="false">
      <c r="A1233" s="0" t="n">
        <v>114001</v>
      </c>
    </row>
    <row r="1234" customFormat="false" ht="15" hidden="false" customHeight="false" outlineLevel="0" collapsed="false">
      <c r="A1234" s="0" t="n">
        <v>114001</v>
      </c>
    </row>
    <row r="1235" customFormat="false" ht="15" hidden="false" customHeight="false" outlineLevel="0" collapsed="false">
      <c r="A1235" s="0" t="n">
        <v>114001</v>
      </c>
    </row>
    <row r="1236" customFormat="false" ht="15" hidden="false" customHeight="false" outlineLevel="0" collapsed="false">
      <c r="A1236" s="0" t="n">
        <v>114001</v>
      </c>
    </row>
    <row r="1237" customFormat="false" ht="15" hidden="false" customHeight="false" outlineLevel="0" collapsed="false">
      <c r="A1237" s="0" t="n">
        <v>114001</v>
      </c>
    </row>
    <row r="1238" customFormat="false" ht="15" hidden="false" customHeight="false" outlineLevel="0" collapsed="false">
      <c r="A1238" s="0" t="n">
        <v>114001</v>
      </c>
    </row>
    <row r="1239" customFormat="false" ht="15" hidden="false" customHeight="false" outlineLevel="0" collapsed="false">
      <c r="A1239" s="0" t="n">
        <v>114001</v>
      </c>
    </row>
    <row r="1240" customFormat="false" ht="15" hidden="false" customHeight="false" outlineLevel="0" collapsed="false">
      <c r="A1240" s="0" t="n">
        <v>114001</v>
      </c>
    </row>
    <row r="1241" customFormat="false" ht="15" hidden="false" customHeight="false" outlineLevel="0" collapsed="false">
      <c r="A1241" s="0" t="n">
        <v>114001</v>
      </c>
    </row>
    <row r="1242" customFormat="false" ht="15" hidden="false" customHeight="false" outlineLevel="0" collapsed="false">
      <c r="A1242" s="0" t="n">
        <v>114001</v>
      </c>
    </row>
    <row r="1243" customFormat="false" ht="15" hidden="false" customHeight="false" outlineLevel="0" collapsed="false">
      <c r="A1243" s="0" t="n">
        <v>114001</v>
      </c>
    </row>
    <row r="1244" customFormat="false" ht="15" hidden="false" customHeight="false" outlineLevel="0" collapsed="false">
      <c r="A1244" s="0" t="n">
        <v>114001</v>
      </c>
    </row>
    <row r="1245" customFormat="false" ht="15" hidden="false" customHeight="false" outlineLevel="0" collapsed="false">
      <c r="A1245" s="0" t="n">
        <v>114001</v>
      </c>
    </row>
    <row r="1246" customFormat="false" ht="15" hidden="false" customHeight="false" outlineLevel="0" collapsed="false">
      <c r="A1246" s="0" t="n">
        <v>114001</v>
      </c>
    </row>
    <row r="1247" customFormat="false" ht="15" hidden="false" customHeight="false" outlineLevel="0" collapsed="false">
      <c r="A1247" s="0" t="n">
        <v>114001</v>
      </c>
    </row>
    <row r="1248" customFormat="false" ht="15" hidden="false" customHeight="false" outlineLevel="0" collapsed="false">
      <c r="A1248" s="0" t="n">
        <v>114001</v>
      </c>
    </row>
    <row r="1249" customFormat="false" ht="15" hidden="false" customHeight="false" outlineLevel="0" collapsed="false">
      <c r="A1249" s="0" t="n">
        <v>114001</v>
      </c>
    </row>
    <row r="1250" customFormat="false" ht="15" hidden="false" customHeight="false" outlineLevel="0" collapsed="false">
      <c r="A1250" s="0" t="n">
        <v>114001</v>
      </c>
    </row>
    <row r="1251" customFormat="false" ht="15" hidden="false" customHeight="false" outlineLevel="0" collapsed="false">
      <c r="A1251" s="0" t="n">
        <v>114001</v>
      </c>
    </row>
    <row r="1252" customFormat="false" ht="15" hidden="false" customHeight="false" outlineLevel="0" collapsed="false">
      <c r="A1252" s="0" t="n">
        <v>114001</v>
      </c>
    </row>
    <row r="1253" customFormat="false" ht="15" hidden="false" customHeight="false" outlineLevel="0" collapsed="false">
      <c r="A1253" s="0" t="n">
        <v>114001</v>
      </c>
    </row>
    <row r="1254" customFormat="false" ht="15" hidden="false" customHeight="false" outlineLevel="0" collapsed="false">
      <c r="A1254" s="0" t="n">
        <v>114001</v>
      </c>
    </row>
    <row r="1255" customFormat="false" ht="15" hidden="false" customHeight="false" outlineLevel="0" collapsed="false">
      <c r="A1255" s="0" t="n">
        <v>114001</v>
      </c>
    </row>
    <row r="1256" customFormat="false" ht="15" hidden="false" customHeight="false" outlineLevel="0" collapsed="false">
      <c r="A1256" s="0" t="n">
        <v>114001</v>
      </c>
    </row>
    <row r="1257" customFormat="false" ht="15" hidden="false" customHeight="false" outlineLevel="0" collapsed="false">
      <c r="A1257" s="0" t="n">
        <v>114001</v>
      </c>
    </row>
    <row r="1258" customFormat="false" ht="15" hidden="false" customHeight="false" outlineLevel="0" collapsed="false">
      <c r="A1258" s="0" t="n">
        <v>114001</v>
      </c>
    </row>
    <row r="1259" customFormat="false" ht="15" hidden="false" customHeight="false" outlineLevel="0" collapsed="false">
      <c r="A1259" s="0" t="n">
        <v>114001</v>
      </c>
    </row>
    <row r="1260" customFormat="false" ht="15" hidden="false" customHeight="false" outlineLevel="0" collapsed="false">
      <c r="A1260" s="0" t="n">
        <v>114001</v>
      </c>
    </row>
    <row r="1261" customFormat="false" ht="15" hidden="false" customHeight="false" outlineLevel="0" collapsed="false">
      <c r="A1261" s="0" t="n">
        <v>114001</v>
      </c>
    </row>
    <row r="1262" customFormat="false" ht="15" hidden="false" customHeight="false" outlineLevel="0" collapsed="false">
      <c r="A1262" s="0" t="n">
        <v>114001</v>
      </c>
    </row>
    <row r="1263" customFormat="false" ht="15" hidden="false" customHeight="false" outlineLevel="0" collapsed="false">
      <c r="A1263" s="0" t="n">
        <v>114001</v>
      </c>
    </row>
    <row r="1264" customFormat="false" ht="15" hidden="false" customHeight="false" outlineLevel="0" collapsed="false">
      <c r="A1264" s="0" t="n">
        <v>114001</v>
      </c>
    </row>
    <row r="1265" customFormat="false" ht="15" hidden="false" customHeight="false" outlineLevel="0" collapsed="false">
      <c r="A1265" s="0" t="n">
        <v>114001</v>
      </c>
    </row>
    <row r="1266" customFormat="false" ht="15" hidden="false" customHeight="false" outlineLevel="0" collapsed="false">
      <c r="A1266" s="0" t="n">
        <v>114001</v>
      </c>
    </row>
    <row r="1267" customFormat="false" ht="15" hidden="false" customHeight="false" outlineLevel="0" collapsed="false">
      <c r="A1267" s="0" t="n">
        <v>114001</v>
      </c>
    </row>
    <row r="1268" customFormat="false" ht="15" hidden="false" customHeight="false" outlineLevel="0" collapsed="false">
      <c r="A1268" s="0" t="n">
        <v>114001</v>
      </c>
    </row>
    <row r="1269" customFormat="false" ht="15" hidden="false" customHeight="false" outlineLevel="0" collapsed="false">
      <c r="A1269" s="0" t="n">
        <v>114001</v>
      </c>
    </row>
    <row r="1270" customFormat="false" ht="15" hidden="false" customHeight="false" outlineLevel="0" collapsed="false">
      <c r="A1270" s="0" t="n">
        <v>114001</v>
      </c>
    </row>
    <row r="1271" customFormat="false" ht="15" hidden="false" customHeight="false" outlineLevel="0" collapsed="false">
      <c r="A1271" s="0" t="n">
        <v>114001</v>
      </c>
    </row>
    <row r="1272" customFormat="false" ht="15" hidden="false" customHeight="false" outlineLevel="0" collapsed="false">
      <c r="A1272" s="0" t="n">
        <v>114001</v>
      </c>
    </row>
    <row r="1273" customFormat="false" ht="15" hidden="false" customHeight="false" outlineLevel="0" collapsed="false">
      <c r="A1273" s="0" t="n">
        <v>114001</v>
      </c>
    </row>
    <row r="1274" customFormat="false" ht="15" hidden="false" customHeight="false" outlineLevel="0" collapsed="false">
      <c r="A1274" s="0" t="n">
        <v>114001</v>
      </c>
    </row>
    <row r="1275" customFormat="false" ht="15" hidden="false" customHeight="false" outlineLevel="0" collapsed="false">
      <c r="A1275" s="0" t="n">
        <v>114001</v>
      </c>
    </row>
    <row r="1276" customFormat="false" ht="15" hidden="false" customHeight="false" outlineLevel="0" collapsed="false">
      <c r="A1276" s="0" t="n">
        <v>114001</v>
      </c>
    </row>
    <row r="1277" customFormat="false" ht="15" hidden="false" customHeight="false" outlineLevel="0" collapsed="false">
      <c r="A1277" s="0" t="n">
        <v>114001</v>
      </c>
    </row>
    <row r="1278" customFormat="false" ht="15" hidden="false" customHeight="false" outlineLevel="0" collapsed="false">
      <c r="A1278" s="0" t="n">
        <v>114001</v>
      </c>
    </row>
    <row r="1279" customFormat="false" ht="15" hidden="false" customHeight="false" outlineLevel="0" collapsed="false">
      <c r="A1279" s="0" t="n">
        <v>114001</v>
      </c>
    </row>
    <row r="1280" customFormat="false" ht="15" hidden="false" customHeight="false" outlineLevel="0" collapsed="false">
      <c r="A1280" s="0" t="n">
        <v>114001</v>
      </c>
    </row>
    <row r="1281" customFormat="false" ht="15" hidden="false" customHeight="false" outlineLevel="0" collapsed="false">
      <c r="A1281" s="0" t="n">
        <v>114001</v>
      </c>
    </row>
    <row r="1282" customFormat="false" ht="15" hidden="false" customHeight="false" outlineLevel="0" collapsed="false">
      <c r="A1282" s="0" t="n">
        <v>114001</v>
      </c>
    </row>
    <row r="1283" customFormat="false" ht="15" hidden="false" customHeight="false" outlineLevel="0" collapsed="false">
      <c r="A1283" s="0" t="n">
        <v>114001</v>
      </c>
    </row>
    <row r="1284" customFormat="false" ht="15" hidden="false" customHeight="false" outlineLevel="0" collapsed="false">
      <c r="A1284" s="0" t="n">
        <v>114001</v>
      </c>
    </row>
    <row r="1285" customFormat="false" ht="15" hidden="false" customHeight="false" outlineLevel="0" collapsed="false">
      <c r="A1285" s="0" t="n">
        <v>114001</v>
      </c>
    </row>
    <row r="1286" customFormat="false" ht="15" hidden="false" customHeight="false" outlineLevel="0" collapsed="false">
      <c r="A1286" s="0" t="n">
        <v>114001</v>
      </c>
    </row>
    <row r="1287" customFormat="false" ht="15" hidden="false" customHeight="false" outlineLevel="0" collapsed="false">
      <c r="A1287" s="0" t="n">
        <v>114001</v>
      </c>
    </row>
    <row r="1288" customFormat="false" ht="15" hidden="false" customHeight="false" outlineLevel="0" collapsed="false">
      <c r="A1288" s="0" t="n">
        <v>114001</v>
      </c>
    </row>
    <row r="1289" customFormat="false" ht="15" hidden="false" customHeight="false" outlineLevel="0" collapsed="false">
      <c r="A1289" s="0" t="n">
        <v>114001</v>
      </c>
    </row>
    <row r="1290" customFormat="false" ht="15" hidden="false" customHeight="false" outlineLevel="0" collapsed="false">
      <c r="A1290" s="0" t="n">
        <v>114001</v>
      </c>
    </row>
    <row r="1291" customFormat="false" ht="15" hidden="false" customHeight="false" outlineLevel="0" collapsed="false">
      <c r="A1291" s="0" t="n">
        <v>114001</v>
      </c>
    </row>
    <row r="1292" customFormat="false" ht="15" hidden="false" customHeight="false" outlineLevel="0" collapsed="false">
      <c r="A1292" s="0" t="n">
        <v>114001</v>
      </c>
    </row>
    <row r="1293" customFormat="false" ht="15" hidden="false" customHeight="false" outlineLevel="0" collapsed="false">
      <c r="A1293" s="0" t="n">
        <v>114001</v>
      </c>
    </row>
    <row r="1294" customFormat="false" ht="15" hidden="false" customHeight="false" outlineLevel="0" collapsed="false">
      <c r="A1294" s="0" t="n">
        <v>114001</v>
      </c>
    </row>
    <row r="1295" customFormat="false" ht="15" hidden="false" customHeight="false" outlineLevel="0" collapsed="false">
      <c r="A1295" s="0" t="n">
        <v>114001</v>
      </c>
    </row>
    <row r="1296" customFormat="false" ht="15" hidden="false" customHeight="false" outlineLevel="0" collapsed="false">
      <c r="A1296" s="0" t="n">
        <v>114001</v>
      </c>
    </row>
    <row r="1297" customFormat="false" ht="15" hidden="false" customHeight="false" outlineLevel="0" collapsed="false">
      <c r="A1297" s="0" t="n">
        <v>114001</v>
      </c>
    </row>
    <row r="1298" customFormat="false" ht="15" hidden="false" customHeight="false" outlineLevel="0" collapsed="false">
      <c r="A1298" s="0" t="n">
        <v>114001</v>
      </c>
    </row>
    <row r="1299" customFormat="false" ht="15" hidden="false" customHeight="false" outlineLevel="0" collapsed="false">
      <c r="A1299" s="0" t="n">
        <v>114001</v>
      </c>
    </row>
    <row r="1300" customFormat="false" ht="15" hidden="false" customHeight="false" outlineLevel="0" collapsed="false">
      <c r="A1300" s="0" t="n">
        <v>114001</v>
      </c>
    </row>
    <row r="1301" customFormat="false" ht="15" hidden="false" customHeight="false" outlineLevel="0" collapsed="false">
      <c r="A1301" s="0" t="n">
        <v>114001</v>
      </c>
    </row>
    <row r="1302" customFormat="false" ht="15" hidden="false" customHeight="false" outlineLevel="0" collapsed="false">
      <c r="A1302" s="0" t="n">
        <v>114001</v>
      </c>
    </row>
    <row r="1303" customFormat="false" ht="15" hidden="false" customHeight="false" outlineLevel="0" collapsed="false">
      <c r="A1303" s="0" t="n">
        <v>114001</v>
      </c>
    </row>
    <row r="1304" customFormat="false" ht="15" hidden="false" customHeight="false" outlineLevel="0" collapsed="false">
      <c r="A1304" s="0" t="n">
        <v>114001</v>
      </c>
    </row>
    <row r="1305" customFormat="false" ht="15" hidden="false" customHeight="false" outlineLevel="0" collapsed="false">
      <c r="A1305" s="0" t="n">
        <v>114001</v>
      </c>
    </row>
    <row r="1306" customFormat="false" ht="15" hidden="false" customHeight="false" outlineLevel="0" collapsed="false">
      <c r="A1306" s="0" t="n">
        <v>114001</v>
      </c>
    </row>
    <row r="1307" customFormat="false" ht="15" hidden="false" customHeight="false" outlineLevel="0" collapsed="false">
      <c r="A1307" s="0" t="n">
        <v>114001</v>
      </c>
    </row>
    <row r="1308" customFormat="false" ht="15" hidden="false" customHeight="false" outlineLevel="0" collapsed="false">
      <c r="A1308" s="0" t="n">
        <v>114001</v>
      </c>
    </row>
    <row r="1309" customFormat="false" ht="15" hidden="false" customHeight="false" outlineLevel="0" collapsed="false">
      <c r="A1309" s="0" t="n">
        <v>114001</v>
      </c>
    </row>
    <row r="1310" customFormat="false" ht="15" hidden="false" customHeight="false" outlineLevel="0" collapsed="false">
      <c r="A1310" s="0" t="n">
        <v>114001</v>
      </c>
    </row>
    <row r="1311" customFormat="false" ht="15" hidden="false" customHeight="false" outlineLevel="0" collapsed="false">
      <c r="A1311" s="0" t="n">
        <v>114001</v>
      </c>
    </row>
    <row r="1312" customFormat="false" ht="15" hidden="false" customHeight="false" outlineLevel="0" collapsed="false">
      <c r="A1312" s="0" t="n">
        <v>114001</v>
      </c>
    </row>
    <row r="1313" customFormat="false" ht="15" hidden="false" customHeight="false" outlineLevel="0" collapsed="false">
      <c r="A1313" s="0" t="n">
        <v>114001</v>
      </c>
    </row>
    <row r="1314" customFormat="false" ht="15" hidden="false" customHeight="false" outlineLevel="0" collapsed="false">
      <c r="A1314" s="0" t="n">
        <v>114001</v>
      </c>
    </row>
    <row r="1315" customFormat="false" ht="15" hidden="false" customHeight="false" outlineLevel="0" collapsed="false">
      <c r="A1315" s="0" t="n">
        <v>114001</v>
      </c>
    </row>
    <row r="1316" customFormat="false" ht="15" hidden="false" customHeight="false" outlineLevel="0" collapsed="false">
      <c r="A1316" s="0" t="n">
        <v>114001</v>
      </c>
    </row>
    <row r="1317" customFormat="false" ht="15" hidden="false" customHeight="false" outlineLevel="0" collapsed="false">
      <c r="A1317" s="0" t="n">
        <v>114001</v>
      </c>
    </row>
    <row r="1318" customFormat="false" ht="15" hidden="false" customHeight="false" outlineLevel="0" collapsed="false">
      <c r="A1318" s="0" t="n">
        <v>114001</v>
      </c>
    </row>
    <row r="1319" customFormat="false" ht="15" hidden="false" customHeight="false" outlineLevel="0" collapsed="false">
      <c r="A1319" s="0" t="n">
        <v>114001</v>
      </c>
    </row>
    <row r="1320" customFormat="false" ht="15" hidden="false" customHeight="false" outlineLevel="0" collapsed="false">
      <c r="A1320" s="0" t="n">
        <v>114001</v>
      </c>
    </row>
    <row r="1321" customFormat="false" ht="15" hidden="false" customHeight="false" outlineLevel="0" collapsed="false">
      <c r="A1321" s="0" t="n">
        <v>114001</v>
      </c>
    </row>
    <row r="1322" customFormat="false" ht="15" hidden="false" customHeight="false" outlineLevel="0" collapsed="false">
      <c r="A1322" s="0" t="n">
        <v>114001</v>
      </c>
    </row>
    <row r="1323" customFormat="false" ht="15" hidden="false" customHeight="false" outlineLevel="0" collapsed="false">
      <c r="A1323" s="0" t="n">
        <v>114001</v>
      </c>
    </row>
    <row r="1324" customFormat="false" ht="15" hidden="false" customHeight="false" outlineLevel="0" collapsed="false">
      <c r="A1324" s="0" t="n">
        <v>114001</v>
      </c>
    </row>
    <row r="1325" customFormat="false" ht="15" hidden="false" customHeight="false" outlineLevel="0" collapsed="false">
      <c r="A1325" s="0" t="n">
        <v>114001</v>
      </c>
    </row>
    <row r="1326" customFormat="false" ht="15" hidden="false" customHeight="false" outlineLevel="0" collapsed="false">
      <c r="A1326" s="0" t="n">
        <v>114001</v>
      </c>
    </row>
    <row r="1327" customFormat="false" ht="15" hidden="false" customHeight="false" outlineLevel="0" collapsed="false">
      <c r="A1327" s="0" t="n">
        <v>114001</v>
      </c>
    </row>
    <row r="1328" customFormat="false" ht="15" hidden="false" customHeight="false" outlineLevel="0" collapsed="false">
      <c r="A1328" s="0" t="n">
        <v>114001</v>
      </c>
    </row>
    <row r="1329" customFormat="false" ht="15" hidden="false" customHeight="false" outlineLevel="0" collapsed="false">
      <c r="A1329" s="0" t="n">
        <v>114001</v>
      </c>
    </row>
    <row r="1330" customFormat="false" ht="15" hidden="false" customHeight="false" outlineLevel="0" collapsed="false">
      <c r="A1330" s="0" t="n">
        <v>114001</v>
      </c>
    </row>
    <row r="1331" customFormat="false" ht="15" hidden="false" customHeight="false" outlineLevel="0" collapsed="false">
      <c r="A1331" s="0" t="n">
        <v>114001</v>
      </c>
    </row>
    <row r="1332" customFormat="false" ht="15" hidden="false" customHeight="false" outlineLevel="0" collapsed="false">
      <c r="A1332" s="0" t="n">
        <v>114001</v>
      </c>
    </row>
    <row r="1333" customFormat="false" ht="15" hidden="false" customHeight="false" outlineLevel="0" collapsed="false">
      <c r="A1333" s="0" t="n">
        <v>114001</v>
      </c>
    </row>
    <row r="1334" customFormat="false" ht="15" hidden="false" customHeight="false" outlineLevel="0" collapsed="false">
      <c r="A1334" s="0" t="n">
        <v>114001</v>
      </c>
    </row>
    <row r="1335" customFormat="false" ht="15" hidden="false" customHeight="false" outlineLevel="0" collapsed="false">
      <c r="A1335" s="0" t="n">
        <v>114001</v>
      </c>
    </row>
    <row r="1336" customFormat="false" ht="15" hidden="false" customHeight="false" outlineLevel="0" collapsed="false">
      <c r="A1336" s="0" t="n">
        <v>114001</v>
      </c>
    </row>
    <row r="1337" customFormat="false" ht="15" hidden="false" customHeight="false" outlineLevel="0" collapsed="false">
      <c r="A1337" s="0" t="n">
        <v>114001</v>
      </c>
    </row>
    <row r="1338" customFormat="false" ht="15" hidden="false" customHeight="false" outlineLevel="0" collapsed="false">
      <c r="A1338" s="0" t="n">
        <v>114001</v>
      </c>
    </row>
    <row r="1339" customFormat="false" ht="15" hidden="false" customHeight="false" outlineLevel="0" collapsed="false">
      <c r="A1339" s="0" t="n">
        <v>114001</v>
      </c>
    </row>
    <row r="1340" customFormat="false" ht="15" hidden="false" customHeight="false" outlineLevel="0" collapsed="false">
      <c r="A1340" s="0" t="n">
        <v>114001</v>
      </c>
    </row>
    <row r="1341" customFormat="false" ht="15" hidden="false" customHeight="false" outlineLevel="0" collapsed="false">
      <c r="A1341" s="0" t="n">
        <v>114001</v>
      </c>
    </row>
    <row r="1342" customFormat="false" ht="15" hidden="false" customHeight="false" outlineLevel="0" collapsed="false">
      <c r="A1342" s="0" t="n">
        <v>114001</v>
      </c>
    </row>
    <row r="1343" customFormat="false" ht="15" hidden="false" customHeight="false" outlineLevel="0" collapsed="false">
      <c r="A1343" s="0" t="n">
        <v>114001</v>
      </c>
    </row>
    <row r="1344" customFormat="false" ht="15" hidden="false" customHeight="false" outlineLevel="0" collapsed="false">
      <c r="A1344" s="0" t="n">
        <v>114001</v>
      </c>
    </row>
    <row r="1345" customFormat="false" ht="15" hidden="false" customHeight="false" outlineLevel="0" collapsed="false">
      <c r="A1345" s="0" t="n">
        <v>114001</v>
      </c>
    </row>
    <row r="1346" customFormat="false" ht="15" hidden="false" customHeight="false" outlineLevel="0" collapsed="false">
      <c r="A1346" s="0" t="n">
        <v>114001</v>
      </c>
    </row>
    <row r="1347" customFormat="false" ht="15" hidden="false" customHeight="false" outlineLevel="0" collapsed="false">
      <c r="A1347" s="0" t="n">
        <v>114001</v>
      </c>
    </row>
    <row r="1348" customFormat="false" ht="15" hidden="false" customHeight="false" outlineLevel="0" collapsed="false">
      <c r="A1348" s="0" t="n">
        <v>114001</v>
      </c>
    </row>
    <row r="1349" customFormat="false" ht="15" hidden="false" customHeight="false" outlineLevel="0" collapsed="false">
      <c r="A1349" s="0" t="n">
        <v>114001</v>
      </c>
    </row>
    <row r="1350" customFormat="false" ht="15" hidden="false" customHeight="false" outlineLevel="0" collapsed="false">
      <c r="A1350" s="0" t="n">
        <v>114001</v>
      </c>
    </row>
    <row r="1351" customFormat="false" ht="15" hidden="false" customHeight="false" outlineLevel="0" collapsed="false">
      <c r="A1351" s="0" t="n">
        <v>114001</v>
      </c>
    </row>
    <row r="1352" customFormat="false" ht="15" hidden="false" customHeight="false" outlineLevel="0" collapsed="false">
      <c r="A1352" s="0" t="n">
        <v>114001</v>
      </c>
    </row>
    <row r="1353" customFormat="false" ht="15" hidden="false" customHeight="false" outlineLevel="0" collapsed="false">
      <c r="A1353" s="0" t="n">
        <v>114001</v>
      </c>
    </row>
    <row r="1354" customFormat="false" ht="15" hidden="false" customHeight="false" outlineLevel="0" collapsed="false">
      <c r="A1354" s="0" t="n">
        <v>114001</v>
      </c>
    </row>
    <row r="1355" customFormat="false" ht="15" hidden="false" customHeight="false" outlineLevel="0" collapsed="false">
      <c r="A1355" s="0" t="n">
        <v>114001</v>
      </c>
    </row>
    <row r="1356" customFormat="false" ht="15" hidden="false" customHeight="false" outlineLevel="0" collapsed="false">
      <c r="A1356" s="0" t="n">
        <v>114001</v>
      </c>
    </row>
    <row r="1357" customFormat="false" ht="15" hidden="false" customHeight="false" outlineLevel="0" collapsed="false">
      <c r="A1357" s="0" t="n">
        <v>114001</v>
      </c>
    </row>
    <row r="1358" customFormat="false" ht="15" hidden="false" customHeight="false" outlineLevel="0" collapsed="false">
      <c r="A1358" s="0" t="n">
        <v>114001</v>
      </c>
    </row>
    <row r="1359" customFormat="false" ht="15" hidden="false" customHeight="false" outlineLevel="0" collapsed="false">
      <c r="A1359" s="0" t="n">
        <v>114001</v>
      </c>
    </row>
    <row r="1360" customFormat="false" ht="15" hidden="false" customHeight="false" outlineLevel="0" collapsed="false">
      <c r="A1360" s="0" t="n">
        <v>114001</v>
      </c>
    </row>
    <row r="1361" customFormat="false" ht="15" hidden="false" customHeight="false" outlineLevel="0" collapsed="false">
      <c r="A1361" s="0" t="n">
        <v>114001</v>
      </c>
    </row>
    <row r="1362" customFormat="false" ht="15" hidden="false" customHeight="false" outlineLevel="0" collapsed="false">
      <c r="A1362" s="0" t="n">
        <v>114001</v>
      </c>
    </row>
    <row r="1363" customFormat="false" ht="15" hidden="false" customHeight="false" outlineLevel="0" collapsed="false">
      <c r="A1363" s="0" t="n">
        <v>114001</v>
      </c>
    </row>
    <row r="1364" customFormat="false" ht="15" hidden="false" customHeight="false" outlineLevel="0" collapsed="false">
      <c r="A1364" s="0" t="n">
        <v>114001</v>
      </c>
    </row>
    <row r="1365" customFormat="false" ht="15" hidden="false" customHeight="false" outlineLevel="0" collapsed="false">
      <c r="A1365" s="0" t="n">
        <v>114001</v>
      </c>
    </row>
    <row r="1366" customFormat="false" ht="15" hidden="false" customHeight="false" outlineLevel="0" collapsed="false">
      <c r="A1366" s="0" t="n">
        <v>114001</v>
      </c>
    </row>
    <row r="1367" customFormat="false" ht="15" hidden="false" customHeight="false" outlineLevel="0" collapsed="false">
      <c r="A1367" s="0" t="n">
        <v>114001</v>
      </c>
    </row>
    <row r="1368" customFormat="false" ht="15" hidden="false" customHeight="false" outlineLevel="0" collapsed="false">
      <c r="A1368" s="0" t="n">
        <v>114001</v>
      </c>
    </row>
    <row r="1369" customFormat="false" ht="15" hidden="false" customHeight="false" outlineLevel="0" collapsed="false">
      <c r="A1369" s="0" t="n">
        <v>114001</v>
      </c>
    </row>
    <row r="1370" customFormat="false" ht="15" hidden="false" customHeight="false" outlineLevel="0" collapsed="false">
      <c r="A1370" s="0" t="n">
        <v>114001</v>
      </c>
    </row>
    <row r="1371" customFormat="false" ht="15" hidden="false" customHeight="false" outlineLevel="0" collapsed="false">
      <c r="A1371" s="0" t="n">
        <v>114001</v>
      </c>
    </row>
    <row r="1372" customFormat="false" ht="15" hidden="false" customHeight="false" outlineLevel="0" collapsed="false">
      <c r="A1372" s="0" t="n">
        <v>114001</v>
      </c>
    </row>
    <row r="1373" customFormat="false" ht="15" hidden="false" customHeight="false" outlineLevel="0" collapsed="false">
      <c r="A1373" s="0" t="n">
        <v>114001</v>
      </c>
    </row>
    <row r="1374" customFormat="false" ht="15" hidden="false" customHeight="false" outlineLevel="0" collapsed="false">
      <c r="A1374" s="0" t="n">
        <v>114001</v>
      </c>
    </row>
    <row r="1375" customFormat="false" ht="15" hidden="false" customHeight="false" outlineLevel="0" collapsed="false">
      <c r="A1375" s="0" t="n">
        <v>114001</v>
      </c>
    </row>
    <row r="1376" customFormat="false" ht="15" hidden="false" customHeight="false" outlineLevel="0" collapsed="false">
      <c r="A1376" s="0" t="n">
        <v>114001</v>
      </c>
    </row>
    <row r="1377" customFormat="false" ht="15" hidden="false" customHeight="false" outlineLevel="0" collapsed="false">
      <c r="A1377" s="0" t="n">
        <v>114001</v>
      </c>
    </row>
    <row r="1378" customFormat="false" ht="15" hidden="false" customHeight="false" outlineLevel="0" collapsed="false">
      <c r="A1378" s="0" t="n">
        <v>114001</v>
      </c>
    </row>
    <row r="1379" customFormat="false" ht="15" hidden="false" customHeight="false" outlineLevel="0" collapsed="false">
      <c r="A1379" s="0" t="n">
        <v>114001</v>
      </c>
    </row>
    <row r="1380" customFormat="false" ht="15" hidden="false" customHeight="false" outlineLevel="0" collapsed="false">
      <c r="A1380" s="0" t="n">
        <v>114001</v>
      </c>
    </row>
    <row r="1381" customFormat="false" ht="15" hidden="false" customHeight="false" outlineLevel="0" collapsed="false">
      <c r="A1381" s="0" t="n">
        <v>114001</v>
      </c>
    </row>
    <row r="1382" customFormat="false" ht="15" hidden="false" customHeight="false" outlineLevel="0" collapsed="false">
      <c r="A1382" s="0" t="n">
        <v>114001</v>
      </c>
    </row>
    <row r="1383" customFormat="false" ht="15" hidden="false" customHeight="false" outlineLevel="0" collapsed="false">
      <c r="A1383" s="0" t="n">
        <v>114001</v>
      </c>
    </row>
    <row r="1384" customFormat="false" ht="15" hidden="false" customHeight="false" outlineLevel="0" collapsed="false">
      <c r="A1384" s="0" t="n">
        <v>114001</v>
      </c>
    </row>
    <row r="1385" customFormat="false" ht="15" hidden="false" customHeight="false" outlineLevel="0" collapsed="false">
      <c r="A1385" s="0" t="n">
        <v>114001</v>
      </c>
    </row>
    <row r="1386" customFormat="false" ht="15" hidden="false" customHeight="false" outlineLevel="0" collapsed="false">
      <c r="A1386" s="0" t="n">
        <v>114001</v>
      </c>
    </row>
    <row r="1387" customFormat="false" ht="15" hidden="false" customHeight="false" outlineLevel="0" collapsed="false">
      <c r="A1387" s="0" t="n">
        <v>114001</v>
      </c>
    </row>
    <row r="1388" customFormat="false" ht="15" hidden="false" customHeight="false" outlineLevel="0" collapsed="false">
      <c r="A1388" s="0" t="n">
        <v>114001</v>
      </c>
    </row>
    <row r="1389" customFormat="false" ht="15" hidden="false" customHeight="false" outlineLevel="0" collapsed="false">
      <c r="A1389" s="0" t="n">
        <v>114001</v>
      </c>
    </row>
    <row r="1390" customFormat="false" ht="15" hidden="false" customHeight="false" outlineLevel="0" collapsed="false">
      <c r="A1390" s="0" t="n">
        <v>114001</v>
      </c>
    </row>
    <row r="1391" customFormat="false" ht="15" hidden="false" customHeight="false" outlineLevel="0" collapsed="false">
      <c r="A1391" s="0" t="n">
        <v>114001</v>
      </c>
    </row>
    <row r="1392" customFormat="false" ht="15" hidden="false" customHeight="false" outlineLevel="0" collapsed="false">
      <c r="A1392" s="0" t="n">
        <v>114001</v>
      </c>
    </row>
    <row r="1393" customFormat="false" ht="15" hidden="false" customHeight="false" outlineLevel="0" collapsed="false">
      <c r="A1393" s="0" t="n">
        <v>114001</v>
      </c>
    </row>
    <row r="1394" customFormat="false" ht="15" hidden="false" customHeight="false" outlineLevel="0" collapsed="false">
      <c r="A1394" s="0" t="n">
        <v>114001</v>
      </c>
    </row>
    <row r="1395" customFormat="false" ht="15" hidden="false" customHeight="false" outlineLevel="0" collapsed="false">
      <c r="A1395" s="0" t="n">
        <v>114001</v>
      </c>
    </row>
    <row r="1396" customFormat="false" ht="15" hidden="false" customHeight="false" outlineLevel="0" collapsed="false">
      <c r="A1396" s="0" t="n">
        <v>114001</v>
      </c>
    </row>
    <row r="1397" customFormat="false" ht="15" hidden="false" customHeight="false" outlineLevel="0" collapsed="false">
      <c r="A1397" s="0" t="n">
        <v>114001</v>
      </c>
    </row>
    <row r="1398" customFormat="false" ht="15" hidden="false" customHeight="false" outlineLevel="0" collapsed="false">
      <c r="A1398" s="0" t="n">
        <v>114001</v>
      </c>
    </row>
    <row r="1399" customFormat="false" ht="15" hidden="false" customHeight="false" outlineLevel="0" collapsed="false">
      <c r="A1399" s="0" t="n">
        <v>114001</v>
      </c>
    </row>
    <row r="1400" customFormat="false" ht="15" hidden="false" customHeight="false" outlineLevel="0" collapsed="false">
      <c r="A1400" s="0" t="n">
        <v>114001</v>
      </c>
    </row>
    <row r="1401" customFormat="false" ht="15" hidden="false" customHeight="false" outlineLevel="0" collapsed="false">
      <c r="A1401" s="0" t="n">
        <v>114001</v>
      </c>
    </row>
    <row r="1402" customFormat="false" ht="15" hidden="false" customHeight="false" outlineLevel="0" collapsed="false">
      <c r="A1402" s="0" t="n">
        <v>114001</v>
      </c>
    </row>
    <row r="1403" customFormat="false" ht="15" hidden="false" customHeight="false" outlineLevel="0" collapsed="false">
      <c r="A1403" s="0" t="n">
        <v>114001</v>
      </c>
    </row>
    <row r="1404" customFormat="false" ht="15" hidden="false" customHeight="false" outlineLevel="0" collapsed="false">
      <c r="A1404" s="0" t="n">
        <v>114001</v>
      </c>
    </row>
    <row r="1405" customFormat="false" ht="15" hidden="false" customHeight="false" outlineLevel="0" collapsed="false">
      <c r="A1405" s="0" t="n">
        <v>114001</v>
      </c>
    </row>
    <row r="1406" customFormat="false" ht="15" hidden="false" customHeight="false" outlineLevel="0" collapsed="false">
      <c r="A1406" s="0" t="n">
        <v>114001</v>
      </c>
    </row>
    <row r="1407" customFormat="false" ht="15" hidden="false" customHeight="false" outlineLevel="0" collapsed="false">
      <c r="A1407" s="0" t="n">
        <v>114001</v>
      </c>
    </row>
    <row r="1408" customFormat="false" ht="15" hidden="false" customHeight="false" outlineLevel="0" collapsed="false">
      <c r="A1408" s="0" t="n">
        <v>114001</v>
      </c>
    </row>
    <row r="1409" customFormat="false" ht="15" hidden="false" customHeight="false" outlineLevel="0" collapsed="false">
      <c r="A1409" s="0" t="n">
        <v>114001</v>
      </c>
    </row>
    <row r="1410" customFormat="false" ht="15" hidden="false" customHeight="false" outlineLevel="0" collapsed="false">
      <c r="A1410" s="0" t="n">
        <v>114001</v>
      </c>
    </row>
    <row r="1411" customFormat="false" ht="15" hidden="false" customHeight="false" outlineLevel="0" collapsed="false">
      <c r="A1411" s="0" t="n">
        <v>114001</v>
      </c>
    </row>
    <row r="1412" customFormat="false" ht="15" hidden="false" customHeight="false" outlineLevel="0" collapsed="false">
      <c r="A1412" s="0" t="n">
        <v>114001</v>
      </c>
    </row>
    <row r="1413" customFormat="false" ht="15" hidden="false" customHeight="false" outlineLevel="0" collapsed="false">
      <c r="A1413" s="0" t="n">
        <v>114001</v>
      </c>
    </row>
    <row r="1414" customFormat="false" ht="15" hidden="false" customHeight="false" outlineLevel="0" collapsed="false">
      <c r="A1414" s="0" t="n">
        <v>114001</v>
      </c>
    </row>
    <row r="1415" customFormat="false" ht="15" hidden="false" customHeight="false" outlineLevel="0" collapsed="false">
      <c r="A1415" s="0" t="n">
        <v>114001</v>
      </c>
    </row>
    <row r="1416" customFormat="false" ht="15" hidden="false" customHeight="false" outlineLevel="0" collapsed="false">
      <c r="A1416" s="0" t="n">
        <v>114001</v>
      </c>
    </row>
    <row r="1417" customFormat="false" ht="15" hidden="false" customHeight="false" outlineLevel="0" collapsed="false">
      <c r="A1417" s="0" t="n">
        <v>114001</v>
      </c>
    </row>
    <row r="1418" customFormat="false" ht="15" hidden="false" customHeight="false" outlineLevel="0" collapsed="false">
      <c r="A1418" s="0" t="n">
        <v>114001</v>
      </c>
    </row>
    <row r="1419" customFormat="false" ht="15" hidden="false" customHeight="false" outlineLevel="0" collapsed="false">
      <c r="A1419" s="0" t="n">
        <v>114001</v>
      </c>
    </row>
    <row r="1420" customFormat="false" ht="15" hidden="false" customHeight="false" outlineLevel="0" collapsed="false">
      <c r="A1420" s="0" t="n">
        <v>114001</v>
      </c>
    </row>
    <row r="1421" customFormat="false" ht="15" hidden="false" customHeight="false" outlineLevel="0" collapsed="false">
      <c r="A1421" s="0" t="n">
        <v>114001</v>
      </c>
    </row>
    <row r="1422" customFormat="false" ht="15" hidden="false" customHeight="false" outlineLevel="0" collapsed="false">
      <c r="A1422" s="0" t="n">
        <v>114001</v>
      </c>
    </row>
    <row r="1423" customFormat="false" ht="15" hidden="false" customHeight="false" outlineLevel="0" collapsed="false">
      <c r="A1423" s="0" t="n">
        <v>114001</v>
      </c>
    </row>
    <row r="1424" customFormat="false" ht="15" hidden="false" customHeight="false" outlineLevel="0" collapsed="false">
      <c r="A1424" s="0" t="n">
        <v>114001</v>
      </c>
    </row>
    <row r="1425" customFormat="false" ht="15" hidden="false" customHeight="false" outlineLevel="0" collapsed="false">
      <c r="A1425" s="0" t="n">
        <v>114001</v>
      </c>
    </row>
    <row r="1426" customFormat="false" ht="15" hidden="false" customHeight="false" outlineLevel="0" collapsed="false">
      <c r="A1426" s="0" t="n">
        <v>114001</v>
      </c>
    </row>
    <row r="1427" customFormat="false" ht="15" hidden="false" customHeight="false" outlineLevel="0" collapsed="false">
      <c r="A1427" s="0" t="n">
        <v>114001</v>
      </c>
    </row>
    <row r="1428" customFormat="false" ht="15" hidden="false" customHeight="false" outlineLevel="0" collapsed="false">
      <c r="A1428" s="0" t="n">
        <v>114001</v>
      </c>
    </row>
    <row r="1429" customFormat="false" ht="15" hidden="false" customHeight="false" outlineLevel="0" collapsed="false">
      <c r="A1429" s="0" t="n">
        <v>114001</v>
      </c>
    </row>
    <row r="1430" customFormat="false" ht="15" hidden="false" customHeight="false" outlineLevel="0" collapsed="false">
      <c r="A1430" s="0" t="n">
        <v>114001</v>
      </c>
    </row>
    <row r="1431" customFormat="false" ht="15" hidden="false" customHeight="false" outlineLevel="0" collapsed="false">
      <c r="A1431" s="0" t="n">
        <v>114001</v>
      </c>
    </row>
    <row r="1432" customFormat="false" ht="15" hidden="false" customHeight="false" outlineLevel="0" collapsed="false">
      <c r="A1432" s="0" t="n">
        <v>114001</v>
      </c>
    </row>
    <row r="1433" customFormat="false" ht="15" hidden="false" customHeight="false" outlineLevel="0" collapsed="false">
      <c r="A1433" s="0" t="n">
        <v>114001</v>
      </c>
    </row>
    <row r="1434" customFormat="false" ht="15" hidden="false" customHeight="false" outlineLevel="0" collapsed="false">
      <c r="A1434" s="0" t="n">
        <v>114001</v>
      </c>
    </row>
    <row r="1435" customFormat="false" ht="15" hidden="false" customHeight="false" outlineLevel="0" collapsed="false">
      <c r="A1435" s="0" t="n">
        <v>114001</v>
      </c>
    </row>
    <row r="1436" customFormat="false" ht="15" hidden="false" customHeight="false" outlineLevel="0" collapsed="false">
      <c r="A1436" s="0" t="n">
        <v>114001</v>
      </c>
    </row>
    <row r="1437" customFormat="false" ht="15" hidden="false" customHeight="false" outlineLevel="0" collapsed="false">
      <c r="A1437" s="0" t="n">
        <v>114001</v>
      </c>
    </row>
    <row r="1438" customFormat="false" ht="15" hidden="false" customHeight="false" outlineLevel="0" collapsed="false">
      <c r="A1438" s="0" t="n">
        <v>114001</v>
      </c>
    </row>
    <row r="1439" customFormat="false" ht="15" hidden="false" customHeight="false" outlineLevel="0" collapsed="false">
      <c r="A1439" s="0" t="n">
        <v>114001</v>
      </c>
    </row>
    <row r="1440" customFormat="false" ht="15" hidden="false" customHeight="false" outlineLevel="0" collapsed="false">
      <c r="A1440" s="0" t="n">
        <v>114001</v>
      </c>
    </row>
    <row r="1441" customFormat="false" ht="15" hidden="false" customHeight="false" outlineLevel="0" collapsed="false">
      <c r="A1441" s="0" t="n">
        <v>114001</v>
      </c>
    </row>
    <row r="1442" customFormat="false" ht="15" hidden="false" customHeight="false" outlineLevel="0" collapsed="false">
      <c r="A1442" s="0" t="n">
        <v>114001</v>
      </c>
    </row>
    <row r="1443" customFormat="false" ht="15" hidden="false" customHeight="false" outlineLevel="0" collapsed="false">
      <c r="A1443" s="0" t="n">
        <v>114001</v>
      </c>
    </row>
    <row r="1444" customFormat="false" ht="15" hidden="false" customHeight="false" outlineLevel="0" collapsed="false">
      <c r="A1444" s="0" t="n">
        <v>114001</v>
      </c>
    </row>
    <row r="1445" customFormat="false" ht="15" hidden="false" customHeight="false" outlineLevel="0" collapsed="false">
      <c r="A1445" s="0" t="n">
        <v>114001</v>
      </c>
    </row>
    <row r="1446" customFormat="false" ht="15" hidden="false" customHeight="false" outlineLevel="0" collapsed="false">
      <c r="A1446" s="0" t="n">
        <v>114001</v>
      </c>
    </row>
    <row r="1447" customFormat="false" ht="15" hidden="false" customHeight="false" outlineLevel="0" collapsed="false">
      <c r="A1447" s="0" t="n">
        <v>114001</v>
      </c>
    </row>
    <row r="1448" customFormat="false" ht="15" hidden="false" customHeight="false" outlineLevel="0" collapsed="false">
      <c r="A1448" s="0" t="n">
        <v>114001</v>
      </c>
    </row>
    <row r="1449" customFormat="false" ht="15" hidden="false" customHeight="false" outlineLevel="0" collapsed="false">
      <c r="A1449" s="0" t="n">
        <v>114001</v>
      </c>
    </row>
    <row r="1450" customFormat="false" ht="15" hidden="false" customHeight="false" outlineLevel="0" collapsed="false">
      <c r="A1450" s="0" t="n">
        <v>114001</v>
      </c>
    </row>
    <row r="1451" customFormat="false" ht="15" hidden="false" customHeight="false" outlineLevel="0" collapsed="false">
      <c r="A1451" s="0" t="n">
        <v>114001</v>
      </c>
    </row>
    <row r="1452" customFormat="false" ht="15" hidden="false" customHeight="false" outlineLevel="0" collapsed="false">
      <c r="A1452" s="0" t="n">
        <v>114001</v>
      </c>
    </row>
    <row r="1453" customFormat="false" ht="15" hidden="false" customHeight="false" outlineLevel="0" collapsed="false">
      <c r="A1453" s="0" t="n">
        <v>114001</v>
      </c>
    </row>
    <row r="1454" customFormat="false" ht="15" hidden="false" customHeight="false" outlineLevel="0" collapsed="false">
      <c r="A1454" s="0" t="n">
        <v>114001</v>
      </c>
    </row>
    <row r="1455" customFormat="false" ht="15" hidden="false" customHeight="false" outlineLevel="0" collapsed="false">
      <c r="A1455" s="0" t="n">
        <v>114001</v>
      </c>
    </row>
    <row r="1456" customFormat="false" ht="15" hidden="false" customHeight="false" outlineLevel="0" collapsed="false">
      <c r="A1456" s="0" t="n">
        <v>114001</v>
      </c>
    </row>
    <row r="1457" customFormat="false" ht="15" hidden="false" customHeight="false" outlineLevel="0" collapsed="false">
      <c r="A1457" s="0" t="n">
        <v>114001</v>
      </c>
    </row>
    <row r="1458" customFormat="false" ht="15" hidden="false" customHeight="false" outlineLevel="0" collapsed="false">
      <c r="A1458" s="0" t="n">
        <v>114001</v>
      </c>
    </row>
    <row r="1459" customFormat="false" ht="15" hidden="false" customHeight="false" outlineLevel="0" collapsed="false">
      <c r="A1459" s="0" t="n">
        <v>114001</v>
      </c>
    </row>
    <row r="1460" customFormat="false" ht="15" hidden="false" customHeight="false" outlineLevel="0" collapsed="false">
      <c r="A1460" s="0" t="n">
        <v>114001</v>
      </c>
    </row>
    <row r="1461" customFormat="false" ht="15" hidden="false" customHeight="false" outlineLevel="0" collapsed="false">
      <c r="A1461" s="0" t="n">
        <v>114001</v>
      </c>
    </row>
    <row r="1462" customFormat="false" ht="15" hidden="false" customHeight="false" outlineLevel="0" collapsed="false">
      <c r="A1462" s="0" t="n">
        <v>114001</v>
      </c>
    </row>
    <row r="1463" customFormat="false" ht="15" hidden="false" customHeight="false" outlineLevel="0" collapsed="false">
      <c r="A1463" s="0" t="n">
        <v>114001</v>
      </c>
    </row>
    <row r="1464" customFormat="false" ht="15" hidden="false" customHeight="false" outlineLevel="0" collapsed="false">
      <c r="A1464" s="0" t="n">
        <v>114001</v>
      </c>
    </row>
    <row r="1465" customFormat="false" ht="15" hidden="false" customHeight="false" outlineLevel="0" collapsed="false">
      <c r="A1465" s="0" t="n">
        <v>114001</v>
      </c>
    </row>
    <row r="1466" customFormat="false" ht="15" hidden="false" customHeight="false" outlineLevel="0" collapsed="false">
      <c r="A1466" s="0" t="n">
        <v>114001</v>
      </c>
    </row>
    <row r="1467" customFormat="false" ht="15" hidden="false" customHeight="false" outlineLevel="0" collapsed="false">
      <c r="A1467" s="0" t="n">
        <v>114001</v>
      </c>
    </row>
    <row r="1468" customFormat="false" ht="15" hidden="false" customHeight="false" outlineLevel="0" collapsed="false">
      <c r="A1468" s="0" t="n">
        <v>114001</v>
      </c>
    </row>
    <row r="1469" customFormat="false" ht="15" hidden="false" customHeight="false" outlineLevel="0" collapsed="false">
      <c r="A1469" s="0" t="n">
        <v>114001</v>
      </c>
    </row>
    <row r="1470" customFormat="false" ht="15" hidden="false" customHeight="false" outlineLevel="0" collapsed="false">
      <c r="A1470" s="0" t="n">
        <v>114001</v>
      </c>
    </row>
    <row r="1471" customFormat="false" ht="15" hidden="false" customHeight="false" outlineLevel="0" collapsed="false">
      <c r="A1471" s="0" t="n">
        <v>114001</v>
      </c>
    </row>
    <row r="1472" customFormat="false" ht="15" hidden="false" customHeight="false" outlineLevel="0" collapsed="false">
      <c r="A1472" s="0" t="n">
        <v>114001</v>
      </c>
    </row>
    <row r="1473" customFormat="false" ht="15" hidden="false" customHeight="false" outlineLevel="0" collapsed="false">
      <c r="A1473" s="0" t="n">
        <v>114001</v>
      </c>
    </row>
    <row r="1474" customFormat="false" ht="15" hidden="false" customHeight="false" outlineLevel="0" collapsed="false">
      <c r="A1474" s="0" t="n">
        <v>114001</v>
      </c>
    </row>
    <row r="1475" customFormat="false" ht="15" hidden="false" customHeight="false" outlineLevel="0" collapsed="false">
      <c r="A1475" s="0" t="n">
        <v>114001</v>
      </c>
    </row>
    <row r="1476" customFormat="false" ht="15" hidden="false" customHeight="false" outlineLevel="0" collapsed="false">
      <c r="A1476" s="0" t="n">
        <v>114001</v>
      </c>
    </row>
    <row r="1477" customFormat="false" ht="15" hidden="false" customHeight="false" outlineLevel="0" collapsed="false">
      <c r="A1477" s="0" t="n">
        <v>114001</v>
      </c>
    </row>
    <row r="1478" customFormat="false" ht="15" hidden="false" customHeight="false" outlineLevel="0" collapsed="false">
      <c r="A1478" s="0" t="n">
        <v>114001</v>
      </c>
    </row>
    <row r="1479" customFormat="false" ht="15" hidden="false" customHeight="false" outlineLevel="0" collapsed="false">
      <c r="A1479" s="0" t="n">
        <v>114001</v>
      </c>
    </row>
    <row r="1480" customFormat="false" ht="15" hidden="false" customHeight="false" outlineLevel="0" collapsed="false">
      <c r="A1480" s="0" t="n">
        <v>114001</v>
      </c>
    </row>
    <row r="1481" customFormat="false" ht="15" hidden="false" customHeight="false" outlineLevel="0" collapsed="false">
      <c r="A1481" s="0" t="n">
        <v>114001</v>
      </c>
    </row>
    <row r="1482" customFormat="false" ht="15" hidden="false" customHeight="false" outlineLevel="0" collapsed="false">
      <c r="A1482" s="0" t="n">
        <v>114001</v>
      </c>
    </row>
    <row r="1483" customFormat="false" ht="15" hidden="false" customHeight="false" outlineLevel="0" collapsed="false">
      <c r="A1483" s="0" t="n">
        <v>114001</v>
      </c>
    </row>
    <row r="1484" customFormat="false" ht="15" hidden="false" customHeight="false" outlineLevel="0" collapsed="false">
      <c r="A1484" s="0" t="n">
        <v>114001</v>
      </c>
    </row>
    <row r="1485" customFormat="false" ht="15" hidden="false" customHeight="false" outlineLevel="0" collapsed="false">
      <c r="A1485" s="0" t="n">
        <v>114001</v>
      </c>
    </row>
    <row r="1486" customFormat="false" ht="15" hidden="false" customHeight="false" outlineLevel="0" collapsed="false">
      <c r="A1486" s="0" t="n">
        <v>114001</v>
      </c>
    </row>
    <row r="1487" customFormat="false" ht="15" hidden="false" customHeight="false" outlineLevel="0" collapsed="false">
      <c r="A1487" s="0" t="n">
        <v>114001</v>
      </c>
    </row>
    <row r="1488" customFormat="false" ht="15" hidden="false" customHeight="false" outlineLevel="0" collapsed="false">
      <c r="A1488" s="0" t="n">
        <v>114001</v>
      </c>
    </row>
    <row r="1489" customFormat="false" ht="15" hidden="false" customHeight="false" outlineLevel="0" collapsed="false">
      <c r="A1489" s="0" t="n">
        <v>114001</v>
      </c>
    </row>
    <row r="1490" customFormat="false" ht="15" hidden="false" customHeight="false" outlineLevel="0" collapsed="false">
      <c r="A1490" s="0" t="n">
        <v>114001</v>
      </c>
    </row>
    <row r="1491" customFormat="false" ht="15" hidden="false" customHeight="false" outlineLevel="0" collapsed="false">
      <c r="A1491" s="0" t="n">
        <v>114001</v>
      </c>
    </row>
    <row r="1492" customFormat="false" ht="15" hidden="false" customHeight="false" outlineLevel="0" collapsed="false">
      <c r="A1492" s="0" t="n">
        <v>114001</v>
      </c>
    </row>
    <row r="1493" customFormat="false" ht="15" hidden="false" customHeight="false" outlineLevel="0" collapsed="false">
      <c r="A1493" s="0" t="n">
        <v>114001</v>
      </c>
    </row>
    <row r="1494" customFormat="false" ht="15" hidden="false" customHeight="false" outlineLevel="0" collapsed="false">
      <c r="A1494" s="0" t="n">
        <v>114001</v>
      </c>
    </row>
    <row r="1495" customFormat="false" ht="15" hidden="false" customHeight="false" outlineLevel="0" collapsed="false">
      <c r="A1495" s="0" t="n">
        <v>114001</v>
      </c>
    </row>
    <row r="1496" customFormat="false" ht="15" hidden="false" customHeight="false" outlineLevel="0" collapsed="false">
      <c r="A1496" s="0" t="n">
        <v>114001</v>
      </c>
    </row>
    <row r="1497" customFormat="false" ht="15" hidden="false" customHeight="false" outlineLevel="0" collapsed="false">
      <c r="A1497" s="0" t="n">
        <v>114001</v>
      </c>
    </row>
    <row r="1498" customFormat="false" ht="15" hidden="false" customHeight="false" outlineLevel="0" collapsed="false">
      <c r="A1498" s="0" t="n">
        <v>114001</v>
      </c>
    </row>
    <row r="1499" customFormat="false" ht="15" hidden="false" customHeight="false" outlineLevel="0" collapsed="false">
      <c r="A1499" s="0" t="n">
        <v>114001</v>
      </c>
    </row>
    <row r="1500" customFormat="false" ht="15" hidden="false" customHeight="false" outlineLevel="0" collapsed="false">
      <c r="A1500" s="0" t="n">
        <v>114001</v>
      </c>
    </row>
    <row r="1501" customFormat="false" ht="15" hidden="false" customHeight="false" outlineLevel="0" collapsed="false">
      <c r="A1501" s="0" t="n">
        <v>114001</v>
      </c>
    </row>
    <row r="1502" customFormat="false" ht="15" hidden="false" customHeight="false" outlineLevel="0" collapsed="false">
      <c r="A1502" s="0" t="n">
        <v>114001</v>
      </c>
    </row>
    <row r="1503" customFormat="false" ht="15" hidden="false" customHeight="false" outlineLevel="0" collapsed="false">
      <c r="A1503" s="0" t="n">
        <v>114001</v>
      </c>
    </row>
    <row r="1504" customFormat="false" ht="15" hidden="false" customHeight="false" outlineLevel="0" collapsed="false">
      <c r="A1504" s="0" t="n">
        <v>114001</v>
      </c>
    </row>
    <row r="1505" customFormat="false" ht="15" hidden="false" customHeight="false" outlineLevel="0" collapsed="false">
      <c r="A1505" s="0" t="n">
        <v>114001</v>
      </c>
    </row>
    <row r="1506" customFormat="false" ht="15" hidden="false" customHeight="false" outlineLevel="0" collapsed="false">
      <c r="A1506" s="0" t="n">
        <v>114001</v>
      </c>
    </row>
    <row r="1507" customFormat="false" ht="15" hidden="false" customHeight="false" outlineLevel="0" collapsed="false">
      <c r="A1507" s="0" t="n">
        <v>114001</v>
      </c>
    </row>
    <row r="1508" customFormat="false" ht="15" hidden="false" customHeight="false" outlineLevel="0" collapsed="false">
      <c r="A1508" s="0" t="n">
        <v>114001</v>
      </c>
    </row>
    <row r="1509" customFormat="false" ht="15" hidden="false" customHeight="false" outlineLevel="0" collapsed="false">
      <c r="A1509" s="0" t="n">
        <v>114001</v>
      </c>
    </row>
    <row r="1510" customFormat="false" ht="15" hidden="false" customHeight="false" outlineLevel="0" collapsed="false">
      <c r="A1510" s="0" t="n">
        <v>114001</v>
      </c>
    </row>
    <row r="1511" customFormat="false" ht="15" hidden="false" customHeight="false" outlineLevel="0" collapsed="false">
      <c r="A1511" s="0" t="n">
        <v>114001</v>
      </c>
    </row>
    <row r="1512" customFormat="false" ht="15" hidden="false" customHeight="false" outlineLevel="0" collapsed="false">
      <c r="A1512" s="0" t="n">
        <v>114001</v>
      </c>
    </row>
    <row r="1513" customFormat="false" ht="15" hidden="false" customHeight="false" outlineLevel="0" collapsed="false">
      <c r="A1513" s="0" t="n">
        <v>114001</v>
      </c>
    </row>
    <row r="1514" customFormat="false" ht="15" hidden="false" customHeight="false" outlineLevel="0" collapsed="false">
      <c r="A1514" s="0" t="n">
        <v>114001</v>
      </c>
    </row>
    <row r="1515" customFormat="false" ht="15" hidden="false" customHeight="false" outlineLevel="0" collapsed="false">
      <c r="A1515" s="0" t="n">
        <v>114001</v>
      </c>
    </row>
    <row r="1516" customFormat="false" ht="15" hidden="false" customHeight="false" outlineLevel="0" collapsed="false">
      <c r="A1516" s="0" t="n">
        <v>114001</v>
      </c>
    </row>
    <row r="1517" customFormat="false" ht="15" hidden="false" customHeight="false" outlineLevel="0" collapsed="false">
      <c r="A1517" s="0" t="n">
        <v>114001</v>
      </c>
    </row>
    <row r="1518" customFormat="false" ht="15" hidden="false" customHeight="false" outlineLevel="0" collapsed="false">
      <c r="A1518" s="0" t="n">
        <v>114001</v>
      </c>
    </row>
    <row r="1519" customFormat="false" ht="15" hidden="false" customHeight="false" outlineLevel="0" collapsed="false">
      <c r="A1519" s="0" t="n">
        <v>114001</v>
      </c>
    </row>
    <row r="1520" customFormat="false" ht="15" hidden="false" customHeight="false" outlineLevel="0" collapsed="false">
      <c r="A1520" s="0" t="n">
        <v>114001</v>
      </c>
    </row>
    <row r="1521" customFormat="false" ht="15" hidden="false" customHeight="false" outlineLevel="0" collapsed="false">
      <c r="A1521" s="0" t="n">
        <v>114001</v>
      </c>
    </row>
    <row r="1522" customFormat="false" ht="15" hidden="false" customHeight="false" outlineLevel="0" collapsed="false">
      <c r="A1522" s="0" t="n">
        <v>114001</v>
      </c>
    </row>
    <row r="1523" customFormat="false" ht="15" hidden="false" customHeight="false" outlineLevel="0" collapsed="false">
      <c r="A1523" s="0" t="n">
        <v>114001</v>
      </c>
    </row>
    <row r="1524" customFormat="false" ht="15" hidden="false" customHeight="false" outlineLevel="0" collapsed="false">
      <c r="A1524" s="0" t="n">
        <v>114001</v>
      </c>
    </row>
    <row r="1525" customFormat="false" ht="15" hidden="false" customHeight="false" outlineLevel="0" collapsed="false">
      <c r="A1525" s="0" t="n">
        <v>114001</v>
      </c>
    </row>
    <row r="1526" customFormat="false" ht="15" hidden="false" customHeight="false" outlineLevel="0" collapsed="false">
      <c r="A1526" s="0" t="n">
        <v>114001</v>
      </c>
    </row>
    <row r="1527" customFormat="false" ht="15" hidden="false" customHeight="false" outlineLevel="0" collapsed="false">
      <c r="A1527" s="0" t="n">
        <v>114001</v>
      </c>
    </row>
    <row r="1528" customFormat="false" ht="15" hidden="false" customHeight="false" outlineLevel="0" collapsed="false">
      <c r="A1528" s="0" t="n">
        <v>114001</v>
      </c>
    </row>
    <row r="1529" customFormat="false" ht="15" hidden="false" customHeight="false" outlineLevel="0" collapsed="false">
      <c r="A1529" s="0" t="n">
        <v>114001</v>
      </c>
    </row>
    <row r="1530" customFormat="false" ht="15" hidden="false" customHeight="false" outlineLevel="0" collapsed="false">
      <c r="A1530" s="0" t="n">
        <v>114001</v>
      </c>
    </row>
    <row r="1531" customFormat="false" ht="15" hidden="false" customHeight="false" outlineLevel="0" collapsed="false">
      <c r="A1531" s="0" t="n">
        <v>114001</v>
      </c>
    </row>
    <row r="1532" customFormat="false" ht="15" hidden="false" customHeight="false" outlineLevel="0" collapsed="false">
      <c r="A1532" s="0" t="n">
        <v>114001</v>
      </c>
    </row>
    <row r="1533" customFormat="false" ht="15" hidden="false" customHeight="false" outlineLevel="0" collapsed="false">
      <c r="A1533" s="0" t="n">
        <v>114001</v>
      </c>
    </row>
    <row r="1534" customFormat="false" ht="15" hidden="false" customHeight="false" outlineLevel="0" collapsed="false">
      <c r="A1534" s="0" t="n">
        <v>114001</v>
      </c>
    </row>
    <row r="1535" customFormat="false" ht="15" hidden="false" customHeight="false" outlineLevel="0" collapsed="false">
      <c r="A1535" s="0" t="n">
        <v>114001</v>
      </c>
    </row>
    <row r="1536" customFormat="false" ht="15" hidden="false" customHeight="false" outlineLevel="0" collapsed="false">
      <c r="A1536" s="0" t="n">
        <v>114001</v>
      </c>
    </row>
    <row r="1537" customFormat="false" ht="15" hidden="false" customHeight="false" outlineLevel="0" collapsed="false">
      <c r="A1537" s="0" t="n">
        <v>114001</v>
      </c>
    </row>
    <row r="1538" customFormat="false" ht="15" hidden="false" customHeight="false" outlineLevel="0" collapsed="false">
      <c r="A1538" s="0" t="n">
        <v>114001</v>
      </c>
    </row>
    <row r="1539" customFormat="false" ht="15" hidden="false" customHeight="false" outlineLevel="0" collapsed="false">
      <c r="A1539" s="0" t="n">
        <v>114001</v>
      </c>
    </row>
    <row r="1540" customFormat="false" ht="15" hidden="false" customHeight="false" outlineLevel="0" collapsed="false">
      <c r="A1540" s="0" t="n">
        <v>114001</v>
      </c>
    </row>
    <row r="1541" customFormat="false" ht="15" hidden="false" customHeight="false" outlineLevel="0" collapsed="false">
      <c r="A1541" s="0" t="n">
        <v>114001</v>
      </c>
    </row>
    <row r="1542" customFormat="false" ht="15" hidden="false" customHeight="false" outlineLevel="0" collapsed="false">
      <c r="A1542" s="0" t="n">
        <v>114001</v>
      </c>
    </row>
    <row r="1543" customFormat="false" ht="15" hidden="false" customHeight="false" outlineLevel="0" collapsed="false">
      <c r="A1543" s="0" t="n">
        <v>114001</v>
      </c>
    </row>
    <row r="1544" customFormat="false" ht="15" hidden="false" customHeight="false" outlineLevel="0" collapsed="false">
      <c r="A1544" s="0" t="n">
        <v>114001</v>
      </c>
    </row>
    <row r="1545" customFormat="false" ht="15" hidden="false" customHeight="false" outlineLevel="0" collapsed="false">
      <c r="A1545" s="0" t="n">
        <v>114001</v>
      </c>
    </row>
    <row r="1546" customFormat="false" ht="15" hidden="false" customHeight="false" outlineLevel="0" collapsed="false">
      <c r="A1546" s="0" t="n">
        <v>114001</v>
      </c>
    </row>
    <row r="1547" customFormat="false" ht="15" hidden="false" customHeight="false" outlineLevel="0" collapsed="false">
      <c r="A1547" s="0" t="n">
        <v>114001</v>
      </c>
    </row>
    <row r="1548" customFormat="false" ht="15" hidden="false" customHeight="false" outlineLevel="0" collapsed="false">
      <c r="A1548" s="0" t="n">
        <v>114001</v>
      </c>
    </row>
    <row r="1549" customFormat="false" ht="15" hidden="false" customHeight="false" outlineLevel="0" collapsed="false">
      <c r="A1549" s="0" t="n">
        <v>114001</v>
      </c>
    </row>
    <row r="1550" customFormat="false" ht="15" hidden="false" customHeight="false" outlineLevel="0" collapsed="false">
      <c r="A1550" s="0" t="n">
        <v>114001</v>
      </c>
    </row>
    <row r="1551" customFormat="false" ht="15" hidden="false" customHeight="false" outlineLevel="0" collapsed="false">
      <c r="A1551" s="0" t="n">
        <v>114001</v>
      </c>
    </row>
    <row r="1552" customFormat="false" ht="15" hidden="false" customHeight="false" outlineLevel="0" collapsed="false">
      <c r="A1552" s="0" t="n">
        <v>114001</v>
      </c>
    </row>
    <row r="1553" customFormat="false" ht="15" hidden="false" customHeight="false" outlineLevel="0" collapsed="false">
      <c r="A1553" s="0" t="n">
        <v>114001</v>
      </c>
    </row>
    <row r="1554" customFormat="false" ht="15" hidden="false" customHeight="false" outlineLevel="0" collapsed="false">
      <c r="A1554" s="0" t="n">
        <v>114001</v>
      </c>
    </row>
    <row r="1555" customFormat="false" ht="15" hidden="false" customHeight="false" outlineLevel="0" collapsed="false">
      <c r="A1555" s="0" t="n">
        <v>114001</v>
      </c>
    </row>
    <row r="1556" customFormat="false" ht="15" hidden="false" customHeight="false" outlineLevel="0" collapsed="false">
      <c r="A1556" s="0" t="n">
        <v>114001</v>
      </c>
    </row>
    <row r="1557" customFormat="false" ht="15" hidden="false" customHeight="false" outlineLevel="0" collapsed="false">
      <c r="A1557" s="0" t="n">
        <v>114001</v>
      </c>
    </row>
    <row r="1558" customFormat="false" ht="15" hidden="false" customHeight="false" outlineLevel="0" collapsed="false">
      <c r="A1558" s="0" t="n">
        <v>114001</v>
      </c>
    </row>
    <row r="1559" customFormat="false" ht="15" hidden="false" customHeight="false" outlineLevel="0" collapsed="false">
      <c r="A1559" s="0" t="n">
        <v>114001</v>
      </c>
    </row>
    <row r="1560" customFormat="false" ht="15" hidden="false" customHeight="false" outlineLevel="0" collapsed="false">
      <c r="A1560" s="0" t="n">
        <v>114001</v>
      </c>
    </row>
    <row r="1561" customFormat="false" ht="15" hidden="false" customHeight="false" outlineLevel="0" collapsed="false">
      <c r="A1561" s="0" t="n">
        <v>114001</v>
      </c>
    </row>
    <row r="1562" customFormat="false" ht="15" hidden="false" customHeight="false" outlineLevel="0" collapsed="false">
      <c r="A1562" s="0" t="n">
        <v>114001</v>
      </c>
    </row>
    <row r="1563" customFormat="false" ht="15" hidden="false" customHeight="false" outlineLevel="0" collapsed="false">
      <c r="A1563" s="0" t="n">
        <v>114001</v>
      </c>
    </row>
    <row r="1564" customFormat="false" ht="15" hidden="false" customHeight="false" outlineLevel="0" collapsed="false">
      <c r="A1564" s="0" t="n">
        <v>114001</v>
      </c>
    </row>
    <row r="1565" customFormat="false" ht="15" hidden="false" customHeight="false" outlineLevel="0" collapsed="false">
      <c r="A1565" s="0" t="n">
        <v>114001</v>
      </c>
    </row>
    <row r="1566" customFormat="false" ht="15" hidden="false" customHeight="false" outlineLevel="0" collapsed="false">
      <c r="A1566" s="0" t="n">
        <v>114001</v>
      </c>
    </row>
    <row r="1567" customFormat="false" ht="15" hidden="false" customHeight="false" outlineLevel="0" collapsed="false">
      <c r="A1567" s="0" t="n">
        <v>114001</v>
      </c>
    </row>
    <row r="1568" customFormat="false" ht="15" hidden="false" customHeight="false" outlineLevel="0" collapsed="false">
      <c r="A1568" s="0" t="n">
        <v>114001</v>
      </c>
    </row>
    <row r="1569" customFormat="false" ht="15" hidden="false" customHeight="false" outlineLevel="0" collapsed="false">
      <c r="A1569" s="0" t="n">
        <v>114001</v>
      </c>
    </row>
    <row r="1570" customFormat="false" ht="15" hidden="false" customHeight="false" outlineLevel="0" collapsed="false">
      <c r="A1570" s="0" t="n">
        <v>114001</v>
      </c>
    </row>
    <row r="1571" customFormat="false" ht="15" hidden="false" customHeight="false" outlineLevel="0" collapsed="false">
      <c r="A1571" s="0" t="n">
        <v>114001</v>
      </c>
    </row>
    <row r="1572" customFormat="false" ht="15" hidden="false" customHeight="false" outlineLevel="0" collapsed="false">
      <c r="A1572" s="0" t="n">
        <v>114001</v>
      </c>
    </row>
    <row r="1573" customFormat="false" ht="15" hidden="false" customHeight="false" outlineLevel="0" collapsed="false">
      <c r="A1573" s="0" t="n">
        <v>114001</v>
      </c>
    </row>
    <row r="1574" customFormat="false" ht="15" hidden="false" customHeight="false" outlineLevel="0" collapsed="false">
      <c r="A1574" s="0" t="n">
        <v>114001</v>
      </c>
    </row>
    <row r="1575" customFormat="false" ht="15" hidden="false" customHeight="false" outlineLevel="0" collapsed="false">
      <c r="A1575" s="0" t="n">
        <v>114001</v>
      </c>
    </row>
    <row r="1576" customFormat="false" ht="15" hidden="false" customHeight="false" outlineLevel="0" collapsed="false">
      <c r="A1576" s="0" t="n">
        <v>114001</v>
      </c>
    </row>
    <row r="1577" customFormat="false" ht="15" hidden="false" customHeight="false" outlineLevel="0" collapsed="false">
      <c r="A1577" s="0" t="n">
        <v>114001</v>
      </c>
    </row>
    <row r="1578" customFormat="false" ht="15" hidden="false" customHeight="false" outlineLevel="0" collapsed="false">
      <c r="A1578" s="0" t="n">
        <v>114001</v>
      </c>
    </row>
    <row r="1579" customFormat="false" ht="15" hidden="false" customHeight="false" outlineLevel="0" collapsed="false">
      <c r="A1579" s="0" t="n">
        <v>114001</v>
      </c>
    </row>
    <row r="1580" customFormat="false" ht="15" hidden="false" customHeight="false" outlineLevel="0" collapsed="false">
      <c r="A1580" s="0" t="n">
        <v>114001</v>
      </c>
    </row>
    <row r="1581" customFormat="false" ht="15" hidden="false" customHeight="false" outlineLevel="0" collapsed="false">
      <c r="A1581" s="0" t="n">
        <v>114001</v>
      </c>
    </row>
    <row r="1582" customFormat="false" ht="15" hidden="false" customHeight="false" outlineLevel="0" collapsed="false">
      <c r="A1582" s="0" t="n">
        <v>114001</v>
      </c>
    </row>
    <row r="1583" customFormat="false" ht="15" hidden="false" customHeight="false" outlineLevel="0" collapsed="false">
      <c r="A1583" s="0" t="n">
        <v>114001</v>
      </c>
    </row>
    <row r="1584" customFormat="false" ht="15" hidden="false" customHeight="false" outlineLevel="0" collapsed="false">
      <c r="A1584" s="0" t="n">
        <v>114001</v>
      </c>
    </row>
    <row r="1585" customFormat="false" ht="15" hidden="false" customHeight="false" outlineLevel="0" collapsed="false">
      <c r="A1585" s="0" t="n">
        <v>114001</v>
      </c>
    </row>
    <row r="1586" customFormat="false" ht="15" hidden="false" customHeight="false" outlineLevel="0" collapsed="false">
      <c r="A1586" s="0" t="n">
        <v>114001</v>
      </c>
    </row>
    <row r="1587" customFormat="false" ht="15" hidden="false" customHeight="false" outlineLevel="0" collapsed="false">
      <c r="A1587" s="0" t="n">
        <v>114001</v>
      </c>
    </row>
    <row r="1588" customFormat="false" ht="15" hidden="false" customHeight="false" outlineLevel="0" collapsed="false">
      <c r="A1588" s="0" t="n">
        <v>114001</v>
      </c>
    </row>
    <row r="1589" customFormat="false" ht="15" hidden="false" customHeight="false" outlineLevel="0" collapsed="false">
      <c r="A1589" s="0" t="n">
        <v>114001</v>
      </c>
    </row>
    <row r="1590" customFormat="false" ht="15" hidden="false" customHeight="false" outlineLevel="0" collapsed="false">
      <c r="A1590" s="0" t="n">
        <v>114001</v>
      </c>
    </row>
    <row r="1591" customFormat="false" ht="15" hidden="false" customHeight="false" outlineLevel="0" collapsed="false">
      <c r="A1591" s="0" t="n">
        <v>114001</v>
      </c>
    </row>
    <row r="1592" customFormat="false" ht="15" hidden="false" customHeight="false" outlineLevel="0" collapsed="false">
      <c r="A1592" s="0" t="n">
        <v>114001</v>
      </c>
    </row>
    <row r="1593" customFormat="false" ht="15" hidden="false" customHeight="false" outlineLevel="0" collapsed="false">
      <c r="A1593" s="0" t="n">
        <v>114001</v>
      </c>
    </row>
    <row r="1594" customFormat="false" ht="15" hidden="false" customHeight="false" outlineLevel="0" collapsed="false">
      <c r="A1594" s="0" t="n">
        <v>114001</v>
      </c>
    </row>
    <row r="1595" customFormat="false" ht="15" hidden="false" customHeight="false" outlineLevel="0" collapsed="false">
      <c r="A1595" s="0" t="n">
        <v>114001</v>
      </c>
    </row>
    <row r="1596" customFormat="false" ht="15" hidden="false" customHeight="false" outlineLevel="0" collapsed="false">
      <c r="A1596" s="0" t="n">
        <v>114001</v>
      </c>
    </row>
    <row r="1597" customFormat="false" ht="15" hidden="false" customHeight="false" outlineLevel="0" collapsed="false">
      <c r="A1597" s="0" t="n">
        <v>114001</v>
      </c>
    </row>
    <row r="1598" customFormat="false" ht="15" hidden="false" customHeight="false" outlineLevel="0" collapsed="false">
      <c r="A1598" s="0" t="n">
        <v>114001</v>
      </c>
    </row>
    <row r="1599" customFormat="false" ht="15" hidden="false" customHeight="false" outlineLevel="0" collapsed="false">
      <c r="A1599" s="0" t="n">
        <v>114001</v>
      </c>
    </row>
    <row r="1600" customFormat="false" ht="15" hidden="false" customHeight="false" outlineLevel="0" collapsed="false">
      <c r="A1600" s="0" t="n">
        <v>114001</v>
      </c>
    </row>
    <row r="1601" customFormat="false" ht="15" hidden="false" customHeight="false" outlineLevel="0" collapsed="false">
      <c r="A1601" s="0" t="n">
        <v>114001</v>
      </c>
    </row>
    <row r="1602" customFormat="false" ht="15" hidden="false" customHeight="false" outlineLevel="0" collapsed="false">
      <c r="A1602" s="0" t="n">
        <v>114001</v>
      </c>
    </row>
    <row r="1603" customFormat="false" ht="15" hidden="false" customHeight="false" outlineLevel="0" collapsed="false">
      <c r="A1603" s="0" t="n">
        <v>114001</v>
      </c>
    </row>
    <row r="1604" customFormat="false" ht="15" hidden="false" customHeight="false" outlineLevel="0" collapsed="false">
      <c r="A1604" s="0" t="n">
        <v>114001</v>
      </c>
    </row>
    <row r="1605" customFormat="false" ht="15" hidden="false" customHeight="false" outlineLevel="0" collapsed="false">
      <c r="A1605" s="0" t="n">
        <v>114001</v>
      </c>
    </row>
    <row r="1606" customFormat="false" ht="15" hidden="false" customHeight="false" outlineLevel="0" collapsed="false">
      <c r="A1606" s="0" t="n">
        <v>114001</v>
      </c>
    </row>
    <row r="1607" customFormat="false" ht="15" hidden="false" customHeight="false" outlineLevel="0" collapsed="false">
      <c r="A1607" s="0" t="n">
        <v>114001</v>
      </c>
    </row>
    <row r="1608" customFormat="false" ht="15" hidden="false" customHeight="false" outlineLevel="0" collapsed="false">
      <c r="A1608" s="0" t="n">
        <v>114001</v>
      </c>
    </row>
    <row r="1609" customFormat="false" ht="15" hidden="false" customHeight="false" outlineLevel="0" collapsed="false">
      <c r="A1609" s="0" t="n">
        <v>114001</v>
      </c>
    </row>
    <row r="1610" customFormat="false" ht="15" hidden="false" customHeight="false" outlineLevel="0" collapsed="false">
      <c r="A1610" s="0" t="n">
        <v>114001</v>
      </c>
    </row>
    <row r="1611" customFormat="false" ht="15" hidden="false" customHeight="false" outlineLevel="0" collapsed="false">
      <c r="A1611" s="0" t="n">
        <v>114001</v>
      </c>
    </row>
    <row r="1612" customFormat="false" ht="15" hidden="false" customHeight="false" outlineLevel="0" collapsed="false">
      <c r="A1612" s="0" t="n">
        <v>114001</v>
      </c>
    </row>
    <row r="1613" customFormat="false" ht="15" hidden="false" customHeight="false" outlineLevel="0" collapsed="false">
      <c r="A1613" s="0" t="n">
        <v>114001</v>
      </c>
    </row>
    <row r="1614" customFormat="false" ht="15" hidden="false" customHeight="false" outlineLevel="0" collapsed="false">
      <c r="A1614" s="0" t="n">
        <v>114001</v>
      </c>
    </row>
    <row r="1615" customFormat="false" ht="15" hidden="false" customHeight="false" outlineLevel="0" collapsed="false">
      <c r="A1615" s="0" t="n">
        <v>114001</v>
      </c>
    </row>
    <row r="1616" customFormat="false" ht="15" hidden="false" customHeight="false" outlineLevel="0" collapsed="false">
      <c r="A1616" s="0" t="n">
        <v>114001</v>
      </c>
    </row>
    <row r="1617" customFormat="false" ht="15" hidden="false" customHeight="false" outlineLevel="0" collapsed="false">
      <c r="A1617" s="0" t="n">
        <v>114001</v>
      </c>
    </row>
    <row r="1618" customFormat="false" ht="15" hidden="false" customHeight="false" outlineLevel="0" collapsed="false">
      <c r="A1618" s="0" t="n">
        <v>114001</v>
      </c>
    </row>
    <row r="1619" customFormat="false" ht="15" hidden="false" customHeight="false" outlineLevel="0" collapsed="false">
      <c r="A1619" s="0" t="n">
        <v>114001</v>
      </c>
    </row>
    <row r="1620" customFormat="false" ht="15" hidden="false" customHeight="false" outlineLevel="0" collapsed="false">
      <c r="A1620" s="0" t="n">
        <v>114001</v>
      </c>
    </row>
    <row r="1621" customFormat="false" ht="15" hidden="false" customHeight="false" outlineLevel="0" collapsed="false">
      <c r="A1621" s="0" t="n">
        <v>114001</v>
      </c>
    </row>
    <row r="1622" customFormat="false" ht="15" hidden="false" customHeight="false" outlineLevel="0" collapsed="false">
      <c r="A1622" s="0" t="n">
        <v>114001</v>
      </c>
    </row>
    <row r="1623" customFormat="false" ht="15" hidden="false" customHeight="false" outlineLevel="0" collapsed="false">
      <c r="A1623" s="0" t="n">
        <v>114001</v>
      </c>
    </row>
    <row r="1624" customFormat="false" ht="15" hidden="false" customHeight="false" outlineLevel="0" collapsed="false">
      <c r="A1624" s="0" t="n">
        <v>114002</v>
      </c>
    </row>
    <row r="1625" customFormat="false" ht="15" hidden="false" customHeight="false" outlineLevel="0" collapsed="false">
      <c r="A1625" s="0" t="n">
        <v>114002</v>
      </c>
    </row>
    <row r="1626" customFormat="false" ht="15" hidden="false" customHeight="false" outlineLevel="0" collapsed="false">
      <c r="A1626" s="0" t="n">
        <v>114002</v>
      </c>
    </row>
    <row r="1627" customFormat="false" ht="15" hidden="false" customHeight="false" outlineLevel="0" collapsed="false">
      <c r="A1627" s="0" t="n">
        <v>114002</v>
      </c>
    </row>
    <row r="1628" customFormat="false" ht="15" hidden="false" customHeight="false" outlineLevel="0" collapsed="false">
      <c r="A1628" s="0" t="n">
        <v>114002</v>
      </c>
    </row>
    <row r="1629" customFormat="false" ht="15" hidden="false" customHeight="false" outlineLevel="0" collapsed="false">
      <c r="A1629" s="0" t="n">
        <v>114002</v>
      </c>
    </row>
    <row r="1630" customFormat="false" ht="15" hidden="false" customHeight="false" outlineLevel="0" collapsed="false">
      <c r="A1630" s="0" t="n">
        <v>114002</v>
      </c>
    </row>
    <row r="1631" customFormat="false" ht="15" hidden="false" customHeight="false" outlineLevel="0" collapsed="false">
      <c r="A1631" s="0" t="n">
        <v>114002</v>
      </c>
    </row>
    <row r="1632" customFormat="false" ht="15" hidden="false" customHeight="false" outlineLevel="0" collapsed="false">
      <c r="A1632" s="0" t="n">
        <v>114002</v>
      </c>
    </row>
    <row r="1633" customFormat="false" ht="15" hidden="false" customHeight="false" outlineLevel="0" collapsed="false">
      <c r="A1633" s="0" t="n">
        <v>114002</v>
      </c>
    </row>
    <row r="1634" customFormat="false" ht="15" hidden="false" customHeight="false" outlineLevel="0" collapsed="false">
      <c r="A1634" s="0" t="n">
        <v>114002</v>
      </c>
    </row>
    <row r="1635" customFormat="false" ht="15" hidden="false" customHeight="false" outlineLevel="0" collapsed="false">
      <c r="A1635" s="0" t="n">
        <v>114002</v>
      </c>
    </row>
    <row r="1636" customFormat="false" ht="15" hidden="false" customHeight="false" outlineLevel="0" collapsed="false">
      <c r="A1636" s="0" t="n">
        <v>114002</v>
      </c>
    </row>
    <row r="1637" customFormat="false" ht="15" hidden="false" customHeight="false" outlineLevel="0" collapsed="false">
      <c r="A1637" s="0" t="n">
        <v>114002</v>
      </c>
    </row>
    <row r="1638" customFormat="false" ht="15" hidden="false" customHeight="false" outlineLevel="0" collapsed="false">
      <c r="A1638" s="0" t="n">
        <v>114002</v>
      </c>
    </row>
    <row r="1639" customFormat="false" ht="15" hidden="false" customHeight="false" outlineLevel="0" collapsed="false">
      <c r="A1639" s="0" t="n">
        <v>114002</v>
      </c>
    </row>
    <row r="1640" customFormat="false" ht="15" hidden="false" customHeight="false" outlineLevel="0" collapsed="false">
      <c r="A1640" s="0" t="n">
        <v>114002</v>
      </c>
    </row>
    <row r="1641" customFormat="false" ht="15" hidden="false" customHeight="false" outlineLevel="0" collapsed="false">
      <c r="A1641" s="0" t="n">
        <v>114002</v>
      </c>
    </row>
    <row r="1642" customFormat="false" ht="15" hidden="false" customHeight="false" outlineLevel="0" collapsed="false">
      <c r="A1642" s="0" t="n">
        <v>114002</v>
      </c>
    </row>
    <row r="1643" customFormat="false" ht="15" hidden="false" customHeight="false" outlineLevel="0" collapsed="false">
      <c r="A1643" s="0" t="n">
        <v>114002</v>
      </c>
    </row>
    <row r="1644" customFormat="false" ht="15" hidden="false" customHeight="false" outlineLevel="0" collapsed="false">
      <c r="A1644" s="0" t="n">
        <v>114002</v>
      </c>
    </row>
    <row r="1645" customFormat="false" ht="15" hidden="false" customHeight="false" outlineLevel="0" collapsed="false">
      <c r="A1645" s="0" t="n">
        <v>114002</v>
      </c>
    </row>
    <row r="1646" customFormat="false" ht="15" hidden="false" customHeight="false" outlineLevel="0" collapsed="false">
      <c r="A1646" s="0" t="n">
        <v>114002</v>
      </c>
    </row>
    <row r="1647" customFormat="false" ht="15" hidden="false" customHeight="false" outlineLevel="0" collapsed="false">
      <c r="A1647" s="0" t="n">
        <v>114002</v>
      </c>
    </row>
    <row r="1648" customFormat="false" ht="15" hidden="false" customHeight="false" outlineLevel="0" collapsed="false">
      <c r="A1648" s="0" t="n">
        <v>114002</v>
      </c>
    </row>
    <row r="1649" customFormat="false" ht="15" hidden="false" customHeight="false" outlineLevel="0" collapsed="false">
      <c r="A1649" s="0" t="n">
        <v>114002</v>
      </c>
    </row>
    <row r="1650" customFormat="false" ht="15" hidden="false" customHeight="false" outlineLevel="0" collapsed="false">
      <c r="A1650" s="0" t="n">
        <v>114002</v>
      </c>
    </row>
    <row r="1651" customFormat="false" ht="15" hidden="false" customHeight="false" outlineLevel="0" collapsed="false">
      <c r="A1651" s="0" t="n">
        <v>114002</v>
      </c>
    </row>
    <row r="1652" customFormat="false" ht="15" hidden="false" customHeight="false" outlineLevel="0" collapsed="false">
      <c r="A1652" s="0" t="n">
        <v>114002</v>
      </c>
    </row>
    <row r="1653" customFormat="false" ht="15" hidden="false" customHeight="false" outlineLevel="0" collapsed="false">
      <c r="A1653" s="0" t="n">
        <v>114002</v>
      </c>
    </row>
    <row r="1654" customFormat="false" ht="15" hidden="false" customHeight="false" outlineLevel="0" collapsed="false">
      <c r="A1654" s="0" t="n">
        <v>114002</v>
      </c>
    </row>
    <row r="1655" customFormat="false" ht="15" hidden="false" customHeight="false" outlineLevel="0" collapsed="false">
      <c r="A1655" s="0" t="n">
        <v>114002</v>
      </c>
    </row>
    <row r="1656" customFormat="false" ht="15" hidden="false" customHeight="false" outlineLevel="0" collapsed="false">
      <c r="A1656" s="0" t="n">
        <v>114002</v>
      </c>
    </row>
    <row r="1657" customFormat="false" ht="15" hidden="false" customHeight="false" outlineLevel="0" collapsed="false">
      <c r="A1657" s="0" t="n">
        <v>114002</v>
      </c>
    </row>
    <row r="1658" customFormat="false" ht="15" hidden="false" customHeight="false" outlineLevel="0" collapsed="false">
      <c r="A1658" s="0" t="n">
        <v>114002</v>
      </c>
    </row>
    <row r="1659" customFormat="false" ht="15" hidden="false" customHeight="false" outlineLevel="0" collapsed="false">
      <c r="A1659" s="0" t="n">
        <v>114002</v>
      </c>
    </row>
    <row r="1660" customFormat="false" ht="15" hidden="false" customHeight="false" outlineLevel="0" collapsed="false">
      <c r="A1660" s="0" t="n">
        <v>114002</v>
      </c>
    </row>
    <row r="1661" customFormat="false" ht="15" hidden="false" customHeight="false" outlineLevel="0" collapsed="false">
      <c r="A1661" s="0" t="n">
        <v>114002</v>
      </c>
    </row>
    <row r="1662" customFormat="false" ht="15" hidden="false" customHeight="false" outlineLevel="0" collapsed="false">
      <c r="A1662" s="0" t="n">
        <v>114002</v>
      </c>
    </row>
    <row r="1663" customFormat="false" ht="15" hidden="false" customHeight="false" outlineLevel="0" collapsed="false">
      <c r="A1663" s="0" t="n">
        <v>114002</v>
      </c>
    </row>
    <row r="1664" customFormat="false" ht="15" hidden="false" customHeight="false" outlineLevel="0" collapsed="false">
      <c r="A1664" s="0" t="n">
        <v>114002</v>
      </c>
    </row>
    <row r="1665" customFormat="false" ht="15" hidden="false" customHeight="false" outlineLevel="0" collapsed="false">
      <c r="A1665" s="0" t="n">
        <v>114002</v>
      </c>
    </row>
    <row r="1666" customFormat="false" ht="15" hidden="false" customHeight="false" outlineLevel="0" collapsed="false">
      <c r="A1666" s="0" t="n">
        <v>114002</v>
      </c>
    </row>
    <row r="1667" customFormat="false" ht="15" hidden="false" customHeight="false" outlineLevel="0" collapsed="false">
      <c r="A1667" s="0" t="n">
        <v>114002</v>
      </c>
    </row>
    <row r="1668" customFormat="false" ht="15" hidden="false" customHeight="false" outlineLevel="0" collapsed="false">
      <c r="A1668" s="0" t="n">
        <v>114002</v>
      </c>
    </row>
    <row r="1669" customFormat="false" ht="15" hidden="false" customHeight="false" outlineLevel="0" collapsed="false">
      <c r="A1669" s="0" t="n">
        <v>114002</v>
      </c>
    </row>
    <row r="1670" customFormat="false" ht="15" hidden="false" customHeight="false" outlineLevel="0" collapsed="false">
      <c r="A1670" s="0" t="n">
        <v>114002</v>
      </c>
    </row>
    <row r="1671" customFormat="false" ht="15" hidden="false" customHeight="false" outlineLevel="0" collapsed="false">
      <c r="A1671" s="0" t="n">
        <v>114002</v>
      </c>
    </row>
    <row r="1672" customFormat="false" ht="15" hidden="false" customHeight="false" outlineLevel="0" collapsed="false">
      <c r="A1672" s="0" t="n">
        <v>114002</v>
      </c>
    </row>
    <row r="1673" customFormat="false" ht="15" hidden="false" customHeight="false" outlineLevel="0" collapsed="false">
      <c r="A1673" s="0" t="n">
        <v>114002</v>
      </c>
    </row>
    <row r="1674" customFormat="false" ht="15" hidden="false" customHeight="false" outlineLevel="0" collapsed="false">
      <c r="A1674" s="0" t="n">
        <v>114002</v>
      </c>
    </row>
    <row r="1675" customFormat="false" ht="15" hidden="false" customHeight="false" outlineLevel="0" collapsed="false">
      <c r="A1675" s="0" t="n">
        <v>114002</v>
      </c>
    </row>
    <row r="1676" customFormat="false" ht="15" hidden="false" customHeight="false" outlineLevel="0" collapsed="false">
      <c r="A1676" s="0" t="n">
        <v>114002</v>
      </c>
    </row>
    <row r="1677" customFormat="false" ht="15" hidden="false" customHeight="false" outlineLevel="0" collapsed="false">
      <c r="A1677" s="0" t="n">
        <v>114002</v>
      </c>
    </row>
    <row r="1678" customFormat="false" ht="15" hidden="false" customHeight="false" outlineLevel="0" collapsed="false">
      <c r="A1678" s="0" t="n">
        <v>114002</v>
      </c>
    </row>
    <row r="1679" customFormat="false" ht="15" hidden="false" customHeight="false" outlineLevel="0" collapsed="false">
      <c r="A1679" s="0" t="n">
        <v>114002</v>
      </c>
    </row>
    <row r="1680" customFormat="false" ht="15" hidden="false" customHeight="false" outlineLevel="0" collapsed="false">
      <c r="A1680" s="0" t="n">
        <v>114002</v>
      </c>
    </row>
    <row r="1681" customFormat="false" ht="15" hidden="false" customHeight="false" outlineLevel="0" collapsed="false">
      <c r="A1681" s="0" t="n">
        <v>114002</v>
      </c>
    </row>
    <row r="1682" customFormat="false" ht="15" hidden="false" customHeight="false" outlineLevel="0" collapsed="false">
      <c r="A1682" s="0" t="n">
        <v>114002</v>
      </c>
    </row>
    <row r="1683" customFormat="false" ht="15" hidden="false" customHeight="false" outlineLevel="0" collapsed="false">
      <c r="A1683" s="0" t="n">
        <v>114002</v>
      </c>
    </row>
    <row r="1684" customFormat="false" ht="15" hidden="false" customHeight="false" outlineLevel="0" collapsed="false">
      <c r="A1684" s="0" t="n">
        <v>114002</v>
      </c>
    </row>
    <row r="1685" customFormat="false" ht="15" hidden="false" customHeight="false" outlineLevel="0" collapsed="false">
      <c r="A1685" s="0" t="n">
        <v>114002</v>
      </c>
    </row>
    <row r="1686" customFormat="false" ht="15" hidden="false" customHeight="false" outlineLevel="0" collapsed="false">
      <c r="A1686" s="0" t="n">
        <v>114002</v>
      </c>
    </row>
    <row r="1687" customFormat="false" ht="15" hidden="false" customHeight="false" outlineLevel="0" collapsed="false">
      <c r="A1687" s="0" t="n">
        <v>114002</v>
      </c>
    </row>
    <row r="1688" customFormat="false" ht="15" hidden="false" customHeight="false" outlineLevel="0" collapsed="false">
      <c r="A1688" s="0" t="n">
        <v>114002</v>
      </c>
    </row>
    <row r="1689" customFormat="false" ht="15" hidden="false" customHeight="false" outlineLevel="0" collapsed="false">
      <c r="A1689" s="0" t="n">
        <v>114002</v>
      </c>
    </row>
    <row r="1690" customFormat="false" ht="15" hidden="false" customHeight="false" outlineLevel="0" collapsed="false">
      <c r="A1690" s="0" t="n">
        <v>114002</v>
      </c>
    </row>
    <row r="1691" customFormat="false" ht="15" hidden="false" customHeight="false" outlineLevel="0" collapsed="false">
      <c r="A1691" s="0" t="n">
        <v>114002</v>
      </c>
    </row>
    <row r="1692" customFormat="false" ht="15" hidden="false" customHeight="false" outlineLevel="0" collapsed="false">
      <c r="A1692" s="0" t="n">
        <v>114002</v>
      </c>
    </row>
    <row r="1693" customFormat="false" ht="15" hidden="false" customHeight="false" outlineLevel="0" collapsed="false">
      <c r="A1693" s="0" t="n">
        <v>114002</v>
      </c>
    </row>
    <row r="1694" customFormat="false" ht="15" hidden="false" customHeight="false" outlineLevel="0" collapsed="false">
      <c r="A1694" s="0" t="n">
        <v>114002</v>
      </c>
    </row>
    <row r="1695" customFormat="false" ht="15" hidden="false" customHeight="false" outlineLevel="0" collapsed="false">
      <c r="A1695" s="0" t="n">
        <v>114002</v>
      </c>
    </row>
    <row r="1696" customFormat="false" ht="15" hidden="false" customHeight="false" outlineLevel="0" collapsed="false">
      <c r="A1696" s="0" t="n">
        <v>114002</v>
      </c>
    </row>
    <row r="1697" customFormat="false" ht="15" hidden="false" customHeight="false" outlineLevel="0" collapsed="false">
      <c r="A1697" s="0" t="n">
        <v>114002</v>
      </c>
    </row>
    <row r="1698" customFormat="false" ht="15" hidden="false" customHeight="false" outlineLevel="0" collapsed="false">
      <c r="A1698" s="0" t="n">
        <v>114002</v>
      </c>
    </row>
    <row r="1699" customFormat="false" ht="15" hidden="false" customHeight="false" outlineLevel="0" collapsed="false">
      <c r="A1699" s="0" t="n">
        <v>114002</v>
      </c>
    </row>
    <row r="1700" customFormat="false" ht="15" hidden="false" customHeight="false" outlineLevel="0" collapsed="false">
      <c r="A1700" s="0" t="n">
        <v>114002</v>
      </c>
    </row>
    <row r="1701" customFormat="false" ht="15" hidden="false" customHeight="false" outlineLevel="0" collapsed="false">
      <c r="A1701" s="0" t="n">
        <v>114002</v>
      </c>
    </row>
    <row r="1702" customFormat="false" ht="15" hidden="false" customHeight="false" outlineLevel="0" collapsed="false">
      <c r="A1702" s="0" t="n">
        <v>513007</v>
      </c>
    </row>
    <row r="1703" customFormat="false" ht="15" hidden="false" customHeight="false" outlineLevel="0" collapsed="false">
      <c r="A1703" s="0" t="n">
        <v>114001</v>
      </c>
    </row>
    <row r="1704" customFormat="false" ht="15" hidden="false" customHeight="false" outlineLevel="0" collapsed="false">
      <c r="A1704" s="0" t="n">
        <v>532003</v>
      </c>
    </row>
    <row r="1705" customFormat="false" ht="15" hidden="false" customHeight="false" outlineLevel="0" collapsed="false">
      <c r="A1705" s="0" t="n">
        <v>513025</v>
      </c>
    </row>
    <row r="1706" customFormat="false" ht="15" hidden="false" customHeight="false" outlineLevel="0" collapsed="false">
      <c r="A1706" s="0" t="n">
        <v>141007</v>
      </c>
    </row>
    <row r="1707" customFormat="false" ht="15" hidden="false" customHeight="false" outlineLevel="0" collapsed="false">
      <c r="A1707" s="0" t="n">
        <v>141003</v>
      </c>
    </row>
    <row r="1708" customFormat="false" ht="15" hidden="false" customHeight="false" outlineLevel="0" collapsed="false">
      <c r="A1708" s="0" t="n">
        <v>532008</v>
      </c>
    </row>
    <row r="1709" customFormat="false" ht="15" hidden="false" customHeight="false" outlineLevel="0" collapsed="false">
      <c r="A1709" s="0" t="n">
        <v>513004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D28" activeCellId="0" sqref="D28"/>
    </sheetView>
  </sheetViews>
  <sheetFormatPr defaultColWidth="9.04296875" defaultRowHeight="15" zeroHeight="false" outlineLevelRow="0" outlineLevelCol="0"/>
  <cols>
    <col collapsed="false" customWidth="true" hidden="false" outlineLevel="0" max="1" min="1" style="0" width="10.44"/>
  </cols>
  <sheetData>
    <row r="1" customFormat="false" ht="15" hidden="false" customHeight="false" outlineLevel="0" collapsed="false">
      <c r="A1" s="3" t="s">
        <v>9</v>
      </c>
    </row>
    <row r="2" customFormat="false" ht="15" hidden="false" customHeight="false" outlineLevel="0" collapsed="false">
      <c r="A2" s="0" t="s">
        <v>22</v>
      </c>
    </row>
    <row r="3" customFormat="false" ht="15" hidden="false" customHeight="false" outlineLevel="0" collapsed="false">
      <c r="A3" s="0" t="s">
        <v>35</v>
      </c>
    </row>
    <row r="4" customFormat="false" ht="15" hidden="false" customHeight="false" outlineLevel="0" collapsed="false">
      <c r="A4" s="0" t="s">
        <v>50</v>
      </c>
    </row>
    <row r="5" customFormat="false" ht="15" hidden="false" customHeight="false" outlineLevel="0" collapsed="false">
      <c r="A5" s="0" t="s">
        <v>103</v>
      </c>
    </row>
    <row r="6" customFormat="false" ht="15" hidden="false" customHeight="false" outlineLevel="0" collapsed="false">
      <c r="A6" s="0" t="s">
        <v>109</v>
      </c>
    </row>
    <row r="7" customFormat="false" ht="15" hidden="false" customHeight="false" outlineLevel="0" collapsed="false">
      <c r="A7" s="0" t="s">
        <v>125</v>
      </c>
    </row>
    <row r="8" customFormat="false" ht="15" hidden="false" customHeight="false" outlineLevel="0" collapsed="false">
      <c r="A8" s="0" t="s">
        <v>143</v>
      </c>
    </row>
    <row r="9" customFormat="false" ht="15" hidden="false" customHeight="false" outlineLevel="0" collapsed="false">
      <c r="A9" s="0" t="s">
        <v>150</v>
      </c>
    </row>
    <row r="10" customFormat="false" ht="15" hidden="false" customHeight="false" outlineLevel="0" collapsed="false">
      <c r="A10" s="0" t="s">
        <v>169</v>
      </c>
    </row>
    <row r="11" customFormat="false" ht="15" hidden="false" customHeight="false" outlineLevel="0" collapsed="false">
      <c r="A11" s="0" t="s">
        <v>249</v>
      </c>
    </row>
    <row r="12" customFormat="false" ht="15" hidden="false" customHeight="false" outlineLevel="0" collapsed="false">
      <c r="A12" s="0" t="s">
        <v>261</v>
      </c>
    </row>
    <row r="13" customFormat="false" ht="15" hidden="false" customHeight="false" outlineLevel="0" collapsed="false">
      <c r="A13" s="0" t="s">
        <v>302</v>
      </c>
    </row>
    <row r="14" customFormat="false" ht="15" hidden="false" customHeight="false" outlineLevel="0" collapsed="false">
      <c r="A14" s="0" t="s">
        <v>332</v>
      </c>
    </row>
    <row r="15" customFormat="false" ht="15" hidden="false" customHeight="false" outlineLevel="0" collapsed="false">
      <c r="A15" s="0" t="s">
        <v>337</v>
      </c>
    </row>
    <row r="16" customFormat="false" ht="15" hidden="false" customHeight="false" outlineLevel="0" collapsed="false">
      <c r="A16" s="0" t="s">
        <v>385</v>
      </c>
    </row>
    <row r="17" customFormat="false" ht="15" hidden="false" customHeight="false" outlineLevel="0" collapsed="false">
      <c r="A17" s="0" t="s">
        <v>397</v>
      </c>
    </row>
    <row r="18" customFormat="false" ht="15" hidden="false" customHeight="false" outlineLevel="0" collapsed="false">
      <c r="A18" s="0" t="s">
        <v>403</v>
      </c>
    </row>
    <row r="19" customFormat="false" ht="15" hidden="false" customHeight="false" outlineLevel="0" collapsed="false">
      <c r="A19" s="0" t="s">
        <v>447</v>
      </c>
    </row>
    <row r="20" customFormat="false" ht="15" hidden="false" customHeight="false" outlineLevel="0" collapsed="false">
      <c r="A20" s="0" t="s">
        <v>452</v>
      </c>
    </row>
    <row r="21" customFormat="false" ht="15" hidden="false" customHeight="false" outlineLevel="0" collapsed="false">
      <c r="A21" s="0" t="s">
        <v>457</v>
      </c>
    </row>
    <row r="22" customFormat="false" ht="15" hidden="false" customHeight="false" outlineLevel="0" collapsed="false">
      <c r="A22" s="0" t="s">
        <v>503</v>
      </c>
    </row>
    <row r="23" customFormat="false" ht="15" hidden="false" customHeight="false" outlineLevel="0" collapsed="false">
      <c r="A23" s="0" t="s">
        <v>509</v>
      </c>
    </row>
    <row r="24" customFormat="false" ht="15" hidden="false" customHeight="false" outlineLevel="0" collapsed="false">
      <c r="A24" s="0" t="s">
        <v>518</v>
      </c>
    </row>
    <row r="25" customFormat="false" ht="15" hidden="false" customHeight="false" outlineLevel="0" collapsed="false">
      <c r="A25" s="0" t="s">
        <v>905</v>
      </c>
    </row>
    <row r="26" customFormat="false" ht="15" hidden="false" customHeight="false" outlineLevel="0" collapsed="false">
      <c r="A26" s="0" t="s">
        <v>948</v>
      </c>
    </row>
    <row r="27" customFormat="false" ht="15" hidden="false" customHeight="false" outlineLevel="0" collapsed="false">
      <c r="A27" s="0" t="s">
        <v>1021</v>
      </c>
    </row>
    <row r="28" customFormat="false" ht="15" hidden="false" customHeight="false" outlineLevel="0" collapsed="false">
      <c r="A28" s="0" t="s">
        <v>1033</v>
      </c>
    </row>
    <row r="29" customFormat="false" ht="15" hidden="false" customHeight="false" outlineLevel="0" collapsed="false">
      <c r="A29" s="0" t="s">
        <v>1269</v>
      </c>
    </row>
    <row r="30" customFormat="false" ht="15" hidden="false" customHeight="false" outlineLevel="0" collapsed="false">
      <c r="A30" s="0" t="s">
        <v>1439</v>
      </c>
    </row>
    <row r="31" customFormat="false" ht="15" hidden="false" customHeight="false" outlineLevel="0" collapsed="false">
      <c r="A31" s="0" t="s">
        <v>1697</v>
      </c>
    </row>
    <row r="32" customFormat="false" ht="15" hidden="false" customHeight="false" outlineLevel="0" collapsed="false">
      <c r="A32" s="0" t="s">
        <v>2249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621"/>
  <sheetViews>
    <sheetView showFormulas="false" showGridLines="true" showRowColHeaders="true" showZeros="true" rightToLeft="false" tabSelected="false" showOutlineSymbols="true" defaultGridColor="true" view="normal" topLeftCell="A79" colorId="64" zoomScale="100" zoomScaleNormal="100" zoomScalePageLayoutView="100" workbookViewId="0">
      <selection pane="topLeft" activeCell="A1" activeCellId="0" sqref="A1"/>
    </sheetView>
  </sheetViews>
  <sheetFormatPr defaultColWidth="9.04296875" defaultRowHeight="16.85" zeroHeight="false" outlineLevelRow="0" outlineLevelCol="0"/>
  <cols>
    <col collapsed="false" customWidth="true" hidden="false" outlineLevel="0" max="1" min="1" style="10" width="21"/>
  </cols>
  <sheetData>
    <row r="1" customFormat="false" ht="16.85" hidden="false" customHeight="false" outlineLevel="0" collapsed="false">
      <c r="A1" s="12" t="s">
        <v>5326</v>
      </c>
    </row>
    <row r="2" customFormat="false" ht="16.85" hidden="false" customHeight="false" outlineLevel="0" collapsed="false">
      <c r="A2" s="12"/>
    </row>
    <row r="3" customFormat="false" ht="16.85" hidden="false" customHeight="false" outlineLevel="0" collapsed="false">
      <c r="A3" s="10" t="s">
        <v>5348</v>
      </c>
    </row>
    <row r="4" customFormat="false" ht="16.85" hidden="false" customHeight="false" outlineLevel="0" collapsed="false">
      <c r="A4" s="10" t="s">
        <v>5348</v>
      </c>
    </row>
    <row r="5" customFormat="false" ht="16.85" hidden="false" customHeight="false" outlineLevel="0" collapsed="false">
      <c r="A5" s="10" t="s">
        <v>5348</v>
      </c>
    </row>
    <row r="6" customFormat="false" ht="16.85" hidden="false" customHeight="false" outlineLevel="0" collapsed="false">
      <c r="A6" s="10" t="s">
        <v>5348</v>
      </c>
    </row>
    <row r="7" customFormat="false" ht="16.85" hidden="false" customHeight="false" outlineLevel="0" collapsed="false">
      <c r="A7" s="10" t="s">
        <v>5393</v>
      </c>
    </row>
    <row r="8" customFormat="false" ht="16.85" hidden="false" customHeight="false" outlineLevel="0" collapsed="false">
      <c r="A8" s="10" t="s">
        <v>5348</v>
      </c>
    </row>
    <row r="9" customFormat="false" ht="16.85" hidden="false" customHeight="false" outlineLevel="0" collapsed="false">
      <c r="A9" s="10" t="s">
        <v>5348</v>
      </c>
    </row>
    <row r="10" customFormat="false" ht="16.85" hidden="false" customHeight="false" outlineLevel="0" collapsed="false">
      <c r="A10" s="10" t="s">
        <v>5348</v>
      </c>
    </row>
    <row r="11" customFormat="false" ht="16.85" hidden="false" customHeight="false" outlineLevel="0" collapsed="false">
      <c r="A11" s="10" t="s">
        <v>5348</v>
      </c>
    </row>
    <row r="12" customFormat="false" ht="16.85" hidden="false" customHeight="false" outlineLevel="0" collapsed="false">
      <c r="A12" s="10" t="s">
        <v>5348</v>
      </c>
    </row>
    <row r="13" customFormat="false" ht="16.85" hidden="false" customHeight="false" outlineLevel="0" collapsed="false">
      <c r="A13" s="10" t="s">
        <v>5444</v>
      </c>
    </row>
    <row r="14" customFormat="false" ht="16.85" hidden="false" customHeight="false" outlineLevel="0" collapsed="false">
      <c r="A14" s="10" t="s">
        <v>5348</v>
      </c>
    </row>
    <row r="15" customFormat="false" ht="16.85" hidden="false" customHeight="false" outlineLevel="0" collapsed="false">
      <c r="A15" s="10" t="s">
        <v>5348</v>
      </c>
    </row>
    <row r="16" customFormat="false" ht="16.85" hidden="false" customHeight="false" outlineLevel="0" collapsed="false">
      <c r="A16" s="10" t="s">
        <v>5348</v>
      </c>
    </row>
    <row r="17" customFormat="false" ht="16.85" hidden="false" customHeight="false" outlineLevel="0" collapsed="false">
      <c r="A17" s="10" t="s">
        <v>5348</v>
      </c>
    </row>
    <row r="18" customFormat="false" ht="16.85" hidden="false" customHeight="false" outlineLevel="0" collapsed="false">
      <c r="A18" s="10" t="s">
        <v>5348</v>
      </c>
    </row>
    <row r="19" customFormat="false" ht="16.85" hidden="false" customHeight="false" outlineLevel="0" collapsed="false">
      <c r="A19" s="10" t="s">
        <v>5348</v>
      </c>
    </row>
    <row r="20" customFormat="false" ht="16.85" hidden="false" customHeight="false" outlineLevel="0" collapsed="false">
      <c r="A20" s="10" t="s">
        <v>5348</v>
      </c>
    </row>
    <row r="21" customFormat="false" ht="16.85" hidden="false" customHeight="false" outlineLevel="0" collapsed="false">
      <c r="A21" s="10" t="s">
        <v>5348</v>
      </c>
    </row>
    <row r="22" customFormat="false" ht="16.85" hidden="false" customHeight="false" outlineLevel="0" collapsed="false">
      <c r="A22" s="10" t="s">
        <v>5348</v>
      </c>
    </row>
    <row r="23" customFormat="false" ht="16.85" hidden="false" customHeight="false" outlineLevel="0" collapsed="false">
      <c r="A23" s="10" t="s">
        <v>5348</v>
      </c>
    </row>
    <row r="24" customFormat="false" ht="16.85" hidden="false" customHeight="false" outlineLevel="0" collapsed="false">
      <c r="A24" s="10" t="s">
        <v>5444</v>
      </c>
    </row>
    <row r="25" customFormat="false" ht="16.85" hidden="false" customHeight="false" outlineLevel="0" collapsed="false">
      <c r="A25" s="10" t="s">
        <v>5348</v>
      </c>
    </row>
    <row r="26" customFormat="false" ht="16.85" hidden="false" customHeight="false" outlineLevel="0" collapsed="false">
      <c r="A26" s="10" t="s">
        <v>5348</v>
      </c>
    </row>
    <row r="27" customFormat="false" ht="16.85" hidden="false" customHeight="false" outlineLevel="0" collapsed="false">
      <c r="A27" s="10" t="s">
        <v>5348</v>
      </c>
    </row>
    <row r="28" customFormat="false" ht="16.85" hidden="false" customHeight="false" outlineLevel="0" collapsed="false">
      <c r="A28" s="10" t="s">
        <v>5348</v>
      </c>
    </row>
    <row r="29" customFormat="false" ht="16.85" hidden="false" customHeight="false" outlineLevel="0" collapsed="false">
      <c r="A29" s="10" t="s">
        <v>5348</v>
      </c>
    </row>
    <row r="30" customFormat="false" ht="16.85" hidden="false" customHeight="false" outlineLevel="0" collapsed="false">
      <c r="A30" s="10" t="s">
        <v>5348</v>
      </c>
    </row>
    <row r="31" customFormat="false" ht="16.85" hidden="false" customHeight="false" outlineLevel="0" collapsed="false">
      <c r="A31" s="10" t="s">
        <v>5348</v>
      </c>
    </row>
    <row r="32" customFormat="false" ht="16.85" hidden="false" customHeight="false" outlineLevel="0" collapsed="false">
      <c r="A32" s="10" t="s">
        <v>5348</v>
      </c>
    </row>
    <row r="33" customFormat="false" ht="16.85" hidden="false" customHeight="false" outlineLevel="0" collapsed="false">
      <c r="A33" s="10" t="s">
        <v>5444</v>
      </c>
    </row>
    <row r="34" customFormat="false" ht="16.85" hidden="false" customHeight="false" outlineLevel="0" collapsed="false">
      <c r="A34" s="10" t="s">
        <v>5348</v>
      </c>
    </row>
    <row r="35" customFormat="false" ht="16.85" hidden="false" customHeight="false" outlineLevel="0" collapsed="false">
      <c r="A35" s="10" t="s">
        <v>5348</v>
      </c>
    </row>
    <row r="36" customFormat="false" ht="16.85" hidden="false" customHeight="false" outlineLevel="0" collapsed="false">
      <c r="A36" s="10" t="s">
        <v>5348</v>
      </c>
    </row>
    <row r="37" customFormat="false" ht="16.85" hidden="false" customHeight="false" outlineLevel="0" collapsed="false">
      <c r="A37" s="10" t="s">
        <v>5348</v>
      </c>
    </row>
    <row r="38" customFormat="false" ht="16.85" hidden="false" customHeight="false" outlineLevel="0" collapsed="false">
      <c r="A38" s="10" t="s">
        <v>5348</v>
      </c>
    </row>
    <row r="39" customFormat="false" ht="16.85" hidden="false" customHeight="false" outlineLevel="0" collapsed="false">
      <c r="A39" s="10" t="s">
        <v>5348</v>
      </c>
    </row>
    <row r="40" customFormat="false" ht="16.85" hidden="false" customHeight="false" outlineLevel="0" collapsed="false">
      <c r="A40" s="10" t="s">
        <v>5348</v>
      </c>
    </row>
    <row r="41" customFormat="false" ht="16.85" hidden="false" customHeight="false" outlineLevel="0" collapsed="false">
      <c r="A41" s="10" t="s">
        <v>5348</v>
      </c>
    </row>
    <row r="42" customFormat="false" ht="16.85" hidden="false" customHeight="false" outlineLevel="0" collapsed="false">
      <c r="A42" s="10" t="s">
        <v>5348</v>
      </c>
    </row>
    <row r="43" customFormat="false" ht="16.85" hidden="false" customHeight="false" outlineLevel="0" collapsed="false">
      <c r="A43" s="10" t="s">
        <v>5348</v>
      </c>
    </row>
    <row r="44" customFormat="false" ht="16.85" hidden="false" customHeight="false" outlineLevel="0" collapsed="false">
      <c r="A44" s="10" t="s">
        <v>5348</v>
      </c>
    </row>
    <row r="45" customFormat="false" ht="16.85" hidden="false" customHeight="false" outlineLevel="0" collapsed="false">
      <c r="A45" s="10" t="s">
        <v>5348</v>
      </c>
    </row>
    <row r="46" customFormat="false" ht="16.85" hidden="false" customHeight="false" outlineLevel="0" collapsed="false">
      <c r="A46" s="10" t="s">
        <v>5348</v>
      </c>
    </row>
    <row r="47" customFormat="false" ht="16.85" hidden="false" customHeight="false" outlineLevel="0" collapsed="false">
      <c r="A47" s="10" t="s">
        <v>5348</v>
      </c>
    </row>
    <row r="48" customFormat="false" ht="16.85" hidden="false" customHeight="false" outlineLevel="0" collapsed="false">
      <c r="A48" s="10" t="s">
        <v>5348</v>
      </c>
    </row>
    <row r="49" customFormat="false" ht="16.85" hidden="false" customHeight="false" outlineLevel="0" collapsed="false">
      <c r="A49" s="10" t="s">
        <v>5348</v>
      </c>
    </row>
    <row r="50" customFormat="false" ht="16.85" hidden="false" customHeight="false" outlineLevel="0" collapsed="false">
      <c r="A50" s="10" t="s">
        <v>5348</v>
      </c>
    </row>
    <row r="51" customFormat="false" ht="16.85" hidden="false" customHeight="false" outlineLevel="0" collapsed="false">
      <c r="A51" s="10" t="s">
        <v>5348</v>
      </c>
    </row>
    <row r="52" customFormat="false" ht="16.85" hidden="false" customHeight="false" outlineLevel="0" collapsed="false">
      <c r="A52" s="10" t="s">
        <v>5348</v>
      </c>
    </row>
    <row r="53" customFormat="false" ht="16.85" hidden="false" customHeight="false" outlineLevel="0" collapsed="false">
      <c r="A53" s="10" t="s">
        <v>5348</v>
      </c>
    </row>
    <row r="54" customFormat="false" ht="16.85" hidden="false" customHeight="false" outlineLevel="0" collapsed="false">
      <c r="A54" s="10" t="s">
        <v>5348</v>
      </c>
    </row>
    <row r="55" customFormat="false" ht="16.85" hidden="false" customHeight="false" outlineLevel="0" collapsed="false">
      <c r="A55" s="10" t="s">
        <v>5348</v>
      </c>
    </row>
    <row r="56" customFormat="false" ht="16.85" hidden="false" customHeight="false" outlineLevel="0" collapsed="false">
      <c r="A56" s="10" t="s">
        <v>5348</v>
      </c>
    </row>
    <row r="57" customFormat="false" ht="16.85" hidden="false" customHeight="false" outlineLevel="0" collapsed="false">
      <c r="A57" s="10" t="s">
        <v>5348</v>
      </c>
    </row>
    <row r="58" customFormat="false" ht="16.85" hidden="false" customHeight="false" outlineLevel="0" collapsed="false">
      <c r="A58" s="10" t="s">
        <v>5348</v>
      </c>
    </row>
    <row r="59" customFormat="false" ht="16.85" hidden="false" customHeight="false" outlineLevel="0" collapsed="false">
      <c r="A59" s="10" t="s">
        <v>5348</v>
      </c>
    </row>
    <row r="60" customFormat="false" ht="16.85" hidden="false" customHeight="false" outlineLevel="0" collapsed="false">
      <c r="A60" s="10" t="s">
        <v>5348</v>
      </c>
    </row>
    <row r="61" customFormat="false" ht="16.85" hidden="false" customHeight="false" outlineLevel="0" collapsed="false">
      <c r="A61" s="10" t="s">
        <v>5348</v>
      </c>
    </row>
    <row r="62" customFormat="false" ht="16.85" hidden="false" customHeight="false" outlineLevel="0" collapsed="false">
      <c r="A62" s="10" t="s">
        <v>5348</v>
      </c>
    </row>
    <row r="63" customFormat="false" ht="16.85" hidden="false" customHeight="false" outlineLevel="0" collapsed="false">
      <c r="A63" s="10" t="s">
        <v>5348</v>
      </c>
    </row>
    <row r="64" customFormat="false" ht="16.85" hidden="false" customHeight="false" outlineLevel="0" collapsed="false">
      <c r="A64" s="10" t="s">
        <v>5348</v>
      </c>
    </row>
    <row r="65" customFormat="false" ht="16.85" hidden="false" customHeight="false" outlineLevel="0" collapsed="false">
      <c r="A65" s="10" t="s">
        <v>5348</v>
      </c>
    </row>
    <row r="66" customFormat="false" ht="16.85" hidden="false" customHeight="false" outlineLevel="0" collapsed="false">
      <c r="A66" s="10" t="s">
        <v>5348</v>
      </c>
    </row>
    <row r="67" customFormat="false" ht="16.85" hidden="false" customHeight="false" outlineLevel="0" collapsed="false">
      <c r="A67" s="10" t="s">
        <v>5348</v>
      </c>
    </row>
    <row r="68" customFormat="false" ht="16.85" hidden="false" customHeight="false" outlineLevel="0" collapsed="false">
      <c r="A68" s="10" t="s">
        <v>5348</v>
      </c>
    </row>
    <row r="69" customFormat="false" ht="16.85" hidden="false" customHeight="false" outlineLevel="0" collapsed="false">
      <c r="A69" s="10" t="s">
        <v>5348</v>
      </c>
    </row>
    <row r="70" customFormat="false" ht="16.85" hidden="false" customHeight="false" outlineLevel="0" collapsed="false">
      <c r="A70" s="10" t="s">
        <v>5348</v>
      </c>
    </row>
    <row r="71" customFormat="false" ht="16.85" hidden="false" customHeight="false" outlineLevel="0" collapsed="false">
      <c r="A71" s="10" t="s">
        <v>5348</v>
      </c>
    </row>
    <row r="72" customFormat="false" ht="16.85" hidden="false" customHeight="false" outlineLevel="0" collapsed="false">
      <c r="A72" s="10" t="s">
        <v>5348</v>
      </c>
    </row>
    <row r="73" customFormat="false" ht="16.85" hidden="false" customHeight="false" outlineLevel="0" collapsed="false">
      <c r="A73" s="10" t="s">
        <v>5348</v>
      </c>
    </row>
    <row r="74" customFormat="false" ht="16.85" hidden="false" customHeight="false" outlineLevel="0" collapsed="false">
      <c r="A74" s="10" t="s">
        <v>5348</v>
      </c>
    </row>
    <row r="75" customFormat="false" ht="16.85" hidden="false" customHeight="false" outlineLevel="0" collapsed="false">
      <c r="A75" s="10" t="s">
        <v>5348</v>
      </c>
    </row>
    <row r="76" customFormat="false" ht="16.85" hidden="false" customHeight="false" outlineLevel="0" collapsed="false">
      <c r="A76" s="10" t="s">
        <v>5348</v>
      </c>
    </row>
    <row r="77" customFormat="false" ht="16.85" hidden="false" customHeight="false" outlineLevel="0" collapsed="false">
      <c r="A77" s="10" t="s">
        <v>5348</v>
      </c>
    </row>
    <row r="78" customFormat="false" ht="16.85" hidden="false" customHeight="false" outlineLevel="0" collapsed="false">
      <c r="A78" s="10" t="s">
        <v>5348</v>
      </c>
    </row>
    <row r="79" customFormat="false" ht="16.85" hidden="false" customHeight="false" outlineLevel="0" collapsed="false">
      <c r="A79" s="10" t="s">
        <v>5348</v>
      </c>
    </row>
    <row r="80" customFormat="false" ht="16.85" hidden="false" customHeight="false" outlineLevel="0" collapsed="false">
      <c r="A80" s="10" t="s">
        <v>5348</v>
      </c>
    </row>
    <row r="81" customFormat="false" ht="16.85" hidden="false" customHeight="false" outlineLevel="0" collapsed="false">
      <c r="A81" s="10" t="s">
        <v>5348</v>
      </c>
    </row>
    <row r="82" customFormat="false" ht="16.85" hidden="false" customHeight="false" outlineLevel="0" collapsed="false">
      <c r="A82" s="10" t="s">
        <v>5348</v>
      </c>
    </row>
    <row r="83" customFormat="false" ht="16.85" hidden="false" customHeight="false" outlineLevel="0" collapsed="false">
      <c r="A83" s="10" t="s">
        <v>5348</v>
      </c>
    </row>
    <row r="84" customFormat="false" ht="16.85" hidden="false" customHeight="false" outlineLevel="0" collapsed="false">
      <c r="A84" s="10" t="s">
        <v>5348</v>
      </c>
    </row>
    <row r="85" customFormat="false" ht="16.85" hidden="false" customHeight="false" outlineLevel="0" collapsed="false">
      <c r="A85" s="10" t="s">
        <v>5348</v>
      </c>
    </row>
    <row r="86" customFormat="false" ht="16.85" hidden="false" customHeight="false" outlineLevel="0" collapsed="false">
      <c r="A86" s="10" t="s">
        <v>5348</v>
      </c>
    </row>
    <row r="87" customFormat="false" ht="16.85" hidden="false" customHeight="false" outlineLevel="0" collapsed="false">
      <c r="A87" s="10" t="s">
        <v>5348</v>
      </c>
    </row>
    <row r="88" customFormat="false" ht="16.85" hidden="false" customHeight="false" outlineLevel="0" collapsed="false">
      <c r="A88" s="10" t="s">
        <v>5444</v>
      </c>
    </row>
    <row r="89" customFormat="false" ht="16.85" hidden="false" customHeight="false" outlineLevel="0" collapsed="false">
      <c r="A89" s="10" t="s">
        <v>5348</v>
      </c>
    </row>
    <row r="90" customFormat="false" ht="16.85" hidden="false" customHeight="false" outlineLevel="0" collapsed="false">
      <c r="A90" s="10" t="s">
        <v>5348</v>
      </c>
    </row>
    <row r="91" customFormat="false" ht="16.85" hidden="false" customHeight="false" outlineLevel="0" collapsed="false">
      <c r="A91" s="10" t="s">
        <v>5348</v>
      </c>
    </row>
    <row r="92" customFormat="false" ht="16.85" hidden="false" customHeight="false" outlineLevel="0" collapsed="false">
      <c r="A92" s="10" t="s">
        <v>5348</v>
      </c>
    </row>
    <row r="93" customFormat="false" ht="16.85" hidden="false" customHeight="false" outlineLevel="0" collapsed="false">
      <c r="A93" s="10" t="s">
        <v>5348</v>
      </c>
    </row>
    <row r="94" customFormat="false" ht="16.85" hidden="false" customHeight="false" outlineLevel="0" collapsed="false">
      <c r="A94" s="10" t="s">
        <v>5444</v>
      </c>
    </row>
    <row r="95" customFormat="false" ht="16.85" hidden="false" customHeight="false" outlineLevel="0" collapsed="false">
      <c r="A95" s="10" t="s">
        <v>5348</v>
      </c>
    </row>
    <row r="96" customFormat="false" ht="16.85" hidden="false" customHeight="false" outlineLevel="0" collapsed="false">
      <c r="A96" s="10" t="s">
        <v>5348</v>
      </c>
    </row>
    <row r="97" customFormat="false" ht="16.85" hidden="false" customHeight="false" outlineLevel="0" collapsed="false">
      <c r="A97" s="10" t="s">
        <v>5348</v>
      </c>
    </row>
    <row r="98" customFormat="false" ht="16.85" hidden="false" customHeight="false" outlineLevel="0" collapsed="false">
      <c r="A98" s="10" t="s">
        <v>5348</v>
      </c>
    </row>
    <row r="99" customFormat="false" ht="16.85" hidden="false" customHeight="false" outlineLevel="0" collapsed="false">
      <c r="A99" s="10" t="s">
        <v>5348</v>
      </c>
    </row>
    <row r="100" customFormat="false" ht="16.85" hidden="false" customHeight="false" outlineLevel="0" collapsed="false">
      <c r="A100" s="10" t="s">
        <v>5348</v>
      </c>
    </row>
    <row r="101" customFormat="false" ht="16.85" hidden="false" customHeight="false" outlineLevel="0" collapsed="false">
      <c r="A101" s="10" t="s">
        <v>5348</v>
      </c>
    </row>
    <row r="102" customFormat="false" ht="16.85" hidden="false" customHeight="false" outlineLevel="0" collapsed="false">
      <c r="A102" s="10" t="s">
        <v>5348</v>
      </c>
    </row>
    <row r="103" customFormat="false" ht="16.85" hidden="false" customHeight="false" outlineLevel="0" collapsed="false">
      <c r="A103" s="10" t="s">
        <v>5348</v>
      </c>
    </row>
    <row r="104" customFormat="false" ht="16.85" hidden="false" customHeight="false" outlineLevel="0" collapsed="false">
      <c r="A104" s="10" t="s">
        <v>5348</v>
      </c>
    </row>
    <row r="105" customFormat="false" ht="16.85" hidden="false" customHeight="false" outlineLevel="0" collapsed="false">
      <c r="A105" s="10" t="s">
        <v>5348</v>
      </c>
    </row>
    <row r="106" customFormat="false" ht="16.85" hidden="false" customHeight="false" outlineLevel="0" collapsed="false">
      <c r="A106" s="10" t="s">
        <v>5348</v>
      </c>
    </row>
    <row r="107" customFormat="false" ht="16.85" hidden="false" customHeight="false" outlineLevel="0" collapsed="false">
      <c r="A107" s="10" t="s">
        <v>5348</v>
      </c>
    </row>
    <row r="108" customFormat="false" ht="16.85" hidden="false" customHeight="false" outlineLevel="0" collapsed="false">
      <c r="A108" s="10" t="s">
        <v>5348</v>
      </c>
    </row>
    <row r="109" customFormat="false" ht="16.85" hidden="false" customHeight="false" outlineLevel="0" collapsed="false">
      <c r="A109" s="10" t="s">
        <v>5348</v>
      </c>
    </row>
    <row r="110" customFormat="false" ht="16.85" hidden="false" customHeight="false" outlineLevel="0" collapsed="false">
      <c r="A110" s="10" t="s">
        <v>5348</v>
      </c>
    </row>
    <row r="111" customFormat="false" ht="16.85" hidden="false" customHeight="false" outlineLevel="0" collapsed="false">
      <c r="A111" s="10" t="s">
        <v>5348</v>
      </c>
    </row>
    <row r="112" customFormat="false" ht="16.85" hidden="false" customHeight="false" outlineLevel="0" collapsed="false">
      <c r="A112" s="10" t="s">
        <v>5348</v>
      </c>
    </row>
    <row r="113" customFormat="false" ht="16.85" hidden="false" customHeight="false" outlineLevel="0" collapsed="false">
      <c r="A113" s="10" t="s">
        <v>5348</v>
      </c>
    </row>
    <row r="114" customFormat="false" ht="16.85" hidden="false" customHeight="false" outlineLevel="0" collapsed="false">
      <c r="A114" s="10" t="s">
        <v>5348</v>
      </c>
    </row>
    <row r="115" customFormat="false" ht="16.85" hidden="false" customHeight="false" outlineLevel="0" collapsed="false">
      <c r="A115" s="10" t="s">
        <v>5348</v>
      </c>
    </row>
    <row r="116" customFormat="false" ht="16.85" hidden="false" customHeight="false" outlineLevel="0" collapsed="false">
      <c r="A116" s="10" t="s">
        <v>5348</v>
      </c>
    </row>
    <row r="117" customFormat="false" ht="16.85" hidden="false" customHeight="false" outlineLevel="0" collapsed="false">
      <c r="A117" s="10" t="s">
        <v>5348</v>
      </c>
    </row>
    <row r="118" customFormat="false" ht="16.85" hidden="false" customHeight="false" outlineLevel="0" collapsed="false">
      <c r="A118" s="10" t="s">
        <v>5348</v>
      </c>
    </row>
    <row r="119" customFormat="false" ht="16.85" hidden="false" customHeight="false" outlineLevel="0" collapsed="false">
      <c r="A119" s="10" t="s">
        <v>5348</v>
      </c>
    </row>
    <row r="120" customFormat="false" ht="16.85" hidden="false" customHeight="false" outlineLevel="0" collapsed="false">
      <c r="A120" s="10" t="s">
        <v>5348</v>
      </c>
    </row>
    <row r="121" customFormat="false" ht="16.85" hidden="false" customHeight="false" outlineLevel="0" collapsed="false">
      <c r="A121" s="10" t="s">
        <v>5348</v>
      </c>
    </row>
    <row r="122" customFormat="false" ht="16.85" hidden="false" customHeight="false" outlineLevel="0" collapsed="false">
      <c r="A122" s="10" t="s">
        <v>5348</v>
      </c>
    </row>
    <row r="123" customFormat="false" ht="16.85" hidden="false" customHeight="false" outlineLevel="0" collapsed="false">
      <c r="A123" s="10" t="s">
        <v>5348</v>
      </c>
    </row>
    <row r="124" customFormat="false" ht="16.85" hidden="false" customHeight="false" outlineLevel="0" collapsed="false">
      <c r="A124" s="10" t="s">
        <v>5348</v>
      </c>
    </row>
    <row r="125" customFormat="false" ht="16.85" hidden="false" customHeight="false" outlineLevel="0" collapsed="false">
      <c r="A125" s="10" t="s">
        <v>5348</v>
      </c>
    </row>
    <row r="126" customFormat="false" ht="16.85" hidden="false" customHeight="false" outlineLevel="0" collapsed="false">
      <c r="A126" s="10" t="s">
        <v>5348</v>
      </c>
    </row>
    <row r="127" customFormat="false" ht="16.85" hidden="false" customHeight="false" outlineLevel="0" collapsed="false">
      <c r="A127" s="10" t="s">
        <v>5348</v>
      </c>
    </row>
    <row r="128" customFormat="false" ht="16.85" hidden="false" customHeight="false" outlineLevel="0" collapsed="false">
      <c r="A128" s="10" t="s">
        <v>5348</v>
      </c>
    </row>
    <row r="129" customFormat="false" ht="16.85" hidden="false" customHeight="false" outlineLevel="0" collapsed="false">
      <c r="A129" s="10" t="s">
        <v>5348</v>
      </c>
    </row>
    <row r="130" customFormat="false" ht="16.85" hidden="false" customHeight="false" outlineLevel="0" collapsed="false">
      <c r="A130" s="10" t="s">
        <v>5348</v>
      </c>
    </row>
    <row r="131" customFormat="false" ht="16.85" hidden="false" customHeight="false" outlineLevel="0" collapsed="false">
      <c r="A131" s="10" t="s">
        <v>5348</v>
      </c>
    </row>
    <row r="132" customFormat="false" ht="16.85" hidden="false" customHeight="false" outlineLevel="0" collapsed="false">
      <c r="A132" s="10" t="s">
        <v>5348</v>
      </c>
    </row>
    <row r="133" customFormat="false" ht="16.85" hidden="false" customHeight="false" outlineLevel="0" collapsed="false">
      <c r="A133" s="10" t="s">
        <v>5348</v>
      </c>
    </row>
    <row r="134" customFormat="false" ht="16.85" hidden="false" customHeight="false" outlineLevel="0" collapsed="false">
      <c r="A134" s="10" t="s">
        <v>5348</v>
      </c>
    </row>
    <row r="135" customFormat="false" ht="16.85" hidden="false" customHeight="false" outlineLevel="0" collapsed="false">
      <c r="A135" s="10" t="s">
        <v>5348</v>
      </c>
    </row>
    <row r="136" customFormat="false" ht="16.85" hidden="false" customHeight="false" outlineLevel="0" collapsed="false">
      <c r="A136" s="10" t="s">
        <v>5348</v>
      </c>
    </row>
    <row r="137" customFormat="false" ht="16.85" hidden="false" customHeight="false" outlineLevel="0" collapsed="false">
      <c r="A137" s="10" t="s">
        <v>5348</v>
      </c>
    </row>
    <row r="138" customFormat="false" ht="16.85" hidden="false" customHeight="false" outlineLevel="0" collapsed="false">
      <c r="A138" s="10" t="s">
        <v>5348</v>
      </c>
    </row>
    <row r="139" customFormat="false" ht="16.85" hidden="false" customHeight="false" outlineLevel="0" collapsed="false">
      <c r="A139" s="10" t="s">
        <v>5348</v>
      </c>
    </row>
    <row r="140" customFormat="false" ht="16.85" hidden="false" customHeight="false" outlineLevel="0" collapsed="false">
      <c r="A140" s="10" t="s">
        <v>5348</v>
      </c>
    </row>
    <row r="141" customFormat="false" ht="16.85" hidden="false" customHeight="false" outlineLevel="0" collapsed="false">
      <c r="A141" s="10" t="s">
        <v>5348</v>
      </c>
    </row>
    <row r="142" customFormat="false" ht="16.85" hidden="false" customHeight="false" outlineLevel="0" collapsed="false">
      <c r="A142" s="10" t="s">
        <v>5348</v>
      </c>
    </row>
    <row r="143" customFormat="false" ht="16.85" hidden="false" customHeight="false" outlineLevel="0" collapsed="false">
      <c r="A143" s="10" t="s">
        <v>5348</v>
      </c>
    </row>
    <row r="144" customFormat="false" ht="16.85" hidden="false" customHeight="false" outlineLevel="0" collapsed="false">
      <c r="A144" s="10" t="s">
        <v>5348</v>
      </c>
    </row>
    <row r="145" customFormat="false" ht="16.85" hidden="false" customHeight="false" outlineLevel="0" collapsed="false">
      <c r="A145" s="10" t="s">
        <v>5348</v>
      </c>
    </row>
    <row r="146" customFormat="false" ht="16.85" hidden="false" customHeight="false" outlineLevel="0" collapsed="false">
      <c r="A146" s="10" t="s">
        <v>5348</v>
      </c>
    </row>
    <row r="147" customFormat="false" ht="16.85" hidden="false" customHeight="false" outlineLevel="0" collapsed="false">
      <c r="A147" s="10" t="s">
        <v>5348</v>
      </c>
    </row>
    <row r="148" customFormat="false" ht="16.85" hidden="false" customHeight="false" outlineLevel="0" collapsed="false">
      <c r="A148" s="10" t="s">
        <v>5348</v>
      </c>
    </row>
    <row r="149" customFormat="false" ht="16.85" hidden="false" customHeight="false" outlineLevel="0" collapsed="false">
      <c r="A149" s="10" t="s">
        <v>5348</v>
      </c>
    </row>
    <row r="150" customFormat="false" ht="16.85" hidden="false" customHeight="false" outlineLevel="0" collapsed="false">
      <c r="A150" s="10" t="s">
        <v>5348</v>
      </c>
    </row>
    <row r="151" customFormat="false" ht="16.85" hidden="false" customHeight="false" outlineLevel="0" collapsed="false">
      <c r="A151" s="10" t="s">
        <v>5348</v>
      </c>
    </row>
    <row r="152" customFormat="false" ht="16.85" hidden="false" customHeight="false" outlineLevel="0" collapsed="false">
      <c r="A152" s="10" t="s">
        <v>5348</v>
      </c>
    </row>
    <row r="153" customFormat="false" ht="16.85" hidden="false" customHeight="false" outlineLevel="0" collapsed="false">
      <c r="A153" s="10" t="s">
        <v>5348</v>
      </c>
    </row>
    <row r="154" customFormat="false" ht="16.85" hidden="false" customHeight="false" outlineLevel="0" collapsed="false">
      <c r="A154" s="10" t="s">
        <v>5348</v>
      </c>
    </row>
    <row r="155" customFormat="false" ht="16.85" hidden="false" customHeight="false" outlineLevel="0" collapsed="false">
      <c r="A155" s="10" t="s">
        <v>5348</v>
      </c>
    </row>
    <row r="156" customFormat="false" ht="16.85" hidden="false" customHeight="false" outlineLevel="0" collapsed="false">
      <c r="A156" s="10" t="s">
        <v>5348</v>
      </c>
    </row>
    <row r="157" customFormat="false" ht="16.85" hidden="false" customHeight="false" outlineLevel="0" collapsed="false">
      <c r="A157" s="10" t="s">
        <v>5348</v>
      </c>
    </row>
    <row r="158" customFormat="false" ht="16.85" hidden="false" customHeight="false" outlineLevel="0" collapsed="false">
      <c r="A158" s="10" t="s">
        <v>5348</v>
      </c>
    </row>
    <row r="159" customFormat="false" ht="16.85" hidden="false" customHeight="false" outlineLevel="0" collapsed="false">
      <c r="A159" s="10" t="s">
        <v>5348</v>
      </c>
    </row>
    <row r="160" customFormat="false" ht="16.85" hidden="false" customHeight="false" outlineLevel="0" collapsed="false">
      <c r="A160" s="10" t="s">
        <v>5348</v>
      </c>
    </row>
    <row r="161" customFormat="false" ht="16.85" hidden="false" customHeight="false" outlineLevel="0" collapsed="false">
      <c r="A161" s="10" t="s">
        <v>5348</v>
      </c>
    </row>
    <row r="162" customFormat="false" ht="16.85" hidden="false" customHeight="false" outlineLevel="0" collapsed="false">
      <c r="A162" s="10" t="s">
        <v>5348</v>
      </c>
    </row>
    <row r="163" customFormat="false" ht="16.85" hidden="false" customHeight="false" outlineLevel="0" collapsed="false">
      <c r="A163" s="10" t="s">
        <v>5348</v>
      </c>
    </row>
    <row r="164" customFormat="false" ht="16.85" hidden="false" customHeight="false" outlineLevel="0" collapsed="false">
      <c r="A164" s="10" t="s">
        <v>5348</v>
      </c>
    </row>
    <row r="165" customFormat="false" ht="16.85" hidden="false" customHeight="false" outlineLevel="0" collapsed="false">
      <c r="A165" s="10" t="s">
        <v>5348</v>
      </c>
    </row>
    <row r="166" customFormat="false" ht="16.85" hidden="false" customHeight="false" outlineLevel="0" collapsed="false">
      <c r="A166" s="10" t="s">
        <v>5348</v>
      </c>
    </row>
    <row r="167" customFormat="false" ht="16.85" hidden="false" customHeight="false" outlineLevel="0" collapsed="false">
      <c r="A167" s="10" t="s">
        <v>5348</v>
      </c>
    </row>
    <row r="168" customFormat="false" ht="16.85" hidden="false" customHeight="false" outlineLevel="0" collapsed="false">
      <c r="A168" s="10" t="s">
        <v>5348</v>
      </c>
    </row>
    <row r="169" customFormat="false" ht="16.85" hidden="false" customHeight="false" outlineLevel="0" collapsed="false">
      <c r="A169" s="10" t="s">
        <v>5348</v>
      </c>
    </row>
    <row r="170" customFormat="false" ht="16.85" hidden="false" customHeight="false" outlineLevel="0" collapsed="false">
      <c r="A170" s="10" t="s">
        <v>5348</v>
      </c>
    </row>
    <row r="171" customFormat="false" ht="16.85" hidden="false" customHeight="false" outlineLevel="0" collapsed="false">
      <c r="A171" s="10" t="s">
        <v>5348</v>
      </c>
    </row>
    <row r="172" customFormat="false" ht="16.85" hidden="false" customHeight="false" outlineLevel="0" collapsed="false">
      <c r="A172" s="10" t="s">
        <v>5348</v>
      </c>
    </row>
    <row r="173" customFormat="false" ht="16.85" hidden="false" customHeight="false" outlineLevel="0" collapsed="false">
      <c r="A173" s="10" t="s">
        <v>5348</v>
      </c>
    </row>
    <row r="174" customFormat="false" ht="16.85" hidden="false" customHeight="false" outlineLevel="0" collapsed="false">
      <c r="A174" s="10" t="s">
        <v>5348</v>
      </c>
    </row>
    <row r="175" customFormat="false" ht="16.85" hidden="false" customHeight="false" outlineLevel="0" collapsed="false">
      <c r="A175" s="10" t="s">
        <v>5348</v>
      </c>
    </row>
    <row r="176" customFormat="false" ht="16.85" hidden="false" customHeight="false" outlineLevel="0" collapsed="false">
      <c r="A176" s="10" t="s">
        <v>5348</v>
      </c>
    </row>
    <row r="177" customFormat="false" ht="16.85" hidden="false" customHeight="false" outlineLevel="0" collapsed="false">
      <c r="A177" s="10" t="s">
        <v>5348</v>
      </c>
    </row>
    <row r="178" customFormat="false" ht="16.85" hidden="false" customHeight="false" outlineLevel="0" collapsed="false">
      <c r="A178" s="10" t="s">
        <v>5348</v>
      </c>
    </row>
    <row r="179" customFormat="false" ht="16.85" hidden="false" customHeight="false" outlineLevel="0" collapsed="false">
      <c r="A179" s="10" t="s">
        <v>5348</v>
      </c>
    </row>
    <row r="180" customFormat="false" ht="16.85" hidden="false" customHeight="false" outlineLevel="0" collapsed="false">
      <c r="A180" s="10" t="s">
        <v>5348</v>
      </c>
    </row>
    <row r="181" customFormat="false" ht="16.85" hidden="false" customHeight="false" outlineLevel="0" collapsed="false">
      <c r="A181" s="10" t="s">
        <v>5348</v>
      </c>
    </row>
    <row r="182" customFormat="false" ht="16.85" hidden="false" customHeight="false" outlineLevel="0" collapsed="false">
      <c r="A182" s="10" t="s">
        <v>5348</v>
      </c>
    </row>
    <row r="183" customFormat="false" ht="16.85" hidden="false" customHeight="false" outlineLevel="0" collapsed="false">
      <c r="A183" s="10" t="s">
        <v>5348</v>
      </c>
    </row>
    <row r="184" customFormat="false" ht="16.85" hidden="false" customHeight="false" outlineLevel="0" collapsed="false">
      <c r="A184" s="10" t="s">
        <v>5348</v>
      </c>
    </row>
    <row r="185" customFormat="false" ht="16.85" hidden="false" customHeight="false" outlineLevel="0" collapsed="false">
      <c r="A185" s="10" t="s">
        <v>5348</v>
      </c>
    </row>
    <row r="186" customFormat="false" ht="16.85" hidden="false" customHeight="false" outlineLevel="0" collapsed="false">
      <c r="A186" s="10" t="s">
        <v>5348</v>
      </c>
    </row>
    <row r="187" customFormat="false" ht="16.85" hidden="false" customHeight="false" outlineLevel="0" collapsed="false">
      <c r="A187" s="10" t="s">
        <v>5348</v>
      </c>
    </row>
    <row r="188" customFormat="false" ht="16.85" hidden="false" customHeight="false" outlineLevel="0" collapsed="false">
      <c r="A188" s="10" t="s">
        <v>5348</v>
      </c>
    </row>
    <row r="189" customFormat="false" ht="16.85" hidden="false" customHeight="false" outlineLevel="0" collapsed="false">
      <c r="A189" s="10" t="s">
        <v>5348</v>
      </c>
    </row>
    <row r="190" customFormat="false" ht="16.85" hidden="false" customHeight="false" outlineLevel="0" collapsed="false">
      <c r="A190" s="10" t="s">
        <v>5348</v>
      </c>
    </row>
    <row r="191" customFormat="false" ht="16.85" hidden="false" customHeight="false" outlineLevel="0" collapsed="false">
      <c r="A191" s="10" t="s">
        <v>5348</v>
      </c>
    </row>
    <row r="192" customFormat="false" ht="16.85" hidden="false" customHeight="false" outlineLevel="0" collapsed="false">
      <c r="A192" s="10" t="s">
        <v>5348</v>
      </c>
    </row>
    <row r="193" customFormat="false" ht="16.85" hidden="false" customHeight="false" outlineLevel="0" collapsed="false">
      <c r="A193" s="10" t="s">
        <v>5348</v>
      </c>
    </row>
    <row r="194" customFormat="false" ht="16.85" hidden="false" customHeight="false" outlineLevel="0" collapsed="false">
      <c r="A194" s="10" t="s">
        <v>5348</v>
      </c>
    </row>
    <row r="195" customFormat="false" ht="16.85" hidden="false" customHeight="false" outlineLevel="0" collapsed="false">
      <c r="A195" s="10" t="s">
        <v>5348</v>
      </c>
    </row>
    <row r="196" customFormat="false" ht="16.85" hidden="false" customHeight="false" outlineLevel="0" collapsed="false">
      <c r="A196" s="10" t="s">
        <v>5348</v>
      </c>
    </row>
    <row r="197" customFormat="false" ht="16.85" hidden="false" customHeight="false" outlineLevel="0" collapsed="false">
      <c r="A197" s="10" t="s">
        <v>5348</v>
      </c>
    </row>
    <row r="198" customFormat="false" ht="16.85" hidden="false" customHeight="false" outlineLevel="0" collapsed="false">
      <c r="A198" s="10" t="s">
        <v>5348</v>
      </c>
    </row>
    <row r="199" customFormat="false" ht="16.85" hidden="false" customHeight="false" outlineLevel="0" collapsed="false">
      <c r="A199" s="10" t="s">
        <v>5348</v>
      </c>
    </row>
    <row r="200" customFormat="false" ht="16.85" hidden="false" customHeight="false" outlineLevel="0" collapsed="false">
      <c r="A200" s="10" t="s">
        <v>5444</v>
      </c>
    </row>
    <row r="201" customFormat="false" ht="16.85" hidden="false" customHeight="false" outlineLevel="0" collapsed="false">
      <c r="A201" s="10" t="s">
        <v>5348</v>
      </c>
    </row>
    <row r="202" customFormat="false" ht="16.85" hidden="false" customHeight="false" outlineLevel="0" collapsed="false">
      <c r="A202" s="10" t="s">
        <v>5348</v>
      </c>
    </row>
    <row r="203" customFormat="false" ht="16.85" hidden="false" customHeight="false" outlineLevel="0" collapsed="false">
      <c r="A203" s="10" t="s">
        <v>5348</v>
      </c>
    </row>
    <row r="204" customFormat="false" ht="16.85" hidden="false" customHeight="false" outlineLevel="0" collapsed="false">
      <c r="A204" s="10" t="s">
        <v>5348</v>
      </c>
    </row>
    <row r="205" customFormat="false" ht="16.85" hidden="false" customHeight="false" outlineLevel="0" collapsed="false">
      <c r="A205" s="10" t="s">
        <v>5348</v>
      </c>
    </row>
    <row r="206" customFormat="false" ht="16.85" hidden="false" customHeight="false" outlineLevel="0" collapsed="false">
      <c r="A206" s="10" t="s">
        <v>5348</v>
      </c>
    </row>
    <row r="207" customFormat="false" ht="16.85" hidden="false" customHeight="false" outlineLevel="0" collapsed="false">
      <c r="A207" s="10" t="s">
        <v>5348</v>
      </c>
    </row>
    <row r="208" customFormat="false" ht="16.85" hidden="false" customHeight="false" outlineLevel="0" collapsed="false">
      <c r="A208" s="10" t="s">
        <v>5348</v>
      </c>
    </row>
    <row r="209" customFormat="false" ht="16.85" hidden="false" customHeight="false" outlineLevel="0" collapsed="false">
      <c r="A209" s="10" t="s">
        <v>5348</v>
      </c>
    </row>
    <row r="210" customFormat="false" ht="16.85" hidden="false" customHeight="false" outlineLevel="0" collapsed="false">
      <c r="A210" s="10" t="s">
        <v>5348</v>
      </c>
    </row>
    <row r="211" customFormat="false" ht="16.85" hidden="false" customHeight="false" outlineLevel="0" collapsed="false">
      <c r="A211" s="10" t="s">
        <v>5348</v>
      </c>
    </row>
    <row r="212" customFormat="false" ht="16.85" hidden="false" customHeight="false" outlineLevel="0" collapsed="false">
      <c r="A212" s="10" t="s">
        <v>5348</v>
      </c>
    </row>
    <row r="213" customFormat="false" ht="16.85" hidden="false" customHeight="false" outlineLevel="0" collapsed="false">
      <c r="A213" s="10" t="s">
        <v>5348</v>
      </c>
    </row>
    <row r="214" customFormat="false" ht="16.85" hidden="false" customHeight="false" outlineLevel="0" collapsed="false">
      <c r="A214" s="10" t="s">
        <v>5348</v>
      </c>
    </row>
    <row r="215" customFormat="false" ht="16.85" hidden="false" customHeight="false" outlineLevel="0" collapsed="false">
      <c r="A215" s="10" t="s">
        <v>5348</v>
      </c>
    </row>
    <row r="216" customFormat="false" ht="16.85" hidden="false" customHeight="false" outlineLevel="0" collapsed="false">
      <c r="A216" s="10" t="s">
        <v>5348</v>
      </c>
    </row>
    <row r="217" customFormat="false" ht="16.85" hidden="false" customHeight="false" outlineLevel="0" collapsed="false">
      <c r="A217" s="10" t="s">
        <v>5348</v>
      </c>
    </row>
    <row r="218" customFormat="false" ht="16.85" hidden="false" customHeight="false" outlineLevel="0" collapsed="false">
      <c r="A218" s="10" t="s">
        <v>5348</v>
      </c>
    </row>
    <row r="219" customFormat="false" ht="16.85" hidden="false" customHeight="false" outlineLevel="0" collapsed="false">
      <c r="A219" s="10" t="s">
        <v>5348</v>
      </c>
    </row>
    <row r="220" customFormat="false" ht="16.85" hidden="false" customHeight="false" outlineLevel="0" collapsed="false">
      <c r="A220" s="10" t="s">
        <v>5348</v>
      </c>
    </row>
    <row r="221" customFormat="false" ht="16.85" hidden="false" customHeight="false" outlineLevel="0" collapsed="false">
      <c r="A221" s="10" t="s">
        <v>5348</v>
      </c>
    </row>
    <row r="222" customFormat="false" ht="16.85" hidden="false" customHeight="false" outlineLevel="0" collapsed="false">
      <c r="A222" s="10" t="s">
        <v>5348</v>
      </c>
    </row>
    <row r="223" customFormat="false" ht="16.85" hidden="false" customHeight="false" outlineLevel="0" collapsed="false">
      <c r="A223" s="10" t="s">
        <v>5348</v>
      </c>
    </row>
    <row r="224" customFormat="false" ht="16.85" hidden="false" customHeight="false" outlineLevel="0" collapsed="false">
      <c r="A224" s="10" t="s">
        <v>5348</v>
      </c>
    </row>
    <row r="225" customFormat="false" ht="16.85" hidden="false" customHeight="false" outlineLevel="0" collapsed="false">
      <c r="A225" s="10" t="s">
        <v>5348</v>
      </c>
    </row>
    <row r="226" customFormat="false" ht="16.85" hidden="false" customHeight="false" outlineLevel="0" collapsed="false">
      <c r="A226" s="10" t="s">
        <v>5348</v>
      </c>
    </row>
    <row r="227" customFormat="false" ht="16.85" hidden="false" customHeight="false" outlineLevel="0" collapsed="false">
      <c r="A227" s="10" t="s">
        <v>5348</v>
      </c>
    </row>
    <row r="228" customFormat="false" ht="16.85" hidden="false" customHeight="false" outlineLevel="0" collapsed="false">
      <c r="A228" s="10" t="s">
        <v>5348</v>
      </c>
    </row>
    <row r="229" customFormat="false" ht="16.85" hidden="false" customHeight="false" outlineLevel="0" collapsed="false">
      <c r="A229" s="10" t="s">
        <v>5348</v>
      </c>
    </row>
    <row r="230" customFormat="false" ht="16.85" hidden="false" customHeight="false" outlineLevel="0" collapsed="false">
      <c r="A230" s="10" t="s">
        <v>5348</v>
      </c>
    </row>
    <row r="231" customFormat="false" ht="16.85" hidden="false" customHeight="false" outlineLevel="0" collapsed="false">
      <c r="A231" s="10" t="s">
        <v>5348</v>
      </c>
    </row>
    <row r="232" customFormat="false" ht="16.85" hidden="false" customHeight="false" outlineLevel="0" collapsed="false">
      <c r="A232" s="10" t="s">
        <v>5348</v>
      </c>
    </row>
    <row r="233" customFormat="false" ht="16.85" hidden="false" customHeight="false" outlineLevel="0" collapsed="false">
      <c r="A233" s="10" t="s">
        <v>5348</v>
      </c>
    </row>
    <row r="234" customFormat="false" ht="16.85" hidden="false" customHeight="false" outlineLevel="0" collapsed="false">
      <c r="A234" s="10" t="s">
        <v>5348</v>
      </c>
    </row>
    <row r="235" customFormat="false" ht="16.85" hidden="false" customHeight="false" outlineLevel="0" collapsed="false">
      <c r="A235" s="10" t="s">
        <v>5348</v>
      </c>
    </row>
    <row r="236" customFormat="false" ht="16.85" hidden="false" customHeight="false" outlineLevel="0" collapsed="false">
      <c r="A236" s="10" t="s">
        <v>5348</v>
      </c>
    </row>
    <row r="237" customFormat="false" ht="16.85" hidden="false" customHeight="false" outlineLevel="0" collapsed="false">
      <c r="A237" s="10" t="s">
        <v>5348</v>
      </c>
    </row>
    <row r="238" customFormat="false" ht="16.85" hidden="false" customHeight="false" outlineLevel="0" collapsed="false">
      <c r="A238" s="10" t="s">
        <v>5348</v>
      </c>
    </row>
    <row r="239" customFormat="false" ht="16.85" hidden="false" customHeight="false" outlineLevel="0" collapsed="false">
      <c r="A239" s="10" t="s">
        <v>5348</v>
      </c>
    </row>
    <row r="240" customFormat="false" ht="16.85" hidden="false" customHeight="false" outlineLevel="0" collapsed="false">
      <c r="A240" s="10" t="s">
        <v>5348</v>
      </c>
    </row>
    <row r="241" customFormat="false" ht="16.85" hidden="false" customHeight="false" outlineLevel="0" collapsed="false">
      <c r="A241" s="10" t="s">
        <v>5348</v>
      </c>
    </row>
    <row r="242" customFormat="false" ht="16.85" hidden="false" customHeight="false" outlineLevel="0" collapsed="false">
      <c r="A242" s="10" t="s">
        <v>5348</v>
      </c>
    </row>
    <row r="243" customFormat="false" ht="16.85" hidden="false" customHeight="false" outlineLevel="0" collapsed="false">
      <c r="A243" s="10" t="s">
        <v>5348</v>
      </c>
    </row>
    <row r="244" customFormat="false" ht="16.85" hidden="false" customHeight="false" outlineLevel="0" collapsed="false">
      <c r="A244" s="10" t="s">
        <v>5348</v>
      </c>
    </row>
    <row r="245" customFormat="false" ht="16.85" hidden="false" customHeight="false" outlineLevel="0" collapsed="false">
      <c r="A245" s="10" t="s">
        <v>5348</v>
      </c>
    </row>
    <row r="246" customFormat="false" ht="16.85" hidden="false" customHeight="false" outlineLevel="0" collapsed="false">
      <c r="A246" s="10" t="s">
        <v>5348</v>
      </c>
    </row>
    <row r="247" customFormat="false" ht="16.85" hidden="false" customHeight="false" outlineLevel="0" collapsed="false">
      <c r="A247" s="10" t="s">
        <v>5348</v>
      </c>
    </row>
    <row r="248" customFormat="false" ht="16.85" hidden="false" customHeight="false" outlineLevel="0" collapsed="false">
      <c r="A248" s="10" t="s">
        <v>5348</v>
      </c>
    </row>
    <row r="249" customFormat="false" ht="16.85" hidden="false" customHeight="false" outlineLevel="0" collapsed="false">
      <c r="A249" s="10" t="s">
        <v>5348</v>
      </c>
    </row>
    <row r="250" customFormat="false" ht="16.85" hidden="false" customHeight="false" outlineLevel="0" collapsed="false">
      <c r="A250" s="10" t="s">
        <v>5348</v>
      </c>
    </row>
    <row r="251" customFormat="false" ht="16.85" hidden="false" customHeight="false" outlineLevel="0" collapsed="false">
      <c r="A251" s="10" t="s">
        <v>5348</v>
      </c>
    </row>
    <row r="252" customFormat="false" ht="16.85" hidden="false" customHeight="false" outlineLevel="0" collapsed="false">
      <c r="A252" s="10" t="s">
        <v>5348</v>
      </c>
    </row>
    <row r="253" customFormat="false" ht="16.85" hidden="false" customHeight="false" outlineLevel="0" collapsed="false">
      <c r="A253" s="10" t="s">
        <v>5348</v>
      </c>
    </row>
    <row r="254" customFormat="false" ht="16.85" hidden="false" customHeight="false" outlineLevel="0" collapsed="false">
      <c r="A254" s="10" t="s">
        <v>5348</v>
      </c>
    </row>
    <row r="255" customFormat="false" ht="16.85" hidden="false" customHeight="false" outlineLevel="0" collapsed="false">
      <c r="A255" s="10" t="s">
        <v>5348</v>
      </c>
    </row>
    <row r="256" customFormat="false" ht="16.85" hidden="false" customHeight="false" outlineLevel="0" collapsed="false">
      <c r="A256" s="10" t="s">
        <v>5348</v>
      </c>
    </row>
    <row r="257" customFormat="false" ht="16.85" hidden="false" customHeight="false" outlineLevel="0" collapsed="false">
      <c r="A257" s="10" t="s">
        <v>5348</v>
      </c>
    </row>
    <row r="258" customFormat="false" ht="16.85" hidden="false" customHeight="false" outlineLevel="0" collapsed="false">
      <c r="A258" s="10" t="s">
        <v>5348</v>
      </c>
    </row>
    <row r="259" customFormat="false" ht="16.85" hidden="false" customHeight="false" outlineLevel="0" collapsed="false">
      <c r="A259" s="10" t="s">
        <v>5348</v>
      </c>
    </row>
    <row r="260" customFormat="false" ht="16.85" hidden="false" customHeight="false" outlineLevel="0" collapsed="false">
      <c r="A260" s="10" t="s">
        <v>5348</v>
      </c>
    </row>
    <row r="261" customFormat="false" ht="16.85" hidden="false" customHeight="false" outlineLevel="0" collapsed="false">
      <c r="A261" s="10" t="s">
        <v>5348</v>
      </c>
    </row>
    <row r="262" customFormat="false" ht="16.85" hidden="false" customHeight="false" outlineLevel="0" collapsed="false">
      <c r="A262" s="10" t="s">
        <v>5348</v>
      </c>
    </row>
    <row r="263" customFormat="false" ht="16.85" hidden="false" customHeight="false" outlineLevel="0" collapsed="false">
      <c r="A263" s="10" t="s">
        <v>5348</v>
      </c>
    </row>
    <row r="264" customFormat="false" ht="16.85" hidden="false" customHeight="false" outlineLevel="0" collapsed="false">
      <c r="A264" s="10" t="s">
        <v>5348</v>
      </c>
    </row>
    <row r="265" customFormat="false" ht="16.85" hidden="false" customHeight="false" outlineLevel="0" collapsed="false">
      <c r="A265" s="10" t="s">
        <v>5348</v>
      </c>
    </row>
    <row r="266" customFormat="false" ht="16.85" hidden="false" customHeight="false" outlineLevel="0" collapsed="false">
      <c r="A266" s="10" t="s">
        <v>5348</v>
      </c>
    </row>
    <row r="267" customFormat="false" ht="16.85" hidden="false" customHeight="false" outlineLevel="0" collapsed="false">
      <c r="A267" s="10" t="s">
        <v>5348</v>
      </c>
    </row>
    <row r="268" customFormat="false" ht="16.85" hidden="false" customHeight="false" outlineLevel="0" collapsed="false">
      <c r="A268" s="10" t="s">
        <v>5348</v>
      </c>
    </row>
    <row r="269" customFormat="false" ht="16.85" hidden="false" customHeight="false" outlineLevel="0" collapsed="false">
      <c r="A269" s="10" t="s">
        <v>5348</v>
      </c>
    </row>
    <row r="270" customFormat="false" ht="16.85" hidden="false" customHeight="false" outlineLevel="0" collapsed="false">
      <c r="A270" s="10" t="s">
        <v>5348</v>
      </c>
    </row>
    <row r="271" customFormat="false" ht="16.85" hidden="false" customHeight="false" outlineLevel="0" collapsed="false">
      <c r="A271" s="10" t="s">
        <v>5348</v>
      </c>
    </row>
    <row r="272" customFormat="false" ht="16.85" hidden="false" customHeight="false" outlineLevel="0" collapsed="false">
      <c r="A272" s="10" t="s">
        <v>5348</v>
      </c>
    </row>
    <row r="273" customFormat="false" ht="16.85" hidden="false" customHeight="false" outlineLevel="0" collapsed="false">
      <c r="A273" s="10" t="s">
        <v>5348</v>
      </c>
    </row>
    <row r="274" customFormat="false" ht="16.85" hidden="false" customHeight="false" outlineLevel="0" collapsed="false">
      <c r="A274" s="10" t="s">
        <v>5348</v>
      </c>
    </row>
    <row r="275" customFormat="false" ht="16.85" hidden="false" customHeight="false" outlineLevel="0" collapsed="false">
      <c r="A275" s="10" t="s">
        <v>5348</v>
      </c>
    </row>
    <row r="276" customFormat="false" ht="16.85" hidden="false" customHeight="false" outlineLevel="0" collapsed="false">
      <c r="A276" s="10" t="s">
        <v>5348</v>
      </c>
    </row>
    <row r="277" customFormat="false" ht="16.85" hidden="false" customHeight="false" outlineLevel="0" collapsed="false">
      <c r="A277" s="10" t="s">
        <v>5348</v>
      </c>
    </row>
    <row r="278" customFormat="false" ht="16.85" hidden="false" customHeight="false" outlineLevel="0" collapsed="false">
      <c r="A278" s="10" t="s">
        <v>5348</v>
      </c>
    </row>
    <row r="279" customFormat="false" ht="16.85" hidden="false" customHeight="false" outlineLevel="0" collapsed="false">
      <c r="A279" s="10" t="s">
        <v>5348</v>
      </c>
    </row>
    <row r="280" customFormat="false" ht="16.85" hidden="false" customHeight="false" outlineLevel="0" collapsed="false">
      <c r="A280" s="10" t="s">
        <v>5348</v>
      </c>
    </row>
    <row r="281" customFormat="false" ht="16.85" hidden="false" customHeight="false" outlineLevel="0" collapsed="false">
      <c r="A281" s="10" t="s">
        <v>5348</v>
      </c>
    </row>
    <row r="282" customFormat="false" ht="16.85" hidden="false" customHeight="false" outlineLevel="0" collapsed="false">
      <c r="A282" s="10" t="s">
        <v>5348</v>
      </c>
    </row>
    <row r="283" customFormat="false" ht="16.85" hidden="false" customHeight="false" outlineLevel="0" collapsed="false">
      <c r="A283" s="10" t="s">
        <v>5348</v>
      </c>
    </row>
    <row r="284" customFormat="false" ht="16.85" hidden="false" customHeight="false" outlineLevel="0" collapsed="false">
      <c r="A284" s="10" t="s">
        <v>5348</v>
      </c>
    </row>
    <row r="285" customFormat="false" ht="16.85" hidden="false" customHeight="false" outlineLevel="0" collapsed="false">
      <c r="A285" s="10" t="s">
        <v>5348</v>
      </c>
    </row>
    <row r="286" customFormat="false" ht="16.85" hidden="false" customHeight="false" outlineLevel="0" collapsed="false">
      <c r="A286" s="10" t="s">
        <v>5348</v>
      </c>
    </row>
    <row r="287" customFormat="false" ht="16.85" hidden="false" customHeight="false" outlineLevel="0" collapsed="false">
      <c r="A287" s="10" t="s">
        <v>5348</v>
      </c>
    </row>
    <row r="288" customFormat="false" ht="16.85" hidden="false" customHeight="false" outlineLevel="0" collapsed="false">
      <c r="A288" s="10" t="s">
        <v>5348</v>
      </c>
    </row>
    <row r="289" customFormat="false" ht="16.85" hidden="false" customHeight="false" outlineLevel="0" collapsed="false">
      <c r="A289" s="10" t="s">
        <v>5348</v>
      </c>
    </row>
    <row r="290" customFormat="false" ht="16.85" hidden="false" customHeight="false" outlineLevel="0" collapsed="false">
      <c r="A290" s="10" t="s">
        <v>5348</v>
      </c>
    </row>
    <row r="291" customFormat="false" ht="16.85" hidden="false" customHeight="false" outlineLevel="0" collapsed="false">
      <c r="A291" s="10" t="s">
        <v>5348</v>
      </c>
    </row>
    <row r="292" customFormat="false" ht="16.85" hidden="false" customHeight="false" outlineLevel="0" collapsed="false">
      <c r="A292" s="10" t="s">
        <v>5348</v>
      </c>
    </row>
    <row r="293" customFormat="false" ht="16.85" hidden="false" customHeight="false" outlineLevel="0" collapsed="false">
      <c r="A293" s="10" t="s">
        <v>5348</v>
      </c>
    </row>
    <row r="294" customFormat="false" ht="16.85" hidden="false" customHeight="false" outlineLevel="0" collapsed="false">
      <c r="A294" s="10" t="s">
        <v>5348</v>
      </c>
    </row>
    <row r="295" customFormat="false" ht="16.85" hidden="false" customHeight="false" outlineLevel="0" collapsed="false">
      <c r="A295" s="10" t="s">
        <v>5348</v>
      </c>
    </row>
    <row r="296" customFormat="false" ht="16.85" hidden="false" customHeight="false" outlineLevel="0" collapsed="false">
      <c r="A296" s="10" t="s">
        <v>5348</v>
      </c>
    </row>
    <row r="297" customFormat="false" ht="16.85" hidden="false" customHeight="false" outlineLevel="0" collapsed="false">
      <c r="A297" s="10" t="s">
        <v>5348</v>
      </c>
    </row>
    <row r="298" customFormat="false" ht="16.85" hidden="false" customHeight="false" outlineLevel="0" collapsed="false">
      <c r="A298" s="10" t="s">
        <v>5348</v>
      </c>
    </row>
    <row r="299" customFormat="false" ht="16.85" hidden="false" customHeight="false" outlineLevel="0" collapsed="false">
      <c r="A299" s="10" t="s">
        <v>5348</v>
      </c>
    </row>
    <row r="300" customFormat="false" ht="16.85" hidden="false" customHeight="false" outlineLevel="0" collapsed="false">
      <c r="A300" s="10" t="s">
        <v>5348</v>
      </c>
    </row>
    <row r="301" customFormat="false" ht="16.85" hidden="false" customHeight="false" outlineLevel="0" collapsed="false">
      <c r="A301" s="10" t="s">
        <v>5348</v>
      </c>
    </row>
    <row r="302" customFormat="false" ht="16.85" hidden="false" customHeight="false" outlineLevel="0" collapsed="false">
      <c r="A302" s="10" t="s">
        <v>5348</v>
      </c>
    </row>
    <row r="303" customFormat="false" ht="16.85" hidden="false" customHeight="false" outlineLevel="0" collapsed="false">
      <c r="A303" s="10" t="s">
        <v>5348</v>
      </c>
    </row>
    <row r="304" customFormat="false" ht="16.85" hidden="false" customHeight="false" outlineLevel="0" collapsed="false">
      <c r="A304" s="10" t="s">
        <v>5348</v>
      </c>
    </row>
    <row r="305" customFormat="false" ht="16.85" hidden="false" customHeight="false" outlineLevel="0" collapsed="false">
      <c r="A305" s="10" t="s">
        <v>5348</v>
      </c>
    </row>
    <row r="306" customFormat="false" ht="16.85" hidden="false" customHeight="false" outlineLevel="0" collapsed="false">
      <c r="A306" s="10" t="s">
        <v>5348</v>
      </c>
    </row>
    <row r="307" customFormat="false" ht="16.85" hidden="false" customHeight="false" outlineLevel="0" collapsed="false">
      <c r="A307" s="10" t="s">
        <v>5348</v>
      </c>
    </row>
    <row r="308" customFormat="false" ht="16.85" hidden="false" customHeight="false" outlineLevel="0" collapsed="false">
      <c r="A308" s="10" t="s">
        <v>5348</v>
      </c>
    </row>
    <row r="309" customFormat="false" ht="16.85" hidden="false" customHeight="false" outlineLevel="0" collapsed="false">
      <c r="A309" s="10" t="s">
        <v>5348</v>
      </c>
    </row>
    <row r="310" customFormat="false" ht="16.85" hidden="false" customHeight="false" outlineLevel="0" collapsed="false">
      <c r="A310" s="10" t="s">
        <v>5348</v>
      </c>
    </row>
    <row r="311" customFormat="false" ht="16.85" hidden="false" customHeight="false" outlineLevel="0" collapsed="false">
      <c r="A311" s="10" t="s">
        <v>5348</v>
      </c>
    </row>
    <row r="312" customFormat="false" ht="16.85" hidden="false" customHeight="false" outlineLevel="0" collapsed="false">
      <c r="A312" s="10" t="s">
        <v>5348</v>
      </c>
    </row>
    <row r="313" customFormat="false" ht="16.85" hidden="false" customHeight="false" outlineLevel="0" collapsed="false">
      <c r="A313" s="10" t="s">
        <v>5348</v>
      </c>
    </row>
    <row r="314" customFormat="false" ht="16.85" hidden="false" customHeight="false" outlineLevel="0" collapsed="false">
      <c r="A314" s="10" t="s">
        <v>5348</v>
      </c>
    </row>
    <row r="315" customFormat="false" ht="16.85" hidden="false" customHeight="false" outlineLevel="0" collapsed="false">
      <c r="A315" s="10" t="s">
        <v>5348</v>
      </c>
    </row>
    <row r="316" customFormat="false" ht="16.85" hidden="false" customHeight="false" outlineLevel="0" collapsed="false">
      <c r="A316" s="10" t="s">
        <v>5348</v>
      </c>
    </row>
    <row r="317" customFormat="false" ht="16.85" hidden="false" customHeight="false" outlineLevel="0" collapsed="false">
      <c r="A317" s="10" t="s">
        <v>5348</v>
      </c>
    </row>
    <row r="318" customFormat="false" ht="16.85" hidden="false" customHeight="false" outlineLevel="0" collapsed="false">
      <c r="A318" s="10" t="s">
        <v>5348</v>
      </c>
    </row>
    <row r="319" customFormat="false" ht="16.85" hidden="false" customHeight="false" outlineLevel="0" collapsed="false">
      <c r="A319" s="10" t="s">
        <v>5348</v>
      </c>
    </row>
    <row r="320" customFormat="false" ht="16.85" hidden="false" customHeight="false" outlineLevel="0" collapsed="false">
      <c r="A320" s="10" t="s">
        <v>5348</v>
      </c>
    </row>
    <row r="321" customFormat="false" ht="16.85" hidden="false" customHeight="false" outlineLevel="0" collapsed="false">
      <c r="A321" s="10" t="s">
        <v>5348</v>
      </c>
    </row>
    <row r="322" customFormat="false" ht="16.85" hidden="false" customHeight="false" outlineLevel="0" collapsed="false">
      <c r="A322" s="10" t="s">
        <v>5348</v>
      </c>
    </row>
    <row r="323" customFormat="false" ht="16.85" hidden="false" customHeight="false" outlineLevel="0" collapsed="false">
      <c r="A323" s="10" t="s">
        <v>5348</v>
      </c>
    </row>
    <row r="324" customFormat="false" ht="16.85" hidden="false" customHeight="false" outlineLevel="0" collapsed="false">
      <c r="A324" s="10" t="s">
        <v>5348</v>
      </c>
    </row>
    <row r="325" customFormat="false" ht="16.85" hidden="false" customHeight="false" outlineLevel="0" collapsed="false">
      <c r="A325" s="10" t="s">
        <v>5348</v>
      </c>
    </row>
    <row r="326" customFormat="false" ht="16.85" hidden="false" customHeight="false" outlineLevel="0" collapsed="false">
      <c r="A326" s="10" t="s">
        <v>5348</v>
      </c>
    </row>
    <row r="327" customFormat="false" ht="16.85" hidden="false" customHeight="false" outlineLevel="0" collapsed="false">
      <c r="A327" s="10" t="s">
        <v>5348</v>
      </c>
    </row>
    <row r="328" customFormat="false" ht="16.85" hidden="false" customHeight="false" outlineLevel="0" collapsed="false">
      <c r="A328" s="10" t="s">
        <v>5444</v>
      </c>
    </row>
    <row r="329" customFormat="false" ht="16.85" hidden="false" customHeight="false" outlineLevel="0" collapsed="false">
      <c r="A329" s="10" t="s">
        <v>5348</v>
      </c>
    </row>
    <row r="330" customFormat="false" ht="16.85" hidden="false" customHeight="false" outlineLevel="0" collapsed="false">
      <c r="A330" s="10" t="s">
        <v>5348</v>
      </c>
    </row>
    <row r="331" customFormat="false" ht="16.85" hidden="false" customHeight="false" outlineLevel="0" collapsed="false">
      <c r="A331" s="10" t="s">
        <v>5348</v>
      </c>
    </row>
    <row r="332" customFormat="false" ht="16.85" hidden="false" customHeight="false" outlineLevel="0" collapsed="false">
      <c r="A332" s="10" t="s">
        <v>5348</v>
      </c>
    </row>
    <row r="333" customFormat="false" ht="16.85" hidden="false" customHeight="false" outlineLevel="0" collapsed="false">
      <c r="A333" s="10" t="s">
        <v>5348</v>
      </c>
    </row>
    <row r="334" customFormat="false" ht="16.85" hidden="false" customHeight="false" outlineLevel="0" collapsed="false">
      <c r="A334" s="10" t="s">
        <v>5348</v>
      </c>
    </row>
    <row r="335" customFormat="false" ht="16.85" hidden="false" customHeight="false" outlineLevel="0" collapsed="false">
      <c r="A335" s="10" t="s">
        <v>5444</v>
      </c>
    </row>
    <row r="336" customFormat="false" ht="16.85" hidden="false" customHeight="false" outlineLevel="0" collapsed="false">
      <c r="A336" s="10" t="s">
        <v>7585</v>
      </c>
    </row>
    <row r="337" customFormat="false" ht="16.85" hidden="false" customHeight="false" outlineLevel="0" collapsed="false">
      <c r="A337" s="10" t="s">
        <v>5348</v>
      </c>
    </row>
    <row r="338" customFormat="false" ht="16.85" hidden="false" customHeight="false" outlineLevel="0" collapsed="false">
      <c r="A338" s="10" t="s">
        <v>5348</v>
      </c>
    </row>
    <row r="339" customFormat="false" ht="16.85" hidden="false" customHeight="false" outlineLevel="0" collapsed="false">
      <c r="A339" s="10" t="s">
        <v>5348</v>
      </c>
    </row>
    <row r="340" customFormat="false" ht="16.85" hidden="false" customHeight="false" outlineLevel="0" collapsed="false">
      <c r="A340" s="10" t="s">
        <v>5348</v>
      </c>
    </row>
    <row r="341" customFormat="false" ht="16.85" hidden="false" customHeight="false" outlineLevel="0" collapsed="false">
      <c r="A341" s="10" t="s">
        <v>5348</v>
      </c>
    </row>
    <row r="342" customFormat="false" ht="16.85" hidden="false" customHeight="false" outlineLevel="0" collapsed="false">
      <c r="A342" s="10" t="s">
        <v>5348</v>
      </c>
    </row>
    <row r="343" customFormat="false" ht="16.85" hidden="false" customHeight="false" outlineLevel="0" collapsed="false">
      <c r="A343" s="10" t="s">
        <v>5348</v>
      </c>
    </row>
    <row r="344" customFormat="false" ht="16.85" hidden="false" customHeight="false" outlineLevel="0" collapsed="false">
      <c r="A344" s="10" t="s">
        <v>5348</v>
      </c>
    </row>
    <row r="345" customFormat="false" ht="16.85" hidden="false" customHeight="false" outlineLevel="0" collapsed="false">
      <c r="A345" s="10" t="s">
        <v>5348</v>
      </c>
    </row>
    <row r="346" customFormat="false" ht="16.85" hidden="false" customHeight="false" outlineLevel="0" collapsed="false">
      <c r="A346" s="10" t="s">
        <v>5348</v>
      </c>
    </row>
    <row r="347" customFormat="false" ht="16.85" hidden="false" customHeight="false" outlineLevel="0" collapsed="false">
      <c r="A347" s="10" t="s">
        <v>5348</v>
      </c>
    </row>
    <row r="348" customFormat="false" ht="16.85" hidden="false" customHeight="false" outlineLevel="0" collapsed="false">
      <c r="A348" s="10" t="s">
        <v>5348</v>
      </c>
    </row>
    <row r="349" customFormat="false" ht="16.85" hidden="false" customHeight="false" outlineLevel="0" collapsed="false">
      <c r="A349" s="10" t="s">
        <v>5348</v>
      </c>
    </row>
    <row r="350" customFormat="false" ht="16.85" hidden="false" customHeight="false" outlineLevel="0" collapsed="false">
      <c r="A350" s="10" t="s">
        <v>5348</v>
      </c>
    </row>
    <row r="351" customFormat="false" ht="16.85" hidden="false" customHeight="false" outlineLevel="0" collapsed="false">
      <c r="A351" s="10" t="s">
        <v>5348</v>
      </c>
    </row>
    <row r="352" customFormat="false" ht="16.85" hidden="false" customHeight="false" outlineLevel="0" collapsed="false">
      <c r="A352" s="10" t="s">
        <v>5348</v>
      </c>
    </row>
    <row r="353" customFormat="false" ht="16.85" hidden="false" customHeight="false" outlineLevel="0" collapsed="false">
      <c r="A353" s="10" t="s">
        <v>5348</v>
      </c>
    </row>
    <row r="354" customFormat="false" ht="16.85" hidden="false" customHeight="false" outlineLevel="0" collapsed="false">
      <c r="A354" s="10" t="s">
        <v>5348</v>
      </c>
    </row>
    <row r="355" customFormat="false" ht="16.85" hidden="false" customHeight="false" outlineLevel="0" collapsed="false">
      <c r="A355" s="17" t="s">
        <v>5444</v>
      </c>
    </row>
    <row r="356" customFormat="false" ht="16.85" hidden="false" customHeight="false" outlineLevel="0" collapsed="false">
      <c r="A356" s="17" t="s">
        <v>5444</v>
      </c>
    </row>
    <row r="357" customFormat="false" ht="16.85" hidden="false" customHeight="false" outlineLevel="0" collapsed="false">
      <c r="A357" s="10" t="s">
        <v>5348</v>
      </c>
    </row>
    <row r="358" customFormat="false" ht="16.85" hidden="false" customHeight="false" outlineLevel="0" collapsed="false">
      <c r="A358" s="10" t="s">
        <v>5348</v>
      </c>
    </row>
    <row r="359" customFormat="false" ht="16.85" hidden="false" customHeight="false" outlineLevel="0" collapsed="false">
      <c r="A359" s="10" t="s">
        <v>5348</v>
      </c>
    </row>
    <row r="360" customFormat="false" ht="16.85" hidden="false" customHeight="false" outlineLevel="0" collapsed="false">
      <c r="A360" s="10" t="s">
        <v>5348</v>
      </c>
    </row>
    <row r="361" customFormat="false" ht="16.85" hidden="false" customHeight="false" outlineLevel="0" collapsed="false">
      <c r="A361" s="10" t="s">
        <v>5348</v>
      </c>
    </row>
    <row r="362" customFormat="false" ht="16.85" hidden="false" customHeight="false" outlineLevel="0" collapsed="false">
      <c r="A362" s="10" t="s">
        <v>5348</v>
      </c>
    </row>
    <row r="363" customFormat="false" ht="16.85" hidden="false" customHeight="false" outlineLevel="0" collapsed="false">
      <c r="A363" s="10" t="s">
        <v>5348</v>
      </c>
    </row>
    <row r="364" customFormat="false" ht="16.85" hidden="false" customHeight="false" outlineLevel="0" collapsed="false">
      <c r="A364" s="10" t="s">
        <v>5348</v>
      </c>
    </row>
    <row r="365" customFormat="false" ht="16.85" hidden="false" customHeight="false" outlineLevel="0" collapsed="false">
      <c r="A365" s="10" t="s">
        <v>5348</v>
      </c>
    </row>
    <row r="366" customFormat="false" ht="16.85" hidden="false" customHeight="false" outlineLevel="0" collapsed="false">
      <c r="A366" s="10" t="s">
        <v>5348</v>
      </c>
    </row>
    <row r="367" customFormat="false" ht="16.85" hidden="false" customHeight="false" outlineLevel="0" collapsed="false">
      <c r="A367" s="10" t="s">
        <v>5348</v>
      </c>
    </row>
    <row r="368" customFormat="false" ht="16.85" hidden="false" customHeight="false" outlineLevel="0" collapsed="false">
      <c r="A368" s="10" t="s">
        <v>5348</v>
      </c>
    </row>
    <row r="369" customFormat="false" ht="16.85" hidden="false" customHeight="false" outlineLevel="0" collapsed="false">
      <c r="A369" s="10" t="s">
        <v>5348</v>
      </c>
    </row>
    <row r="370" customFormat="false" ht="16.85" hidden="false" customHeight="false" outlineLevel="0" collapsed="false">
      <c r="A370" s="10" t="s">
        <v>5348</v>
      </c>
    </row>
    <row r="371" customFormat="false" ht="16.85" hidden="false" customHeight="false" outlineLevel="0" collapsed="false">
      <c r="A371" s="10" t="s">
        <v>5348</v>
      </c>
    </row>
    <row r="372" customFormat="false" ht="16.85" hidden="false" customHeight="false" outlineLevel="0" collapsed="false">
      <c r="A372" s="10" t="s">
        <v>5348</v>
      </c>
    </row>
    <row r="373" customFormat="false" ht="16.85" hidden="false" customHeight="false" outlineLevel="0" collapsed="false">
      <c r="A373" s="10" t="s">
        <v>5348</v>
      </c>
    </row>
    <row r="374" customFormat="false" ht="16.85" hidden="false" customHeight="false" outlineLevel="0" collapsed="false">
      <c r="A374" s="10" t="s">
        <v>5348</v>
      </c>
    </row>
    <row r="375" customFormat="false" ht="16.85" hidden="false" customHeight="false" outlineLevel="0" collapsed="false">
      <c r="A375" s="10" t="s">
        <v>5348</v>
      </c>
    </row>
    <row r="376" customFormat="false" ht="16.85" hidden="false" customHeight="false" outlineLevel="0" collapsed="false">
      <c r="A376" s="10" t="s">
        <v>5348</v>
      </c>
    </row>
    <row r="377" customFormat="false" ht="16.85" hidden="false" customHeight="false" outlineLevel="0" collapsed="false">
      <c r="A377" s="10" t="s">
        <v>5348</v>
      </c>
    </row>
    <row r="378" customFormat="false" ht="16.85" hidden="false" customHeight="false" outlineLevel="0" collapsed="false">
      <c r="A378" s="10" t="s">
        <v>5348</v>
      </c>
    </row>
    <row r="379" customFormat="false" ht="16.85" hidden="false" customHeight="false" outlineLevel="0" collapsed="false">
      <c r="A379" s="10" t="s">
        <v>5348</v>
      </c>
    </row>
    <row r="380" customFormat="false" ht="16.85" hidden="false" customHeight="false" outlineLevel="0" collapsed="false">
      <c r="A380" s="10" t="s">
        <v>5348</v>
      </c>
    </row>
    <row r="381" customFormat="false" ht="16.85" hidden="false" customHeight="false" outlineLevel="0" collapsed="false">
      <c r="A381" s="10" t="s">
        <v>5348</v>
      </c>
    </row>
    <row r="382" customFormat="false" ht="16.85" hidden="false" customHeight="false" outlineLevel="0" collapsed="false">
      <c r="A382" s="10" t="s">
        <v>5348</v>
      </c>
    </row>
    <row r="383" customFormat="false" ht="16.85" hidden="false" customHeight="false" outlineLevel="0" collapsed="false">
      <c r="A383" s="10" t="s">
        <v>5348</v>
      </c>
    </row>
    <row r="384" customFormat="false" ht="16.85" hidden="false" customHeight="false" outlineLevel="0" collapsed="false">
      <c r="A384" s="10" t="s">
        <v>5348</v>
      </c>
    </row>
    <row r="385" customFormat="false" ht="16.85" hidden="false" customHeight="false" outlineLevel="0" collapsed="false">
      <c r="A385" s="10" t="s">
        <v>5348</v>
      </c>
    </row>
    <row r="386" customFormat="false" ht="16.85" hidden="false" customHeight="false" outlineLevel="0" collapsed="false">
      <c r="A386" s="10" t="s">
        <v>5348</v>
      </c>
    </row>
    <row r="387" customFormat="false" ht="16.85" hidden="false" customHeight="false" outlineLevel="0" collapsed="false">
      <c r="A387" s="10" t="s">
        <v>5348</v>
      </c>
    </row>
    <row r="388" customFormat="false" ht="16.85" hidden="false" customHeight="false" outlineLevel="0" collapsed="false">
      <c r="A388" s="10" t="s">
        <v>5348</v>
      </c>
    </row>
    <row r="389" customFormat="false" ht="16.85" hidden="false" customHeight="false" outlineLevel="0" collapsed="false">
      <c r="A389" s="10" t="s">
        <v>5348</v>
      </c>
    </row>
    <row r="390" customFormat="false" ht="16.85" hidden="false" customHeight="false" outlineLevel="0" collapsed="false">
      <c r="A390" s="10" t="s">
        <v>5348</v>
      </c>
    </row>
    <row r="391" customFormat="false" ht="16.85" hidden="false" customHeight="false" outlineLevel="0" collapsed="false">
      <c r="A391" s="10" t="s">
        <v>5348</v>
      </c>
    </row>
    <row r="392" customFormat="false" ht="16.85" hidden="false" customHeight="false" outlineLevel="0" collapsed="false">
      <c r="A392" s="10" t="s">
        <v>5348</v>
      </c>
    </row>
    <row r="393" customFormat="false" ht="16.85" hidden="false" customHeight="false" outlineLevel="0" collapsed="false">
      <c r="A393" s="10" t="s">
        <v>5348</v>
      </c>
    </row>
    <row r="394" customFormat="false" ht="16.85" hidden="false" customHeight="false" outlineLevel="0" collapsed="false">
      <c r="A394" s="10" t="s">
        <v>5348</v>
      </c>
    </row>
    <row r="395" customFormat="false" ht="16.85" hidden="false" customHeight="false" outlineLevel="0" collapsed="false">
      <c r="A395" s="10" t="s">
        <v>5348</v>
      </c>
    </row>
    <row r="396" customFormat="false" ht="16.85" hidden="false" customHeight="false" outlineLevel="0" collapsed="false">
      <c r="A396" s="10" t="s">
        <v>5348</v>
      </c>
    </row>
    <row r="397" customFormat="false" ht="16.85" hidden="false" customHeight="false" outlineLevel="0" collapsed="false">
      <c r="A397" s="10" t="s">
        <v>5348</v>
      </c>
    </row>
    <row r="398" customFormat="false" ht="16.85" hidden="false" customHeight="false" outlineLevel="0" collapsed="false">
      <c r="A398" s="10" t="s">
        <v>5348</v>
      </c>
    </row>
    <row r="399" customFormat="false" ht="16.85" hidden="false" customHeight="false" outlineLevel="0" collapsed="false">
      <c r="A399" s="10" t="s">
        <v>5348</v>
      </c>
    </row>
    <row r="400" customFormat="false" ht="16.85" hidden="false" customHeight="false" outlineLevel="0" collapsed="false">
      <c r="A400" s="10" t="s">
        <v>5348</v>
      </c>
    </row>
    <row r="401" customFormat="false" ht="16.85" hidden="false" customHeight="false" outlineLevel="0" collapsed="false">
      <c r="A401" s="10" t="s">
        <v>5348</v>
      </c>
    </row>
    <row r="402" customFormat="false" ht="16.85" hidden="false" customHeight="false" outlineLevel="0" collapsed="false">
      <c r="A402" s="10" t="s">
        <v>5348</v>
      </c>
    </row>
    <row r="403" customFormat="false" ht="16.85" hidden="false" customHeight="false" outlineLevel="0" collapsed="false">
      <c r="A403" s="10" t="s">
        <v>5348</v>
      </c>
    </row>
    <row r="404" customFormat="false" ht="16.85" hidden="false" customHeight="false" outlineLevel="0" collapsed="false">
      <c r="A404" s="10" t="s">
        <v>5348</v>
      </c>
    </row>
    <row r="405" customFormat="false" ht="16.85" hidden="false" customHeight="false" outlineLevel="0" collapsed="false">
      <c r="A405" s="10" t="s">
        <v>5348</v>
      </c>
    </row>
    <row r="406" customFormat="false" ht="16.85" hidden="false" customHeight="false" outlineLevel="0" collapsed="false">
      <c r="A406" s="10" t="s">
        <v>5348</v>
      </c>
    </row>
    <row r="407" customFormat="false" ht="16.85" hidden="false" customHeight="false" outlineLevel="0" collapsed="false">
      <c r="A407" s="10" t="s">
        <v>5348</v>
      </c>
    </row>
    <row r="408" customFormat="false" ht="16.85" hidden="false" customHeight="false" outlineLevel="0" collapsed="false">
      <c r="A408" s="10" t="s">
        <v>5348</v>
      </c>
    </row>
    <row r="409" customFormat="false" ht="16.85" hidden="false" customHeight="false" outlineLevel="0" collapsed="false">
      <c r="A409" s="10" t="s">
        <v>5348</v>
      </c>
    </row>
    <row r="410" customFormat="false" ht="16.85" hidden="false" customHeight="false" outlineLevel="0" collapsed="false">
      <c r="A410" s="10" t="s">
        <v>5348</v>
      </c>
    </row>
    <row r="411" customFormat="false" ht="16.85" hidden="false" customHeight="false" outlineLevel="0" collapsed="false">
      <c r="A411" s="10" t="s">
        <v>5348</v>
      </c>
    </row>
    <row r="412" customFormat="false" ht="16.85" hidden="false" customHeight="false" outlineLevel="0" collapsed="false">
      <c r="A412" s="10" t="s">
        <v>5348</v>
      </c>
    </row>
    <row r="413" customFormat="false" ht="16.85" hidden="false" customHeight="false" outlineLevel="0" collapsed="false">
      <c r="A413" s="10" t="s">
        <v>5348</v>
      </c>
    </row>
    <row r="414" customFormat="false" ht="16.85" hidden="false" customHeight="false" outlineLevel="0" collapsed="false">
      <c r="A414" s="10" t="s">
        <v>5348</v>
      </c>
    </row>
    <row r="415" customFormat="false" ht="16.85" hidden="false" customHeight="false" outlineLevel="0" collapsed="false">
      <c r="A415" s="10" t="s">
        <v>5348</v>
      </c>
    </row>
    <row r="416" customFormat="false" ht="16.85" hidden="false" customHeight="false" outlineLevel="0" collapsed="false">
      <c r="A416" s="10" t="s">
        <v>5348</v>
      </c>
    </row>
    <row r="417" customFormat="false" ht="16.85" hidden="false" customHeight="false" outlineLevel="0" collapsed="false">
      <c r="A417" s="10" t="s">
        <v>5348</v>
      </c>
    </row>
    <row r="418" customFormat="false" ht="16.85" hidden="false" customHeight="false" outlineLevel="0" collapsed="false">
      <c r="A418" s="10" t="s">
        <v>5348</v>
      </c>
    </row>
    <row r="419" customFormat="false" ht="16.85" hidden="false" customHeight="false" outlineLevel="0" collapsed="false">
      <c r="A419" s="10" t="s">
        <v>5348</v>
      </c>
    </row>
    <row r="420" customFormat="false" ht="16.85" hidden="false" customHeight="false" outlineLevel="0" collapsed="false">
      <c r="A420" s="10" t="s">
        <v>5348</v>
      </c>
    </row>
    <row r="421" customFormat="false" ht="16.85" hidden="false" customHeight="false" outlineLevel="0" collapsed="false">
      <c r="A421" s="10" t="s">
        <v>5348</v>
      </c>
    </row>
    <row r="422" customFormat="false" ht="16.85" hidden="false" customHeight="false" outlineLevel="0" collapsed="false">
      <c r="A422" s="10" t="s">
        <v>5348</v>
      </c>
    </row>
    <row r="423" customFormat="false" ht="16.85" hidden="false" customHeight="false" outlineLevel="0" collapsed="false">
      <c r="A423" s="10" t="s">
        <v>5348</v>
      </c>
    </row>
    <row r="424" customFormat="false" ht="16.85" hidden="false" customHeight="false" outlineLevel="0" collapsed="false">
      <c r="A424" s="10" t="s">
        <v>5348</v>
      </c>
    </row>
    <row r="425" customFormat="false" ht="16.85" hidden="false" customHeight="false" outlineLevel="0" collapsed="false">
      <c r="A425" s="10" t="s">
        <v>5348</v>
      </c>
    </row>
    <row r="426" customFormat="false" ht="16.85" hidden="false" customHeight="false" outlineLevel="0" collapsed="false">
      <c r="A426" s="10" t="s">
        <v>5348</v>
      </c>
    </row>
    <row r="427" customFormat="false" ht="16.85" hidden="false" customHeight="false" outlineLevel="0" collapsed="false">
      <c r="A427" s="10" t="s">
        <v>5348</v>
      </c>
    </row>
    <row r="428" customFormat="false" ht="16.85" hidden="false" customHeight="false" outlineLevel="0" collapsed="false">
      <c r="A428" s="10" t="s">
        <v>5348</v>
      </c>
    </row>
    <row r="429" customFormat="false" ht="16.85" hidden="false" customHeight="false" outlineLevel="0" collapsed="false">
      <c r="A429" s="10" t="s">
        <v>5348</v>
      </c>
    </row>
    <row r="430" customFormat="false" ht="16.85" hidden="false" customHeight="false" outlineLevel="0" collapsed="false">
      <c r="A430" s="10" t="s">
        <v>5348</v>
      </c>
    </row>
    <row r="431" customFormat="false" ht="16.85" hidden="false" customHeight="false" outlineLevel="0" collapsed="false">
      <c r="A431" s="10" t="s">
        <v>5348</v>
      </c>
    </row>
    <row r="432" customFormat="false" ht="16.85" hidden="false" customHeight="false" outlineLevel="0" collapsed="false">
      <c r="A432" s="10" t="s">
        <v>5348</v>
      </c>
    </row>
    <row r="433" customFormat="false" ht="16.85" hidden="false" customHeight="false" outlineLevel="0" collapsed="false">
      <c r="A433" s="10" t="s">
        <v>5348</v>
      </c>
    </row>
    <row r="434" customFormat="false" ht="16.85" hidden="false" customHeight="false" outlineLevel="0" collapsed="false">
      <c r="A434" s="10" t="s">
        <v>5348</v>
      </c>
    </row>
    <row r="435" customFormat="false" ht="16.85" hidden="false" customHeight="false" outlineLevel="0" collapsed="false">
      <c r="A435" s="10" t="s">
        <v>5348</v>
      </c>
    </row>
    <row r="436" customFormat="false" ht="16.85" hidden="false" customHeight="false" outlineLevel="0" collapsed="false">
      <c r="A436" s="10" t="s">
        <v>5348</v>
      </c>
    </row>
    <row r="437" customFormat="false" ht="16.85" hidden="false" customHeight="false" outlineLevel="0" collapsed="false">
      <c r="A437" s="10" t="s">
        <v>5348</v>
      </c>
    </row>
    <row r="438" customFormat="false" ht="16.85" hidden="false" customHeight="false" outlineLevel="0" collapsed="false">
      <c r="A438" s="10" t="s">
        <v>5348</v>
      </c>
    </row>
    <row r="439" customFormat="false" ht="16.85" hidden="false" customHeight="false" outlineLevel="0" collapsed="false">
      <c r="A439" s="10" t="s">
        <v>5348</v>
      </c>
    </row>
    <row r="440" customFormat="false" ht="16.85" hidden="false" customHeight="false" outlineLevel="0" collapsed="false">
      <c r="A440" s="10" t="s">
        <v>5348</v>
      </c>
    </row>
    <row r="441" customFormat="false" ht="16.85" hidden="false" customHeight="false" outlineLevel="0" collapsed="false">
      <c r="A441" s="10" t="s">
        <v>5348</v>
      </c>
    </row>
    <row r="442" customFormat="false" ht="16.85" hidden="false" customHeight="false" outlineLevel="0" collapsed="false">
      <c r="A442" s="10" t="s">
        <v>5348</v>
      </c>
    </row>
    <row r="443" customFormat="false" ht="16.85" hidden="false" customHeight="false" outlineLevel="0" collapsed="false">
      <c r="A443" s="10" t="s">
        <v>5348</v>
      </c>
    </row>
    <row r="444" customFormat="false" ht="16.85" hidden="false" customHeight="false" outlineLevel="0" collapsed="false">
      <c r="A444" s="10" t="s">
        <v>5348</v>
      </c>
    </row>
    <row r="445" customFormat="false" ht="16.85" hidden="false" customHeight="false" outlineLevel="0" collapsed="false">
      <c r="A445" s="10" t="s">
        <v>5348</v>
      </c>
    </row>
    <row r="446" customFormat="false" ht="16.85" hidden="false" customHeight="false" outlineLevel="0" collapsed="false">
      <c r="A446" s="10" t="s">
        <v>5348</v>
      </c>
    </row>
    <row r="447" customFormat="false" ht="16.85" hidden="false" customHeight="false" outlineLevel="0" collapsed="false">
      <c r="A447" s="10" t="s">
        <v>5348</v>
      </c>
    </row>
    <row r="448" customFormat="false" ht="16.85" hidden="false" customHeight="false" outlineLevel="0" collapsed="false">
      <c r="A448" s="10" t="s">
        <v>5348</v>
      </c>
    </row>
    <row r="449" customFormat="false" ht="16.85" hidden="false" customHeight="false" outlineLevel="0" collapsed="false">
      <c r="A449" s="10" t="s">
        <v>5348</v>
      </c>
    </row>
    <row r="450" customFormat="false" ht="16.85" hidden="false" customHeight="false" outlineLevel="0" collapsed="false">
      <c r="A450" s="10" t="s">
        <v>5348</v>
      </c>
    </row>
    <row r="451" customFormat="false" ht="16.85" hidden="false" customHeight="false" outlineLevel="0" collapsed="false">
      <c r="A451" s="10" t="s">
        <v>5348</v>
      </c>
    </row>
    <row r="452" customFormat="false" ht="16.85" hidden="false" customHeight="false" outlineLevel="0" collapsed="false">
      <c r="A452" s="10" t="s">
        <v>5348</v>
      </c>
    </row>
    <row r="453" customFormat="false" ht="16.85" hidden="false" customHeight="false" outlineLevel="0" collapsed="false">
      <c r="A453" s="10" t="s">
        <v>5348</v>
      </c>
    </row>
    <row r="454" customFormat="false" ht="16.85" hidden="false" customHeight="false" outlineLevel="0" collapsed="false">
      <c r="A454" s="10" t="s">
        <v>5348</v>
      </c>
    </row>
    <row r="455" customFormat="false" ht="16.85" hidden="false" customHeight="false" outlineLevel="0" collapsed="false">
      <c r="A455" s="10" t="s">
        <v>5348</v>
      </c>
    </row>
    <row r="456" customFormat="false" ht="16.85" hidden="false" customHeight="false" outlineLevel="0" collapsed="false">
      <c r="A456" s="10" t="s">
        <v>5348</v>
      </c>
    </row>
    <row r="457" customFormat="false" ht="16.85" hidden="false" customHeight="false" outlineLevel="0" collapsed="false">
      <c r="A457" s="10" t="s">
        <v>5348</v>
      </c>
    </row>
    <row r="458" customFormat="false" ht="16.85" hidden="false" customHeight="false" outlineLevel="0" collapsed="false">
      <c r="A458" s="10" t="s">
        <v>5348</v>
      </c>
    </row>
    <row r="459" customFormat="false" ht="16.85" hidden="false" customHeight="false" outlineLevel="0" collapsed="false">
      <c r="A459" s="10" t="s">
        <v>5348</v>
      </c>
    </row>
    <row r="460" customFormat="false" ht="16.85" hidden="false" customHeight="false" outlineLevel="0" collapsed="false">
      <c r="A460" s="10" t="s">
        <v>5348</v>
      </c>
    </row>
    <row r="461" customFormat="false" ht="16.85" hidden="false" customHeight="false" outlineLevel="0" collapsed="false">
      <c r="A461" s="10" t="s">
        <v>5348</v>
      </c>
    </row>
    <row r="462" customFormat="false" ht="16.85" hidden="false" customHeight="false" outlineLevel="0" collapsed="false">
      <c r="A462" s="10" t="s">
        <v>5348</v>
      </c>
    </row>
    <row r="463" customFormat="false" ht="16.85" hidden="false" customHeight="false" outlineLevel="0" collapsed="false">
      <c r="A463" s="10" t="s">
        <v>5348</v>
      </c>
    </row>
    <row r="464" customFormat="false" ht="16.85" hidden="false" customHeight="false" outlineLevel="0" collapsed="false">
      <c r="A464" s="10" t="s">
        <v>5348</v>
      </c>
    </row>
    <row r="465" customFormat="false" ht="16.85" hidden="false" customHeight="false" outlineLevel="0" collapsed="false">
      <c r="A465" s="10" t="s">
        <v>5348</v>
      </c>
    </row>
    <row r="466" customFormat="false" ht="16.85" hidden="false" customHeight="false" outlineLevel="0" collapsed="false">
      <c r="A466" s="10" t="s">
        <v>5348</v>
      </c>
    </row>
    <row r="467" customFormat="false" ht="16.85" hidden="false" customHeight="false" outlineLevel="0" collapsed="false">
      <c r="A467" s="10" t="s">
        <v>5348</v>
      </c>
    </row>
    <row r="468" customFormat="false" ht="16.85" hidden="false" customHeight="false" outlineLevel="0" collapsed="false">
      <c r="A468" s="10" t="s">
        <v>5348</v>
      </c>
    </row>
    <row r="469" customFormat="false" ht="16.85" hidden="false" customHeight="false" outlineLevel="0" collapsed="false">
      <c r="A469" s="10" t="s">
        <v>5348</v>
      </c>
    </row>
    <row r="470" customFormat="false" ht="16.85" hidden="false" customHeight="false" outlineLevel="0" collapsed="false">
      <c r="A470" s="10" t="s">
        <v>5348</v>
      </c>
    </row>
    <row r="471" customFormat="false" ht="16.85" hidden="false" customHeight="false" outlineLevel="0" collapsed="false">
      <c r="A471" s="10" t="s">
        <v>5348</v>
      </c>
    </row>
    <row r="472" customFormat="false" ht="16.85" hidden="false" customHeight="false" outlineLevel="0" collapsed="false">
      <c r="A472" s="10" t="s">
        <v>5348</v>
      </c>
    </row>
    <row r="473" customFormat="false" ht="16.85" hidden="false" customHeight="false" outlineLevel="0" collapsed="false">
      <c r="A473" s="10" t="s">
        <v>5348</v>
      </c>
    </row>
    <row r="474" customFormat="false" ht="16.85" hidden="false" customHeight="false" outlineLevel="0" collapsed="false">
      <c r="A474" s="10" t="s">
        <v>5348</v>
      </c>
    </row>
    <row r="475" customFormat="false" ht="16.85" hidden="false" customHeight="false" outlineLevel="0" collapsed="false">
      <c r="A475" s="10" t="s">
        <v>5348</v>
      </c>
    </row>
    <row r="476" customFormat="false" ht="16.85" hidden="false" customHeight="false" outlineLevel="0" collapsed="false">
      <c r="A476" s="10" t="s">
        <v>5348</v>
      </c>
    </row>
    <row r="477" customFormat="false" ht="16.85" hidden="false" customHeight="false" outlineLevel="0" collapsed="false">
      <c r="A477" s="10" t="s">
        <v>5348</v>
      </c>
    </row>
    <row r="478" customFormat="false" ht="16.85" hidden="false" customHeight="false" outlineLevel="0" collapsed="false">
      <c r="A478" s="10" t="s">
        <v>5348</v>
      </c>
    </row>
    <row r="479" customFormat="false" ht="16.85" hidden="false" customHeight="false" outlineLevel="0" collapsed="false">
      <c r="A479" s="10" t="s">
        <v>5348</v>
      </c>
    </row>
    <row r="480" customFormat="false" ht="16.85" hidden="false" customHeight="false" outlineLevel="0" collapsed="false">
      <c r="A480" s="10" t="s">
        <v>5348</v>
      </c>
    </row>
    <row r="481" customFormat="false" ht="16.85" hidden="false" customHeight="false" outlineLevel="0" collapsed="false">
      <c r="A481" s="10" t="s">
        <v>5348</v>
      </c>
    </row>
    <row r="482" customFormat="false" ht="16.85" hidden="false" customHeight="false" outlineLevel="0" collapsed="false">
      <c r="A482" s="10" t="s">
        <v>5348</v>
      </c>
    </row>
    <row r="483" customFormat="false" ht="16.85" hidden="false" customHeight="false" outlineLevel="0" collapsed="false">
      <c r="A483" s="10" t="s">
        <v>5348</v>
      </c>
    </row>
    <row r="484" customFormat="false" ht="16.85" hidden="false" customHeight="false" outlineLevel="0" collapsed="false">
      <c r="A484" s="10" t="s">
        <v>5348</v>
      </c>
    </row>
    <row r="485" customFormat="false" ht="16.85" hidden="false" customHeight="false" outlineLevel="0" collapsed="false">
      <c r="A485" s="10" t="s">
        <v>5348</v>
      </c>
    </row>
    <row r="486" customFormat="false" ht="16.85" hidden="false" customHeight="false" outlineLevel="0" collapsed="false">
      <c r="A486" s="10" t="s">
        <v>5348</v>
      </c>
    </row>
    <row r="487" customFormat="false" ht="16.85" hidden="false" customHeight="false" outlineLevel="0" collapsed="false">
      <c r="A487" s="10" t="s">
        <v>5348</v>
      </c>
    </row>
    <row r="488" customFormat="false" ht="16.85" hidden="false" customHeight="false" outlineLevel="0" collapsed="false">
      <c r="A488" s="10" t="s">
        <v>5348</v>
      </c>
    </row>
    <row r="489" customFormat="false" ht="16.85" hidden="false" customHeight="false" outlineLevel="0" collapsed="false">
      <c r="A489" s="10" t="s">
        <v>5348</v>
      </c>
    </row>
    <row r="490" customFormat="false" ht="16.85" hidden="false" customHeight="false" outlineLevel="0" collapsed="false">
      <c r="A490" s="10" t="s">
        <v>5348</v>
      </c>
    </row>
    <row r="491" customFormat="false" ht="16.85" hidden="false" customHeight="false" outlineLevel="0" collapsed="false">
      <c r="A491" s="10" t="s">
        <v>5348</v>
      </c>
    </row>
    <row r="492" customFormat="false" ht="16.85" hidden="false" customHeight="false" outlineLevel="0" collapsed="false">
      <c r="A492" s="10" t="s">
        <v>5348</v>
      </c>
    </row>
    <row r="493" customFormat="false" ht="16.85" hidden="false" customHeight="false" outlineLevel="0" collapsed="false">
      <c r="A493" s="10" t="s">
        <v>5348</v>
      </c>
    </row>
    <row r="494" customFormat="false" ht="16.85" hidden="false" customHeight="false" outlineLevel="0" collapsed="false">
      <c r="A494" s="10" t="s">
        <v>5348</v>
      </c>
    </row>
    <row r="495" customFormat="false" ht="16.85" hidden="false" customHeight="false" outlineLevel="0" collapsed="false">
      <c r="A495" s="10" t="s">
        <v>5348</v>
      </c>
    </row>
    <row r="496" customFormat="false" ht="16.85" hidden="false" customHeight="false" outlineLevel="0" collapsed="false">
      <c r="A496" s="10" t="s">
        <v>5348</v>
      </c>
    </row>
    <row r="497" customFormat="false" ht="16.85" hidden="false" customHeight="false" outlineLevel="0" collapsed="false">
      <c r="A497" s="10" t="s">
        <v>5348</v>
      </c>
    </row>
    <row r="498" customFormat="false" ht="16.85" hidden="false" customHeight="false" outlineLevel="0" collapsed="false">
      <c r="A498" s="10" t="s">
        <v>5348</v>
      </c>
    </row>
    <row r="499" customFormat="false" ht="16.85" hidden="false" customHeight="false" outlineLevel="0" collapsed="false">
      <c r="A499" s="10" t="s">
        <v>5348</v>
      </c>
    </row>
    <row r="500" customFormat="false" ht="16.85" hidden="false" customHeight="false" outlineLevel="0" collapsed="false">
      <c r="A500" s="10" t="s">
        <v>5348</v>
      </c>
    </row>
    <row r="501" customFormat="false" ht="16.85" hidden="false" customHeight="false" outlineLevel="0" collapsed="false">
      <c r="A501" s="10" t="s">
        <v>5348</v>
      </c>
    </row>
    <row r="502" customFormat="false" ht="16.85" hidden="false" customHeight="false" outlineLevel="0" collapsed="false">
      <c r="A502" s="10" t="s">
        <v>5348</v>
      </c>
    </row>
    <row r="503" customFormat="false" ht="16.85" hidden="false" customHeight="false" outlineLevel="0" collapsed="false">
      <c r="A503" s="10" t="s">
        <v>5348</v>
      </c>
    </row>
    <row r="504" customFormat="false" ht="16.85" hidden="false" customHeight="false" outlineLevel="0" collapsed="false">
      <c r="A504" s="10" t="s">
        <v>5348</v>
      </c>
    </row>
    <row r="505" customFormat="false" ht="16.85" hidden="false" customHeight="false" outlineLevel="0" collapsed="false">
      <c r="A505" s="10" t="s">
        <v>5348</v>
      </c>
    </row>
    <row r="506" customFormat="false" ht="16.85" hidden="false" customHeight="false" outlineLevel="0" collapsed="false">
      <c r="A506" s="10" t="s">
        <v>5348</v>
      </c>
    </row>
    <row r="507" customFormat="false" ht="16.85" hidden="false" customHeight="false" outlineLevel="0" collapsed="false">
      <c r="A507" s="10" t="s">
        <v>5348</v>
      </c>
    </row>
    <row r="508" customFormat="false" ht="16.85" hidden="false" customHeight="false" outlineLevel="0" collapsed="false">
      <c r="A508" s="10" t="s">
        <v>5348</v>
      </c>
    </row>
    <row r="509" customFormat="false" ht="16.85" hidden="false" customHeight="false" outlineLevel="0" collapsed="false">
      <c r="A509" s="10" t="s">
        <v>5348</v>
      </c>
    </row>
    <row r="510" customFormat="false" ht="16.85" hidden="false" customHeight="false" outlineLevel="0" collapsed="false">
      <c r="A510" s="10" t="s">
        <v>5348</v>
      </c>
    </row>
    <row r="511" customFormat="false" ht="16.85" hidden="false" customHeight="false" outlineLevel="0" collapsed="false">
      <c r="A511" s="10" t="s">
        <v>5348</v>
      </c>
    </row>
    <row r="512" customFormat="false" ht="16.85" hidden="false" customHeight="false" outlineLevel="0" collapsed="false">
      <c r="A512" s="10" t="s">
        <v>5348</v>
      </c>
    </row>
    <row r="513" customFormat="false" ht="16.85" hidden="false" customHeight="false" outlineLevel="0" collapsed="false">
      <c r="A513" s="10" t="s">
        <v>5348</v>
      </c>
    </row>
    <row r="514" customFormat="false" ht="16.85" hidden="false" customHeight="false" outlineLevel="0" collapsed="false">
      <c r="A514" s="10" t="s">
        <v>5348</v>
      </c>
    </row>
    <row r="515" customFormat="false" ht="16.85" hidden="false" customHeight="false" outlineLevel="0" collapsed="false">
      <c r="A515" s="10" t="s">
        <v>5348</v>
      </c>
    </row>
    <row r="516" customFormat="false" ht="16.85" hidden="false" customHeight="false" outlineLevel="0" collapsed="false">
      <c r="A516" s="10" t="s">
        <v>5348</v>
      </c>
    </row>
    <row r="517" customFormat="false" ht="16.85" hidden="false" customHeight="false" outlineLevel="0" collapsed="false">
      <c r="A517" s="10" t="s">
        <v>5348</v>
      </c>
    </row>
    <row r="518" customFormat="false" ht="16.85" hidden="false" customHeight="false" outlineLevel="0" collapsed="false">
      <c r="A518" s="10" t="s">
        <v>5348</v>
      </c>
    </row>
    <row r="519" customFormat="false" ht="16.85" hidden="false" customHeight="false" outlineLevel="0" collapsed="false">
      <c r="A519" s="10" t="s">
        <v>5348</v>
      </c>
    </row>
    <row r="520" customFormat="false" ht="16.85" hidden="false" customHeight="false" outlineLevel="0" collapsed="false">
      <c r="A520" s="10" t="s">
        <v>5348</v>
      </c>
    </row>
    <row r="521" customFormat="false" ht="16.85" hidden="false" customHeight="false" outlineLevel="0" collapsed="false">
      <c r="A521" s="10" t="s">
        <v>5348</v>
      </c>
    </row>
    <row r="522" customFormat="false" ht="16.85" hidden="false" customHeight="false" outlineLevel="0" collapsed="false">
      <c r="A522" s="10" t="s">
        <v>5348</v>
      </c>
    </row>
    <row r="523" customFormat="false" ht="16.85" hidden="false" customHeight="false" outlineLevel="0" collapsed="false">
      <c r="A523" s="10" t="s">
        <v>5348</v>
      </c>
    </row>
    <row r="524" customFormat="false" ht="16.85" hidden="false" customHeight="false" outlineLevel="0" collapsed="false">
      <c r="A524" s="10" t="s">
        <v>5348</v>
      </c>
    </row>
    <row r="525" customFormat="false" ht="16.85" hidden="false" customHeight="false" outlineLevel="0" collapsed="false">
      <c r="A525" s="10" t="s">
        <v>5348</v>
      </c>
    </row>
    <row r="526" customFormat="false" ht="16.85" hidden="false" customHeight="false" outlineLevel="0" collapsed="false">
      <c r="A526" s="10" t="s">
        <v>5348</v>
      </c>
    </row>
    <row r="527" customFormat="false" ht="16.85" hidden="false" customHeight="false" outlineLevel="0" collapsed="false">
      <c r="A527" s="10" t="s">
        <v>5348</v>
      </c>
    </row>
    <row r="528" customFormat="false" ht="16.85" hidden="false" customHeight="false" outlineLevel="0" collapsed="false">
      <c r="A528" s="10" t="s">
        <v>5348</v>
      </c>
    </row>
    <row r="529" customFormat="false" ht="16.85" hidden="false" customHeight="false" outlineLevel="0" collapsed="false">
      <c r="A529" s="10" t="s">
        <v>5348</v>
      </c>
    </row>
    <row r="530" customFormat="false" ht="16.85" hidden="false" customHeight="false" outlineLevel="0" collapsed="false">
      <c r="A530" s="10" t="s">
        <v>5348</v>
      </c>
    </row>
    <row r="531" customFormat="false" ht="16.85" hidden="false" customHeight="false" outlineLevel="0" collapsed="false">
      <c r="A531" s="10" t="s">
        <v>5348</v>
      </c>
    </row>
    <row r="532" customFormat="false" ht="16.85" hidden="false" customHeight="false" outlineLevel="0" collapsed="false">
      <c r="A532" s="10" t="s">
        <v>5348</v>
      </c>
    </row>
    <row r="533" customFormat="false" ht="16.85" hidden="false" customHeight="false" outlineLevel="0" collapsed="false">
      <c r="A533" s="10" t="s">
        <v>5348</v>
      </c>
    </row>
    <row r="534" customFormat="false" ht="16.85" hidden="false" customHeight="false" outlineLevel="0" collapsed="false">
      <c r="A534" s="10" t="s">
        <v>5348</v>
      </c>
    </row>
    <row r="535" customFormat="false" ht="16.85" hidden="false" customHeight="false" outlineLevel="0" collapsed="false">
      <c r="A535" s="10" t="s">
        <v>5348</v>
      </c>
    </row>
    <row r="536" customFormat="false" ht="16.85" hidden="false" customHeight="false" outlineLevel="0" collapsed="false">
      <c r="A536" s="10" t="s">
        <v>5348</v>
      </c>
    </row>
    <row r="537" customFormat="false" ht="16.85" hidden="false" customHeight="false" outlineLevel="0" collapsed="false">
      <c r="A537" s="10" t="s">
        <v>5348</v>
      </c>
    </row>
    <row r="538" customFormat="false" ht="16.85" hidden="false" customHeight="false" outlineLevel="0" collapsed="false">
      <c r="A538" s="10" t="s">
        <v>5348</v>
      </c>
    </row>
    <row r="539" customFormat="false" ht="16.85" hidden="false" customHeight="false" outlineLevel="0" collapsed="false">
      <c r="A539" s="10" t="s">
        <v>5348</v>
      </c>
    </row>
    <row r="540" customFormat="false" ht="16.85" hidden="false" customHeight="false" outlineLevel="0" collapsed="false">
      <c r="A540" s="10" t="s">
        <v>5348</v>
      </c>
    </row>
    <row r="541" customFormat="false" ht="16.85" hidden="false" customHeight="false" outlineLevel="0" collapsed="false">
      <c r="A541" s="10" t="s">
        <v>5348</v>
      </c>
    </row>
    <row r="542" customFormat="false" ht="16.85" hidden="false" customHeight="false" outlineLevel="0" collapsed="false">
      <c r="A542" s="10" t="s">
        <v>5348</v>
      </c>
    </row>
    <row r="543" customFormat="false" ht="16.85" hidden="false" customHeight="false" outlineLevel="0" collapsed="false">
      <c r="A543" s="10" t="s">
        <v>5348</v>
      </c>
    </row>
    <row r="544" customFormat="false" ht="16.85" hidden="false" customHeight="false" outlineLevel="0" collapsed="false">
      <c r="A544" s="10" t="s">
        <v>5348</v>
      </c>
    </row>
    <row r="545" customFormat="false" ht="16.85" hidden="false" customHeight="false" outlineLevel="0" collapsed="false">
      <c r="A545" s="10" t="s">
        <v>5348</v>
      </c>
    </row>
    <row r="546" customFormat="false" ht="16.85" hidden="false" customHeight="false" outlineLevel="0" collapsed="false">
      <c r="A546" s="10" t="s">
        <v>5348</v>
      </c>
    </row>
    <row r="547" customFormat="false" ht="16.85" hidden="false" customHeight="false" outlineLevel="0" collapsed="false">
      <c r="A547" s="10" t="s">
        <v>5348</v>
      </c>
    </row>
    <row r="548" customFormat="false" ht="16.85" hidden="false" customHeight="false" outlineLevel="0" collapsed="false">
      <c r="A548" s="10" t="s">
        <v>5348</v>
      </c>
    </row>
    <row r="549" customFormat="false" ht="16.85" hidden="false" customHeight="false" outlineLevel="0" collapsed="false">
      <c r="A549" s="10" t="s">
        <v>5348</v>
      </c>
    </row>
    <row r="550" customFormat="false" ht="16.85" hidden="false" customHeight="false" outlineLevel="0" collapsed="false">
      <c r="A550" s="10" t="s">
        <v>5348</v>
      </c>
    </row>
    <row r="551" customFormat="false" ht="16.85" hidden="false" customHeight="false" outlineLevel="0" collapsed="false">
      <c r="A551" s="10" t="s">
        <v>5348</v>
      </c>
    </row>
    <row r="552" customFormat="false" ht="16.85" hidden="false" customHeight="false" outlineLevel="0" collapsed="false">
      <c r="A552" s="10" t="s">
        <v>5348</v>
      </c>
    </row>
    <row r="553" customFormat="false" ht="16.85" hidden="false" customHeight="false" outlineLevel="0" collapsed="false">
      <c r="A553" s="10" t="s">
        <v>5348</v>
      </c>
    </row>
    <row r="554" customFormat="false" ht="16.85" hidden="false" customHeight="false" outlineLevel="0" collapsed="false">
      <c r="A554" s="10" t="s">
        <v>5348</v>
      </c>
    </row>
    <row r="555" customFormat="false" ht="16.85" hidden="false" customHeight="false" outlineLevel="0" collapsed="false">
      <c r="A555" s="10" t="s">
        <v>5348</v>
      </c>
    </row>
    <row r="556" customFormat="false" ht="16.85" hidden="false" customHeight="false" outlineLevel="0" collapsed="false">
      <c r="A556" s="10" t="s">
        <v>5348</v>
      </c>
    </row>
    <row r="557" customFormat="false" ht="16.85" hidden="false" customHeight="false" outlineLevel="0" collapsed="false">
      <c r="A557" s="10" t="s">
        <v>5348</v>
      </c>
    </row>
    <row r="558" customFormat="false" ht="16.85" hidden="false" customHeight="false" outlineLevel="0" collapsed="false">
      <c r="A558" s="10" t="s">
        <v>5348</v>
      </c>
    </row>
    <row r="559" customFormat="false" ht="16.85" hidden="false" customHeight="false" outlineLevel="0" collapsed="false">
      <c r="A559" s="10" t="s">
        <v>5348</v>
      </c>
    </row>
    <row r="560" customFormat="false" ht="16.85" hidden="false" customHeight="false" outlineLevel="0" collapsed="false">
      <c r="A560" s="10" t="s">
        <v>5348</v>
      </c>
    </row>
    <row r="561" customFormat="false" ht="16.85" hidden="false" customHeight="false" outlineLevel="0" collapsed="false">
      <c r="A561" s="10" t="s">
        <v>5348</v>
      </c>
    </row>
    <row r="562" customFormat="false" ht="16.85" hidden="false" customHeight="false" outlineLevel="0" collapsed="false">
      <c r="A562" s="10" t="s">
        <v>5348</v>
      </c>
    </row>
    <row r="563" customFormat="false" ht="16.85" hidden="false" customHeight="false" outlineLevel="0" collapsed="false">
      <c r="A563" s="10" t="s">
        <v>5348</v>
      </c>
    </row>
    <row r="564" customFormat="false" ht="16.85" hidden="false" customHeight="false" outlineLevel="0" collapsed="false">
      <c r="A564" s="10" t="s">
        <v>5348</v>
      </c>
    </row>
    <row r="565" customFormat="false" ht="16.85" hidden="false" customHeight="false" outlineLevel="0" collapsed="false">
      <c r="A565" s="10" t="s">
        <v>5348</v>
      </c>
    </row>
    <row r="566" customFormat="false" ht="16.85" hidden="false" customHeight="false" outlineLevel="0" collapsed="false">
      <c r="A566" s="10" t="s">
        <v>5348</v>
      </c>
    </row>
    <row r="567" customFormat="false" ht="16.85" hidden="false" customHeight="false" outlineLevel="0" collapsed="false">
      <c r="A567" s="10" t="s">
        <v>5348</v>
      </c>
    </row>
    <row r="568" customFormat="false" ht="16.85" hidden="false" customHeight="false" outlineLevel="0" collapsed="false">
      <c r="A568" s="10" t="s">
        <v>5348</v>
      </c>
    </row>
    <row r="569" customFormat="false" ht="16.85" hidden="false" customHeight="false" outlineLevel="0" collapsed="false">
      <c r="A569" s="10" t="s">
        <v>5348</v>
      </c>
    </row>
    <row r="570" customFormat="false" ht="16.85" hidden="false" customHeight="false" outlineLevel="0" collapsed="false">
      <c r="A570" s="10" t="s">
        <v>5348</v>
      </c>
    </row>
    <row r="571" customFormat="false" ht="16.85" hidden="false" customHeight="false" outlineLevel="0" collapsed="false">
      <c r="A571" s="10" t="s">
        <v>5348</v>
      </c>
    </row>
    <row r="572" customFormat="false" ht="16.85" hidden="false" customHeight="false" outlineLevel="0" collapsed="false">
      <c r="A572" s="10" t="s">
        <v>5348</v>
      </c>
    </row>
    <row r="573" customFormat="false" ht="16.85" hidden="false" customHeight="false" outlineLevel="0" collapsed="false">
      <c r="A573" s="10" t="s">
        <v>5348</v>
      </c>
    </row>
    <row r="574" customFormat="false" ht="16.85" hidden="false" customHeight="false" outlineLevel="0" collapsed="false">
      <c r="A574" s="10" t="s">
        <v>5348</v>
      </c>
    </row>
    <row r="575" customFormat="false" ht="16.85" hidden="false" customHeight="false" outlineLevel="0" collapsed="false">
      <c r="A575" s="10" t="s">
        <v>5348</v>
      </c>
    </row>
    <row r="576" customFormat="false" ht="16.85" hidden="false" customHeight="false" outlineLevel="0" collapsed="false">
      <c r="A576" s="10" t="s">
        <v>5348</v>
      </c>
    </row>
    <row r="577" customFormat="false" ht="16.85" hidden="false" customHeight="false" outlineLevel="0" collapsed="false">
      <c r="A577" s="10" t="s">
        <v>5348</v>
      </c>
    </row>
    <row r="578" customFormat="false" ht="16.85" hidden="false" customHeight="false" outlineLevel="0" collapsed="false">
      <c r="A578" s="10" t="s">
        <v>5348</v>
      </c>
    </row>
    <row r="579" customFormat="false" ht="16.85" hidden="false" customHeight="false" outlineLevel="0" collapsed="false">
      <c r="A579" s="10" t="s">
        <v>5393</v>
      </c>
    </row>
    <row r="580" customFormat="false" ht="16.85" hidden="false" customHeight="false" outlineLevel="0" collapsed="false">
      <c r="A580" s="10" t="s">
        <v>5348</v>
      </c>
    </row>
    <row r="581" customFormat="false" ht="16.85" hidden="false" customHeight="false" outlineLevel="0" collapsed="false">
      <c r="A581" s="10" t="s">
        <v>5348</v>
      </c>
    </row>
    <row r="582" customFormat="false" ht="16.85" hidden="false" customHeight="false" outlineLevel="0" collapsed="false">
      <c r="A582" s="10" t="s">
        <v>5348</v>
      </c>
    </row>
    <row r="583" customFormat="false" ht="16.85" hidden="false" customHeight="false" outlineLevel="0" collapsed="false">
      <c r="A583" s="10" t="s">
        <v>5348</v>
      </c>
    </row>
    <row r="584" customFormat="false" ht="16.85" hidden="false" customHeight="false" outlineLevel="0" collapsed="false">
      <c r="A584" s="10" t="s">
        <v>5348</v>
      </c>
    </row>
    <row r="585" customFormat="false" ht="16.85" hidden="false" customHeight="false" outlineLevel="0" collapsed="false">
      <c r="A585" s="10" t="s">
        <v>5348</v>
      </c>
    </row>
    <row r="586" customFormat="false" ht="16.85" hidden="false" customHeight="false" outlineLevel="0" collapsed="false">
      <c r="A586" s="10" t="s">
        <v>5348</v>
      </c>
    </row>
    <row r="587" customFormat="false" ht="16.85" hidden="false" customHeight="false" outlineLevel="0" collapsed="false">
      <c r="A587" s="10" t="s">
        <v>5348</v>
      </c>
    </row>
    <row r="588" customFormat="false" ht="16.85" hidden="false" customHeight="false" outlineLevel="0" collapsed="false">
      <c r="A588" s="10" t="s">
        <v>5348</v>
      </c>
    </row>
    <row r="589" customFormat="false" ht="16.85" hidden="false" customHeight="false" outlineLevel="0" collapsed="false">
      <c r="A589" s="10" t="s">
        <v>5348</v>
      </c>
    </row>
    <row r="590" customFormat="false" ht="16.85" hidden="false" customHeight="false" outlineLevel="0" collapsed="false">
      <c r="A590" s="10" t="s">
        <v>5348</v>
      </c>
    </row>
    <row r="591" customFormat="false" ht="16.85" hidden="false" customHeight="false" outlineLevel="0" collapsed="false">
      <c r="A591" s="10" t="s">
        <v>5348</v>
      </c>
    </row>
    <row r="592" customFormat="false" ht="16.85" hidden="false" customHeight="false" outlineLevel="0" collapsed="false">
      <c r="A592" s="10" t="s">
        <v>5348</v>
      </c>
    </row>
    <row r="593" customFormat="false" ht="16.85" hidden="false" customHeight="false" outlineLevel="0" collapsed="false">
      <c r="A593" s="10" t="s">
        <v>5348</v>
      </c>
    </row>
    <row r="594" customFormat="false" ht="16.85" hidden="false" customHeight="false" outlineLevel="0" collapsed="false">
      <c r="A594" s="10" t="s">
        <v>5348</v>
      </c>
    </row>
    <row r="595" customFormat="false" ht="16.85" hidden="false" customHeight="false" outlineLevel="0" collapsed="false">
      <c r="A595" s="10" t="s">
        <v>5348</v>
      </c>
    </row>
    <row r="596" customFormat="false" ht="16.85" hidden="false" customHeight="false" outlineLevel="0" collapsed="false">
      <c r="A596" s="10" t="s">
        <v>5348</v>
      </c>
    </row>
    <row r="597" customFormat="false" ht="16.85" hidden="false" customHeight="false" outlineLevel="0" collapsed="false">
      <c r="A597" s="10" t="s">
        <v>5348</v>
      </c>
    </row>
    <row r="598" customFormat="false" ht="16.85" hidden="false" customHeight="false" outlineLevel="0" collapsed="false">
      <c r="A598" s="10" t="s">
        <v>5348</v>
      </c>
    </row>
    <row r="599" customFormat="false" ht="16.85" hidden="false" customHeight="false" outlineLevel="0" collapsed="false">
      <c r="A599" s="10" t="s">
        <v>5348</v>
      </c>
    </row>
    <row r="600" customFormat="false" ht="16.85" hidden="false" customHeight="false" outlineLevel="0" collapsed="false">
      <c r="A600" s="10" t="s">
        <v>5348</v>
      </c>
    </row>
    <row r="601" customFormat="false" ht="16.85" hidden="false" customHeight="false" outlineLevel="0" collapsed="false">
      <c r="A601" s="10" t="s">
        <v>5348</v>
      </c>
    </row>
    <row r="602" customFormat="false" ht="16.85" hidden="false" customHeight="false" outlineLevel="0" collapsed="false">
      <c r="A602" s="10" t="s">
        <v>5348</v>
      </c>
    </row>
    <row r="603" customFormat="false" ht="16.85" hidden="false" customHeight="false" outlineLevel="0" collapsed="false">
      <c r="A603" s="10" t="s">
        <v>5348</v>
      </c>
    </row>
    <row r="604" customFormat="false" ht="16.85" hidden="false" customHeight="false" outlineLevel="0" collapsed="false">
      <c r="A604" s="10" t="s">
        <v>5348</v>
      </c>
    </row>
    <row r="605" customFormat="false" ht="16.85" hidden="false" customHeight="false" outlineLevel="0" collapsed="false">
      <c r="A605" s="10" t="s">
        <v>5348</v>
      </c>
    </row>
    <row r="606" customFormat="false" ht="16.85" hidden="false" customHeight="false" outlineLevel="0" collapsed="false">
      <c r="A606" s="10" t="s">
        <v>5348</v>
      </c>
    </row>
    <row r="607" customFormat="false" ht="16.85" hidden="false" customHeight="false" outlineLevel="0" collapsed="false">
      <c r="A607" s="10" t="s">
        <v>5348</v>
      </c>
    </row>
    <row r="608" customFormat="false" ht="16.85" hidden="false" customHeight="false" outlineLevel="0" collapsed="false">
      <c r="A608" s="10" t="s">
        <v>5348</v>
      </c>
    </row>
    <row r="609" customFormat="false" ht="16.85" hidden="false" customHeight="false" outlineLevel="0" collapsed="false">
      <c r="A609" s="10" t="s">
        <v>5348</v>
      </c>
    </row>
    <row r="610" customFormat="false" ht="16.85" hidden="false" customHeight="false" outlineLevel="0" collapsed="false">
      <c r="A610" s="10" t="s">
        <v>5348</v>
      </c>
    </row>
    <row r="611" customFormat="false" ht="16.85" hidden="false" customHeight="false" outlineLevel="0" collapsed="false">
      <c r="A611" s="10" t="s">
        <v>5348</v>
      </c>
    </row>
    <row r="612" customFormat="false" ht="16.85" hidden="false" customHeight="false" outlineLevel="0" collapsed="false">
      <c r="A612" s="10" t="s">
        <v>5348</v>
      </c>
    </row>
    <row r="613" customFormat="false" ht="16.85" hidden="false" customHeight="false" outlineLevel="0" collapsed="false">
      <c r="A613" s="10" t="s">
        <v>5348</v>
      </c>
    </row>
    <row r="614" customFormat="false" ht="16.85" hidden="false" customHeight="false" outlineLevel="0" collapsed="false">
      <c r="A614" s="10" t="s">
        <v>5348</v>
      </c>
    </row>
    <row r="615" customFormat="false" ht="16.85" hidden="false" customHeight="false" outlineLevel="0" collapsed="false">
      <c r="A615" s="10" t="s">
        <v>5348</v>
      </c>
    </row>
    <row r="616" customFormat="false" ht="16.85" hidden="false" customHeight="false" outlineLevel="0" collapsed="false">
      <c r="A616" s="10" t="s">
        <v>5348</v>
      </c>
    </row>
    <row r="617" customFormat="false" ht="16.85" hidden="false" customHeight="false" outlineLevel="0" collapsed="false">
      <c r="A617" s="10" t="s">
        <v>5348</v>
      </c>
    </row>
    <row r="618" customFormat="false" ht="16.85" hidden="false" customHeight="false" outlineLevel="0" collapsed="false">
      <c r="A618" s="10" t="s">
        <v>5348</v>
      </c>
    </row>
    <row r="619" customFormat="false" ht="16.85" hidden="false" customHeight="false" outlineLevel="0" collapsed="false">
      <c r="A619" s="10" t="s">
        <v>5348</v>
      </c>
    </row>
    <row r="620" customFormat="false" ht="16.85" hidden="false" customHeight="false" outlineLevel="0" collapsed="false">
      <c r="A620" s="10" t="s">
        <v>5348</v>
      </c>
    </row>
    <row r="621" customFormat="false" ht="16.85" hidden="false" customHeight="false" outlineLevel="0" collapsed="false">
      <c r="A621" s="10" t="s">
        <v>5348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4296875" defaultRowHeight="16.85" zeroHeight="false" outlineLevelRow="0" outlineLevelCol="0"/>
  <cols>
    <col collapsed="false" customWidth="true" hidden="false" outlineLevel="0" max="1" min="1" style="10" width="10.7"/>
  </cols>
  <sheetData>
    <row r="1" customFormat="false" ht="16.85" hidden="false" customHeight="false" outlineLevel="0" collapsed="false">
      <c r="A1" s="12" t="s">
        <v>5338</v>
      </c>
    </row>
    <row r="2" customFormat="false" ht="16.9" hidden="false" customHeight="false" outlineLevel="0" collapsed="false">
      <c r="A2" s="17" t="s">
        <v>5356</v>
      </c>
    </row>
    <row r="3" customFormat="false" ht="16.9" hidden="false" customHeight="false" outlineLevel="0" collapsed="false">
      <c r="A3" s="17" t="s">
        <v>9215</v>
      </c>
    </row>
    <row r="4" customFormat="false" ht="16.85" hidden="false" customHeight="false" outlineLevel="0" collapsed="false">
      <c r="A4" s="10" t="s">
        <v>5430</v>
      </c>
    </row>
    <row r="5" customFormat="false" ht="16.85" hidden="false" customHeight="false" outlineLevel="0" collapsed="false">
      <c r="A5" s="10" t="s">
        <v>5439</v>
      </c>
    </row>
    <row r="6" customFormat="false" ht="16.85" hidden="false" customHeight="false" outlineLevel="0" collapsed="false">
      <c r="A6" s="10" t="s">
        <v>6221</v>
      </c>
    </row>
    <row r="7" customFormat="false" ht="16.85" hidden="false" customHeight="false" outlineLevel="0" collapsed="false">
      <c r="A7" s="10" t="s">
        <v>6416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6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9.04296875" defaultRowHeight="13.8" zeroHeight="false" outlineLevelRow="0" outlineLevelCol="0"/>
  <cols>
    <col collapsed="false" customWidth="true" hidden="false" outlineLevel="0" max="2" min="2" style="0" width="9.14"/>
    <col collapsed="false" customWidth="true" hidden="false" outlineLevel="0" max="3" min="3" style="0" width="12.35"/>
    <col collapsed="false" customWidth="true" hidden="false" outlineLevel="0" max="7" min="7" style="0" width="59.58"/>
    <col collapsed="false" customWidth="true" hidden="false" outlineLevel="0" max="15" min="15" style="0" width="10.47"/>
  </cols>
  <sheetData>
    <row r="1" customFormat="false" ht="14.9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9216</v>
      </c>
      <c r="N1" s="5" t="s">
        <v>13</v>
      </c>
      <c r="O1" s="3" t="s">
        <v>14</v>
      </c>
    </row>
    <row r="2" customFormat="false" ht="16.4" hidden="false" customHeight="false" outlineLevel="0" collapsed="false">
      <c r="A2" s="0" t="s">
        <v>15</v>
      </c>
      <c r="B2" s="0" t="s">
        <v>16</v>
      </c>
      <c r="C2" s="0" t="n">
        <v>513010</v>
      </c>
      <c r="D2" s="0" t="n">
        <v>513010</v>
      </c>
      <c r="E2" s="0" t="s">
        <v>17</v>
      </c>
      <c r="F2" s="0" t="s">
        <v>18</v>
      </c>
      <c r="G2" s="7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tr">
        <f aca="false">IFERROR(VLOOKUP(K2,'Supplier list'!B:C,2,0),"")</f>
        <v/>
      </c>
      <c r="M2" s="1" t="n">
        <f aca="false">FALSE()</f>
        <v>0</v>
      </c>
      <c r="N2" s="2"/>
      <c r="O2" s="2" t="n">
        <v>202</v>
      </c>
    </row>
    <row r="3" customFormat="false" ht="16.4" hidden="false" customHeight="false" outlineLevel="0" collapsed="false">
      <c r="A3" s="0" t="s">
        <v>15</v>
      </c>
      <c r="B3" s="0" t="s">
        <v>25</v>
      </c>
      <c r="C3" s="0" t="n">
        <v>513010</v>
      </c>
      <c r="D3" s="0" t="n">
        <v>513010</v>
      </c>
      <c r="E3" s="0" t="s">
        <v>26</v>
      </c>
      <c r="F3" s="0" t="s">
        <v>18</v>
      </c>
      <c r="G3" s="7" t="s">
        <v>27</v>
      </c>
      <c r="H3" s="0" t="s">
        <v>28</v>
      </c>
      <c r="I3" s="0" t="s">
        <v>21</v>
      </c>
      <c r="J3" s="0" t="s">
        <v>22</v>
      </c>
      <c r="K3" s="0" t="s">
        <v>29</v>
      </c>
      <c r="L3" s="0" t="str">
        <f aca="false">IFERROR(VLOOKUP(K3,'Supplier list'!B:C,2,0),"")</f>
        <v/>
      </c>
      <c r="M3" s="1" t="n">
        <f aca="false">FALSE()</f>
        <v>0</v>
      </c>
      <c r="N3" s="2"/>
      <c r="O3" s="2" t="n">
        <v>0</v>
      </c>
    </row>
    <row r="4" customFormat="false" ht="16.4" hidden="false" customHeight="false" outlineLevel="0" collapsed="false">
      <c r="A4" s="0" t="s">
        <v>15</v>
      </c>
      <c r="B4" s="0" t="s">
        <v>30</v>
      </c>
      <c r="C4" s="0" t="n">
        <v>513010</v>
      </c>
      <c r="D4" s="0" t="n">
        <v>513010</v>
      </c>
      <c r="E4" s="0" t="s">
        <v>31</v>
      </c>
      <c r="F4" s="0" t="s">
        <v>18</v>
      </c>
      <c r="G4" s="7" t="s">
        <v>32</v>
      </c>
      <c r="H4" s="0" t="s">
        <v>33</v>
      </c>
      <c r="I4" s="0" t="s">
        <v>34</v>
      </c>
      <c r="J4" s="0" t="s">
        <v>35</v>
      </c>
      <c r="K4" s="0" t="s">
        <v>29</v>
      </c>
      <c r="L4" s="0" t="str">
        <f aca="false">IFERROR(VLOOKUP(K4,'Supplier list'!B:C,2,0),"")</f>
        <v/>
      </c>
      <c r="M4" s="1" t="n">
        <f aca="false">FALSE()</f>
        <v>0</v>
      </c>
      <c r="N4" s="2"/>
      <c r="O4" s="2" t="n">
        <v>0</v>
      </c>
    </row>
    <row r="5" customFormat="false" ht="16.4" hidden="false" customHeight="false" outlineLevel="0" collapsed="false">
      <c r="A5" s="0" t="s">
        <v>15</v>
      </c>
      <c r="B5" s="0" t="s">
        <v>36</v>
      </c>
      <c r="C5" s="0" t="n">
        <v>513010</v>
      </c>
      <c r="D5" s="0" t="n">
        <v>513010</v>
      </c>
      <c r="E5" s="0" t="s">
        <v>31</v>
      </c>
      <c r="F5" s="0" t="s">
        <v>18</v>
      </c>
      <c r="G5" s="7" t="s">
        <v>37</v>
      </c>
      <c r="H5" s="0" t="s">
        <v>38</v>
      </c>
      <c r="I5" s="0" t="s">
        <v>34</v>
      </c>
      <c r="J5" s="0" t="s">
        <v>35</v>
      </c>
      <c r="K5" s="0" t="s">
        <v>29</v>
      </c>
      <c r="L5" s="0" t="str">
        <f aca="false">IFERROR(VLOOKUP(K5,'Supplier list'!B:C,2,0),"")</f>
        <v/>
      </c>
      <c r="M5" s="1" t="n">
        <f aca="false">FALSE()</f>
        <v>0</v>
      </c>
      <c r="N5" s="2"/>
      <c r="O5" s="2" t="n">
        <v>0</v>
      </c>
    </row>
    <row r="6" customFormat="false" ht="16.4" hidden="false" customHeight="false" outlineLevel="0" collapsed="false">
      <c r="A6" s="0" t="s">
        <v>15</v>
      </c>
      <c r="B6" s="0" t="s">
        <v>39</v>
      </c>
      <c r="C6" s="0" t="n">
        <v>513010</v>
      </c>
      <c r="D6" s="0" t="n">
        <v>513010</v>
      </c>
      <c r="E6" s="0" t="s">
        <v>31</v>
      </c>
      <c r="F6" s="0" t="s">
        <v>18</v>
      </c>
      <c r="G6" s="7" t="s">
        <v>40</v>
      </c>
      <c r="H6" s="0" t="s">
        <v>41</v>
      </c>
      <c r="I6" s="0" t="s">
        <v>34</v>
      </c>
      <c r="J6" s="0" t="s">
        <v>35</v>
      </c>
      <c r="K6" s="0" t="s">
        <v>29</v>
      </c>
      <c r="L6" s="0" t="str">
        <f aca="false">IFERROR(VLOOKUP(K6,'Supplier list'!B:C,2,0),"")</f>
        <v/>
      </c>
      <c r="M6" s="1" t="n">
        <f aca="false">FALSE()</f>
        <v>0</v>
      </c>
      <c r="N6" s="2"/>
      <c r="O6" s="2" t="n">
        <v>0</v>
      </c>
    </row>
    <row r="7" customFormat="false" ht="16.4" hidden="false" customHeight="false" outlineLevel="0" collapsed="false">
      <c r="A7" s="0" t="s">
        <v>15</v>
      </c>
      <c r="B7" s="0" t="s">
        <v>42</v>
      </c>
      <c r="C7" s="0" t="n">
        <v>513010</v>
      </c>
      <c r="D7" s="0" t="n">
        <v>513010</v>
      </c>
      <c r="E7" s="0" t="s">
        <v>17</v>
      </c>
      <c r="F7" s="0" t="s">
        <v>18</v>
      </c>
      <c r="G7" s="7" t="s">
        <v>43</v>
      </c>
      <c r="H7" s="0" t="s">
        <v>20</v>
      </c>
      <c r="I7" s="0" t="s">
        <v>21</v>
      </c>
      <c r="J7" s="0" t="s">
        <v>22</v>
      </c>
      <c r="K7" s="0" t="s">
        <v>44</v>
      </c>
      <c r="L7" s="0" t="str">
        <f aca="false">IFERROR(VLOOKUP(K7,'Supplier list'!B:C,2,0),"")</f>
        <v/>
      </c>
      <c r="M7" s="1" t="n">
        <f aca="false">FALSE()</f>
        <v>0</v>
      </c>
      <c r="N7" s="2"/>
      <c r="O7" s="2" t="n">
        <v>84</v>
      </c>
    </row>
    <row r="8" customFormat="false" ht="16.4" hidden="false" customHeight="false" outlineLevel="0" collapsed="false">
      <c r="A8" s="0" t="s">
        <v>15</v>
      </c>
      <c r="B8" s="0" t="s">
        <v>45</v>
      </c>
      <c r="C8" s="0" t="n">
        <v>513010</v>
      </c>
      <c r="D8" s="0" t="n">
        <v>513010</v>
      </c>
      <c r="E8" s="0" t="s">
        <v>46</v>
      </c>
      <c r="F8" s="0" t="s">
        <v>18</v>
      </c>
      <c r="G8" s="7" t="s">
        <v>47</v>
      </c>
      <c r="H8" s="0" t="s">
        <v>48</v>
      </c>
      <c r="I8" s="0" t="s">
        <v>49</v>
      </c>
      <c r="J8" s="0" t="s">
        <v>50</v>
      </c>
      <c r="K8" s="0" t="s">
        <v>51</v>
      </c>
      <c r="L8" s="0" t="str">
        <f aca="false">IFERROR(VLOOKUP(K8,'Supplier list'!B:C,2,0),"")</f>
        <v/>
      </c>
      <c r="M8" s="1" t="n">
        <f aca="false">FALSE()</f>
        <v>0</v>
      </c>
      <c r="N8" s="2"/>
      <c r="O8" s="2" t="n">
        <v>680</v>
      </c>
    </row>
    <row r="9" customFormat="false" ht="16.4" hidden="false" customHeight="false" outlineLevel="0" collapsed="false">
      <c r="A9" s="0" t="s">
        <v>15</v>
      </c>
      <c r="B9" s="0" t="s">
        <v>52</v>
      </c>
      <c r="C9" s="0" t="n">
        <v>513010</v>
      </c>
      <c r="D9" s="0" t="n">
        <v>513010</v>
      </c>
      <c r="E9" s="0" t="s">
        <v>53</v>
      </c>
      <c r="F9" s="0" t="s">
        <v>18</v>
      </c>
      <c r="G9" s="7" t="s">
        <v>54</v>
      </c>
      <c r="H9" s="0" t="s">
        <v>55</v>
      </c>
      <c r="I9" s="0" t="s">
        <v>21</v>
      </c>
      <c r="J9" s="0" t="s">
        <v>22</v>
      </c>
      <c r="K9" s="0" t="s">
        <v>56</v>
      </c>
      <c r="L9" s="0" t="str">
        <f aca="false">IFERROR(VLOOKUP(K9,'Supplier list'!B:C,2,0),"")</f>
        <v>CO.,LTD QINGDAO NEW LIBERTY INT'L TRADING CO.LTD.</v>
      </c>
      <c r="M9" s="1" t="n">
        <f aca="false">FALSE()</f>
        <v>0</v>
      </c>
      <c r="N9" s="2"/>
      <c r="O9" s="2" t="n">
        <v>0.35</v>
      </c>
    </row>
    <row r="10" customFormat="false" ht="16.4" hidden="false" customHeight="false" outlineLevel="0" collapsed="false">
      <c r="A10" s="0" t="s">
        <v>15</v>
      </c>
      <c r="B10" s="0" t="s">
        <v>57</v>
      </c>
      <c r="C10" s="0" t="n">
        <v>513010</v>
      </c>
      <c r="D10" s="0" t="n">
        <v>513010</v>
      </c>
      <c r="E10" s="0" t="s">
        <v>31</v>
      </c>
      <c r="F10" s="0" t="s">
        <v>18</v>
      </c>
      <c r="G10" s="7" t="s">
        <v>58</v>
      </c>
      <c r="H10" s="0" t="s">
        <v>59</v>
      </c>
      <c r="I10" s="0" t="s">
        <v>34</v>
      </c>
      <c r="J10" s="0" t="s">
        <v>35</v>
      </c>
      <c r="K10" s="0" t="s">
        <v>29</v>
      </c>
      <c r="L10" s="0" t="str">
        <f aca="false">IFERROR(VLOOKUP(K10,'Supplier list'!B:C,2,0),"")</f>
        <v/>
      </c>
      <c r="M10" s="1" t="n">
        <f aca="false">FALSE()</f>
        <v>0</v>
      </c>
      <c r="N10" s="2"/>
      <c r="O10" s="2" t="n">
        <v>0</v>
      </c>
    </row>
    <row r="11" customFormat="false" ht="16.4" hidden="false" customHeight="false" outlineLevel="0" collapsed="false">
      <c r="A11" s="0" t="s">
        <v>15</v>
      </c>
      <c r="B11" s="0" t="s">
        <v>60</v>
      </c>
      <c r="C11" s="0" t="n">
        <v>513025</v>
      </c>
      <c r="D11" s="0" t="n">
        <v>513025</v>
      </c>
      <c r="E11" s="0" t="s">
        <v>61</v>
      </c>
      <c r="F11" s="0" t="s">
        <v>18</v>
      </c>
      <c r="G11" s="7" t="s">
        <v>62</v>
      </c>
      <c r="H11" s="0" t="s">
        <v>63</v>
      </c>
      <c r="I11" s="0" t="s">
        <v>21</v>
      </c>
      <c r="J11" s="0" t="s">
        <v>22</v>
      </c>
      <c r="K11" s="0" t="s">
        <v>56</v>
      </c>
      <c r="L11" s="0" t="str">
        <f aca="false">IFERROR(VLOOKUP(K11,'Supplier list'!B:C,2,0),"")</f>
        <v>CO.,LTD QINGDAO NEW LIBERTY INT'L TRADING CO.LTD.</v>
      </c>
      <c r="M11" s="1" t="n">
        <f aca="false">FALSE()</f>
        <v>0</v>
      </c>
      <c r="N11" s="2"/>
      <c r="O11" s="2" t="n">
        <v>5.7</v>
      </c>
    </row>
    <row r="12" customFormat="false" ht="16.4" hidden="false" customHeight="false" outlineLevel="0" collapsed="false">
      <c r="A12" s="0" t="s">
        <v>15</v>
      </c>
      <c r="B12" s="0" t="s">
        <v>64</v>
      </c>
      <c r="C12" s="0" t="n">
        <v>513025</v>
      </c>
      <c r="D12" s="0" t="n">
        <v>513025</v>
      </c>
      <c r="E12" s="0" t="s">
        <v>65</v>
      </c>
      <c r="F12" s="0" t="s">
        <v>18</v>
      </c>
      <c r="G12" s="7" t="s">
        <v>66</v>
      </c>
      <c r="H12" s="0" t="s">
        <v>67</v>
      </c>
      <c r="I12" s="0" t="s">
        <v>21</v>
      </c>
      <c r="J12" s="0" t="s">
        <v>22</v>
      </c>
      <c r="K12" s="0" t="s">
        <v>68</v>
      </c>
      <c r="L12" s="0" t="str">
        <f aca="false">IFERROR(VLOOKUP(K12,'Supplier list'!B:C,2,0),"")</f>
        <v>หจก. กรีน ดิสทริบิวชั่น</v>
      </c>
      <c r="M12" s="1" t="n">
        <f aca="false">FALSE()</f>
        <v>0</v>
      </c>
      <c r="N12" s="2"/>
      <c r="O12" s="2" t="n">
        <v>2990</v>
      </c>
    </row>
    <row r="13" customFormat="false" ht="16.4" hidden="false" customHeight="false" outlineLevel="0" collapsed="false">
      <c r="A13" s="0" t="s">
        <v>15</v>
      </c>
      <c r="B13" s="0" t="s">
        <v>69</v>
      </c>
      <c r="C13" s="0" t="n">
        <v>513025</v>
      </c>
      <c r="D13" s="0" t="n">
        <v>513025</v>
      </c>
      <c r="E13" s="0" t="s">
        <v>65</v>
      </c>
      <c r="F13" s="0" t="s">
        <v>18</v>
      </c>
      <c r="G13" s="7" t="s">
        <v>70</v>
      </c>
      <c r="H13" s="0" t="s">
        <v>71</v>
      </c>
      <c r="I13" s="0" t="s">
        <v>21</v>
      </c>
      <c r="J13" s="0" t="s">
        <v>22</v>
      </c>
      <c r="K13" s="0" t="s">
        <v>29</v>
      </c>
      <c r="L13" s="0" t="str">
        <f aca="false">IFERROR(VLOOKUP(K13,'Supplier list'!B:C,2,0),"")</f>
        <v/>
      </c>
      <c r="M13" s="1" t="n">
        <f aca="false">FALSE()</f>
        <v>0</v>
      </c>
      <c r="N13" s="2"/>
      <c r="O13" s="2" t="n">
        <v>4200</v>
      </c>
    </row>
    <row r="14" customFormat="false" ht="16.4" hidden="false" customHeight="false" outlineLevel="0" collapsed="false">
      <c r="A14" s="0" t="s">
        <v>15</v>
      </c>
      <c r="B14" s="0" t="s">
        <v>72</v>
      </c>
      <c r="C14" s="0" t="n">
        <v>513025</v>
      </c>
      <c r="D14" s="0" t="n">
        <v>513025</v>
      </c>
      <c r="E14" s="0" t="s">
        <v>65</v>
      </c>
      <c r="F14" s="0" t="s">
        <v>18</v>
      </c>
      <c r="G14" s="7" t="s">
        <v>73</v>
      </c>
      <c r="H14" s="0" t="s">
        <v>74</v>
      </c>
      <c r="I14" s="0" t="s">
        <v>21</v>
      </c>
      <c r="J14" s="0" t="s">
        <v>22</v>
      </c>
      <c r="K14" s="0" t="s">
        <v>75</v>
      </c>
      <c r="L14" s="0" t="str">
        <f aca="false">IFERROR(VLOOKUP(K14,'Supplier list'!B:C,2,0),"")</f>
        <v/>
      </c>
      <c r="M14" s="1" t="n">
        <f aca="false">FALSE()</f>
        <v>0</v>
      </c>
      <c r="N14" s="2"/>
      <c r="O14" s="2" t="n">
        <v>90</v>
      </c>
    </row>
    <row r="15" customFormat="false" ht="16.4" hidden="false" customHeight="false" outlineLevel="0" collapsed="false">
      <c r="A15" s="0" t="s">
        <v>15</v>
      </c>
      <c r="B15" s="0" t="s">
        <v>76</v>
      </c>
      <c r="C15" s="0" t="n">
        <v>513025</v>
      </c>
      <c r="D15" s="0" t="n">
        <v>513025</v>
      </c>
      <c r="E15" s="0" t="s">
        <v>65</v>
      </c>
      <c r="F15" s="0" t="s">
        <v>18</v>
      </c>
      <c r="G15" s="7" t="s">
        <v>77</v>
      </c>
      <c r="H15" s="0" t="s">
        <v>78</v>
      </c>
      <c r="I15" s="0" t="s">
        <v>21</v>
      </c>
      <c r="J15" s="0" t="s">
        <v>22</v>
      </c>
      <c r="K15" s="0" t="s">
        <v>75</v>
      </c>
      <c r="L15" s="0" t="str">
        <f aca="false">IFERROR(VLOOKUP(K15,'Supplier list'!B:C,2,0),"")</f>
        <v/>
      </c>
      <c r="M15" s="1" t="n">
        <f aca="false">FALSE()</f>
        <v>0</v>
      </c>
      <c r="N15" s="2"/>
      <c r="O15" s="2" t="n">
        <v>290</v>
      </c>
    </row>
    <row r="16" customFormat="false" ht="16.4" hidden="false" customHeight="false" outlineLevel="0" collapsed="false">
      <c r="A16" s="0" t="s">
        <v>15</v>
      </c>
      <c r="B16" s="0" t="s">
        <v>79</v>
      </c>
      <c r="C16" s="0" t="n">
        <v>513025</v>
      </c>
      <c r="D16" s="0" t="n">
        <v>513025</v>
      </c>
      <c r="E16" s="0" t="s">
        <v>65</v>
      </c>
      <c r="F16" s="0" t="s">
        <v>18</v>
      </c>
      <c r="G16" s="7" t="s">
        <v>80</v>
      </c>
      <c r="H16" s="0" t="s">
        <v>81</v>
      </c>
      <c r="I16" s="0" t="s">
        <v>21</v>
      </c>
      <c r="J16" s="0" t="s">
        <v>22</v>
      </c>
      <c r="K16" s="0" t="s">
        <v>82</v>
      </c>
      <c r="L16" s="0" t="str">
        <f aca="false">IFERROR(VLOOKUP(K16,'Supplier list'!B:C,2,0),"")</f>
        <v>บริษัท เกรียงศิริพัฒนา (1995) จำกัด</v>
      </c>
      <c r="M16" s="1" t="n">
        <f aca="false">FALSE()</f>
        <v>0</v>
      </c>
      <c r="N16" s="2"/>
      <c r="O16" s="2" t="n">
        <v>550</v>
      </c>
    </row>
    <row r="17" customFormat="false" ht="16.4" hidden="false" customHeight="false" outlineLevel="0" collapsed="false">
      <c r="A17" s="0" t="s">
        <v>15</v>
      </c>
      <c r="B17" s="0" t="s">
        <v>83</v>
      </c>
      <c r="C17" s="0" t="n">
        <v>513025</v>
      </c>
      <c r="D17" s="0" t="n">
        <v>513025</v>
      </c>
      <c r="E17" s="0" t="s">
        <v>65</v>
      </c>
      <c r="F17" s="0" t="s">
        <v>18</v>
      </c>
      <c r="G17" s="7" t="s">
        <v>84</v>
      </c>
      <c r="H17" s="0" t="s">
        <v>85</v>
      </c>
      <c r="I17" s="0" t="s">
        <v>21</v>
      </c>
      <c r="J17" s="0" t="s">
        <v>22</v>
      </c>
      <c r="K17" s="0" t="s">
        <v>75</v>
      </c>
      <c r="L17" s="0" t="str">
        <f aca="false">IFERROR(VLOOKUP(K17,'Supplier list'!B:C,2,0),"")</f>
        <v/>
      </c>
      <c r="M17" s="1" t="n">
        <f aca="false">FALSE()</f>
        <v>0</v>
      </c>
      <c r="N17" s="2"/>
      <c r="O17" s="2" t="n">
        <v>150</v>
      </c>
    </row>
    <row r="18" customFormat="false" ht="16.4" hidden="false" customHeight="false" outlineLevel="0" collapsed="false">
      <c r="A18" s="0" t="s">
        <v>15</v>
      </c>
      <c r="B18" s="0" t="s">
        <v>86</v>
      </c>
      <c r="C18" s="0" t="n">
        <v>513025</v>
      </c>
      <c r="D18" s="0" t="n">
        <v>513025</v>
      </c>
      <c r="E18" s="0" t="s">
        <v>87</v>
      </c>
      <c r="F18" s="0" t="s">
        <v>18</v>
      </c>
      <c r="G18" s="7" t="s">
        <v>88</v>
      </c>
      <c r="H18" s="0" t="s">
        <v>88</v>
      </c>
      <c r="I18" s="0" t="s">
        <v>21</v>
      </c>
      <c r="J18" s="0" t="s">
        <v>22</v>
      </c>
      <c r="K18" s="0" t="s">
        <v>89</v>
      </c>
      <c r="L18" s="0" t="str">
        <f aca="false">IFERROR(VLOOKUP(K18,'Supplier list'!B:C,2,0),"")</f>
        <v>บริษัท เฮเฟเล่ (ประเทศไทย) จำกัด</v>
      </c>
      <c r="M18" s="1" t="n">
        <f aca="false">FALSE()</f>
        <v>0</v>
      </c>
      <c r="N18" s="2"/>
      <c r="O18" s="2" t="n">
        <v>1705</v>
      </c>
    </row>
    <row r="19" customFormat="false" ht="16.4" hidden="false" customHeight="false" outlineLevel="0" collapsed="false">
      <c r="A19" s="0" t="s">
        <v>15</v>
      </c>
      <c r="B19" s="0" t="s">
        <v>90</v>
      </c>
      <c r="C19" s="0" t="n">
        <v>513025</v>
      </c>
      <c r="D19" s="0" t="n">
        <v>513025</v>
      </c>
      <c r="E19" s="0" t="s">
        <v>87</v>
      </c>
      <c r="F19" s="0" t="s">
        <v>18</v>
      </c>
      <c r="G19" s="7" t="s">
        <v>91</v>
      </c>
      <c r="H19" s="0" t="s">
        <v>91</v>
      </c>
      <c r="I19" s="0" t="s">
        <v>21</v>
      </c>
      <c r="J19" s="0" t="s">
        <v>22</v>
      </c>
      <c r="K19" s="0" t="s">
        <v>89</v>
      </c>
      <c r="L19" s="0" t="str">
        <f aca="false">IFERROR(VLOOKUP(K19,'Supplier list'!B:C,2,0),"")</f>
        <v>บริษัท เฮเฟเล่ (ประเทศไทย) จำกัด</v>
      </c>
      <c r="M19" s="1" t="n">
        <f aca="false">FALSE()</f>
        <v>0</v>
      </c>
      <c r="N19" s="2"/>
      <c r="O19" s="2" t="n">
        <v>1158</v>
      </c>
    </row>
    <row r="20" customFormat="false" ht="16.4" hidden="false" customHeight="false" outlineLevel="0" collapsed="false">
      <c r="A20" s="0" t="s">
        <v>15</v>
      </c>
      <c r="B20" s="0" t="s">
        <v>92</v>
      </c>
      <c r="C20" s="0" t="n">
        <v>513025</v>
      </c>
      <c r="D20" s="0" t="n">
        <v>513025</v>
      </c>
      <c r="E20" s="0" t="s">
        <v>93</v>
      </c>
      <c r="F20" s="0" t="s">
        <v>18</v>
      </c>
      <c r="G20" s="7" t="s">
        <v>94</v>
      </c>
      <c r="H20" s="0" t="s">
        <v>95</v>
      </c>
      <c r="I20" s="0" t="s">
        <v>21</v>
      </c>
      <c r="J20" s="0" t="s">
        <v>22</v>
      </c>
      <c r="K20" s="0" t="s">
        <v>89</v>
      </c>
      <c r="L20" s="0" t="str">
        <f aca="false">IFERROR(VLOOKUP(K20,'Supplier list'!B:C,2,0),"")</f>
        <v>บริษัท เฮเฟเล่ (ประเทศไทย) จำกัด</v>
      </c>
      <c r="M20" s="1" t="n">
        <f aca="false">FALSE()</f>
        <v>0</v>
      </c>
      <c r="N20" s="2"/>
      <c r="O20" s="2" t="n">
        <v>804</v>
      </c>
    </row>
    <row r="21" customFormat="false" ht="16.4" hidden="false" customHeight="false" outlineLevel="0" collapsed="false">
      <c r="A21" s="0" t="s">
        <v>15</v>
      </c>
      <c r="B21" s="0" t="s">
        <v>96</v>
      </c>
      <c r="C21" s="0" t="n">
        <v>513025</v>
      </c>
      <c r="D21" s="0" t="n">
        <v>513025</v>
      </c>
      <c r="E21" s="0" t="s">
        <v>97</v>
      </c>
      <c r="F21" s="0" t="s">
        <v>18</v>
      </c>
      <c r="G21" s="7" t="s">
        <v>98</v>
      </c>
      <c r="H21" s="0" t="s">
        <v>99</v>
      </c>
      <c r="I21" s="0" t="s">
        <v>21</v>
      </c>
      <c r="J21" s="0" t="s">
        <v>22</v>
      </c>
      <c r="K21" s="0" t="s">
        <v>75</v>
      </c>
      <c r="L21" s="0" t="str">
        <f aca="false">IFERROR(VLOOKUP(K21,'Supplier list'!B:C,2,0),"")</f>
        <v/>
      </c>
      <c r="M21" s="1" t="n">
        <f aca="false">FALSE()</f>
        <v>0</v>
      </c>
      <c r="N21" s="2"/>
      <c r="O21" s="2" t="n">
        <v>645</v>
      </c>
    </row>
    <row r="22" customFormat="false" ht="16.4" hidden="false" customHeight="false" outlineLevel="0" collapsed="false">
      <c r="A22" s="0" t="s">
        <v>15</v>
      </c>
      <c r="B22" s="0" t="s">
        <v>100</v>
      </c>
      <c r="C22" s="0" t="n">
        <v>513025</v>
      </c>
      <c r="D22" s="0" t="n">
        <v>513025</v>
      </c>
      <c r="E22" s="0" t="s">
        <v>87</v>
      </c>
      <c r="F22" s="0" t="s">
        <v>18</v>
      </c>
      <c r="G22" s="7" t="s">
        <v>101</v>
      </c>
      <c r="H22" s="0" t="s">
        <v>101</v>
      </c>
      <c r="I22" s="0" t="s">
        <v>102</v>
      </c>
      <c r="J22" s="0" t="s">
        <v>103</v>
      </c>
      <c r="K22" s="0" t="s">
        <v>89</v>
      </c>
      <c r="L22" s="0" t="str">
        <f aca="false">IFERROR(VLOOKUP(K22,'Supplier list'!B:C,2,0),"")</f>
        <v>บริษัท เฮเฟเล่ (ประเทศไทย) จำกัด</v>
      </c>
      <c r="M22" s="1" t="n">
        <f aca="false">FALSE()</f>
        <v>0</v>
      </c>
      <c r="N22" s="2"/>
      <c r="O22" s="2" t="n">
        <v>3100</v>
      </c>
    </row>
    <row r="23" customFormat="false" ht="16.4" hidden="false" customHeight="false" outlineLevel="0" collapsed="false">
      <c r="A23" s="0" t="s">
        <v>15</v>
      </c>
      <c r="B23" s="0" t="s">
        <v>104</v>
      </c>
      <c r="C23" s="0" t="n">
        <v>513025</v>
      </c>
      <c r="D23" s="0" t="n">
        <v>513025</v>
      </c>
      <c r="E23" s="0" t="s">
        <v>105</v>
      </c>
      <c r="F23" s="0" t="s">
        <v>18</v>
      </c>
      <c r="G23" s="7" t="s">
        <v>106</v>
      </c>
      <c r="H23" s="0" t="s">
        <v>107</v>
      </c>
      <c r="I23" s="0" t="s">
        <v>108</v>
      </c>
      <c r="J23" s="0" t="s">
        <v>109</v>
      </c>
      <c r="K23" s="0" t="s">
        <v>110</v>
      </c>
      <c r="L23" s="0" t="str">
        <f aca="false">IFERROR(VLOOKUP(K23,'Supplier list'!B:C,2,0),"")</f>
        <v>บริษัท ที.พี.เค ไทยเมท แมชชีนทูลล์ จำกัด</v>
      </c>
      <c r="M23" s="1" t="n">
        <f aca="false">FALSE()</f>
        <v>0</v>
      </c>
      <c r="N23" s="2"/>
      <c r="O23" s="2" t="n">
        <v>229</v>
      </c>
    </row>
    <row r="24" customFormat="false" ht="16.4" hidden="false" customHeight="false" outlineLevel="0" collapsed="false">
      <c r="A24" s="0" t="s">
        <v>15</v>
      </c>
      <c r="B24" s="0" t="s">
        <v>111</v>
      </c>
      <c r="C24" s="0" t="n">
        <v>513025</v>
      </c>
      <c r="D24" s="0" t="n">
        <v>513025</v>
      </c>
      <c r="E24" s="0" t="s">
        <v>105</v>
      </c>
      <c r="F24" s="0" t="s">
        <v>18</v>
      </c>
      <c r="G24" s="7" t="s">
        <v>112</v>
      </c>
      <c r="H24" s="0" t="s">
        <v>113</v>
      </c>
      <c r="I24" s="0" t="s">
        <v>108</v>
      </c>
      <c r="J24" s="0" t="s">
        <v>109</v>
      </c>
      <c r="L24" s="0" t="str">
        <f aca="false">IFERROR(VLOOKUP(K24,'Supplier list'!B:C,2,0),"")</f>
        <v/>
      </c>
      <c r="M24" s="1" t="n">
        <f aca="false">FALSE()</f>
        <v>0</v>
      </c>
      <c r="N24" s="2"/>
      <c r="O24" s="2" t="n">
        <v>63</v>
      </c>
    </row>
    <row r="25" customFormat="false" ht="16.4" hidden="false" customHeight="false" outlineLevel="0" collapsed="false">
      <c r="A25" s="0" t="s">
        <v>15</v>
      </c>
      <c r="B25" s="0" t="s">
        <v>114</v>
      </c>
      <c r="C25" s="0" t="n">
        <v>513025</v>
      </c>
      <c r="D25" s="0" t="n">
        <v>513025</v>
      </c>
      <c r="E25" s="0" t="s">
        <v>65</v>
      </c>
      <c r="F25" s="0" t="s">
        <v>18</v>
      </c>
      <c r="G25" s="7" t="s">
        <v>115</v>
      </c>
      <c r="H25" s="0" t="s">
        <v>116</v>
      </c>
      <c r="I25" s="0" t="s">
        <v>21</v>
      </c>
      <c r="J25" s="0" t="s">
        <v>22</v>
      </c>
      <c r="K25" s="0" t="s">
        <v>29</v>
      </c>
      <c r="L25" s="0" t="str">
        <f aca="false">IFERROR(VLOOKUP(K25,'Supplier list'!B:C,2,0),"")</f>
        <v/>
      </c>
      <c r="M25" s="1" t="n">
        <f aca="false">FALSE()</f>
        <v>0</v>
      </c>
      <c r="N25" s="2"/>
      <c r="O25" s="2" t="n">
        <v>0</v>
      </c>
    </row>
    <row r="26" customFormat="false" ht="16.4" hidden="false" customHeight="false" outlineLevel="0" collapsed="false">
      <c r="A26" s="0" t="s">
        <v>15</v>
      </c>
      <c r="B26" s="0" t="s">
        <v>117</v>
      </c>
      <c r="C26" s="0" t="n">
        <v>513025</v>
      </c>
      <c r="D26" s="0" t="n">
        <v>513025</v>
      </c>
      <c r="E26" s="0" t="s">
        <v>65</v>
      </c>
      <c r="F26" s="0" t="s">
        <v>18</v>
      </c>
      <c r="G26" s="7" t="s">
        <v>118</v>
      </c>
      <c r="H26" s="0" t="s">
        <v>119</v>
      </c>
      <c r="I26" s="0" t="s">
        <v>21</v>
      </c>
      <c r="J26" s="0" t="s">
        <v>22</v>
      </c>
      <c r="K26" s="0" t="s">
        <v>29</v>
      </c>
      <c r="L26" s="0" t="str">
        <f aca="false">IFERROR(VLOOKUP(K26,'Supplier list'!B:C,2,0),"")</f>
        <v/>
      </c>
      <c r="M26" s="1" t="n">
        <f aca="false">FALSE()</f>
        <v>0</v>
      </c>
      <c r="N26" s="2"/>
      <c r="O26" s="2" t="n">
        <v>0</v>
      </c>
    </row>
    <row r="27" customFormat="false" ht="16.4" hidden="false" customHeight="false" outlineLevel="0" collapsed="false">
      <c r="A27" s="0" t="s">
        <v>15</v>
      </c>
      <c r="B27" s="0" t="s">
        <v>120</v>
      </c>
      <c r="C27" s="0" t="n">
        <v>513025</v>
      </c>
      <c r="D27" s="0" t="n">
        <v>513025</v>
      </c>
      <c r="E27" s="0" t="s">
        <v>121</v>
      </c>
      <c r="F27" s="0" t="s">
        <v>18</v>
      </c>
      <c r="G27" s="7" t="s">
        <v>122</v>
      </c>
      <c r="H27" s="0" t="s">
        <v>123</v>
      </c>
      <c r="I27" s="0" t="s">
        <v>124</v>
      </c>
      <c r="J27" s="0" t="s">
        <v>125</v>
      </c>
      <c r="K27" s="0" t="s">
        <v>82</v>
      </c>
      <c r="L27" s="0" t="str">
        <f aca="false">IFERROR(VLOOKUP(K27,'Supplier list'!B:C,2,0),"")</f>
        <v>บริษัท เกรียงศิริพัฒนา (1995) จำกัด</v>
      </c>
      <c r="M27" s="1" t="n">
        <f aca="false">FALSE()</f>
        <v>0</v>
      </c>
      <c r="N27" s="2"/>
      <c r="O27" s="2" t="n">
        <v>15</v>
      </c>
    </row>
    <row r="28" customFormat="false" ht="16.4" hidden="false" customHeight="false" outlineLevel="0" collapsed="false">
      <c r="A28" s="0" t="s">
        <v>15</v>
      </c>
      <c r="B28" s="0" t="s">
        <v>126</v>
      </c>
      <c r="C28" s="0" t="n">
        <v>513025</v>
      </c>
      <c r="D28" s="0" t="n">
        <v>513025</v>
      </c>
      <c r="E28" s="0" t="s">
        <v>127</v>
      </c>
      <c r="F28" s="0" t="s">
        <v>18</v>
      </c>
      <c r="G28" s="7" t="s">
        <v>128</v>
      </c>
      <c r="H28" s="0" t="s">
        <v>129</v>
      </c>
      <c r="I28" s="0" t="s">
        <v>21</v>
      </c>
      <c r="J28" s="0" t="s">
        <v>22</v>
      </c>
      <c r="K28" s="0" t="s">
        <v>82</v>
      </c>
      <c r="L28" s="0" t="str">
        <f aca="false">IFERROR(VLOOKUP(K28,'Supplier list'!B:C,2,0),"")</f>
        <v>บริษัท เกรียงศิริพัฒนา (1995) จำกัด</v>
      </c>
      <c r="M28" s="1" t="n">
        <f aca="false">FALSE()</f>
        <v>0</v>
      </c>
      <c r="N28" s="2"/>
      <c r="O28" s="2" t="n">
        <v>190</v>
      </c>
    </row>
    <row r="29" customFormat="false" ht="16.4" hidden="false" customHeight="false" outlineLevel="0" collapsed="false">
      <c r="A29" s="0" t="s">
        <v>15</v>
      </c>
      <c r="B29" s="0" t="s">
        <v>130</v>
      </c>
      <c r="C29" s="0" t="n">
        <v>513025</v>
      </c>
      <c r="D29" s="0" t="n">
        <v>513025</v>
      </c>
      <c r="E29" s="0" t="s">
        <v>127</v>
      </c>
      <c r="F29" s="0" t="s">
        <v>18</v>
      </c>
      <c r="G29" s="7" t="s">
        <v>131</v>
      </c>
      <c r="H29" s="0" t="s">
        <v>132</v>
      </c>
      <c r="I29" s="0" t="s">
        <v>21</v>
      </c>
      <c r="J29" s="0" t="s">
        <v>22</v>
      </c>
      <c r="K29" s="0" t="s">
        <v>82</v>
      </c>
      <c r="L29" s="0" t="str">
        <f aca="false">IFERROR(VLOOKUP(K29,'Supplier list'!B:C,2,0),"")</f>
        <v>บริษัท เกรียงศิริพัฒนา (1995) จำกัด</v>
      </c>
      <c r="M29" s="1" t="n">
        <f aca="false">FALSE()</f>
        <v>0</v>
      </c>
      <c r="N29" s="2"/>
      <c r="O29" s="2" t="n">
        <v>20</v>
      </c>
    </row>
    <row r="30" customFormat="false" ht="16.4" hidden="false" customHeight="false" outlineLevel="0" collapsed="false">
      <c r="A30" s="0" t="s">
        <v>15</v>
      </c>
      <c r="B30" s="0" t="s">
        <v>133</v>
      </c>
      <c r="C30" s="0" t="n">
        <v>513025</v>
      </c>
      <c r="D30" s="0" t="n">
        <v>513025</v>
      </c>
      <c r="E30" s="0" t="s">
        <v>97</v>
      </c>
      <c r="F30" s="0" t="s">
        <v>18</v>
      </c>
      <c r="G30" s="7" t="s">
        <v>134</v>
      </c>
      <c r="H30" s="0" t="s">
        <v>135</v>
      </c>
      <c r="I30" s="0" t="s">
        <v>21</v>
      </c>
      <c r="J30" s="0" t="s">
        <v>22</v>
      </c>
      <c r="K30" s="0" t="s">
        <v>82</v>
      </c>
      <c r="L30" s="0" t="str">
        <f aca="false">IFERROR(VLOOKUP(K30,'Supplier list'!B:C,2,0),"")</f>
        <v>บริษัท เกรียงศิริพัฒนา (1995) จำกัด</v>
      </c>
      <c r="M30" s="1" t="n">
        <f aca="false">FALSE()</f>
        <v>0</v>
      </c>
      <c r="N30" s="2"/>
      <c r="O30" s="2" t="n">
        <v>200</v>
      </c>
    </row>
    <row r="31" customFormat="false" ht="16.4" hidden="false" customHeight="false" outlineLevel="0" collapsed="false">
      <c r="A31" s="0" t="s">
        <v>15</v>
      </c>
      <c r="B31" s="0" t="s">
        <v>136</v>
      </c>
      <c r="C31" s="0" t="n">
        <v>513025</v>
      </c>
      <c r="D31" s="0" t="n">
        <v>513025</v>
      </c>
      <c r="E31" s="0" t="s">
        <v>93</v>
      </c>
      <c r="F31" s="0" t="s">
        <v>18</v>
      </c>
      <c r="G31" s="7" t="s">
        <v>137</v>
      </c>
      <c r="H31" s="0" t="s">
        <v>137</v>
      </c>
      <c r="I31" s="0" t="s">
        <v>21</v>
      </c>
      <c r="J31" s="0" t="s">
        <v>22</v>
      </c>
      <c r="K31" s="0" t="s">
        <v>89</v>
      </c>
      <c r="L31" s="0" t="str">
        <f aca="false">IFERROR(VLOOKUP(K31,'Supplier list'!B:C,2,0),"")</f>
        <v>บริษัท เฮเฟเล่ (ประเทศไทย) จำกัด</v>
      </c>
      <c r="M31" s="1" t="n">
        <f aca="false">FALSE()</f>
        <v>0</v>
      </c>
      <c r="N31" s="2"/>
      <c r="O31" s="2" t="n">
        <v>1776</v>
      </c>
    </row>
    <row r="32" customFormat="false" ht="16.4" hidden="false" customHeight="false" outlineLevel="0" collapsed="false">
      <c r="A32" s="0" t="s">
        <v>15</v>
      </c>
      <c r="B32" s="0" t="s">
        <v>138</v>
      </c>
      <c r="C32" s="0" t="n">
        <v>513025</v>
      </c>
      <c r="D32" s="0" t="n">
        <v>513025</v>
      </c>
      <c r="E32" s="0" t="s">
        <v>139</v>
      </c>
      <c r="F32" s="0" t="s">
        <v>18</v>
      </c>
      <c r="G32" s="7" t="s">
        <v>140</v>
      </c>
      <c r="H32" s="0" t="s">
        <v>141</v>
      </c>
      <c r="I32" s="0" t="s">
        <v>142</v>
      </c>
      <c r="J32" s="0" t="s">
        <v>143</v>
      </c>
      <c r="K32" s="0" t="s">
        <v>144</v>
      </c>
      <c r="L32" s="0" t="str">
        <f aca="false">IFERROR(VLOOKUP(K32,'Supplier list'!B:C,2,0),"")</f>
        <v/>
      </c>
      <c r="M32" s="1" t="n">
        <f aca="false">FALSE()</f>
        <v>0</v>
      </c>
      <c r="N32" s="2"/>
      <c r="O32" s="2" t="n">
        <v>435</v>
      </c>
    </row>
    <row r="33" customFormat="false" ht="16.4" hidden="false" customHeight="false" outlineLevel="0" collapsed="false">
      <c r="A33" s="0" t="s">
        <v>15</v>
      </c>
      <c r="B33" s="0" t="s">
        <v>145</v>
      </c>
      <c r="C33" s="0" t="n">
        <v>513025</v>
      </c>
      <c r="D33" s="0" t="n">
        <v>513025</v>
      </c>
      <c r="E33" s="0" t="s">
        <v>146</v>
      </c>
      <c r="F33" s="0" t="s">
        <v>18</v>
      </c>
      <c r="G33" s="7" t="s">
        <v>147</v>
      </c>
      <c r="H33" s="0" t="s">
        <v>148</v>
      </c>
      <c r="I33" s="0" t="s">
        <v>149</v>
      </c>
      <c r="J33" s="0" t="s">
        <v>150</v>
      </c>
      <c r="K33" s="0" t="s">
        <v>151</v>
      </c>
      <c r="L33" s="0" t="str">
        <f aca="false">IFERROR(VLOOKUP(K33,'Supplier list'!B:C,2,0),"")</f>
        <v>บริษัท สยามแม็คโคร จำกัด (มหาชน)</v>
      </c>
      <c r="M33" s="1" t="n">
        <f aca="false">FALSE()</f>
        <v>0</v>
      </c>
      <c r="N33" s="2"/>
      <c r="O33" s="2" t="n">
        <v>209</v>
      </c>
    </row>
    <row r="34" customFormat="false" ht="16.4" hidden="false" customHeight="false" outlineLevel="0" collapsed="false">
      <c r="A34" s="0" t="s">
        <v>15</v>
      </c>
      <c r="B34" s="0" t="s">
        <v>152</v>
      </c>
      <c r="C34" s="0" t="n">
        <v>513025</v>
      </c>
      <c r="D34" s="0" t="n">
        <v>513025</v>
      </c>
      <c r="E34" s="0" t="s">
        <v>121</v>
      </c>
      <c r="F34" s="0" t="s">
        <v>18</v>
      </c>
      <c r="G34" s="7" t="s">
        <v>153</v>
      </c>
      <c r="H34" s="0" t="s">
        <v>154</v>
      </c>
      <c r="I34" s="0" t="s">
        <v>21</v>
      </c>
      <c r="J34" s="0" t="s">
        <v>22</v>
      </c>
      <c r="K34" s="0" t="s">
        <v>155</v>
      </c>
      <c r="L34" s="0" t="str">
        <f aca="false">IFERROR(VLOOKUP(K34,'Supplier list'!B:C,2,0),"")</f>
        <v>บริษัท ก.เจริญฮาร์ดแวร์ จำกัด</v>
      </c>
      <c r="M34" s="1" t="n">
        <f aca="false">FALSE()</f>
        <v>0</v>
      </c>
      <c r="N34" s="2"/>
      <c r="O34" s="2" t="n">
        <v>0.25</v>
      </c>
    </row>
    <row r="35" customFormat="false" ht="16.4" hidden="false" customHeight="false" outlineLevel="0" collapsed="false">
      <c r="A35" s="0" t="s">
        <v>15</v>
      </c>
      <c r="B35" s="0" t="s">
        <v>156</v>
      </c>
      <c r="C35" s="0" t="n">
        <v>513025</v>
      </c>
      <c r="D35" s="0" t="n">
        <v>513025</v>
      </c>
      <c r="E35" s="0" t="s">
        <v>97</v>
      </c>
      <c r="F35" s="0" t="s">
        <v>18</v>
      </c>
      <c r="G35" s="7" t="s">
        <v>157</v>
      </c>
      <c r="H35" s="0" t="s">
        <v>158</v>
      </c>
      <c r="I35" s="0" t="s">
        <v>124</v>
      </c>
      <c r="J35" s="0" t="s">
        <v>125</v>
      </c>
      <c r="K35" s="0" t="s">
        <v>159</v>
      </c>
      <c r="L35" s="0" t="str">
        <f aca="false">IFERROR(VLOOKUP(K35,'Supplier list'!B:C,2,0),"")</f>
        <v>บริษัท ซูเปอร์โฮมมาร์ท จำกัด (สำนักงานใหญ่)</v>
      </c>
      <c r="M35" s="1" t="n">
        <f aca="false">FALSE()</f>
        <v>0</v>
      </c>
      <c r="N35" s="2"/>
      <c r="O35" s="2" t="n">
        <v>115</v>
      </c>
    </row>
    <row r="36" customFormat="false" ht="14.9" hidden="false" customHeight="false" outlineLevel="0" collapsed="false">
      <c r="A36" s="0" t="s">
        <v>15</v>
      </c>
      <c r="B36" s="0" t="s">
        <v>160</v>
      </c>
      <c r="C36" s="0" t="n">
        <v>513025</v>
      </c>
      <c r="D36" s="0" t="n">
        <v>513025</v>
      </c>
      <c r="E36" s="0" t="s">
        <v>161</v>
      </c>
      <c r="F36" s="0" t="s">
        <v>18</v>
      </c>
      <c r="G36" s="7" t="s">
        <v>162</v>
      </c>
      <c r="H36" s="0" t="s">
        <v>162</v>
      </c>
      <c r="I36" s="0" t="s">
        <v>21</v>
      </c>
      <c r="J36" s="0" t="s">
        <v>22</v>
      </c>
      <c r="K36" s="0" t="s">
        <v>163</v>
      </c>
      <c r="L36" s="0" t="str">
        <f aca="false">IFERROR(VLOOKUP(K36,'Supplier list'!B:C,2,0),"")</f>
        <v/>
      </c>
      <c r="M36" s="1" t="n">
        <f aca="false">FALSE()</f>
        <v>0</v>
      </c>
      <c r="N36" s="2"/>
      <c r="O36" s="2" t="n">
        <v>4.5</v>
      </c>
    </row>
    <row r="37" customFormat="false" ht="16.4" hidden="false" customHeight="false" outlineLevel="0" collapsed="false">
      <c r="A37" s="0" t="s">
        <v>15</v>
      </c>
      <c r="B37" s="0" t="s">
        <v>164</v>
      </c>
      <c r="C37" s="0" t="n">
        <v>513025</v>
      </c>
      <c r="D37" s="0" t="n">
        <v>513025</v>
      </c>
      <c r="E37" s="0" t="s">
        <v>165</v>
      </c>
      <c r="F37" s="0" t="s">
        <v>18</v>
      </c>
      <c r="G37" s="7" t="s">
        <v>166</v>
      </c>
      <c r="H37" s="0" t="s">
        <v>167</v>
      </c>
      <c r="I37" s="0" t="s">
        <v>168</v>
      </c>
      <c r="J37" s="0" t="s">
        <v>169</v>
      </c>
      <c r="K37" s="0" t="s">
        <v>155</v>
      </c>
      <c r="L37" s="0" t="str">
        <f aca="false">IFERROR(VLOOKUP(K37,'Supplier list'!B:C,2,0),"")</f>
        <v>บริษัท ก.เจริญฮาร์ดแวร์ จำกัด</v>
      </c>
      <c r="M37" s="1" t="n">
        <f aca="false">FALSE()</f>
        <v>0</v>
      </c>
      <c r="N37" s="2"/>
      <c r="O37" s="2" t="n">
        <v>1030</v>
      </c>
    </row>
    <row r="38" customFormat="false" ht="16.4" hidden="false" customHeight="false" outlineLevel="0" collapsed="false">
      <c r="A38" s="0" t="s">
        <v>15</v>
      </c>
      <c r="B38" s="0" t="s">
        <v>170</v>
      </c>
      <c r="C38" s="0" t="n">
        <v>513025</v>
      </c>
      <c r="D38" s="0" t="n">
        <v>513025</v>
      </c>
      <c r="E38" s="0" t="s">
        <v>121</v>
      </c>
      <c r="F38" s="0" t="s">
        <v>18</v>
      </c>
      <c r="G38" s="7" t="s">
        <v>171</v>
      </c>
      <c r="H38" s="0" t="s">
        <v>172</v>
      </c>
      <c r="I38" s="0" t="s">
        <v>21</v>
      </c>
      <c r="J38" s="0" t="s">
        <v>22</v>
      </c>
      <c r="K38" s="0" t="s">
        <v>82</v>
      </c>
      <c r="L38" s="0" t="str">
        <f aca="false">IFERROR(VLOOKUP(K38,'Supplier list'!B:C,2,0),"")</f>
        <v>บริษัท เกรียงศิริพัฒนา (1995) จำกัด</v>
      </c>
      <c r="M38" s="1" t="n">
        <f aca="false">FALSE()</f>
        <v>0</v>
      </c>
      <c r="N38" s="2"/>
      <c r="O38" s="2" t="n">
        <v>800</v>
      </c>
    </row>
    <row r="39" customFormat="false" ht="16.4" hidden="false" customHeight="false" outlineLevel="0" collapsed="false">
      <c r="A39" s="0" t="s">
        <v>15</v>
      </c>
      <c r="B39" s="0" t="s">
        <v>173</v>
      </c>
      <c r="C39" s="0" t="n">
        <v>513025</v>
      </c>
      <c r="D39" s="0" t="n">
        <v>513025</v>
      </c>
      <c r="E39" s="0" t="s">
        <v>97</v>
      </c>
      <c r="F39" s="0" t="s">
        <v>18</v>
      </c>
      <c r="G39" s="7" t="s">
        <v>174</v>
      </c>
      <c r="H39" s="0" t="s">
        <v>175</v>
      </c>
      <c r="I39" s="0" t="s">
        <v>21</v>
      </c>
      <c r="J39" s="0" t="s">
        <v>22</v>
      </c>
      <c r="K39" s="0" t="s">
        <v>176</v>
      </c>
      <c r="L39" s="0" t="str">
        <f aca="false">IFERROR(VLOOKUP(K39,'Supplier list'!B:C,2,0),"")</f>
        <v>บริษัท ต้าโจว อินดัสทรี จำกัด</v>
      </c>
      <c r="M39" s="1" t="n">
        <f aca="false">FALSE()</f>
        <v>0</v>
      </c>
      <c r="N39" s="2"/>
      <c r="O39" s="2" t="n">
        <v>120</v>
      </c>
    </row>
    <row r="40" customFormat="false" ht="16.4" hidden="false" customHeight="false" outlineLevel="0" collapsed="false">
      <c r="A40" s="0" t="s">
        <v>15</v>
      </c>
      <c r="B40" s="0" t="s">
        <v>177</v>
      </c>
      <c r="C40" s="0" t="n">
        <v>513025</v>
      </c>
      <c r="D40" s="0" t="n">
        <v>513025</v>
      </c>
      <c r="E40" s="0" t="s">
        <v>97</v>
      </c>
      <c r="F40" s="0" t="s">
        <v>18</v>
      </c>
      <c r="G40" s="7" t="s">
        <v>178</v>
      </c>
      <c r="H40" s="0" t="s">
        <v>179</v>
      </c>
      <c r="I40" s="0" t="s">
        <v>21</v>
      </c>
      <c r="J40" s="0" t="s">
        <v>22</v>
      </c>
      <c r="K40" s="0" t="s">
        <v>176</v>
      </c>
      <c r="L40" s="0" t="str">
        <f aca="false">IFERROR(VLOOKUP(K40,'Supplier list'!B:C,2,0),"")</f>
        <v>บริษัท ต้าโจว อินดัสทรี จำกัด</v>
      </c>
      <c r="M40" s="1" t="n">
        <f aca="false">FALSE()</f>
        <v>0</v>
      </c>
      <c r="N40" s="2"/>
      <c r="O40" s="2" t="n">
        <v>120</v>
      </c>
    </row>
    <row r="41" customFormat="false" ht="16.4" hidden="false" customHeight="false" outlineLevel="0" collapsed="false">
      <c r="A41" s="0" t="s">
        <v>15</v>
      </c>
      <c r="B41" s="0" t="s">
        <v>180</v>
      </c>
      <c r="C41" s="0" t="n">
        <v>513025</v>
      </c>
      <c r="D41" s="0" t="n">
        <v>513025</v>
      </c>
      <c r="E41" s="0" t="s">
        <v>97</v>
      </c>
      <c r="F41" s="0" t="s">
        <v>18</v>
      </c>
      <c r="G41" s="7" t="s">
        <v>181</v>
      </c>
      <c r="H41" s="0" t="s">
        <v>182</v>
      </c>
      <c r="I41" s="0" t="s">
        <v>21</v>
      </c>
      <c r="J41" s="0" t="s">
        <v>22</v>
      </c>
      <c r="K41" s="0" t="s">
        <v>176</v>
      </c>
      <c r="L41" s="0" t="str">
        <f aca="false">IFERROR(VLOOKUP(K41,'Supplier list'!B:C,2,0),"")</f>
        <v>บริษัท ต้าโจว อินดัสทรี จำกัด</v>
      </c>
      <c r="M41" s="1" t="n">
        <f aca="false">FALSE()</f>
        <v>0</v>
      </c>
      <c r="N41" s="2"/>
      <c r="O41" s="2" t="n">
        <v>250</v>
      </c>
    </row>
    <row r="42" customFormat="false" ht="16.4" hidden="false" customHeight="false" outlineLevel="0" collapsed="false">
      <c r="A42" s="0" t="s">
        <v>15</v>
      </c>
      <c r="B42" s="0" t="s">
        <v>183</v>
      </c>
      <c r="C42" s="0" t="n">
        <v>513025</v>
      </c>
      <c r="D42" s="0" t="n">
        <v>513025</v>
      </c>
      <c r="E42" s="0" t="s">
        <v>97</v>
      </c>
      <c r="F42" s="0" t="s">
        <v>18</v>
      </c>
      <c r="G42" s="7" t="s">
        <v>184</v>
      </c>
      <c r="H42" s="0" t="s">
        <v>185</v>
      </c>
      <c r="I42" s="0" t="s">
        <v>21</v>
      </c>
      <c r="J42" s="0" t="s">
        <v>22</v>
      </c>
      <c r="K42" s="0" t="s">
        <v>176</v>
      </c>
      <c r="L42" s="0" t="str">
        <f aca="false">IFERROR(VLOOKUP(K42,'Supplier list'!B:C,2,0),"")</f>
        <v>บริษัท ต้าโจว อินดัสทรี จำกัด</v>
      </c>
      <c r="M42" s="1" t="n">
        <f aca="false">FALSE()</f>
        <v>0</v>
      </c>
      <c r="N42" s="2"/>
      <c r="O42" s="2" t="n">
        <v>250</v>
      </c>
    </row>
    <row r="43" customFormat="false" ht="16.4" hidden="false" customHeight="false" outlineLevel="0" collapsed="false">
      <c r="A43" s="0" t="s">
        <v>15</v>
      </c>
      <c r="B43" s="0" t="s">
        <v>186</v>
      </c>
      <c r="C43" s="0" t="n">
        <v>513025</v>
      </c>
      <c r="D43" s="0" t="n">
        <v>513025</v>
      </c>
      <c r="E43" s="0" t="s">
        <v>97</v>
      </c>
      <c r="F43" s="0" t="s">
        <v>18</v>
      </c>
      <c r="G43" s="7" t="s">
        <v>187</v>
      </c>
      <c r="H43" s="0" t="s">
        <v>188</v>
      </c>
      <c r="I43" s="0" t="s">
        <v>21</v>
      </c>
      <c r="J43" s="0" t="s">
        <v>22</v>
      </c>
      <c r="K43" s="0" t="s">
        <v>176</v>
      </c>
      <c r="L43" s="0" t="str">
        <f aca="false">IFERROR(VLOOKUP(K43,'Supplier list'!B:C,2,0),"")</f>
        <v>บริษัท ต้าโจว อินดัสทรี จำกัด</v>
      </c>
      <c r="M43" s="1" t="n">
        <f aca="false">FALSE()</f>
        <v>0</v>
      </c>
      <c r="N43" s="2"/>
      <c r="O43" s="2" t="n">
        <v>200</v>
      </c>
    </row>
    <row r="44" customFormat="false" ht="41.75" hidden="false" customHeight="false" outlineLevel="0" collapsed="false">
      <c r="A44" s="0" t="s">
        <v>15</v>
      </c>
      <c r="B44" s="0" t="s">
        <v>189</v>
      </c>
      <c r="C44" s="0" t="n">
        <v>513025</v>
      </c>
      <c r="D44" s="0" t="n">
        <v>513025</v>
      </c>
      <c r="E44" s="0" t="s">
        <v>121</v>
      </c>
      <c r="F44" s="0" t="s">
        <v>18</v>
      </c>
      <c r="G44" s="7" t="s">
        <v>190</v>
      </c>
      <c r="H44" s="0" t="s">
        <v>191</v>
      </c>
      <c r="I44" s="0" t="s">
        <v>21</v>
      </c>
      <c r="J44" s="0" t="s">
        <v>22</v>
      </c>
      <c r="K44" s="6" t="s">
        <v>192</v>
      </c>
      <c r="L44" s="0" t="str">
        <f aca="false">IFERROR(VLOOKUP(K44,'Supplier list'!B:C,2,0),"")</f>
        <v/>
      </c>
      <c r="M44" s="1" t="n">
        <f aca="false">FALSE()</f>
        <v>0</v>
      </c>
      <c r="N44" s="2"/>
      <c r="O44" s="2" t="n">
        <v>0.39</v>
      </c>
    </row>
    <row r="45" customFormat="false" ht="16.4" hidden="false" customHeight="false" outlineLevel="0" collapsed="false">
      <c r="A45" s="0" t="s">
        <v>15</v>
      </c>
      <c r="B45" s="0" t="s">
        <v>193</v>
      </c>
      <c r="C45" s="0" t="n">
        <v>513025</v>
      </c>
      <c r="D45" s="0" t="n">
        <v>513025</v>
      </c>
      <c r="E45" s="0" t="s">
        <v>127</v>
      </c>
      <c r="F45" s="0" t="s">
        <v>18</v>
      </c>
      <c r="G45" s="7" t="s">
        <v>194</v>
      </c>
      <c r="H45" s="0" t="s">
        <v>195</v>
      </c>
      <c r="I45" s="0" t="s">
        <v>21</v>
      </c>
      <c r="J45" s="0" t="s">
        <v>22</v>
      </c>
      <c r="K45" s="0" t="s">
        <v>82</v>
      </c>
      <c r="L45" s="0" t="str">
        <f aca="false">IFERROR(VLOOKUP(K45,'Supplier list'!B:C,2,0),"")</f>
        <v>บริษัท เกรียงศิริพัฒนา (1995) จำกัด</v>
      </c>
      <c r="M45" s="1" t="n">
        <f aca="false">FALSE()</f>
        <v>0</v>
      </c>
      <c r="N45" s="2"/>
      <c r="O45" s="2" t="n">
        <v>25</v>
      </c>
    </row>
    <row r="46" customFormat="false" ht="16.4" hidden="false" customHeight="false" outlineLevel="0" collapsed="false">
      <c r="A46" s="0" t="s">
        <v>15</v>
      </c>
      <c r="B46" s="0" t="s">
        <v>196</v>
      </c>
      <c r="C46" s="0" t="n">
        <v>513025</v>
      </c>
      <c r="D46" s="0" t="n">
        <v>513025</v>
      </c>
      <c r="E46" s="0" t="s">
        <v>197</v>
      </c>
      <c r="F46" s="0" t="s">
        <v>18</v>
      </c>
      <c r="G46" s="7" t="s">
        <v>198</v>
      </c>
      <c r="H46" s="0" t="s">
        <v>199</v>
      </c>
      <c r="I46" s="0" t="s">
        <v>21</v>
      </c>
      <c r="J46" s="0" t="s">
        <v>22</v>
      </c>
      <c r="K46" s="0" t="s">
        <v>89</v>
      </c>
      <c r="L46" s="0" t="str">
        <f aca="false">IFERROR(VLOOKUP(K46,'Supplier list'!B:C,2,0),"")</f>
        <v>บริษัท เฮเฟเล่ (ประเทศไทย) จำกัด</v>
      </c>
      <c r="M46" s="1" t="n">
        <f aca="false">FALSE()</f>
        <v>0</v>
      </c>
      <c r="N46" s="2"/>
      <c r="O46" s="2" t="n">
        <v>720</v>
      </c>
    </row>
    <row r="47" customFormat="false" ht="16.4" hidden="false" customHeight="false" outlineLevel="0" collapsed="false">
      <c r="A47" s="0" t="s">
        <v>15</v>
      </c>
      <c r="B47" s="0" t="s">
        <v>200</v>
      </c>
      <c r="C47" s="0" t="n">
        <v>513025</v>
      </c>
      <c r="D47" s="0" t="n">
        <v>513025</v>
      </c>
      <c r="E47" s="0" t="s">
        <v>97</v>
      </c>
      <c r="F47" s="0" t="s">
        <v>18</v>
      </c>
      <c r="G47" s="7" t="s">
        <v>201</v>
      </c>
      <c r="H47" s="0" t="s">
        <v>202</v>
      </c>
      <c r="I47" s="0" t="s">
        <v>21</v>
      </c>
      <c r="J47" s="0" t="s">
        <v>22</v>
      </c>
      <c r="K47" s="0" t="s">
        <v>176</v>
      </c>
      <c r="L47" s="0" t="str">
        <f aca="false">IFERROR(VLOOKUP(K47,'Supplier list'!B:C,2,0),"")</f>
        <v>บริษัท ต้าโจว อินดัสทรี จำกัด</v>
      </c>
      <c r="M47" s="1" t="n">
        <f aca="false">FALSE()</f>
        <v>0</v>
      </c>
      <c r="N47" s="2"/>
      <c r="O47" s="2" t="n">
        <v>260</v>
      </c>
    </row>
    <row r="48" customFormat="false" ht="16.4" hidden="false" customHeight="false" outlineLevel="0" collapsed="false">
      <c r="A48" s="0" t="s">
        <v>15</v>
      </c>
      <c r="B48" s="0" t="s">
        <v>203</v>
      </c>
      <c r="C48" s="0" t="n">
        <v>513025</v>
      </c>
      <c r="D48" s="0" t="n">
        <v>513025</v>
      </c>
      <c r="E48" s="0" t="s">
        <v>97</v>
      </c>
      <c r="F48" s="0" t="s">
        <v>18</v>
      </c>
      <c r="G48" s="7" t="s">
        <v>204</v>
      </c>
      <c r="H48" s="0" t="s">
        <v>205</v>
      </c>
      <c r="I48" s="0" t="s">
        <v>21</v>
      </c>
      <c r="J48" s="0" t="s">
        <v>22</v>
      </c>
      <c r="K48" s="0" t="s">
        <v>176</v>
      </c>
      <c r="L48" s="0" t="str">
        <f aca="false">IFERROR(VLOOKUP(K48,'Supplier list'!B:C,2,0),"")</f>
        <v>บริษัท ต้าโจว อินดัสทรี จำกัด</v>
      </c>
      <c r="M48" s="1" t="n">
        <f aca="false">FALSE()</f>
        <v>0</v>
      </c>
      <c r="N48" s="2"/>
      <c r="O48" s="2" t="n">
        <v>260</v>
      </c>
    </row>
    <row r="49" customFormat="false" ht="16.4" hidden="false" customHeight="false" outlineLevel="0" collapsed="false">
      <c r="A49" s="0" t="s">
        <v>15</v>
      </c>
      <c r="B49" s="0" t="s">
        <v>206</v>
      </c>
      <c r="C49" s="0" t="n">
        <v>513025</v>
      </c>
      <c r="D49" s="0" t="n">
        <v>513025</v>
      </c>
      <c r="E49" s="0" t="s">
        <v>97</v>
      </c>
      <c r="F49" s="0" t="s">
        <v>18</v>
      </c>
      <c r="G49" s="7" t="s">
        <v>207</v>
      </c>
      <c r="H49" s="0" t="s">
        <v>208</v>
      </c>
      <c r="I49" s="0" t="s">
        <v>21</v>
      </c>
      <c r="J49" s="0" t="s">
        <v>22</v>
      </c>
      <c r="K49" s="0" t="s">
        <v>176</v>
      </c>
      <c r="L49" s="0" t="str">
        <f aca="false">IFERROR(VLOOKUP(K49,'Supplier list'!B:C,2,0),"")</f>
        <v>บริษัท ต้าโจว อินดัสทรี จำกัด</v>
      </c>
      <c r="M49" s="1" t="n">
        <f aca="false">FALSE()</f>
        <v>0</v>
      </c>
      <c r="N49" s="2"/>
      <c r="O49" s="2" t="n">
        <v>120</v>
      </c>
    </row>
    <row r="50" customFormat="false" ht="16.4" hidden="false" customHeight="false" outlineLevel="0" collapsed="false">
      <c r="A50" s="0" t="s">
        <v>15</v>
      </c>
      <c r="B50" s="0" t="s">
        <v>209</v>
      </c>
      <c r="C50" s="0" t="n">
        <v>513025</v>
      </c>
      <c r="D50" s="0" t="n">
        <v>513025</v>
      </c>
      <c r="E50" s="0" t="s">
        <v>97</v>
      </c>
      <c r="F50" s="0" t="s">
        <v>18</v>
      </c>
      <c r="G50" s="7" t="s">
        <v>210</v>
      </c>
      <c r="H50" s="0" t="s">
        <v>211</v>
      </c>
      <c r="I50" s="0" t="s">
        <v>21</v>
      </c>
      <c r="J50" s="0" t="s">
        <v>22</v>
      </c>
      <c r="K50" s="0" t="s">
        <v>176</v>
      </c>
      <c r="L50" s="0" t="str">
        <f aca="false">IFERROR(VLOOKUP(K50,'Supplier list'!B:C,2,0),"")</f>
        <v>บริษัท ต้าโจว อินดัสทรี จำกัด</v>
      </c>
      <c r="M50" s="1" t="n">
        <f aca="false">FALSE()</f>
        <v>0</v>
      </c>
      <c r="N50" s="2"/>
      <c r="O50" s="2" t="n">
        <v>120</v>
      </c>
    </row>
    <row r="51" customFormat="false" ht="16.4" hidden="false" customHeight="false" outlineLevel="0" collapsed="false">
      <c r="A51" s="0" t="s">
        <v>15</v>
      </c>
      <c r="B51" s="0" t="s">
        <v>212</v>
      </c>
      <c r="C51" s="0" t="n">
        <v>513025</v>
      </c>
      <c r="D51" s="0" t="n">
        <v>513025</v>
      </c>
      <c r="E51" s="0" t="s">
        <v>213</v>
      </c>
      <c r="F51" s="0" t="s">
        <v>18</v>
      </c>
      <c r="G51" s="7" t="s">
        <v>214</v>
      </c>
      <c r="H51" s="0" t="s">
        <v>215</v>
      </c>
      <c r="I51" s="0" t="s">
        <v>21</v>
      </c>
      <c r="J51" s="0" t="s">
        <v>22</v>
      </c>
      <c r="K51" s="0" t="s">
        <v>75</v>
      </c>
      <c r="L51" s="0" t="str">
        <f aca="false">IFERROR(VLOOKUP(K51,'Supplier list'!B:C,2,0),"")</f>
        <v/>
      </c>
      <c r="M51" s="1" t="n">
        <f aca="false">FALSE()</f>
        <v>0</v>
      </c>
      <c r="N51" s="2"/>
      <c r="O51" s="2" t="n">
        <v>3</v>
      </c>
    </row>
    <row r="52" customFormat="false" ht="16.4" hidden="false" customHeight="false" outlineLevel="0" collapsed="false">
      <c r="A52" s="0" t="s">
        <v>15</v>
      </c>
      <c r="B52" s="0" t="s">
        <v>216</v>
      </c>
      <c r="C52" s="0" t="n">
        <v>513025</v>
      </c>
      <c r="D52" s="0" t="n">
        <v>513025</v>
      </c>
      <c r="E52" s="0" t="s">
        <v>217</v>
      </c>
      <c r="F52" s="0" t="s">
        <v>18</v>
      </c>
      <c r="G52" s="7" t="s">
        <v>218</v>
      </c>
      <c r="H52" s="0" t="s">
        <v>219</v>
      </c>
      <c r="I52" s="0" t="s">
        <v>21</v>
      </c>
      <c r="J52" s="0" t="s">
        <v>22</v>
      </c>
      <c r="K52" s="0" t="s">
        <v>82</v>
      </c>
      <c r="L52" s="0" t="str">
        <f aca="false">IFERROR(VLOOKUP(K52,'Supplier list'!B:C,2,0),"")</f>
        <v>บริษัท เกรียงศิริพัฒนา (1995) จำกัด</v>
      </c>
      <c r="M52" s="1" t="n">
        <f aca="false">FALSE()</f>
        <v>0</v>
      </c>
      <c r="N52" s="2"/>
      <c r="O52" s="2" t="n">
        <v>150</v>
      </c>
    </row>
    <row r="53" customFormat="false" ht="16.4" hidden="false" customHeight="false" outlineLevel="0" collapsed="false">
      <c r="A53" s="0" t="s">
        <v>15</v>
      </c>
      <c r="B53" s="0" t="s">
        <v>220</v>
      </c>
      <c r="C53" s="0" t="n">
        <v>513025</v>
      </c>
      <c r="D53" s="0" t="n">
        <v>513025</v>
      </c>
      <c r="E53" s="0" t="s">
        <v>221</v>
      </c>
      <c r="F53" s="0" t="s">
        <v>18</v>
      </c>
      <c r="G53" s="7" t="s">
        <v>222</v>
      </c>
      <c r="H53" s="0" t="s">
        <v>223</v>
      </c>
      <c r="I53" s="0" t="s">
        <v>21</v>
      </c>
      <c r="J53" s="0" t="s">
        <v>22</v>
      </c>
      <c r="K53" s="0" t="s">
        <v>82</v>
      </c>
      <c r="L53" s="0" t="str">
        <f aca="false">IFERROR(VLOOKUP(K53,'Supplier list'!B:C,2,0),"")</f>
        <v>บริษัท เกรียงศิริพัฒนา (1995) จำกัด</v>
      </c>
      <c r="M53" s="1" t="n">
        <f aca="false">FALSE()</f>
        <v>0</v>
      </c>
      <c r="N53" s="2"/>
      <c r="O53" s="2" t="n">
        <v>65</v>
      </c>
    </row>
    <row r="54" customFormat="false" ht="16.4" hidden="false" customHeight="false" outlineLevel="0" collapsed="false">
      <c r="A54" s="0" t="s">
        <v>15</v>
      </c>
      <c r="B54" s="0" t="s">
        <v>224</v>
      </c>
      <c r="C54" s="0" t="n">
        <v>513025</v>
      </c>
      <c r="D54" s="0" t="n">
        <v>513025</v>
      </c>
      <c r="E54" s="0" t="s">
        <v>225</v>
      </c>
      <c r="F54" s="0" t="s">
        <v>18</v>
      </c>
      <c r="G54" s="7" t="s">
        <v>226</v>
      </c>
      <c r="H54" s="0" t="s">
        <v>227</v>
      </c>
      <c r="I54" s="0" t="s">
        <v>21</v>
      </c>
      <c r="J54" s="0" t="s">
        <v>22</v>
      </c>
      <c r="K54" s="0" t="s">
        <v>56</v>
      </c>
      <c r="L54" s="0" t="str">
        <f aca="false">IFERROR(VLOOKUP(K54,'Supplier list'!B:C,2,0),"")</f>
        <v>CO.,LTD QINGDAO NEW LIBERTY INT'L TRADING CO.LTD.</v>
      </c>
      <c r="M54" s="1" t="n">
        <f aca="false">FALSE()</f>
        <v>0</v>
      </c>
      <c r="N54" s="2"/>
      <c r="O54" s="2" t="n">
        <v>1100</v>
      </c>
    </row>
    <row r="55" customFormat="false" ht="16.4" hidden="false" customHeight="false" outlineLevel="0" collapsed="false">
      <c r="A55" s="0" t="s">
        <v>15</v>
      </c>
      <c r="B55" s="0" t="s">
        <v>228</v>
      </c>
      <c r="C55" s="0" t="n">
        <v>513025</v>
      </c>
      <c r="D55" s="0" t="n">
        <v>513025</v>
      </c>
      <c r="E55" s="0" t="s">
        <v>127</v>
      </c>
      <c r="F55" s="0" t="s">
        <v>18</v>
      </c>
      <c r="G55" s="7" t="s">
        <v>229</v>
      </c>
      <c r="H55" s="0" t="s">
        <v>230</v>
      </c>
      <c r="I55" s="0" t="s">
        <v>21</v>
      </c>
      <c r="J55" s="0" t="s">
        <v>22</v>
      </c>
      <c r="K55" s="0" t="s">
        <v>68</v>
      </c>
      <c r="L55" s="0" t="str">
        <f aca="false">IFERROR(VLOOKUP(K55,'Supplier list'!B:C,2,0),"")</f>
        <v>หจก. กรีน ดิสทริบิวชั่น</v>
      </c>
      <c r="M55" s="1" t="n">
        <f aca="false">FALSE()</f>
        <v>0</v>
      </c>
      <c r="N55" s="2"/>
      <c r="O55" s="2" t="n">
        <v>24</v>
      </c>
    </row>
    <row r="56" customFormat="false" ht="16.4" hidden="false" customHeight="false" outlineLevel="0" collapsed="false">
      <c r="A56" s="0" t="s">
        <v>15</v>
      </c>
      <c r="B56" s="0" t="s">
        <v>231</v>
      </c>
      <c r="C56" s="0" t="n">
        <v>513025</v>
      </c>
      <c r="D56" s="0" t="n">
        <v>513025</v>
      </c>
      <c r="E56" s="0" t="s">
        <v>97</v>
      </c>
      <c r="F56" s="0" t="s">
        <v>18</v>
      </c>
      <c r="G56" s="7" t="s">
        <v>232</v>
      </c>
      <c r="H56" s="0" t="s">
        <v>233</v>
      </c>
      <c r="I56" s="0" t="s">
        <v>21</v>
      </c>
      <c r="J56" s="0" t="s">
        <v>22</v>
      </c>
      <c r="K56" s="0" t="s">
        <v>234</v>
      </c>
      <c r="L56" s="0" t="str">
        <f aca="false">IFERROR(VLOOKUP(K56,'Supplier list'!B:C,2,0),"")</f>
        <v/>
      </c>
      <c r="M56" s="1" t="n">
        <f aca="false">FALSE()</f>
        <v>0</v>
      </c>
      <c r="N56" s="2"/>
      <c r="O56" s="2" t="n">
        <v>200</v>
      </c>
    </row>
    <row r="57" customFormat="false" ht="16.4" hidden="false" customHeight="false" outlineLevel="0" collapsed="false">
      <c r="A57" s="0" t="s">
        <v>15</v>
      </c>
      <c r="B57" s="0" t="s">
        <v>235</v>
      </c>
      <c r="C57" s="0" t="n">
        <v>513025</v>
      </c>
      <c r="D57" s="0" t="n">
        <v>513025</v>
      </c>
      <c r="E57" s="0" t="s">
        <v>97</v>
      </c>
      <c r="F57" s="0" t="s">
        <v>18</v>
      </c>
      <c r="G57" s="7" t="s">
        <v>236</v>
      </c>
      <c r="H57" s="0" t="s">
        <v>237</v>
      </c>
      <c r="I57" s="0" t="s">
        <v>21</v>
      </c>
      <c r="J57" s="0" t="s">
        <v>22</v>
      </c>
      <c r="K57" s="0" t="s">
        <v>234</v>
      </c>
      <c r="L57" s="0" t="str">
        <f aca="false">IFERROR(VLOOKUP(K57,'Supplier list'!B:C,2,0),"")</f>
        <v/>
      </c>
      <c r="M57" s="1" t="n">
        <f aca="false">FALSE()</f>
        <v>0</v>
      </c>
      <c r="N57" s="2"/>
      <c r="O57" s="2" t="n">
        <v>200</v>
      </c>
    </row>
    <row r="58" customFormat="false" ht="16.4" hidden="false" customHeight="false" outlineLevel="0" collapsed="false">
      <c r="A58" s="0" t="s">
        <v>15</v>
      </c>
      <c r="B58" s="0" t="s">
        <v>238</v>
      </c>
      <c r="C58" s="0" t="n">
        <v>513025</v>
      </c>
      <c r="D58" s="0" t="n">
        <v>513025</v>
      </c>
      <c r="E58" s="0" t="s">
        <v>97</v>
      </c>
      <c r="F58" s="0" t="s">
        <v>18</v>
      </c>
      <c r="G58" s="7" t="s">
        <v>239</v>
      </c>
      <c r="H58" s="0" t="s">
        <v>240</v>
      </c>
      <c r="I58" s="0" t="s">
        <v>21</v>
      </c>
      <c r="J58" s="0" t="s">
        <v>22</v>
      </c>
      <c r="K58" s="0" t="s">
        <v>234</v>
      </c>
      <c r="L58" s="0" t="str">
        <f aca="false">IFERROR(VLOOKUP(K58,'Supplier list'!B:C,2,0),"")</f>
        <v/>
      </c>
      <c r="M58" s="1" t="n">
        <f aca="false">FALSE()</f>
        <v>0</v>
      </c>
      <c r="N58" s="2"/>
      <c r="O58" s="2" t="n">
        <v>200</v>
      </c>
    </row>
    <row r="59" customFormat="false" ht="16.4" hidden="false" customHeight="false" outlineLevel="0" collapsed="false">
      <c r="A59" s="0" t="s">
        <v>15</v>
      </c>
      <c r="B59" s="0" t="s">
        <v>241</v>
      </c>
      <c r="C59" s="0" t="n">
        <v>513025</v>
      </c>
      <c r="D59" s="0" t="n">
        <v>513025</v>
      </c>
      <c r="E59" s="0" t="s">
        <v>121</v>
      </c>
      <c r="F59" s="0" t="s">
        <v>18</v>
      </c>
      <c r="G59" s="7" t="s">
        <v>242</v>
      </c>
      <c r="H59" s="0" t="s">
        <v>243</v>
      </c>
      <c r="I59" s="0" t="s">
        <v>21</v>
      </c>
      <c r="J59" s="0" t="s">
        <v>22</v>
      </c>
      <c r="K59" s="0" t="s">
        <v>82</v>
      </c>
      <c r="L59" s="0" t="str">
        <f aca="false">IFERROR(VLOOKUP(K59,'Supplier list'!B:C,2,0),"")</f>
        <v>บริษัท เกรียงศิริพัฒนา (1995) จำกัด</v>
      </c>
      <c r="M59" s="1" t="n">
        <f aca="false">FALSE()</f>
        <v>0</v>
      </c>
      <c r="N59" s="2"/>
      <c r="O59" s="2" t="n">
        <v>550</v>
      </c>
    </row>
    <row r="60" customFormat="false" ht="16.4" hidden="false" customHeight="false" outlineLevel="0" collapsed="false">
      <c r="A60" s="0" t="s">
        <v>15</v>
      </c>
      <c r="B60" s="0" t="s">
        <v>244</v>
      </c>
      <c r="C60" s="0" t="n">
        <v>513025</v>
      </c>
      <c r="D60" s="0" t="n">
        <v>513025</v>
      </c>
      <c r="E60" s="0" t="s">
        <v>245</v>
      </c>
      <c r="F60" s="0" t="s">
        <v>18</v>
      </c>
      <c r="G60" s="7" t="s">
        <v>246</v>
      </c>
      <c r="H60" s="0" t="s">
        <v>247</v>
      </c>
      <c r="I60" s="0" t="s">
        <v>248</v>
      </c>
      <c r="J60" s="0" t="s">
        <v>249</v>
      </c>
      <c r="K60" s="0" t="s">
        <v>68</v>
      </c>
      <c r="L60" s="0" t="str">
        <f aca="false">IFERROR(VLOOKUP(K60,'Supplier list'!B:C,2,0),"")</f>
        <v>หจก. กรีน ดิสทริบิวชั่น</v>
      </c>
      <c r="M60" s="1" t="n">
        <f aca="false">FALSE()</f>
        <v>0</v>
      </c>
      <c r="N60" s="2"/>
      <c r="O60" s="2" t="n">
        <v>1450</v>
      </c>
    </row>
    <row r="61" customFormat="false" ht="16.4" hidden="false" customHeight="false" outlineLevel="0" collapsed="false">
      <c r="A61" s="0" t="s">
        <v>15</v>
      </c>
      <c r="B61" s="0" t="s">
        <v>250</v>
      </c>
      <c r="C61" s="0" t="n">
        <v>513025</v>
      </c>
      <c r="D61" s="0" t="n">
        <v>513025</v>
      </c>
      <c r="E61" s="0" t="s">
        <v>245</v>
      </c>
      <c r="F61" s="0" t="s">
        <v>18</v>
      </c>
      <c r="G61" s="7" t="s">
        <v>251</v>
      </c>
      <c r="H61" s="0" t="s">
        <v>252</v>
      </c>
      <c r="I61" s="0" t="s">
        <v>248</v>
      </c>
      <c r="J61" s="0" t="s">
        <v>249</v>
      </c>
      <c r="K61" s="0" t="s">
        <v>68</v>
      </c>
      <c r="L61" s="0" t="str">
        <f aca="false">IFERROR(VLOOKUP(K61,'Supplier list'!B:C,2,0),"")</f>
        <v>หจก. กรีน ดิสทริบิวชั่น</v>
      </c>
      <c r="M61" s="1" t="n">
        <f aca="false">FALSE()</f>
        <v>0</v>
      </c>
      <c r="N61" s="2"/>
      <c r="O61" s="2" t="n">
        <v>2100</v>
      </c>
    </row>
    <row r="62" customFormat="false" ht="16.4" hidden="false" customHeight="false" outlineLevel="0" collapsed="false">
      <c r="A62" s="0" t="s">
        <v>15</v>
      </c>
      <c r="B62" s="0" t="s">
        <v>253</v>
      </c>
      <c r="C62" s="0" t="n">
        <v>114003</v>
      </c>
      <c r="D62" s="0" t="n">
        <v>114003</v>
      </c>
      <c r="E62" s="0" t="s">
        <v>254</v>
      </c>
      <c r="F62" s="0" t="s">
        <v>18</v>
      </c>
      <c r="G62" s="7" t="s">
        <v>255</v>
      </c>
      <c r="H62" s="0" t="s">
        <v>254</v>
      </c>
      <c r="I62" s="0" t="s">
        <v>21</v>
      </c>
      <c r="J62" s="0" t="s">
        <v>22</v>
      </c>
      <c r="K62" s="0" t="s">
        <v>29</v>
      </c>
      <c r="L62" s="0" t="str">
        <f aca="false">IFERROR(VLOOKUP(K62,'Supplier list'!B:C,2,0),"")</f>
        <v/>
      </c>
      <c r="M62" s="1" t="n">
        <f aca="false">FALSE()</f>
        <v>0</v>
      </c>
      <c r="N62" s="2"/>
      <c r="O62" s="2" t="n">
        <v>1290</v>
      </c>
    </row>
    <row r="63" customFormat="false" ht="16.4" hidden="false" customHeight="false" outlineLevel="0" collapsed="false">
      <c r="A63" s="0" t="s">
        <v>15</v>
      </c>
      <c r="B63" s="0" t="s">
        <v>256</v>
      </c>
      <c r="C63" s="0" t="n">
        <v>114003</v>
      </c>
      <c r="D63" s="0" t="n">
        <v>114003</v>
      </c>
      <c r="E63" s="0" t="s">
        <v>257</v>
      </c>
      <c r="F63" s="0" t="s">
        <v>18</v>
      </c>
      <c r="G63" s="7" t="s">
        <v>258</v>
      </c>
      <c r="H63" s="0" t="s">
        <v>259</v>
      </c>
      <c r="I63" s="0" t="s">
        <v>260</v>
      </c>
      <c r="J63" s="0" t="s">
        <v>261</v>
      </c>
      <c r="K63" s="0" t="s">
        <v>89</v>
      </c>
      <c r="L63" s="0" t="str">
        <f aca="false">IFERROR(VLOOKUP(K63,'Supplier list'!B:C,2,0),"")</f>
        <v>บริษัท เฮเฟเล่ (ประเทศไทย) จำกัด</v>
      </c>
      <c r="M63" s="1" t="n">
        <f aca="false">FALSE()</f>
        <v>0</v>
      </c>
      <c r="N63" s="2"/>
      <c r="O63" s="2" t="n">
        <v>178</v>
      </c>
    </row>
    <row r="64" customFormat="false" ht="16.4" hidden="false" customHeight="false" outlineLevel="0" collapsed="false">
      <c r="A64" s="0" t="s">
        <v>15</v>
      </c>
      <c r="B64" s="0" t="s">
        <v>262</v>
      </c>
      <c r="C64" s="0" t="n">
        <v>114003</v>
      </c>
      <c r="D64" s="0" t="n">
        <v>114003</v>
      </c>
      <c r="E64" s="0" t="s">
        <v>263</v>
      </c>
      <c r="F64" s="0" t="s">
        <v>18</v>
      </c>
      <c r="G64" s="7" t="s">
        <v>264</v>
      </c>
      <c r="H64" s="0" t="s">
        <v>265</v>
      </c>
      <c r="I64" s="0" t="s">
        <v>21</v>
      </c>
      <c r="J64" s="0" t="s">
        <v>22</v>
      </c>
      <c r="L64" s="0" t="str">
        <f aca="false">IFERROR(VLOOKUP(K64,'Supplier list'!B:C,2,0),"")</f>
        <v/>
      </c>
      <c r="M64" s="1" t="n">
        <f aca="false">FALSE()</f>
        <v>0</v>
      </c>
      <c r="N64" s="2"/>
      <c r="O64" s="2" t="n">
        <v>28</v>
      </c>
    </row>
    <row r="65" customFormat="false" ht="16.4" hidden="false" customHeight="false" outlineLevel="0" collapsed="false">
      <c r="A65" s="0" t="s">
        <v>15</v>
      </c>
      <c r="B65" s="0" t="s">
        <v>266</v>
      </c>
      <c r="C65" s="0" t="n">
        <v>114003</v>
      </c>
      <c r="D65" s="0" t="n">
        <v>114003</v>
      </c>
      <c r="E65" s="0" t="s">
        <v>267</v>
      </c>
      <c r="F65" s="0" t="s">
        <v>18</v>
      </c>
      <c r="G65" s="7" t="s">
        <v>268</v>
      </c>
      <c r="H65" s="0" t="s">
        <v>269</v>
      </c>
      <c r="I65" s="0" t="s">
        <v>21</v>
      </c>
      <c r="J65" s="0" t="s">
        <v>22</v>
      </c>
      <c r="L65" s="0" t="str">
        <f aca="false">IFERROR(VLOOKUP(K65,'Supplier list'!B:C,2,0),"")</f>
        <v/>
      </c>
      <c r="M65" s="1" t="n">
        <f aca="false">FALSE()</f>
        <v>0</v>
      </c>
      <c r="N65" s="2"/>
      <c r="O65" s="2" t="n">
        <v>68</v>
      </c>
    </row>
    <row r="66" customFormat="false" ht="16.4" hidden="false" customHeight="false" outlineLevel="0" collapsed="false">
      <c r="A66" s="0" t="s">
        <v>15</v>
      </c>
      <c r="B66" s="0" t="s">
        <v>270</v>
      </c>
      <c r="C66" s="0" t="n">
        <v>114003</v>
      </c>
      <c r="D66" s="0" t="n">
        <v>114003</v>
      </c>
      <c r="E66" s="0" t="s">
        <v>271</v>
      </c>
      <c r="F66" s="0" t="s">
        <v>18</v>
      </c>
      <c r="G66" s="7" t="s">
        <v>272</v>
      </c>
      <c r="H66" s="0" t="s">
        <v>273</v>
      </c>
      <c r="I66" s="0" t="s">
        <v>142</v>
      </c>
      <c r="J66" s="0" t="s">
        <v>143</v>
      </c>
      <c r="K66" s="0" t="s">
        <v>75</v>
      </c>
      <c r="L66" s="0" t="str">
        <f aca="false">IFERROR(VLOOKUP(K66,'Supplier list'!B:C,2,0),"")</f>
        <v/>
      </c>
      <c r="M66" s="1" t="n">
        <f aca="false">FALSE()</f>
        <v>0</v>
      </c>
      <c r="N66" s="2"/>
      <c r="O66" s="2" t="n">
        <v>100</v>
      </c>
    </row>
    <row r="67" customFormat="false" ht="16.4" hidden="false" customHeight="false" outlineLevel="0" collapsed="false">
      <c r="A67" s="0" t="s">
        <v>15</v>
      </c>
      <c r="B67" s="0" t="s">
        <v>274</v>
      </c>
      <c r="C67" s="0" t="n">
        <v>114003</v>
      </c>
      <c r="D67" s="0" t="n">
        <v>114003</v>
      </c>
      <c r="E67" s="0" t="s">
        <v>275</v>
      </c>
      <c r="F67" s="0" t="s">
        <v>18</v>
      </c>
      <c r="G67" s="7" t="s">
        <v>276</v>
      </c>
      <c r="H67" s="0" t="s">
        <v>277</v>
      </c>
      <c r="I67" s="0" t="s">
        <v>142</v>
      </c>
      <c r="J67" s="0" t="s">
        <v>143</v>
      </c>
      <c r="L67" s="0" t="str">
        <f aca="false">IFERROR(VLOOKUP(K67,'Supplier list'!B:C,2,0),"")</f>
        <v/>
      </c>
      <c r="M67" s="1" t="n">
        <f aca="false">FALSE()</f>
        <v>0</v>
      </c>
      <c r="N67" s="2"/>
      <c r="O67" s="2" t="n">
        <v>261</v>
      </c>
    </row>
    <row r="68" customFormat="false" ht="16.4" hidden="false" customHeight="false" outlineLevel="0" collapsed="false">
      <c r="A68" s="0" t="s">
        <v>15</v>
      </c>
      <c r="B68" s="0" t="s">
        <v>278</v>
      </c>
      <c r="C68" s="0" t="n">
        <v>114003</v>
      </c>
      <c r="D68" s="0" t="n">
        <v>114003</v>
      </c>
      <c r="E68" s="0" t="s">
        <v>279</v>
      </c>
      <c r="F68" s="0" t="s">
        <v>18</v>
      </c>
      <c r="G68" s="7" t="s">
        <v>280</v>
      </c>
      <c r="H68" s="0" t="s">
        <v>279</v>
      </c>
      <c r="I68" s="0" t="s">
        <v>168</v>
      </c>
      <c r="J68" s="0" t="s">
        <v>169</v>
      </c>
      <c r="L68" s="0" t="str">
        <f aca="false">IFERROR(VLOOKUP(K68,'Supplier list'!B:C,2,0),"")</f>
        <v/>
      </c>
      <c r="M68" s="1" t="n">
        <f aca="false">FALSE()</f>
        <v>0</v>
      </c>
      <c r="N68" s="2"/>
      <c r="O68" s="2" t="n">
        <v>60</v>
      </c>
    </row>
    <row r="69" customFormat="false" ht="16.4" hidden="false" customHeight="false" outlineLevel="0" collapsed="false">
      <c r="A69" s="0" t="s">
        <v>15</v>
      </c>
      <c r="B69" s="0" t="s">
        <v>281</v>
      </c>
      <c r="C69" s="0" t="n">
        <v>114003</v>
      </c>
      <c r="D69" s="0" t="n">
        <v>114003</v>
      </c>
      <c r="E69" s="0" t="s">
        <v>271</v>
      </c>
      <c r="F69" s="0" t="s">
        <v>18</v>
      </c>
      <c r="G69" s="7" t="s">
        <v>282</v>
      </c>
      <c r="H69" s="0" t="s">
        <v>283</v>
      </c>
      <c r="I69" s="0" t="s">
        <v>142</v>
      </c>
      <c r="J69" s="0" t="s">
        <v>143</v>
      </c>
      <c r="L69" s="0" t="str">
        <f aca="false">IFERROR(VLOOKUP(K69,'Supplier list'!B:C,2,0),"")</f>
        <v/>
      </c>
      <c r="M69" s="1" t="n">
        <f aca="false">FALSE()</f>
        <v>0</v>
      </c>
      <c r="N69" s="2"/>
      <c r="O69" s="2" t="n">
        <v>93</v>
      </c>
    </row>
    <row r="70" customFormat="false" ht="16.4" hidden="false" customHeight="false" outlineLevel="0" collapsed="false">
      <c r="A70" s="0" t="s">
        <v>15</v>
      </c>
      <c r="B70" s="0" t="s">
        <v>284</v>
      </c>
      <c r="C70" s="0" t="n">
        <v>114003</v>
      </c>
      <c r="D70" s="0" t="n">
        <v>114003</v>
      </c>
      <c r="E70" s="0" t="s">
        <v>271</v>
      </c>
      <c r="F70" s="0" t="s">
        <v>18</v>
      </c>
      <c r="G70" s="7" t="s">
        <v>285</v>
      </c>
      <c r="H70" s="0" t="s">
        <v>286</v>
      </c>
      <c r="I70" s="0" t="s">
        <v>142</v>
      </c>
      <c r="J70" s="0" t="s">
        <v>143</v>
      </c>
      <c r="L70" s="0" t="str">
        <f aca="false">IFERROR(VLOOKUP(K70,'Supplier list'!B:C,2,0),"")</f>
        <v/>
      </c>
      <c r="M70" s="1" t="n">
        <f aca="false">FALSE()</f>
        <v>0</v>
      </c>
      <c r="N70" s="2"/>
      <c r="O70" s="2" t="n">
        <v>93</v>
      </c>
    </row>
    <row r="71" customFormat="false" ht="16.4" hidden="false" customHeight="false" outlineLevel="0" collapsed="false">
      <c r="A71" s="0" t="s">
        <v>15</v>
      </c>
      <c r="B71" s="0" t="s">
        <v>287</v>
      </c>
      <c r="C71" s="0" t="n">
        <v>114003</v>
      </c>
      <c r="D71" s="0" t="n">
        <v>114003</v>
      </c>
      <c r="E71" s="0" t="s">
        <v>197</v>
      </c>
      <c r="F71" s="0" t="s">
        <v>18</v>
      </c>
      <c r="G71" s="7" t="s">
        <v>288</v>
      </c>
      <c r="H71" s="0" t="s">
        <v>289</v>
      </c>
      <c r="I71" s="0" t="s">
        <v>21</v>
      </c>
      <c r="J71" s="0" t="s">
        <v>22</v>
      </c>
      <c r="K71" s="0" t="s">
        <v>68</v>
      </c>
      <c r="L71" s="0" t="str">
        <f aca="false">IFERROR(VLOOKUP(K71,'Supplier list'!B:C,2,0),"")</f>
        <v>หจก. กรีน ดิสทริบิวชั่น</v>
      </c>
      <c r="M71" s="1" t="n">
        <f aca="false">FALSE()</f>
        <v>0</v>
      </c>
      <c r="N71" s="2"/>
      <c r="O71" s="2" t="n">
        <v>28</v>
      </c>
    </row>
    <row r="72" customFormat="false" ht="16.4" hidden="false" customHeight="false" outlineLevel="0" collapsed="false">
      <c r="A72" s="0" t="s">
        <v>15</v>
      </c>
      <c r="B72" s="0" t="s">
        <v>290</v>
      </c>
      <c r="C72" s="0" t="n">
        <v>114003</v>
      </c>
      <c r="D72" s="0" t="n">
        <v>114003</v>
      </c>
      <c r="E72" s="0" t="s">
        <v>197</v>
      </c>
      <c r="F72" s="0" t="s">
        <v>18</v>
      </c>
      <c r="G72" s="7" t="s">
        <v>291</v>
      </c>
      <c r="H72" s="0" t="s">
        <v>292</v>
      </c>
      <c r="I72" s="0" t="s">
        <v>21</v>
      </c>
      <c r="J72" s="0" t="s">
        <v>22</v>
      </c>
      <c r="K72" s="0" t="s">
        <v>68</v>
      </c>
      <c r="L72" s="0" t="str">
        <f aca="false">IFERROR(VLOOKUP(K72,'Supplier list'!B:C,2,0),"")</f>
        <v>หจก. กรีน ดิสทริบิวชั่น</v>
      </c>
      <c r="M72" s="1" t="n">
        <f aca="false">FALSE()</f>
        <v>0</v>
      </c>
      <c r="N72" s="2"/>
      <c r="O72" s="2" t="n">
        <v>20</v>
      </c>
    </row>
    <row r="73" customFormat="false" ht="16.4" hidden="false" customHeight="false" outlineLevel="0" collapsed="false">
      <c r="A73" s="0" t="s">
        <v>15</v>
      </c>
      <c r="B73" s="0" t="s">
        <v>293</v>
      </c>
      <c r="C73" s="0" t="n">
        <v>114003</v>
      </c>
      <c r="D73" s="0" t="n">
        <v>114003</v>
      </c>
      <c r="E73" s="0" t="s">
        <v>294</v>
      </c>
      <c r="F73" s="0" t="s">
        <v>18</v>
      </c>
      <c r="G73" s="7" t="s">
        <v>295</v>
      </c>
      <c r="H73" s="0" t="s">
        <v>296</v>
      </c>
      <c r="I73" s="0" t="s">
        <v>149</v>
      </c>
      <c r="J73" s="0" t="s">
        <v>150</v>
      </c>
      <c r="K73" s="0" t="s">
        <v>75</v>
      </c>
      <c r="L73" s="0" t="str">
        <f aca="false">IFERROR(VLOOKUP(K73,'Supplier list'!B:C,2,0),"")</f>
        <v/>
      </c>
      <c r="M73" s="1" t="n">
        <f aca="false">FALSE()</f>
        <v>0</v>
      </c>
      <c r="N73" s="2"/>
      <c r="O73" s="2" t="n">
        <v>55</v>
      </c>
    </row>
    <row r="74" customFormat="false" ht="16.4" hidden="false" customHeight="false" outlineLevel="0" collapsed="false">
      <c r="A74" s="0" t="s">
        <v>15</v>
      </c>
      <c r="B74" s="0" t="s">
        <v>297</v>
      </c>
      <c r="C74" s="0" t="n">
        <v>114003</v>
      </c>
      <c r="D74" s="0" t="n">
        <v>114003</v>
      </c>
      <c r="E74" s="0" t="s">
        <v>298</v>
      </c>
      <c r="F74" s="0" t="s">
        <v>18</v>
      </c>
      <c r="G74" s="7" t="s">
        <v>299</v>
      </c>
      <c r="H74" s="0" t="s">
        <v>300</v>
      </c>
      <c r="I74" s="0" t="s">
        <v>301</v>
      </c>
      <c r="J74" s="0" t="s">
        <v>302</v>
      </c>
      <c r="K74" s="0" t="s">
        <v>303</v>
      </c>
      <c r="L74" s="0" t="str">
        <f aca="false">IFERROR(VLOOKUP(K74,'Supplier list'!B:C,2,0),"")</f>
        <v>บริษัท เอ็มเค วู้ดเทค จำกัด</v>
      </c>
      <c r="M74" s="1" t="n">
        <f aca="false">FALSE()</f>
        <v>0</v>
      </c>
      <c r="N74" s="2"/>
      <c r="O74" s="2" t="n">
        <v>80</v>
      </c>
    </row>
    <row r="75" customFormat="false" ht="16.4" hidden="false" customHeight="false" outlineLevel="0" collapsed="false">
      <c r="A75" s="0" t="s">
        <v>15</v>
      </c>
      <c r="B75" s="0" t="s">
        <v>304</v>
      </c>
      <c r="C75" s="0" t="n">
        <v>114003</v>
      </c>
      <c r="D75" s="0" t="n">
        <v>114003</v>
      </c>
      <c r="E75" s="0" t="s">
        <v>298</v>
      </c>
      <c r="F75" s="0" t="s">
        <v>18</v>
      </c>
      <c r="G75" s="7" t="s">
        <v>305</v>
      </c>
      <c r="H75" s="0" t="s">
        <v>306</v>
      </c>
      <c r="I75" s="0" t="s">
        <v>301</v>
      </c>
      <c r="J75" s="0" t="s">
        <v>302</v>
      </c>
      <c r="K75" s="0" t="s">
        <v>303</v>
      </c>
      <c r="L75" s="0" t="str">
        <f aca="false">IFERROR(VLOOKUP(K75,'Supplier list'!B:C,2,0),"")</f>
        <v>บริษัท เอ็มเค วู้ดเทค จำกัด</v>
      </c>
      <c r="M75" s="1" t="n">
        <f aca="false">FALSE()</f>
        <v>0</v>
      </c>
      <c r="N75" s="2"/>
      <c r="O75" s="2" t="n">
        <v>80</v>
      </c>
    </row>
    <row r="76" customFormat="false" ht="16.4" hidden="false" customHeight="false" outlineLevel="0" collapsed="false">
      <c r="A76" s="0" t="s">
        <v>15</v>
      </c>
      <c r="B76" s="0" t="s">
        <v>307</v>
      </c>
      <c r="C76" s="0" t="n">
        <v>114003</v>
      </c>
      <c r="D76" s="0" t="n">
        <v>114003</v>
      </c>
      <c r="E76" s="0" t="s">
        <v>298</v>
      </c>
      <c r="F76" s="0" t="s">
        <v>18</v>
      </c>
      <c r="G76" s="7" t="s">
        <v>308</v>
      </c>
      <c r="H76" s="0" t="s">
        <v>309</v>
      </c>
      <c r="I76" s="0" t="s">
        <v>301</v>
      </c>
      <c r="J76" s="0" t="s">
        <v>302</v>
      </c>
      <c r="K76" s="0" t="s">
        <v>303</v>
      </c>
      <c r="L76" s="0" t="str">
        <f aca="false">IFERROR(VLOOKUP(K76,'Supplier list'!B:C,2,0),"")</f>
        <v>บริษัท เอ็มเค วู้ดเทค จำกัด</v>
      </c>
      <c r="M76" s="1" t="n">
        <f aca="false">FALSE()</f>
        <v>0</v>
      </c>
      <c r="N76" s="2"/>
      <c r="O76" s="2" t="n">
        <v>80</v>
      </c>
    </row>
    <row r="77" customFormat="false" ht="16.4" hidden="false" customHeight="false" outlineLevel="0" collapsed="false">
      <c r="A77" s="0" t="s">
        <v>15</v>
      </c>
      <c r="B77" s="0" t="s">
        <v>310</v>
      </c>
      <c r="C77" s="0" t="n">
        <v>114003</v>
      </c>
      <c r="D77" s="0" t="n">
        <v>114003</v>
      </c>
      <c r="E77" s="0" t="s">
        <v>298</v>
      </c>
      <c r="F77" s="0" t="s">
        <v>18</v>
      </c>
      <c r="G77" s="7" t="s">
        <v>311</v>
      </c>
      <c r="H77" s="0" t="s">
        <v>312</v>
      </c>
      <c r="I77" s="0" t="s">
        <v>301</v>
      </c>
      <c r="J77" s="0" t="s">
        <v>302</v>
      </c>
      <c r="K77" s="0" t="s">
        <v>303</v>
      </c>
      <c r="L77" s="0" t="str">
        <f aca="false">IFERROR(VLOOKUP(K77,'Supplier list'!B:C,2,0),"")</f>
        <v>บริษัท เอ็มเค วู้ดเทค จำกัด</v>
      </c>
      <c r="M77" s="1" t="n">
        <f aca="false">FALSE()</f>
        <v>0</v>
      </c>
      <c r="N77" s="2"/>
      <c r="O77" s="2" t="n">
        <v>80</v>
      </c>
    </row>
    <row r="78" customFormat="false" ht="16.4" hidden="false" customHeight="false" outlineLevel="0" collapsed="false">
      <c r="A78" s="0" t="s">
        <v>15</v>
      </c>
      <c r="B78" s="0" t="s">
        <v>313</v>
      </c>
      <c r="C78" s="0" t="n">
        <v>114003</v>
      </c>
      <c r="D78" s="0" t="n">
        <v>114003</v>
      </c>
      <c r="E78" s="0" t="s">
        <v>298</v>
      </c>
      <c r="F78" s="0" t="s">
        <v>18</v>
      </c>
      <c r="G78" s="7" t="s">
        <v>314</v>
      </c>
      <c r="H78" s="0" t="s">
        <v>315</v>
      </c>
      <c r="I78" s="0" t="s">
        <v>301</v>
      </c>
      <c r="J78" s="0" t="s">
        <v>302</v>
      </c>
      <c r="K78" s="0" t="s">
        <v>303</v>
      </c>
      <c r="L78" s="0" t="str">
        <f aca="false">IFERROR(VLOOKUP(K78,'Supplier list'!B:C,2,0),"")</f>
        <v>บริษัท เอ็มเค วู้ดเทค จำกัด</v>
      </c>
      <c r="M78" s="1" t="n">
        <f aca="false">FALSE()</f>
        <v>0</v>
      </c>
      <c r="N78" s="2"/>
      <c r="O78" s="2" t="n">
        <v>80</v>
      </c>
    </row>
    <row r="79" customFormat="false" ht="16.4" hidden="false" customHeight="false" outlineLevel="0" collapsed="false">
      <c r="A79" s="0" t="s">
        <v>15</v>
      </c>
      <c r="B79" s="0" t="s">
        <v>316</v>
      </c>
      <c r="C79" s="0" t="n">
        <v>114003</v>
      </c>
      <c r="D79" s="0" t="n">
        <v>114003</v>
      </c>
      <c r="E79" s="0" t="s">
        <v>298</v>
      </c>
      <c r="F79" s="0" t="s">
        <v>18</v>
      </c>
      <c r="G79" s="7" t="s">
        <v>317</v>
      </c>
      <c r="H79" s="0" t="s">
        <v>318</v>
      </c>
      <c r="I79" s="0" t="s">
        <v>301</v>
      </c>
      <c r="J79" s="0" t="s">
        <v>302</v>
      </c>
      <c r="K79" s="0" t="s">
        <v>303</v>
      </c>
      <c r="L79" s="0" t="str">
        <f aca="false">IFERROR(VLOOKUP(K79,'Supplier list'!B:C,2,0),"")</f>
        <v>บริษัท เอ็มเค วู้ดเทค จำกัด</v>
      </c>
      <c r="M79" s="1" t="n">
        <f aca="false">FALSE()</f>
        <v>0</v>
      </c>
      <c r="N79" s="2"/>
      <c r="O79" s="2" t="n">
        <v>80</v>
      </c>
    </row>
    <row r="80" customFormat="false" ht="16.4" hidden="false" customHeight="false" outlineLevel="0" collapsed="false">
      <c r="A80" s="0" t="s">
        <v>15</v>
      </c>
      <c r="B80" s="0" t="s">
        <v>319</v>
      </c>
      <c r="C80" s="0" t="n">
        <v>114003</v>
      </c>
      <c r="D80" s="0" t="n">
        <v>114003</v>
      </c>
      <c r="E80" s="0" t="s">
        <v>298</v>
      </c>
      <c r="F80" s="0" t="s">
        <v>18</v>
      </c>
      <c r="G80" s="7" t="s">
        <v>320</v>
      </c>
      <c r="H80" s="0" t="s">
        <v>321</v>
      </c>
      <c r="I80" s="0" t="s">
        <v>301</v>
      </c>
      <c r="J80" s="0" t="s">
        <v>302</v>
      </c>
      <c r="K80" s="0" t="s">
        <v>303</v>
      </c>
      <c r="L80" s="0" t="str">
        <f aca="false">IFERROR(VLOOKUP(K80,'Supplier list'!B:C,2,0),"")</f>
        <v>บริษัท เอ็มเค วู้ดเทค จำกัด</v>
      </c>
      <c r="M80" s="1" t="n">
        <f aca="false">FALSE()</f>
        <v>0</v>
      </c>
      <c r="N80" s="2"/>
      <c r="O80" s="2" t="n">
        <v>80</v>
      </c>
    </row>
    <row r="81" customFormat="false" ht="16.4" hidden="false" customHeight="false" outlineLevel="0" collapsed="false">
      <c r="A81" s="0" t="s">
        <v>15</v>
      </c>
      <c r="B81" s="0" t="s">
        <v>322</v>
      </c>
      <c r="C81" s="0" t="n">
        <v>114003</v>
      </c>
      <c r="D81" s="0" t="n">
        <v>114003</v>
      </c>
      <c r="E81" s="0" t="s">
        <v>298</v>
      </c>
      <c r="F81" s="0" t="s">
        <v>18</v>
      </c>
      <c r="G81" s="7" t="s">
        <v>323</v>
      </c>
      <c r="H81" s="0" t="s">
        <v>324</v>
      </c>
      <c r="I81" s="0" t="s">
        <v>301</v>
      </c>
      <c r="J81" s="0" t="s">
        <v>302</v>
      </c>
      <c r="K81" s="0" t="s">
        <v>303</v>
      </c>
      <c r="L81" s="0" t="str">
        <f aca="false">IFERROR(VLOOKUP(K81,'Supplier list'!B:C,2,0),"")</f>
        <v>บริษัท เอ็มเค วู้ดเทค จำกัด</v>
      </c>
      <c r="M81" s="1" t="n">
        <f aca="false">FALSE()</f>
        <v>0</v>
      </c>
      <c r="N81" s="2"/>
      <c r="O81" s="2" t="n">
        <v>80</v>
      </c>
    </row>
    <row r="82" customFormat="false" ht="16.4" hidden="false" customHeight="false" outlineLevel="0" collapsed="false">
      <c r="A82" s="0" t="s">
        <v>15</v>
      </c>
      <c r="B82" s="0" t="s">
        <v>325</v>
      </c>
      <c r="C82" s="0" t="n">
        <v>114001</v>
      </c>
      <c r="D82" s="0" t="n">
        <v>114001</v>
      </c>
      <c r="E82" s="0" t="s">
        <v>298</v>
      </c>
      <c r="F82" s="0" t="s">
        <v>18</v>
      </c>
      <c r="G82" s="7" t="s">
        <v>326</v>
      </c>
      <c r="H82" s="0" t="s">
        <v>327</v>
      </c>
      <c r="I82" s="0" t="s">
        <v>301</v>
      </c>
      <c r="J82" s="0" t="s">
        <v>302</v>
      </c>
      <c r="K82" s="0" t="s">
        <v>303</v>
      </c>
      <c r="L82" s="0" t="str">
        <f aca="false">IFERROR(VLOOKUP(K82,'Supplier list'!B:C,2,0),"")</f>
        <v>บริษัท เอ็มเค วู้ดเทค จำกัด</v>
      </c>
      <c r="M82" s="1" t="n">
        <f aca="false">FALSE()</f>
        <v>0</v>
      </c>
      <c r="N82" s="2"/>
      <c r="O82" s="2" t="n">
        <v>80</v>
      </c>
    </row>
    <row r="83" customFormat="false" ht="16.4" hidden="false" customHeight="false" outlineLevel="0" collapsed="false">
      <c r="A83" s="0" t="s">
        <v>15</v>
      </c>
      <c r="B83" s="0" t="s">
        <v>328</v>
      </c>
      <c r="C83" s="0" t="n">
        <v>114001</v>
      </c>
      <c r="D83" s="0" t="n">
        <v>114001</v>
      </c>
      <c r="E83" s="0" t="s">
        <v>294</v>
      </c>
      <c r="F83" s="0" t="s">
        <v>18</v>
      </c>
      <c r="G83" s="7" t="s">
        <v>329</v>
      </c>
      <c r="H83" s="0" t="s">
        <v>330</v>
      </c>
      <c r="I83" s="0" t="s">
        <v>331</v>
      </c>
      <c r="J83" s="0" t="s">
        <v>332</v>
      </c>
      <c r="K83" s="0" t="s">
        <v>82</v>
      </c>
      <c r="L83" s="0" t="str">
        <f aca="false">IFERROR(VLOOKUP(K83,'Supplier list'!B:C,2,0),"")</f>
        <v>บริษัท เกรียงศิริพัฒนา (1995) จำกัด</v>
      </c>
      <c r="M83" s="1" t="n">
        <f aca="false">FALSE()</f>
        <v>0</v>
      </c>
      <c r="N83" s="2"/>
      <c r="O83" s="2" t="n">
        <v>700</v>
      </c>
    </row>
    <row r="84" customFormat="false" ht="16.4" hidden="false" customHeight="false" outlineLevel="0" collapsed="false">
      <c r="A84" s="0" t="s">
        <v>15</v>
      </c>
      <c r="B84" s="0" t="s">
        <v>333</v>
      </c>
      <c r="C84" s="0" t="n">
        <v>114001</v>
      </c>
      <c r="D84" s="0" t="n">
        <v>114001</v>
      </c>
      <c r="E84" s="0" t="s">
        <v>334</v>
      </c>
      <c r="F84" s="0" t="s">
        <v>18</v>
      </c>
      <c r="G84" s="7" t="s">
        <v>335</v>
      </c>
      <c r="H84" s="0" t="s">
        <v>334</v>
      </c>
      <c r="I84" s="0" t="s">
        <v>336</v>
      </c>
      <c r="J84" s="0" t="s">
        <v>337</v>
      </c>
      <c r="K84" s="0" t="s">
        <v>110</v>
      </c>
      <c r="L84" s="0" t="str">
        <f aca="false">IFERROR(VLOOKUP(K84,'Supplier list'!B:C,2,0),"")</f>
        <v>บริษัท ที.พี.เค ไทยเมท แมชชีนทูลล์ จำกัด</v>
      </c>
      <c r="M84" s="1" t="n">
        <f aca="false">FALSE()</f>
        <v>0</v>
      </c>
      <c r="N84" s="2"/>
      <c r="O84" s="2" t="n">
        <v>400</v>
      </c>
    </row>
    <row r="85" customFormat="false" ht="16.4" hidden="false" customHeight="false" outlineLevel="0" collapsed="false">
      <c r="A85" s="0" t="s">
        <v>15</v>
      </c>
      <c r="B85" s="0" t="s">
        <v>338</v>
      </c>
      <c r="C85" s="0" t="n">
        <v>114001</v>
      </c>
      <c r="D85" s="0" t="n">
        <v>114001</v>
      </c>
      <c r="E85" s="0" t="s">
        <v>339</v>
      </c>
      <c r="F85" s="0" t="s">
        <v>18</v>
      </c>
      <c r="G85" s="7" t="s">
        <v>340</v>
      </c>
      <c r="H85" s="0" t="s">
        <v>341</v>
      </c>
      <c r="I85" s="0" t="s">
        <v>108</v>
      </c>
      <c r="J85" s="0" t="s">
        <v>109</v>
      </c>
      <c r="L85" s="0" t="str">
        <f aca="false">IFERROR(VLOOKUP(K85,'Supplier list'!B:C,2,0),"")</f>
        <v/>
      </c>
      <c r="M85" s="1" t="n">
        <f aca="false">FALSE()</f>
        <v>0</v>
      </c>
      <c r="N85" s="2"/>
      <c r="O85" s="2" t="n">
        <v>65</v>
      </c>
    </row>
    <row r="86" customFormat="false" ht="16.4" hidden="false" customHeight="false" outlineLevel="0" collapsed="false">
      <c r="A86" s="0" t="s">
        <v>15</v>
      </c>
      <c r="B86" s="0" t="s">
        <v>342</v>
      </c>
      <c r="C86" s="0" t="n">
        <v>114001</v>
      </c>
      <c r="D86" s="0" t="n">
        <v>114001</v>
      </c>
      <c r="E86" s="0" t="s">
        <v>343</v>
      </c>
      <c r="F86" s="0" t="s">
        <v>18</v>
      </c>
      <c r="G86" s="7" t="s">
        <v>344</v>
      </c>
      <c r="H86" s="0" t="s">
        <v>345</v>
      </c>
      <c r="I86" s="0" t="s">
        <v>331</v>
      </c>
      <c r="J86" s="0" t="s">
        <v>332</v>
      </c>
      <c r="K86" s="0" t="s">
        <v>75</v>
      </c>
      <c r="L86" s="0" t="str">
        <f aca="false">IFERROR(VLOOKUP(K86,'Supplier list'!B:C,2,0),"")</f>
        <v/>
      </c>
      <c r="M86" s="1" t="n">
        <f aca="false">FALSE()</f>
        <v>0</v>
      </c>
      <c r="N86" s="2"/>
      <c r="O86" s="2" t="n">
        <v>30</v>
      </c>
    </row>
    <row r="87" customFormat="false" ht="16.4" hidden="false" customHeight="false" outlineLevel="0" collapsed="false">
      <c r="A87" s="0" t="s">
        <v>15</v>
      </c>
      <c r="B87" s="0" t="s">
        <v>346</v>
      </c>
      <c r="C87" s="0" t="n">
        <v>114001</v>
      </c>
      <c r="D87" s="0" t="n">
        <v>114001</v>
      </c>
      <c r="E87" s="0" t="s">
        <v>294</v>
      </c>
      <c r="F87" s="0" t="s">
        <v>18</v>
      </c>
      <c r="G87" s="7" t="s">
        <v>347</v>
      </c>
      <c r="H87" s="0" t="s">
        <v>348</v>
      </c>
      <c r="I87" s="0" t="s">
        <v>108</v>
      </c>
      <c r="J87" s="0" t="s">
        <v>109</v>
      </c>
      <c r="K87" s="0" t="s">
        <v>68</v>
      </c>
      <c r="L87" s="0" t="str">
        <f aca="false">IFERROR(VLOOKUP(K87,'Supplier list'!B:C,2,0),"")</f>
        <v>หจก. กรีน ดิสทริบิวชั่น</v>
      </c>
      <c r="M87" s="1" t="n">
        <f aca="false">FALSE()</f>
        <v>0</v>
      </c>
      <c r="N87" s="2"/>
      <c r="O87" s="2" t="n">
        <v>90</v>
      </c>
    </row>
    <row r="88" customFormat="false" ht="16.4" hidden="false" customHeight="false" outlineLevel="0" collapsed="false">
      <c r="A88" s="0" t="s">
        <v>15</v>
      </c>
      <c r="B88" s="0" t="s">
        <v>349</v>
      </c>
      <c r="C88" s="0" t="n">
        <v>114001</v>
      </c>
      <c r="D88" s="0" t="n">
        <v>114001</v>
      </c>
      <c r="E88" s="0" t="s">
        <v>294</v>
      </c>
      <c r="F88" s="0" t="s">
        <v>18</v>
      </c>
      <c r="G88" s="7" t="s">
        <v>350</v>
      </c>
      <c r="H88" s="0" t="s">
        <v>351</v>
      </c>
      <c r="I88" s="0" t="s">
        <v>108</v>
      </c>
      <c r="J88" s="0" t="s">
        <v>109</v>
      </c>
      <c r="K88" s="0" t="s">
        <v>352</v>
      </c>
      <c r="L88" s="0" t="str">
        <f aca="false">IFERROR(VLOOKUP(K88,'Supplier list'!B:C,2,0),"")</f>
        <v>บริษัท พีเอ็นพี อินเตอร์แพค</v>
      </c>
      <c r="M88" s="1" t="n">
        <f aca="false">FALSE()</f>
        <v>0</v>
      </c>
      <c r="N88" s="2"/>
      <c r="O88" s="2" t="n">
        <v>10</v>
      </c>
    </row>
    <row r="89" customFormat="false" ht="16.4" hidden="false" customHeight="false" outlineLevel="0" collapsed="false">
      <c r="A89" s="0" t="s">
        <v>15</v>
      </c>
      <c r="B89" s="0" t="s">
        <v>353</v>
      </c>
      <c r="C89" s="0" t="n">
        <v>114001</v>
      </c>
      <c r="D89" s="0" t="n">
        <v>114001</v>
      </c>
      <c r="E89" s="0" t="s">
        <v>354</v>
      </c>
      <c r="F89" s="0" t="s">
        <v>18</v>
      </c>
      <c r="G89" s="7" t="s">
        <v>355</v>
      </c>
      <c r="H89" s="0" t="s">
        <v>356</v>
      </c>
      <c r="I89" s="0" t="s">
        <v>331</v>
      </c>
      <c r="J89" s="0" t="s">
        <v>332</v>
      </c>
      <c r="K89" s="0" t="s">
        <v>68</v>
      </c>
      <c r="L89" s="0" t="str">
        <f aca="false">IFERROR(VLOOKUP(K89,'Supplier list'!B:C,2,0),"")</f>
        <v>หจก. กรีน ดิสทริบิวชั่น</v>
      </c>
      <c r="M89" s="1" t="n">
        <f aca="false">FALSE()</f>
        <v>0</v>
      </c>
      <c r="N89" s="2"/>
      <c r="O89" s="2" t="n">
        <v>95</v>
      </c>
    </row>
    <row r="90" customFormat="false" ht="16.4" hidden="false" customHeight="false" outlineLevel="0" collapsed="false">
      <c r="A90" s="0" t="s">
        <v>15</v>
      </c>
      <c r="B90" s="0" t="s">
        <v>357</v>
      </c>
      <c r="C90" s="0" t="n">
        <v>114001</v>
      </c>
      <c r="D90" s="0" t="n">
        <v>114001</v>
      </c>
      <c r="E90" s="0" t="s">
        <v>358</v>
      </c>
      <c r="F90" s="0" t="s">
        <v>18</v>
      </c>
      <c r="G90" s="7" t="s">
        <v>359</v>
      </c>
      <c r="H90" s="0" t="s">
        <v>360</v>
      </c>
      <c r="I90" s="0" t="s">
        <v>21</v>
      </c>
      <c r="J90" s="0" t="s">
        <v>22</v>
      </c>
      <c r="L90" s="0" t="str">
        <f aca="false">IFERROR(VLOOKUP(K90,'Supplier list'!B:C,2,0),"")</f>
        <v/>
      </c>
      <c r="M90" s="1" t="n">
        <f aca="false">FALSE()</f>
        <v>0</v>
      </c>
      <c r="N90" s="2"/>
      <c r="O90" s="2" t="n">
        <v>69</v>
      </c>
    </row>
    <row r="91" customFormat="false" ht="16.4" hidden="false" customHeight="false" outlineLevel="0" collapsed="false">
      <c r="A91" s="0" t="s">
        <v>15</v>
      </c>
      <c r="B91" s="0" t="s">
        <v>361</v>
      </c>
      <c r="C91" s="0" t="n">
        <v>114001</v>
      </c>
      <c r="D91" s="0" t="n">
        <v>114001</v>
      </c>
      <c r="E91" s="0" t="s">
        <v>358</v>
      </c>
      <c r="F91" s="0" t="s">
        <v>18</v>
      </c>
      <c r="G91" s="7" t="s">
        <v>362</v>
      </c>
      <c r="H91" s="0" t="s">
        <v>363</v>
      </c>
      <c r="I91" s="0" t="s">
        <v>21</v>
      </c>
      <c r="J91" s="0" t="s">
        <v>22</v>
      </c>
      <c r="K91" s="0" t="s">
        <v>82</v>
      </c>
      <c r="L91" s="0" t="str">
        <f aca="false">IFERROR(VLOOKUP(K91,'Supplier list'!B:C,2,0),"")</f>
        <v>บริษัท เกรียงศิริพัฒนา (1995) จำกัด</v>
      </c>
      <c r="M91" s="1" t="n">
        <f aca="false">FALSE()</f>
        <v>0</v>
      </c>
      <c r="N91" s="2"/>
      <c r="O91" s="2" t="n">
        <v>40</v>
      </c>
    </row>
    <row r="92" customFormat="false" ht="16.4" hidden="false" customHeight="false" outlineLevel="0" collapsed="false">
      <c r="A92" s="0" t="s">
        <v>15</v>
      </c>
      <c r="B92" s="0" t="s">
        <v>364</v>
      </c>
      <c r="C92" s="0" t="n">
        <v>114001</v>
      </c>
      <c r="D92" s="0" t="n">
        <v>114001</v>
      </c>
      <c r="E92" s="0" t="s">
        <v>61</v>
      </c>
      <c r="F92" s="0" t="s">
        <v>18</v>
      </c>
      <c r="G92" s="7" t="s">
        <v>365</v>
      </c>
      <c r="H92" s="0" t="s">
        <v>366</v>
      </c>
      <c r="I92" s="0" t="s">
        <v>21</v>
      </c>
      <c r="J92" s="0" t="s">
        <v>22</v>
      </c>
      <c r="K92" s="0" t="s">
        <v>367</v>
      </c>
      <c r="L92" s="0" t="str">
        <f aca="false">IFERROR(VLOOKUP(K92,'Supplier list'!B:C,2,0),"")</f>
        <v>บริษัท จิ่นเหม่ยเปเปอร์ จำกัด</v>
      </c>
      <c r="M92" s="1" t="n">
        <f aca="false">FALSE()</f>
        <v>0</v>
      </c>
      <c r="N92" s="2"/>
      <c r="O92" s="2" t="n">
        <v>5.7</v>
      </c>
    </row>
    <row r="93" customFormat="false" ht="16.4" hidden="false" customHeight="false" outlineLevel="0" collapsed="false">
      <c r="A93" s="0" t="s">
        <v>15</v>
      </c>
      <c r="B93" s="0" t="s">
        <v>368</v>
      </c>
      <c r="C93" s="0" t="n">
        <v>114001</v>
      </c>
      <c r="D93" s="0" t="n">
        <v>114001</v>
      </c>
      <c r="E93" s="0" t="s">
        <v>369</v>
      </c>
      <c r="F93" s="0" t="s">
        <v>18</v>
      </c>
      <c r="G93" s="7" t="s">
        <v>370</v>
      </c>
      <c r="H93" s="0" t="s">
        <v>371</v>
      </c>
      <c r="I93" s="0" t="s">
        <v>248</v>
      </c>
      <c r="J93" s="0" t="s">
        <v>249</v>
      </c>
      <c r="K93" s="0" t="s">
        <v>372</v>
      </c>
      <c r="L93" s="0" t="str">
        <f aca="false">IFERROR(VLOOKUP(K93,'Supplier list'!B:C,2,0),"")</f>
        <v>บริษัท เหย่ายี่ กรุ๊ป จำกัด</v>
      </c>
      <c r="M93" s="1" t="n">
        <f aca="false">FALSE()</f>
        <v>0</v>
      </c>
      <c r="N93" s="2"/>
      <c r="O93" s="2" t="n">
        <v>105</v>
      </c>
    </row>
    <row r="94" customFormat="false" ht="16.4" hidden="false" customHeight="false" outlineLevel="0" collapsed="false">
      <c r="A94" s="0" t="s">
        <v>15</v>
      </c>
      <c r="B94" s="0" t="s">
        <v>373</v>
      </c>
      <c r="C94" s="0" t="n">
        <v>114001</v>
      </c>
      <c r="D94" s="0" t="n">
        <v>114001</v>
      </c>
      <c r="E94" s="0" t="s">
        <v>374</v>
      </c>
      <c r="F94" s="0" t="s">
        <v>18</v>
      </c>
      <c r="G94" s="7" t="s">
        <v>375</v>
      </c>
      <c r="H94" s="0" t="s">
        <v>376</v>
      </c>
      <c r="I94" s="0" t="s">
        <v>102</v>
      </c>
      <c r="J94" s="0" t="s">
        <v>103</v>
      </c>
      <c r="L94" s="0" t="str">
        <f aca="false">IFERROR(VLOOKUP(K94,'Supplier list'!B:C,2,0),"")</f>
        <v/>
      </c>
      <c r="M94" s="1" t="n">
        <f aca="false">FALSE()</f>
        <v>0</v>
      </c>
      <c r="N94" s="2"/>
      <c r="O94" s="2" t="n">
        <v>43</v>
      </c>
    </row>
    <row r="95" customFormat="false" ht="16.4" hidden="false" customHeight="false" outlineLevel="0" collapsed="false">
      <c r="A95" s="0" t="s">
        <v>15</v>
      </c>
      <c r="B95" s="0" t="s">
        <v>377</v>
      </c>
      <c r="C95" s="0" t="n">
        <v>114001</v>
      </c>
      <c r="D95" s="0" t="n">
        <v>114001</v>
      </c>
      <c r="E95" s="0" t="s">
        <v>374</v>
      </c>
      <c r="F95" s="0" t="s">
        <v>18</v>
      </c>
      <c r="G95" s="7" t="s">
        <v>378</v>
      </c>
      <c r="H95" s="0" t="s">
        <v>379</v>
      </c>
      <c r="I95" s="0" t="s">
        <v>102</v>
      </c>
      <c r="J95" s="0" t="s">
        <v>103</v>
      </c>
      <c r="K95" s="0" t="s">
        <v>380</v>
      </c>
      <c r="L95" s="0" t="str">
        <f aca="false">IFERROR(VLOOKUP(K95,'Supplier list'!B:C,2,0),"")</f>
        <v>บริษัท เอ.ที.คอน อินซูเลชั่น จำกัด</v>
      </c>
      <c r="M95" s="1" t="n">
        <f aca="false">FALSE()</f>
        <v>0</v>
      </c>
      <c r="N95" s="2"/>
      <c r="O95" s="2" t="n">
        <v>43.25</v>
      </c>
    </row>
    <row r="96" customFormat="false" ht="16.4" hidden="false" customHeight="false" outlineLevel="0" collapsed="false">
      <c r="A96" s="0" t="s">
        <v>15</v>
      </c>
      <c r="B96" s="0" t="s">
        <v>381</v>
      </c>
      <c r="C96" s="0" t="n">
        <v>114001</v>
      </c>
      <c r="D96" s="0" t="n">
        <v>114001</v>
      </c>
      <c r="E96" s="0" t="s">
        <v>294</v>
      </c>
      <c r="F96" s="0" t="s">
        <v>18</v>
      </c>
      <c r="G96" s="7" t="s">
        <v>382</v>
      </c>
      <c r="H96" s="0" t="s">
        <v>383</v>
      </c>
      <c r="I96" s="0" t="s">
        <v>384</v>
      </c>
      <c r="J96" s="0" t="s">
        <v>385</v>
      </c>
      <c r="L96" s="0" t="str">
        <f aca="false">IFERROR(VLOOKUP(K96,'Supplier list'!B:C,2,0),"")</f>
        <v/>
      </c>
      <c r="M96" s="1" t="n">
        <f aca="false">FALSE()</f>
        <v>0</v>
      </c>
      <c r="N96" s="2"/>
      <c r="O96" s="2" t="n">
        <v>144</v>
      </c>
    </row>
    <row r="97" customFormat="false" ht="16.4" hidden="false" customHeight="false" outlineLevel="0" collapsed="false">
      <c r="A97" s="0" t="s">
        <v>15</v>
      </c>
      <c r="B97" s="0" t="s">
        <v>386</v>
      </c>
      <c r="C97" s="0" t="n">
        <v>114001</v>
      </c>
      <c r="D97" s="0" t="n">
        <v>114001</v>
      </c>
      <c r="E97" s="0" t="s">
        <v>93</v>
      </c>
      <c r="F97" s="0" t="s">
        <v>18</v>
      </c>
      <c r="G97" s="7" t="s">
        <v>387</v>
      </c>
      <c r="H97" s="0" t="s">
        <v>388</v>
      </c>
      <c r="I97" s="0" t="s">
        <v>21</v>
      </c>
      <c r="J97" s="0" t="s">
        <v>22</v>
      </c>
      <c r="L97" s="0" t="str">
        <f aca="false">IFERROR(VLOOKUP(K97,'Supplier list'!B:C,2,0),"")</f>
        <v/>
      </c>
      <c r="M97" s="1" t="n">
        <f aca="false">FALSE()</f>
        <v>0</v>
      </c>
      <c r="N97" s="2"/>
      <c r="O97" s="2" t="n">
        <v>60</v>
      </c>
    </row>
    <row r="98" customFormat="false" ht="16.4" hidden="false" customHeight="false" outlineLevel="0" collapsed="false">
      <c r="A98" s="0" t="s">
        <v>15</v>
      </c>
      <c r="B98" s="0" t="s">
        <v>389</v>
      </c>
      <c r="C98" s="0" t="n">
        <v>114001</v>
      </c>
      <c r="D98" s="0" t="n">
        <v>114001</v>
      </c>
      <c r="E98" s="0" t="s">
        <v>294</v>
      </c>
      <c r="F98" s="0" t="s">
        <v>18</v>
      </c>
      <c r="G98" s="7" t="s">
        <v>390</v>
      </c>
      <c r="H98" s="0" t="s">
        <v>391</v>
      </c>
      <c r="I98" s="0" t="s">
        <v>384</v>
      </c>
      <c r="J98" s="0" t="s">
        <v>385</v>
      </c>
      <c r="K98" s="0" t="s">
        <v>392</v>
      </c>
      <c r="L98" s="0" t="str">
        <f aca="false">IFERROR(VLOOKUP(K98,'Supplier list'!B:C,2,0),"")</f>
        <v>บริษัท สไตเนอร์ท จำกัด</v>
      </c>
      <c r="M98" s="1" t="n">
        <f aca="false">FALSE()</f>
        <v>0</v>
      </c>
      <c r="N98" s="2"/>
      <c r="O98" s="2" t="n">
        <v>145</v>
      </c>
    </row>
    <row r="99" customFormat="false" ht="16.4" hidden="false" customHeight="false" outlineLevel="0" collapsed="false">
      <c r="A99" s="0" t="s">
        <v>15</v>
      </c>
      <c r="B99" s="0" t="s">
        <v>393</v>
      </c>
      <c r="C99" s="0" t="n">
        <v>114001</v>
      </c>
      <c r="D99" s="0" t="n">
        <v>114001</v>
      </c>
      <c r="E99" s="0" t="s">
        <v>245</v>
      </c>
      <c r="F99" s="0" t="s">
        <v>18</v>
      </c>
      <c r="G99" s="7" t="s">
        <v>394</v>
      </c>
      <c r="H99" s="0" t="s">
        <v>395</v>
      </c>
      <c r="I99" s="0" t="s">
        <v>396</v>
      </c>
      <c r="J99" s="0" t="s">
        <v>397</v>
      </c>
      <c r="K99" s="0" t="s">
        <v>155</v>
      </c>
      <c r="L99" s="0" t="str">
        <f aca="false">IFERROR(VLOOKUP(K99,'Supplier list'!B:C,2,0),"")</f>
        <v>บริษัท ก.เจริญฮาร์ดแวร์ จำกัด</v>
      </c>
      <c r="M99" s="1" t="n">
        <f aca="false">FALSE()</f>
        <v>0</v>
      </c>
      <c r="N99" s="2"/>
      <c r="O99" s="2" t="n">
        <v>2250</v>
      </c>
    </row>
    <row r="100" customFormat="false" ht="16.4" hidden="false" customHeight="false" outlineLevel="0" collapsed="false">
      <c r="A100" s="0" t="s">
        <v>15</v>
      </c>
      <c r="B100" s="0" t="s">
        <v>398</v>
      </c>
      <c r="C100" s="0" t="n">
        <v>114001</v>
      </c>
      <c r="D100" s="0" t="n">
        <v>114001</v>
      </c>
      <c r="E100" s="0" t="s">
        <v>399</v>
      </c>
      <c r="F100" s="0" t="s">
        <v>18</v>
      </c>
      <c r="G100" s="7" t="s">
        <v>400</v>
      </c>
      <c r="H100" s="0" t="s">
        <v>401</v>
      </c>
      <c r="I100" s="0" t="s">
        <v>402</v>
      </c>
      <c r="J100" s="0" t="s">
        <v>403</v>
      </c>
      <c r="L100" s="0" t="str">
        <f aca="false">IFERROR(VLOOKUP(K100,'Supplier list'!B:C,2,0),"")</f>
        <v/>
      </c>
      <c r="M100" s="1" t="n">
        <f aca="false">FALSE()</f>
        <v>0</v>
      </c>
      <c r="N100" s="2"/>
      <c r="O100" s="2" t="n">
        <v>1078</v>
      </c>
    </row>
    <row r="101" customFormat="false" ht="16.4" hidden="false" customHeight="false" outlineLevel="0" collapsed="false">
      <c r="A101" s="0" t="s">
        <v>15</v>
      </c>
      <c r="B101" s="0" t="s">
        <v>404</v>
      </c>
      <c r="C101" s="0" t="n">
        <v>114001</v>
      </c>
      <c r="D101" s="0" t="n">
        <v>114001</v>
      </c>
      <c r="E101" s="0" t="s">
        <v>405</v>
      </c>
      <c r="F101" s="0" t="s">
        <v>18</v>
      </c>
      <c r="G101" s="7" t="s">
        <v>406</v>
      </c>
      <c r="H101" s="0" t="s">
        <v>407</v>
      </c>
      <c r="I101" s="0" t="s">
        <v>142</v>
      </c>
      <c r="J101" s="0" t="s">
        <v>143</v>
      </c>
      <c r="L101" s="0" t="str">
        <f aca="false">IFERROR(VLOOKUP(K101,'Supplier list'!B:C,2,0),"")</f>
        <v/>
      </c>
      <c r="M101" s="1" t="n">
        <f aca="false">FALSE()</f>
        <v>0</v>
      </c>
      <c r="N101" s="2"/>
      <c r="O101" s="2" t="n">
        <v>68</v>
      </c>
    </row>
    <row r="102" customFormat="false" ht="16.4" hidden="false" customHeight="false" outlineLevel="0" collapsed="false">
      <c r="A102" s="0" t="s">
        <v>15</v>
      </c>
      <c r="B102" s="0" t="s">
        <v>408</v>
      </c>
      <c r="C102" s="0" t="n">
        <v>114001</v>
      </c>
      <c r="D102" s="0" t="n">
        <v>114001</v>
      </c>
      <c r="E102" s="0" t="s">
        <v>405</v>
      </c>
      <c r="F102" s="0" t="s">
        <v>18</v>
      </c>
      <c r="G102" s="7" t="s">
        <v>409</v>
      </c>
      <c r="H102" s="0" t="s">
        <v>410</v>
      </c>
      <c r="I102" s="0" t="s">
        <v>142</v>
      </c>
      <c r="J102" s="0" t="s">
        <v>143</v>
      </c>
      <c r="L102" s="0" t="str">
        <f aca="false">IFERROR(VLOOKUP(K102,'Supplier list'!B:C,2,0),"")</f>
        <v/>
      </c>
      <c r="M102" s="1" t="n">
        <f aca="false">FALSE()</f>
        <v>0</v>
      </c>
      <c r="N102" s="2"/>
      <c r="O102" s="2" t="n">
        <v>60</v>
      </c>
    </row>
    <row r="103" customFormat="false" ht="16.4" hidden="false" customHeight="false" outlineLevel="0" collapsed="false">
      <c r="A103" s="0" t="s">
        <v>15</v>
      </c>
      <c r="B103" s="0" t="s">
        <v>411</v>
      </c>
      <c r="C103" s="0" t="n">
        <v>114001</v>
      </c>
      <c r="D103" s="0" t="n">
        <v>114001</v>
      </c>
      <c r="E103" s="0" t="s">
        <v>339</v>
      </c>
      <c r="F103" s="0" t="s">
        <v>18</v>
      </c>
      <c r="G103" s="7" t="s">
        <v>412</v>
      </c>
      <c r="H103" s="0" t="s">
        <v>413</v>
      </c>
      <c r="I103" s="0" t="s">
        <v>108</v>
      </c>
      <c r="J103" s="0" t="s">
        <v>109</v>
      </c>
      <c r="K103" s="0" t="s">
        <v>68</v>
      </c>
      <c r="L103" s="0" t="str">
        <f aca="false">IFERROR(VLOOKUP(K103,'Supplier list'!B:C,2,0),"")</f>
        <v>หจก. กรีน ดิสทริบิวชั่น</v>
      </c>
      <c r="M103" s="1" t="n">
        <f aca="false">FALSE()</f>
        <v>0</v>
      </c>
      <c r="N103" s="2"/>
      <c r="O103" s="2" t="n">
        <v>65</v>
      </c>
    </row>
    <row r="104" customFormat="false" ht="16.4" hidden="false" customHeight="false" outlineLevel="0" collapsed="false">
      <c r="A104" s="0" t="s">
        <v>15</v>
      </c>
      <c r="B104" s="0" t="s">
        <v>414</v>
      </c>
      <c r="C104" s="0" t="n">
        <v>114001</v>
      </c>
      <c r="D104" s="0" t="n">
        <v>114001</v>
      </c>
      <c r="E104" s="0" t="s">
        <v>339</v>
      </c>
      <c r="F104" s="0" t="s">
        <v>18</v>
      </c>
      <c r="G104" s="7" t="s">
        <v>415</v>
      </c>
      <c r="H104" s="0" t="s">
        <v>416</v>
      </c>
      <c r="I104" s="0" t="s">
        <v>108</v>
      </c>
      <c r="J104" s="0" t="s">
        <v>109</v>
      </c>
      <c r="K104" s="0" t="s">
        <v>68</v>
      </c>
      <c r="L104" s="0" t="str">
        <f aca="false">IFERROR(VLOOKUP(K104,'Supplier list'!B:C,2,0),"")</f>
        <v>หจก. กรีน ดิสทริบิวชั่น</v>
      </c>
      <c r="M104" s="1" t="n">
        <f aca="false">FALSE()</f>
        <v>0</v>
      </c>
      <c r="N104" s="2"/>
      <c r="O104" s="2" t="n">
        <v>65</v>
      </c>
    </row>
    <row r="105" customFormat="false" ht="16.4" hidden="false" customHeight="false" outlineLevel="0" collapsed="false">
      <c r="A105" s="0" t="s">
        <v>15</v>
      </c>
      <c r="B105" s="0" t="s">
        <v>417</v>
      </c>
      <c r="C105" s="0" t="n">
        <v>114001</v>
      </c>
      <c r="D105" s="0" t="n">
        <v>114001</v>
      </c>
      <c r="E105" s="0" t="s">
        <v>339</v>
      </c>
      <c r="F105" s="0" t="s">
        <v>18</v>
      </c>
      <c r="G105" s="7" t="s">
        <v>418</v>
      </c>
      <c r="H105" s="0" t="s">
        <v>419</v>
      </c>
      <c r="I105" s="0" t="s">
        <v>108</v>
      </c>
      <c r="J105" s="0" t="s">
        <v>109</v>
      </c>
      <c r="K105" s="0" t="s">
        <v>68</v>
      </c>
      <c r="L105" s="0" t="str">
        <f aca="false">IFERROR(VLOOKUP(K105,'Supplier list'!B:C,2,0),"")</f>
        <v>หจก. กรีน ดิสทริบิวชั่น</v>
      </c>
      <c r="M105" s="1" t="n">
        <f aca="false">FALSE()</f>
        <v>0</v>
      </c>
      <c r="N105" s="2"/>
      <c r="O105" s="2" t="n">
        <v>65</v>
      </c>
    </row>
    <row r="106" customFormat="false" ht="16.4" hidden="false" customHeight="false" outlineLevel="0" collapsed="false">
      <c r="A106" s="0" t="s">
        <v>15</v>
      </c>
      <c r="B106" s="0" t="s">
        <v>420</v>
      </c>
      <c r="C106" s="0" t="n">
        <v>114001</v>
      </c>
      <c r="D106" s="0" t="n">
        <v>114001</v>
      </c>
      <c r="E106" s="0" t="s">
        <v>17</v>
      </c>
      <c r="F106" s="0" t="s">
        <v>18</v>
      </c>
      <c r="G106" s="7" t="s">
        <v>421</v>
      </c>
      <c r="H106" s="0" t="s">
        <v>422</v>
      </c>
      <c r="I106" s="0" t="s">
        <v>248</v>
      </c>
      <c r="J106" s="0" t="s">
        <v>249</v>
      </c>
      <c r="K106" s="0" t="s">
        <v>352</v>
      </c>
      <c r="L106" s="0" t="str">
        <f aca="false">IFERROR(VLOOKUP(K106,'Supplier list'!B:C,2,0),"")</f>
        <v>บริษัท พีเอ็นพี อินเตอร์แพค</v>
      </c>
      <c r="M106" s="1" t="n">
        <f aca="false">FALSE()</f>
        <v>0</v>
      </c>
      <c r="N106" s="2"/>
      <c r="O106" s="2" t="n">
        <v>20.5</v>
      </c>
    </row>
    <row r="107" customFormat="false" ht="16.4" hidden="false" customHeight="false" outlineLevel="0" collapsed="false">
      <c r="A107" s="0" t="s">
        <v>15</v>
      </c>
      <c r="B107" s="0" t="s">
        <v>423</v>
      </c>
      <c r="C107" s="0" t="n">
        <v>114001</v>
      </c>
      <c r="D107" s="0" t="n">
        <v>114001</v>
      </c>
      <c r="E107" s="0" t="s">
        <v>17</v>
      </c>
      <c r="F107" s="0" t="s">
        <v>18</v>
      </c>
      <c r="G107" s="7" t="s">
        <v>424</v>
      </c>
      <c r="H107" s="0" t="s">
        <v>425</v>
      </c>
      <c r="I107" s="0" t="s">
        <v>248</v>
      </c>
      <c r="J107" s="0" t="s">
        <v>249</v>
      </c>
      <c r="K107" s="0" t="s">
        <v>352</v>
      </c>
      <c r="L107" s="0" t="str">
        <f aca="false">IFERROR(VLOOKUP(K107,'Supplier list'!B:C,2,0),"")</f>
        <v>บริษัท พีเอ็นพี อินเตอร์แพค</v>
      </c>
      <c r="M107" s="1" t="n">
        <f aca="false">FALSE()</f>
        <v>0</v>
      </c>
      <c r="N107" s="2"/>
      <c r="O107" s="2" t="n">
        <v>39.24</v>
      </c>
    </row>
    <row r="108" customFormat="false" ht="16.4" hidden="false" customHeight="false" outlineLevel="0" collapsed="false">
      <c r="A108" s="0" t="s">
        <v>15</v>
      </c>
      <c r="B108" s="0" t="s">
        <v>426</v>
      </c>
      <c r="C108" s="0" t="n">
        <v>114001</v>
      </c>
      <c r="D108" s="0" t="n">
        <v>114001</v>
      </c>
      <c r="E108" s="0" t="s">
        <v>17</v>
      </c>
      <c r="F108" s="0" t="s">
        <v>18</v>
      </c>
      <c r="G108" s="7" t="s">
        <v>427</v>
      </c>
      <c r="H108" s="0" t="s">
        <v>428</v>
      </c>
      <c r="I108" s="0" t="s">
        <v>248</v>
      </c>
      <c r="J108" s="0" t="s">
        <v>249</v>
      </c>
      <c r="K108" s="0" t="s">
        <v>429</v>
      </c>
      <c r="L108" s="0" t="str">
        <f aca="false">IFERROR(VLOOKUP(K108,'Supplier list'!B:C,2,0),"")</f>
        <v>บริษัท โชคเจริญ 2020 จำกัด</v>
      </c>
      <c r="M108" s="1" t="n">
        <f aca="false">FALSE()</f>
        <v>0</v>
      </c>
      <c r="N108" s="2"/>
      <c r="O108" s="2" t="n">
        <v>14.6</v>
      </c>
    </row>
    <row r="109" customFormat="false" ht="16.4" hidden="false" customHeight="false" outlineLevel="0" collapsed="false">
      <c r="A109" s="0" t="s">
        <v>15</v>
      </c>
      <c r="B109" s="0" t="s">
        <v>430</v>
      </c>
      <c r="C109" s="0" t="n">
        <v>114001</v>
      </c>
      <c r="D109" s="0" t="n">
        <v>114001</v>
      </c>
      <c r="E109" s="0" t="s">
        <v>17</v>
      </c>
      <c r="F109" s="0" t="s">
        <v>18</v>
      </c>
      <c r="G109" s="7" t="s">
        <v>431</v>
      </c>
      <c r="H109" s="0" t="s">
        <v>432</v>
      </c>
      <c r="I109" s="0" t="s">
        <v>248</v>
      </c>
      <c r="J109" s="0" t="s">
        <v>249</v>
      </c>
      <c r="K109" s="0" t="s">
        <v>110</v>
      </c>
      <c r="L109" s="0" t="str">
        <f aca="false">IFERROR(VLOOKUP(K109,'Supplier list'!B:C,2,0),"")</f>
        <v>บริษัท ที.พี.เค ไทยเมท แมชชีนทูลล์ จำกัด</v>
      </c>
      <c r="M109" s="1" t="n">
        <f aca="false">FALSE()</f>
        <v>0</v>
      </c>
      <c r="N109" s="2"/>
      <c r="O109" s="2" t="n">
        <v>10</v>
      </c>
    </row>
    <row r="110" customFormat="false" ht="16.4" hidden="false" customHeight="false" outlineLevel="0" collapsed="false">
      <c r="A110" s="0" t="s">
        <v>15</v>
      </c>
      <c r="B110" s="0" t="s">
        <v>433</v>
      </c>
      <c r="C110" s="0" t="n">
        <v>114001</v>
      </c>
      <c r="D110" s="0" t="n">
        <v>114001</v>
      </c>
      <c r="E110" s="0" t="s">
        <v>17</v>
      </c>
      <c r="F110" s="0" t="s">
        <v>18</v>
      </c>
      <c r="G110" s="7" t="s">
        <v>434</v>
      </c>
      <c r="H110" s="0" t="s">
        <v>435</v>
      </c>
      <c r="I110" s="0" t="s">
        <v>248</v>
      </c>
      <c r="J110" s="0" t="s">
        <v>249</v>
      </c>
      <c r="K110" s="0" t="s">
        <v>68</v>
      </c>
      <c r="L110" s="0" t="str">
        <f aca="false">IFERROR(VLOOKUP(K110,'Supplier list'!B:C,2,0),"")</f>
        <v>หจก. กรีน ดิสทริบิวชั่น</v>
      </c>
      <c r="M110" s="1" t="n">
        <f aca="false">FALSE()</f>
        <v>0</v>
      </c>
      <c r="N110" s="2"/>
      <c r="O110" s="2" t="n">
        <v>12</v>
      </c>
    </row>
    <row r="111" customFormat="false" ht="16.4" hidden="false" customHeight="false" outlineLevel="0" collapsed="false">
      <c r="A111" s="0" t="s">
        <v>15</v>
      </c>
      <c r="B111" s="0" t="s">
        <v>436</v>
      </c>
      <c r="C111" s="0" t="n">
        <v>114001</v>
      </c>
      <c r="D111" s="0" t="n">
        <v>114001</v>
      </c>
      <c r="E111" s="0" t="s">
        <v>17</v>
      </c>
      <c r="F111" s="0" t="s">
        <v>18</v>
      </c>
      <c r="G111" s="7" t="s">
        <v>437</v>
      </c>
      <c r="H111" s="0" t="s">
        <v>438</v>
      </c>
      <c r="I111" s="0" t="s">
        <v>248</v>
      </c>
      <c r="J111" s="0" t="s">
        <v>249</v>
      </c>
      <c r="L111" s="0" t="str">
        <f aca="false">IFERROR(VLOOKUP(K111,'Supplier list'!B:C,2,0),"")</f>
        <v/>
      </c>
      <c r="M111" s="1" t="n">
        <f aca="false">FALSE()</f>
        <v>0</v>
      </c>
      <c r="N111" s="2"/>
      <c r="O111" s="2" t="n">
        <v>169</v>
      </c>
    </row>
    <row r="112" customFormat="false" ht="16.4" hidden="false" customHeight="false" outlineLevel="0" collapsed="false">
      <c r="A112" s="0" t="s">
        <v>15</v>
      </c>
      <c r="B112" s="0" t="s">
        <v>439</v>
      </c>
      <c r="C112" s="0" t="n">
        <v>114001</v>
      </c>
      <c r="D112" s="0" t="n">
        <v>114001</v>
      </c>
      <c r="E112" s="0" t="s">
        <v>17</v>
      </c>
      <c r="F112" s="0" t="s">
        <v>18</v>
      </c>
      <c r="G112" s="7" t="s">
        <v>440</v>
      </c>
      <c r="H112" s="0" t="s">
        <v>441</v>
      </c>
      <c r="I112" s="0" t="s">
        <v>248</v>
      </c>
      <c r="J112" s="0" t="s">
        <v>249</v>
      </c>
      <c r="L112" s="0" t="str">
        <f aca="false">IFERROR(VLOOKUP(K112,'Supplier list'!B:C,2,0),"")</f>
        <v/>
      </c>
      <c r="M112" s="1" t="n">
        <f aca="false">FALSE()</f>
        <v>0</v>
      </c>
      <c r="N112" s="2"/>
      <c r="O112" s="2" t="n">
        <v>9</v>
      </c>
    </row>
    <row r="113" customFormat="false" ht="16.4" hidden="false" customHeight="false" outlineLevel="0" collapsed="false">
      <c r="A113" s="0" t="s">
        <v>15</v>
      </c>
      <c r="B113" s="0" t="s">
        <v>442</v>
      </c>
      <c r="C113" s="0" t="n">
        <v>114001</v>
      </c>
      <c r="D113" s="0" t="n">
        <v>114001</v>
      </c>
      <c r="E113" s="0" t="s">
        <v>443</v>
      </c>
      <c r="F113" s="0" t="s">
        <v>18</v>
      </c>
      <c r="G113" s="7" t="s">
        <v>444</v>
      </c>
      <c r="H113" s="0" t="s">
        <v>445</v>
      </c>
      <c r="I113" s="0" t="s">
        <v>446</v>
      </c>
      <c r="J113" s="0" t="s">
        <v>447</v>
      </c>
      <c r="K113" s="0" t="s">
        <v>151</v>
      </c>
      <c r="L113" s="0" t="str">
        <f aca="false">IFERROR(VLOOKUP(K113,'Supplier list'!B:C,2,0),"")</f>
        <v>บริษัท สยามแม็คโคร จำกัด (มหาชน)</v>
      </c>
      <c r="M113" s="1" t="n">
        <f aca="false">FALSE()</f>
        <v>0</v>
      </c>
      <c r="N113" s="2"/>
      <c r="O113" s="2" t="n">
        <v>504</v>
      </c>
    </row>
    <row r="114" customFormat="false" ht="16.4" hidden="false" customHeight="false" outlineLevel="0" collapsed="false">
      <c r="A114" s="0" t="s">
        <v>15</v>
      </c>
      <c r="B114" s="0" t="s">
        <v>448</v>
      </c>
      <c r="C114" s="0" t="n">
        <v>114001</v>
      </c>
      <c r="D114" s="0" t="n">
        <v>114001</v>
      </c>
      <c r="E114" s="0" t="s">
        <v>449</v>
      </c>
      <c r="F114" s="0" t="s">
        <v>18</v>
      </c>
      <c r="G114" s="7" t="s">
        <v>450</v>
      </c>
      <c r="H114" s="0" t="s">
        <v>449</v>
      </c>
      <c r="I114" s="0" t="s">
        <v>451</v>
      </c>
      <c r="J114" s="0" t="s">
        <v>452</v>
      </c>
      <c r="K114" s="0" t="s">
        <v>151</v>
      </c>
      <c r="L114" s="0" t="str">
        <f aca="false">IFERROR(VLOOKUP(K114,'Supplier list'!B:C,2,0),"")</f>
        <v>บริษัท สยามแม็คโคร จำกัด (มหาชน)</v>
      </c>
      <c r="M114" s="1" t="n">
        <f aca="false">FALSE()</f>
        <v>0</v>
      </c>
      <c r="N114" s="2"/>
      <c r="O114" s="2" t="n">
        <v>45</v>
      </c>
    </row>
    <row r="115" customFormat="false" ht="16.4" hidden="false" customHeight="false" outlineLevel="0" collapsed="false">
      <c r="A115" s="0" t="s">
        <v>15</v>
      </c>
      <c r="B115" s="0" t="s">
        <v>453</v>
      </c>
      <c r="C115" s="0" t="n">
        <v>114001</v>
      </c>
      <c r="D115" s="0" t="n">
        <v>114001</v>
      </c>
      <c r="E115" s="0" t="s">
        <v>454</v>
      </c>
      <c r="F115" s="0" t="s">
        <v>18</v>
      </c>
      <c r="G115" s="7" t="s">
        <v>455</v>
      </c>
      <c r="H115" s="0" t="s">
        <v>454</v>
      </c>
      <c r="I115" s="0" t="s">
        <v>456</v>
      </c>
      <c r="J115" s="0" t="s">
        <v>457</v>
      </c>
      <c r="K115" s="0" t="s">
        <v>75</v>
      </c>
      <c r="L115" s="0" t="str">
        <f aca="false">IFERROR(VLOOKUP(K115,'Supplier list'!B:C,2,0),"")</f>
        <v/>
      </c>
      <c r="M115" s="1" t="n">
        <f aca="false">FALSE()</f>
        <v>0</v>
      </c>
      <c r="N115" s="2"/>
      <c r="O115" s="2" t="n">
        <v>55</v>
      </c>
    </row>
    <row r="116" customFormat="false" ht="16.4" hidden="false" customHeight="false" outlineLevel="0" collapsed="false">
      <c r="A116" s="0" t="s">
        <v>15</v>
      </c>
      <c r="B116" s="0" t="s">
        <v>458</v>
      </c>
      <c r="C116" s="0" t="n">
        <v>114001</v>
      </c>
      <c r="D116" s="0" t="n">
        <v>114001</v>
      </c>
      <c r="E116" s="0" t="s">
        <v>459</v>
      </c>
      <c r="F116" s="0" t="s">
        <v>18</v>
      </c>
      <c r="G116" s="7" t="s">
        <v>460</v>
      </c>
      <c r="H116" s="0" t="s">
        <v>459</v>
      </c>
      <c r="I116" s="0" t="s">
        <v>456</v>
      </c>
      <c r="J116" s="0" t="s">
        <v>457</v>
      </c>
      <c r="K116" s="0" t="s">
        <v>75</v>
      </c>
      <c r="L116" s="0" t="str">
        <f aca="false">IFERROR(VLOOKUP(K116,'Supplier list'!B:C,2,0),"")</f>
        <v/>
      </c>
      <c r="M116" s="1" t="n">
        <f aca="false">FALSE()</f>
        <v>0</v>
      </c>
      <c r="N116" s="2"/>
      <c r="O116" s="2" t="n">
        <v>55</v>
      </c>
    </row>
    <row r="117" customFormat="false" ht="16.4" hidden="false" customHeight="false" outlineLevel="0" collapsed="false">
      <c r="A117" s="0" t="s">
        <v>15</v>
      </c>
      <c r="B117" s="0" t="s">
        <v>461</v>
      </c>
      <c r="C117" s="0" t="n">
        <v>114001</v>
      </c>
      <c r="D117" s="0" t="n">
        <v>114001</v>
      </c>
      <c r="E117" s="0" t="s">
        <v>462</v>
      </c>
      <c r="F117" s="0" t="s">
        <v>18</v>
      </c>
      <c r="G117" s="7" t="s">
        <v>463</v>
      </c>
      <c r="H117" s="0" t="s">
        <v>464</v>
      </c>
      <c r="I117" s="0" t="s">
        <v>21</v>
      </c>
      <c r="J117" s="0" t="s">
        <v>22</v>
      </c>
      <c r="K117" s="0" t="s">
        <v>465</v>
      </c>
      <c r="L117" s="0" t="str">
        <f aca="false">IFERROR(VLOOKUP(K117,'Supplier list'!B:C,2,0),"")</f>
        <v/>
      </c>
      <c r="M117" s="1" t="n">
        <f aca="false">FALSE()</f>
        <v>0</v>
      </c>
      <c r="N117" s="2"/>
      <c r="O117" s="2" t="n">
        <v>42.06</v>
      </c>
    </row>
    <row r="118" customFormat="false" ht="16.4" hidden="false" customHeight="false" outlineLevel="0" collapsed="false">
      <c r="A118" s="0" t="s">
        <v>15</v>
      </c>
      <c r="B118" s="0" t="s">
        <v>466</v>
      </c>
      <c r="C118" s="0" t="n">
        <v>114001</v>
      </c>
      <c r="D118" s="0" t="n">
        <v>114001</v>
      </c>
      <c r="E118" s="0" t="s">
        <v>462</v>
      </c>
      <c r="F118" s="0" t="s">
        <v>18</v>
      </c>
      <c r="G118" s="7" t="s">
        <v>467</v>
      </c>
      <c r="H118" s="0" t="s">
        <v>468</v>
      </c>
      <c r="I118" s="0" t="s">
        <v>21</v>
      </c>
      <c r="J118" s="0" t="s">
        <v>22</v>
      </c>
      <c r="K118" s="0" t="s">
        <v>465</v>
      </c>
      <c r="L118" s="0" t="str">
        <f aca="false">IFERROR(VLOOKUP(K118,'Supplier list'!B:C,2,0),"")</f>
        <v/>
      </c>
      <c r="M118" s="1" t="n">
        <f aca="false">FALSE()</f>
        <v>0</v>
      </c>
      <c r="N118" s="2"/>
      <c r="O118" s="2" t="n">
        <v>42.06</v>
      </c>
    </row>
    <row r="119" customFormat="false" ht="16.4" hidden="false" customHeight="false" outlineLevel="0" collapsed="false">
      <c r="A119" s="0" t="s">
        <v>15</v>
      </c>
      <c r="B119" s="0" t="s">
        <v>469</v>
      </c>
      <c r="C119" s="0" t="n">
        <v>114001</v>
      </c>
      <c r="D119" s="0" t="n">
        <v>114001</v>
      </c>
      <c r="E119" s="0" t="s">
        <v>470</v>
      </c>
      <c r="F119" s="0" t="s">
        <v>18</v>
      </c>
      <c r="G119" s="7" t="s">
        <v>471</v>
      </c>
      <c r="H119" s="0" t="s">
        <v>470</v>
      </c>
      <c r="I119" s="0" t="s">
        <v>21</v>
      </c>
      <c r="J119" s="0" t="s">
        <v>22</v>
      </c>
      <c r="K119" s="0" t="s">
        <v>75</v>
      </c>
      <c r="L119" s="0" t="str">
        <f aca="false">IFERROR(VLOOKUP(K119,'Supplier list'!B:C,2,0),"")</f>
        <v/>
      </c>
      <c r="M119" s="1" t="n">
        <f aca="false">FALSE()</f>
        <v>0</v>
      </c>
      <c r="N119" s="2"/>
      <c r="O119" s="2" t="n">
        <v>110</v>
      </c>
    </row>
    <row r="120" customFormat="false" ht="16.4" hidden="false" customHeight="false" outlineLevel="0" collapsed="false">
      <c r="A120" s="0" t="s">
        <v>15</v>
      </c>
      <c r="B120" s="0" t="s">
        <v>472</v>
      </c>
      <c r="C120" s="0" t="n">
        <v>114001</v>
      </c>
      <c r="D120" s="0" t="n">
        <v>114001</v>
      </c>
      <c r="E120" s="0" t="s">
        <v>470</v>
      </c>
      <c r="F120" s="0" t="s">
        <v>18</v>
      </c>
      <c r="G120" s="7" t="s">
        <v>473</v>
      </c>
      <c r="H120" s="0" t="s">
        <v>474</v>
      </c>
      <c r="I120" s="0" t="s">
        <v>21</v>
      </c>
      <c r="J120" s="0" t="s">
        <v>22</v>
      </c>
      <c r="L120" s="0" t="str">
        <f aca="false">IFERROR(VLOOKUP(K120,'Supplier list'!B:C,2,0),"")</f>
        <v/>
      </c>
      <c r="M120" s="1" t="n">
        <f aca="false">FALSE()</f>
        <v>0</v>
      </c>
      <c r="N120" s="2"/>
      <c r="O120" s="2" t="n">
        <v>119</v>
      </c>
    </row>
    <row r="121" customFormat="false" ht="16.4" hidden="false" customHeight="false" outlineLevel="0" collapsed="false">
      <c r="A121" s="0" t="s">
        <v>15</v>
      </c>
      <c r="B121" s="0" t="s">
        <v>475</v>
      </c>
      <c r="C121" s="0" t="n">
        <v>114001</v>
      </c>
      <c r="D121" s="0" t="n">
        <v>114001</v>
      </c>
      <c r="E121" s="0" t="s">
        <v>476</v>
      </c>
      <c r="F121" s="0" t="s">
        <v>18</v>
      </c>
      <c r="G121" s="7" t="s">
        <v>477</v>
      </c>
      <c r="H121" s="0" t="s">
        <v>478</v>
      </c>
      <c r="I121" s="0" t="s">
        <v>21</v>
      </c>
      <c r="J121" s="0" t="s">
        <v>22</v>
      </c>
      <c r="L121" s="0" t="str">
        <f aca="false">IFERROR(VLOOKUP(K121,'Supplier list'!B:C,2,0),"")</f>
        <v/>
      </c>
      <c r="M121" s="1" t="n">
        <f aca="false">FALSE()</f>
        <v>0</v>
      </c>
      <c r="N121" s="2"/>
      <c r="O121" s="2" t="n">
        <v>145</v>
      </c>
    </row>
    <row r="122" customFormat="false" ht="16.4" hidden="false" customHeight="false" outlineLevel="0" collapsed="false">
      <c r="A122" s="0" t="s">
        <v>15</v>
      </c>
      <c r="B122" s="0" t="s">
        <v>479</v>
      </c>
      <c r="C122" s="0" t="n">
        <v>114001</v>
      </c>
      <c r="D122" s="0" t="n">
        <v>114001</v>
      </c>
      <c r="E122" s="0" t="s">
        <v>476</v>
      </c>
      <c r="F122" s="0" t="s">
        <v>18</v>
      </c>
      <c r="G122" s="7" t="s">
        <v>480</v>
      </c>
      <c r="H122" s="0" t="s">
        <v>481</v>
      </c>
      <c r="I122" s="0" t="s">
        <v>21</v>
      </c>
      <c r="J122" s="0" t="s">
        <v>22</v>
      </c>
      <c r="K122" s="0" t="s">
        <v>75</v>
      </c>
      <c r="L122" s="0" t="str">
        <f aca="false">IFERROR(VLOOKUP(K122,'Supplier list'!B:C,2,0),"")</f>
        <v/>
      </c>
      <c r="M122" s="1" t="n">
        <f aca="false">FALSE()</f>
        <v>0</v>
      </c>
      <c r="N122" s="2"/>
      <c r="O122" s="2" t="n">
        <v>60</v>
      </c>
    </row>
    <row r="123" customFormat="false" ht="16.4" hidden="false" customHeight="false" outlineLevel="0" collapsed="false">
      <c r="A123" s="0" t="s">
        <v>15</v>
      </c>
      <c r="B123" s="0" t="s">
        <v>482</v>
      </c>
      <c r="C123" s="0" t="n">
        <v>114001</v>
      </c>
      <c r="D123" s="0" t="n">
        <v>114001</v>
      </c>
      <c r="E123" s="0" t="s">
        <v>483</v>
      </c>
      <c r="F123" s="0" t="s">
        <v>18</v>
      </c>
      <c r="G123" s="7" t="s">
        <v>484</v>
      </c>
      <c r="H123" s="0" t="s">
        <v>485</v>
      </c>
      <c r="I123" s="0" t="s">
        <v>21</v>
      </c>
      <c r="J123" s="0" t="s">
        <v>22</v>
      </c>
      <c r="L123" s="0" t="str">
        <f aca="false">IFERROR(VLOOKUP(K123,'Supplier list'!B:C,2,0),"")</f>
        <v/>
      </c>
      <c r="M123" s="1" t="n">
        <f aca="false">FALSE()</f>
        <v>0</v>
      </c>
      <c r="N123" s="2"/>
      <c r="O123" s="2" t="n">
        <v>28</v>
      </c>
    </row>
    <row r="124" customFormat="false" ht="16.4" hidden="false" customHeight="false" outlineLevel="0" collapsed="false">
      <c r="A124" s="0" t="s">
        <v>15</v>
      </c>
      <c r="B124" s="0" t="s">
        <v>486</v>
      </c>
      <c r="C124" s="0" t="n">
        <v>114001</v>
      </c>
      <c r="D124" s="0" t="n">
        <v>114001</v>
      </c>
      <c r="E124" s="0" t="s">
        <v>483</v>
      </c>
      <c r="F124" s="0" t="s">
        <v>18</v>
      </c>
      <c r="G124" s="7" t="s">
        <v>487</v>
      </c>
      <c r="H124" s="0" t="s">
        <v>488</v>
      </c>
      <c r="I124" s="0" t="s">
        <v>21</v>
      </c>
      <c r="J124" s="0" t="s">
        <v>22</v>
      </c>
      <c r="K124" s="0" t="s">
        <v>465</v>
      </c>
      <c r="L124" s="0" t="str">
        <f aca="false">IFERROR(VLOOKUP(K124,'Supplier list'!B:C,2,0),"")</f>
        <v/>
      </c>
      <c r="M124" s="1" t="n">
        <f aca="false">FALSE()</f>
        <v>0</v>
      </c>
      <c r="N124" s="2"/>
      <c r="O124" s="2" t="n">
        <v>60.75</v>
      </c>
    </row>
    <row r="125" customFormat="false" ht="16.4" hidden="false" customHeight="false" outlineLevel="0" collapsed="false">
      <c r="A125" s="0" t="s">
        <v>15</v>
      </c>
      <c r="B125" s="0" t="s">
        <v>489</v>
      </c>
      <c r="C125" s="0" t="n">
        <v>114001</v>
      </c>
      <c r="D125" s="0" t="n">
        <v>114001</v>
      </c>
      <c r="E125" s="0" t="s">
        <v>483</v>
      </c>
      <c r="F125" s="0" t="s">
        <v>18</v>
      </c>
      <c r="G125" s="7" t="s">
        <v>490</v>
      </c>
      <c r="H125" s="0" t="s">
        <v>491</v>
      </c>
      <c r="I125" s="0" t="s">
        <v>21</v>
      </c>
      <c r="J125" s="0" t="s">
        <v>22</v>
      </c>
      <c r="L125" s="0" t="str">
        <f aca="false">IFERROR(VLOOKUP(K125,'Supplier list'!B:C,2,0),"")</f>
        <v/>
      </c>
      <c r="M125" s="1" t="n">
        <f aca="false">FALSE()</f>
        <v>0</v>
      </c>
      <c r="N125" s="2"/>
      <c r="O125" s="2" t="n">
        <v>28</v>
      </c>
    </row>
    <row r="126" customFormat="false" ht="16.4" hidden="false" customHeight="false" outlineLevel="0" collapsed="false">
      <c r="A126" s="0" t="s">
        <v>15</v>
      </c>
      <c r="B126" s="0" t="s">
        <v>492</v>
      </c>
      <c r="C126" s="0" t="n">
        <v>114001</v>
      </c>
      <c r="D126" s="0" t="n">
        <v>114001</v>
      </c>
      <c r="E126" s="0" t="s">
        <v>17</v>
      </c>
      <c r="F126" s="0" t="s">
        <v>18</v>
      </c>
      <c r="G126" s="7" t="s">
        <v>493</v>
      </c>
      <c r="H126" s="0" t="s">
        <v>494</v>
      </c>
      <c r="I126" s="0" t="s">
        <v>21</v>
      </c>
      <c r="J126" s="0" t="s">
        <v>22</v>
      </c>
      <c r="L126" s="0" t="str">
        <f aca="false">IFERROR(VLOOKUP(K126,'Supplier list'!B:C,2,0),"")</f>
        <v/>
      </c>
      <c r="M126" s="1" t="n">
        <f aca="false">FALSE()</f>
        <v>0</v>
      </c>
      <c r="N126" s="2"/>
      <c r="O126" s="2" t="n">
        <v>149</v>
      </c>
    </row>
    <row r="127" customFormat="false" ht="16.4" hidden="false" customHeight="false" outlineLevel="0" collapsed="false">
      <c r="A127" s="0" t="s">
        <v>15</v>
      </c>
      <c r="B127" s="0" t="s">
        <v>495</v>
      </c>
      <c r="C127" s="0" t="n">
        <v>114001</v>
      </c>
      <c r="D127" s="0" t="n">
        <v>114001</v>
      </c>
      <c r="E127" s="0" t="s">
        <v>245</v>
      </c>
      <c r="F127" s="0" t="s">
        <v>18</v>
      </c>
      <c r="G127" s="7" t="s">
        <v>496</v>
      </c>
      <c r="H127" s="0" t="s">
        <v>497</v>
      </c>
      <c r="I127" s="0" t="s">
        <v>396</v>
      </c>
      <c r="J127" s="0" t="s">
        <v>397</v>
      </c>
      <c r="K127" s="0" t="s">
        <v>155</v>
      </c>
      <c r="L127" s="0" t="str">
        <f aca="false">IFERROR(VLOOKUP(K127,'Supplier list'!B:C,2,0),"")</f>
        <v>บริษัท ก.เจริญฮาร์ดแวร์ จำกัด</v>
      </c>
      <c r="M127" s="1" t="n">
        <f aca="false">FALSE()</f>
        <v>0</v>
      </c>
      <c r="N127" s="2"/>
      <c r="O127" s="2" t="n">
        <v>1020</v>
      </c>
    </row>
    <row r="128" customFormat="false" ht="16.4" hidden="false" customHeight="false" outlineLevel="0" collapsed="false">
      <c r="A128" s="0" t="s">
        <v>15</v>
      </c>
      <c r="B128" s="0" t="s">
        <v>498</v>
      </c>
      <c r="C128" s="0" t="n">
        <v>114001</v>
      </c>
      <c r="D128" s="0" t="n">
        <v>114001</v>
      </c>
      <c r="E128" s="0" t="s">
        <v>499</v>
      </c>
      <c r="F128" s="0" t="s">
        <v>18</v>
      </c>
      <c r="G128" s="7" t="s">
        <v>500</v>
      </c>
      <c r="H128" s="0" t="s">
        <v>501</v>
      </c>
      <c r="I128" s="0" t="s">
        <v>502</v>
      </c>
      <c r="J128" s="0" t="s">
        <v>503</v>
      </c>
      <c r="L128" s="0" t="str">
        <f aca="false">IFERROR(VLOOKUP(K128,'Supplier list'!B:C,2,0),"")</f>
        <v/>
      </c>
      <c r="M128" s="1" t="n">
        <f aca="false">FALSE()</f>
        <v>0</v>
      </c>
      <c r="N128" s="2"/>
      <c r="O128" s="2" t="n">
        <v>650</v>
      </c>
    </row>
    <row r="129" customFormat="false" ht="16.4" hidden="false" customHeight="false" outlineLevel="0" collapsed="false">
      <c r="A129" s="0" t="s">
        <v>15</v>
      </c>
      <c r="B129" s="0" t="s">
        <v>504</v>
      </c>
      <c r="C129" s="0" t="n">
        <v>114001</v>
      </c>
      <c r="D129" s="0" t="n">
        <v>114001</v>
      </c>
      <c r="E129" s="0" t="s">
        <v>505</v>
      </c>
      <c r="F129" s="0" t="s">
        <v>18</v>
      </c>
      <c r="G129" s="7" t="s">
        <v>506</v>
      </c>
      <c r="H129" s="0" t="s">
        <v>507</v>
      </c>
      <c r="I129" s="0" t="s">
        <v>508</v>
      </c>
      <c r="J129" s="0" t="s">
        <v>509</v>
      </c>
      <c r="L129" s="0" t="str">
        <f aca="false">IFERROR(VLOOKUP(K129,'Supplier list'!B:C,2,0),"")</f>
        <v/>
      </c>
      <c r="M129" s="1" t="n">
        <f aca="false">FALSE()</f>
        <v>0</v>
      </c>
      <c r="N129" s="2"/>
      <c r="O129" s="2" t="n">
        <v>108</v>
      </c>
    </row>
    <row r="130" customFormat="false" ht="16.4" hidden="false" customHeight="false" outlineLevel="0" collapsed="false">
      <c r="A130" s="0" t="s">
        <v>15</v>
      </c>
      <c r="B130" s="0" t="s">
        <v>510</v>
      </c>
      <c r="C130" s="0" t="n">
        <v>114001</v>
      </c>
      <c r="D130" s="0" t="n">
        <v>114001</v>
      </c>
      <c r="E130" s="0" t="s">
        <v>505</v>
      </c>
      <c r="F130" s="0" t="s">
        <v>18</v>
      </c>
      <c r="G130" s="7" t="s">
        <v>511</v>
      </c>
      <c r="H130" s="0" t="s">
        <v>512</v>
      </c>
      <c r="I130" s="0" t="s">
        <v>508</v>
      </c>
      <c r="J130" s="0" t="s">
        <v>509</v>
      </c>
      <c r="K130" s="0" t="s">
        <v>75</v>
      </c>
      <c r="L130" s="0" t="str">
        <f aca="false">IFERROR(VLOOKUP(K130,'Supplier list'!B:C,2,0),"")</f>
        <v/>
      </c>
      <c r="M130" s="1" t="n">
        <f aca="false">FALSE()</f>
        <v>0</v>
      </c>
      <c r="N130" s="2"/>
      <c r="O130" s="2" t="n">
        <v>100</v>
      </c>
    </row>
    <row r="131" customFormat="false" ht="16.4" hidden="false" customHeight="false" outlineLevel="0" collapsed="false">
      <c r="A131" s="0" t="s">
        <v>15</v>
      </c>
      <c r="B131" s="0" t="s">
        <v>513</v>
      </c>
      <c r="C131" s="0" t="n">
        <v>114001</v>
      </c>
      <c r="D131" s="0" t="n">
        <v>114001</v>
      </c>
      <c r="E131" s="0" t="s">
        <v>514</v>
      </c>
      <c r="F131" s="0" t="s">
        <v>18</v>
      </c>
      <c r="G131" s="7" t="s">
        <v>515</v>
      </c>
      <c r="H131" s="0" t="s">
        <v>516</v>
      </c>
      <c r="I131" s="0" t="s">
        <v>517</v>
      </c>
      <c r="J131" s="0" t="s">
        <v>518</v>
      </c>
      <c r="K131" s="0" t="s">
        <v>352</v>
      </c>
      <c r="L131" s="0" t="str">
        <f aca="false">IFERROR(VLOOKUP(K131,'Supplier list'!B:C,2,0),"")</f>
        <v>บริษัท พีเอ็นพี อินเตอร์แพค</v>
      </c>
      <c r="M131" s="1" t="n">
        <f aca="false">FALSE()</f>
        <v>0</v>
      </c>
      <c r="N131" s="2"/>
      <c r="O131" s="2" t="n">
        <v>40</v>
      </c>
    </row>
    <row r="132" customFormat="false" ht="16.4" hidden="false" customHeight="false" outlineLevel="0" collapsed="false">
      <c r="A132" s="0" t="s">
        <v>15</v>
      </c>
      <c r="B132" s="0" t="s">
        <v>519</v>
      </c>
      <c r="C132" s="0" t="n">
        <v>114001</v>
      </c>
      <c r="D132" s="0" t="n">
        <v>114001</v>
      </c>
      <c r="E132" s="0" t="s">
        <v>520</v>
      </c>
      <c r="F132" s="0" t="s">
        <v>18</v>
      </c>
      <c r="G132" s="7" t="s">
        <v>521</v>
      </c>
      <c r="H132" s="0" t="s">
        <v>522</v>
      </c>
      <c r="I132" s="0" t="s">
        <v>21</v>
      </c>
      <c r="J132" s="0" t="s">
        <v>22</v>
      </c>
      <c r="K132" s="0" t="s">
        <v>352</v>
      </c>
      <c r="L132" s="0" t="str">
        <f aca="false">IFERROR(VLOOKUP(K132,'Supplier list'!B:C,2,0),"")</f>
        <v>บริษัท พีเอ็นพี อินเตอร์แพค</v>
      </c>
      <c r="M132" s="1" t="n">
        <f aca="false">FALSE()</f>
        <v>0</v>
      </c>
      <c r="N132" s="2"/>
      <c r="O132" s="2" t="n">
        <v>27.5</v>
      </c>
    </row>
    <row r="133" customFormat="false" ht="16.4" hidden="false" customHeight="false" outlineLevel="0" collapsed="false">
      <c r="A133" s="0" t="s">
        <v>15</v>
      </c>
      <c r="B133" s="0" t="s">
        <v>523</v>
      </c>
      <c r="C133" s="0" t="n">
        <v>114001</v>
      </c>
      <c r="D133" s="0" t="n">
        <v>114001</v>
      </c>
      <c r="E133" s="0" t="s">
        <v>524</v>
      </c>
      <c r="F133" s="0" t="s">
        <v>18</v>
      </c>
      <c r="G133" s="7" t="s">
        <v>525</v>
      </c>
      <c r="H133" s="0" t="s">
        <v>526</v>
      </c>
      <c r="I133" s="0" t="s">
        <v>248</v>
      </c>
      <c r="J133" s="0" t="s">
        <v>249</v>
      </c>
      <c r="K133" s="0" t="s">
        <v>155</v>
      </c>
      <c r="L133" s="0" t="str">
        <f aca="false">IFERROR(VLOOKUP(K133,'Supplier list'!B:C,2,0),"")</f>
        <v>บริษัท ก.เจริญฮาร์ดแวร์ จำกัด</v>
      </c>
      <c r="M133" s="1" t="n">
        <f aca="false">FALSE()</f>
        <v>0</v>
      </c>
      <c r="N133" s="2"/>
      <c r="O133" s="2" t="n">
        <v>390</v>
      </c>
    </row>
    <row r="134" customFormat="false" ht="16.4" hidden="false" customHeight="false" outlineLevel="0" collapsed="false">
      <c r="A134" s="0" t="s">
        <v>15</v>
      </c>
      <c r="B134" s="0" t="s">
        <v>527</v>
      </c>
      <c r="C134" s="0" t="n">
        <v>114001</v>
      </c>
      <c r="D134" s="0" t="n">
        <v>114001</v>
      </c>
      <c r="E134" s="0" t="s">
        <v>505</v>
      </c>
      <c r="F134" s="0" t="s">
        <v>18</v>
      </c>
      <c r="G134" s="7" t="s">
        <v>528</v>
      </c>
      <c r="H134" s="0" t="s">
        <v>529</v>
      </c>
      <c r="I134" s="0" t="s">
        <v>508</v>
      </c>
      <c r="J134" s="0" t="s">
        <v>509</v>
      </c>
      <c r="L134" s="0" t="str">
        <f aca="false">IFERROR(VLOOKUP(K134,'Supplier list'!B:C,2,0),"")</f>
        <v/>
      </c>
      <c r="M134" s="1" t="n">
        <f aca="false">FALSE()</f>
        <v>0</v>
      </c>
      <c r="N134" s="2"/>
      <c r="O134" s="2" t="n">
        <v>145</v>
      </c>
    </row>
    <row r="135" customFormat="false" ht="16.4" hidden="false" customHeight="false" outlineLevel="0" collapsed="false">
      <c r="A135" s="0" t="s">
        <v>15</v>
      </c>
      <c r="B135" s="0" t="s">
        <v>530</v>
      </c>
      <c r="C135" s="0" t="n">
        <v>114001</v>
      </c>
      <c r="D135" s="0" t="n">
        <v>114001</v>
      </c>
      <c r="E135" s="0" t="s">
        <v>505</v>
      </c>
      <c r="F135" s="0" t="s">
        <v>18</v>
      </c>
      <c r="G135" s="7" t="s">
        <v>531</v>
      </c>
      <c r="H135" s="0" t="s">
        <v>532</v>
      </c>
      <c r="I135" s="0" t="s">
        <v>508</v>
      </c>
      <c r="J135" s="0" t="s">
        <v>509</v>
      </c>
      <c r="L135" s="0" t="str">
        <f aca="false">IFERROR(VLOOKUP(K135,'Supplier list'!B:C,2,0),"")</f>
        <v/>
      </c>
      <c r="M135" s="1" t="n">
        <f aca="false">FALSE()</f>
        <v>0</v>
      </c>
      <c r="N135" s="2"/>
      <c r="O135" s="2" t="n">
        <v>83</v>
      </c>
    </row>
    <row r="136" customFormat="false" ht="16.4" hidden="false" customHeight="false" outlineLevel="0" collapsed="false">
      <c r="A136" s="0" t="s">
        <v>15</v>
      </c>
      <c r="B136" s="0" t="s">
        <v>533</v>
      </c>
      <c r="C136" s="0" t="n">
        <v>114001</v>
      </c>
      <c r="D136" s="0" t="n">
        <v>114001</v>
      </c>
      <c r="E136" s="0" t="s">
        <v>93</v>
      </c>
      <c r="F136" s="0" t="s">
        <v>18</v>
      </c>
      <c r="G136" s="7" t="s">
        <v>534</v>
      </c>
      <c r="H136" s="0" t="s">
        <v>535</v>
      </c>
      <c r="I136" s="0" t="s">
        <v>124</v>
      </c>
      <c r="J136" s="0" t="s">
        <v>125</v>
      </c>
      <c r="K136" s="0" t="s">
        <v>110</v>
      </c>
      <c r="L136" s="0" t="str">
        <f aca="false">IFERROR(VLOOKUP(K136,'Supplier list'!B:C,2,0),"")</f>
        <v>บริษัท ที.พี.เค ไทยเมท แมชชีนทูลล์ จำกัด</v>
      </c>
      <c r="M136" s="1" t="n">
        <f aca="false">FALSE()</f>
        <v>0</v>
      </c>
      <c r="N136" s="2"/>
      <c r="O136" s="2" t="n">
        <v>55</v>
      </c>
    </row>
    <row r="137" customFormat="false" ht="16.4" hidden="false" customHeight="false" outlineLevel="0" collapsed="false">
      <c r="A137" s="0" t="s">
        <v>15</v>
      </c>
      <c r="B137" s="0" t="s">
        <v>536</v>
      </c>
      <c r="C137" s="0" t="n">
        <v>114001</v>
      </c>
      <c r="D137" s="0" t="n">
        <v>114001</v>
      </c>
      <c r="E137" s="0" t="s">
        <v>298</v>
      </c>
      <c r="F137" s="0" t="s">
        <v>18</v>
      </c>
      <c r="G137" s="7" t="s">
        <v>537</v>
      </c>
      <c r="H137" s="0" t="s">
        <v>538</v>
      </c>
      <c r="I137" s="0" t="s">
        <v>301</v>
      </c>
      <c r="J137" s="0" t="s">
        <v>302</v>
      </c>
      <c r="K137" s="0" t="s">
        <v>303</v>
      </c>
      <c r="L137" s="0" t="str">
        <f aca="false">IFERROR(VLOOKUP(K137,'Supplier list'!B:C,2,0),"")</f>
        <v>บริษัท เอ็มเค วู้ดเทค จำกัด</v>
      </c>
      <c r="M137" s="1" t="n">
        <f aca="false">FALSE()</f>
        <v>0</v>
      </c>
      <c r="N137" s="2"/>
      <c r="O137" s="2" t="n">
        <v>80</v>
      </c>
    </row>
    <row r="138" customFormat="false" ht="16.4" hidden="false" customHeight="false" outlineLevel="0" collapsed="false">
      <c r="A138" s="0" t="s">
        <v>15</v>
      </c>
      <c r="B138" s="0" t="s">
        <v>539</v>
      </c>
      <c r="C138" s="0" t="n">
        <v>114001</v>
      </c>
      <c r="D138" s="0" t="n">
        <v>114001</v>
      </c>
      <c r="E138" s="0" t="s">
        <v>358</v>
      </c>
      <c r="F138" s="0" t="s">
        <v>18</v>
      </c>
      <c r="G138" s="7" t="s">
        <v>540</v>
      </c>
      <c r="H138" s="0" t="s">
        <v>541</v>
      </c>
      <c r="I138" s="0" t="s">
        <v>21</v>
      </c>
      <c r="J138" s="0" t="s">
        <v>22</v>
      </c>
      <c r="L138" s="0" t="str">
        <f aca="false">IFERROR(VLOOKUP(K138,'Supplier list'!B:C,2,0),"")</f>
        <v/>
      </c>
      <c r="M138" s="1" t="n">
        <f aca="false">FALSE()</f>
        <v>0</v>
      </c>
      <c r="N138" s="2"/>
      <c r="O138" s="2" t="n">
        <v>78</v>
      </c>
    </row>
    <row r="139" customFormat="false" ht="16.4" hidden="false" customHeight="false" outlineLevel="0" collapsed="false">
      <c r="A139" s="0" t="s">
        <v>15</v>
      </c>
      <c r="B139" s="0" t="s">
        <v>542</v>
      </c>
      <c r="C139" s="0" t="n">
        <v>114001</v>
      </c>
      <c r="D139" s="0" t="n">
        <v>114001</v>
      </c>
      <c r="E139" s="0" t="s">
        <v>358</v>
      </c>
      <c r="F139" s="0" t="s">
        <v>18</v>
      </c>
      <c r="G139" s="7" t="s">
        <v>543</v>
      </c>
      <c r="H139" s="0" t="s">
        <v>544</v>
      </c>
      <c r="I139" s="0" t="s">
        <v>21</v>
      </c>
      <c r="J139" s="0" t="s">
        <v>22</v>
      </c>
      <c r="K139" s="0" t="s">
        <v>82</v>
      </c>
      <c r="L139" s="0" t="str">
        <f aca="false">IFERROR(VLOOKUP(K139,'Supplier list'!B:C,2,0),"")</f>
        <v>บริษัท เกรียงศิริพัฒนา (1995) จำกัด</v>
      </c>
      <c r="M139" s="1" t="n">
        <f aca="false">FALSE()</f>
        <v>0</v>
      </c>
      <c r="N139" s="2"/>
      <c r="O139" s="2" t="n">
        <v>18</v>
      </c>
    </row>
    <row r="140" customFormat="false" ht="16.4" hidden="false" customHeight="false" outlineLevel="0" collapsed="false">
      <c r="A140" s="0" t="s">
        <v>15</v>
      </c>
      <c r="B140" s="0" t="s">
        <v>545</v>
      </c>
      <c r="C140" s="0" t="n">
        <v>114001</v>
      </c>
      <c r="D140" s="0" t="n">
        <v>114001</v>
      </c>
      <c r="E140" s="0" t="s">
        <v>165</v>
      </c>
      <c r="F140" s="0" t="s">
        <v>18</v>
      </c>
      <c r="G140" s="7" t="s">
        <v>546</v>
      </c>
      <c r="H140" s="0" t="s">
        <v>547</v>
      </c>
      <c r="I140" s="0" t="s">
        <v>21</v>
      </c>
      <c r="J140" s="0" t="s">
        <v>22</v>
      </c>
      <c r="L140" s="0" t="str">
        <f aca="false">IFERROR(VLOOKUP(K140,'Supplier list'!B:C,2,0),"")</f>
        <v/>
      </c>
      <c r="M140" s="1" t="n">
        <f aca="false">FALSE()</f>
        <v>0</v>
      </c>
      <c r="N140" s="2"/>
      <c r="O140" s="2" t="n">
        <v>233</v>
      </c>
    </row>
    <row r="141" customFormat="false" ht="16.4" hidden="false" customHeight="false" outlineLevel="0" collapsed="false">
      <c r="A141" s="0" t="s">
        <v>15</v>
      </c>
      <c r="B141" s="0" t="s">
        <v>548</v>
      </c>
      <c r="C141" s="0" t="n">
        <v>114001</v>
      </c>
      <c r="D141" s="0" t="n">
        <v>114001</v>
      </c>
      <c r="E141" s="0" t="s">
        <v>549</v>
      </c>
      <c r="F141" s="0" t="s">
        <v>18</v>
      </c>
      <c r="G141" s="7" t="s">
        <v>550</v>
      </c>
      <c r="H141" s="0" t="s">
        <v>551</v>
      </c>
      <c r="I141" s="0" t="s">
        <v>21</v>
      </c>
      <c r="J141" s="0" t="s">
        <v>22</v>
      </c>
      <c r="K141" s="0" t="s">
        <v>68</v>
      </c>
      <c r="L141" s="0" t="str">
        <f aca="false">IFERROR(VLOOKUP(K141,'Supplier list'!B:C,2,0),"")</f>
        <v>หจก. กรีน ดิสทริบิวชั่น</v>
      </c>
      <c r="M141" s="1" t="n">
        <f aca="false">FALSE()</f>
        <v>0</v>
      </c>
      <c r="N141" s="2"/>
      <c r="O141" s="2" t="n">
        <v>8</v>
      </c>
    </row>
    <row r="142" customFormat="false" ht="16.4" hidden="false" customHeight="false" outlineLevel="0" collapsed="false">
      <c r="A142" s="0" t="s">
        <v>15</v>
      </c>
      <c r="B142" s="0" t="s">
        <v>552</v>
      </c>
      <c r="C142" s="0" t="n">
        <v>114001</v>
      </c>
      <c r="D142" s="0" t="n">
        <v>114001</v>
      </c>
      <c r="E142" s="0" t="s">
        <v>553</v>
      </c>
      <c r="F142" s="0" t="s">
        <v>18</v>
      </c>
      <c r="G142" s="7" t="s">
        <v>554</v>
      </c>
      <c r="H142" s="0" t="s">
        <v>555</v>
      </c>
      <c r="I142" s="0" t="s">
        <v>21</v>
      </c>
      <c r="J142" s="0" t="s">
        <v>22</v>
      </c>
      <c r="K142" s="0" t="s">
        <v>68</v>
      </c>
      <c r="L142" s="0" t="str">
        <f aca="false">IFERROR(VLOOKUP(K142,'Supplier list'!B:C,2,0),"")</f>
        <v>หจก. กรีน ดิสทริบิวชั่น</v>
      </c>
      <c r="M142" s="1" t="n">
        <f aca="false">FALSE()</f>
        <v>0</v>
      </c>
      <c r="N142" s="2"/>
      <c r="O142" s="2" t="n">
        <v>115</v>
      </c>
    </row>
    <row r="143" customFormat="false" ht="16.4" hidden="false" customHeight="false" outlineLevel="0" collapsed="false">
      <c r="A143" s="0" t="s">
        <v>15</v>
      </c>
      <c r="B143" s="0" t="s">
        <v>556</v>
      </c>
      <c r="C143" s="0" t="n">
        <v>114001</v>
      </c>
      <c r="D143" s="0" t="n">
        <v>114001</v>
      </c>
      <c r="E143" s="0" t="s">
        <v>549</v>
      </c>
      <c r="F143" s="0" t="s">
        <v>18</v>
      </c>
      <c r="G143" s="7" t="s">
        <v>557</v>
      </c>
      <c r="H143" s="0" t="s">
        <v>558</v>
      </c>
      <c r="I143" s="0" t="s">
        <v>21</v>
      </c>
      <c r="J143" s="0" t="s">
        <v>22</v>
      </c>
      <c r="K143" s="0" t="s">
        <v>68</v>
      </c>
      <c r="L143" s="0" t="str">
        <f aca="false">IFERROR(VLOOKUP(K143,'Supplier list'!B:C,2,0),"")</f>
        <v>หจก. กรีน ดิสทริบิวชั่น</v>
      </c>
      <c r="M143" s="1" t="n">
        <f aca="false">FALSE()</f>
        <v>0</v>
      </c>
      <c r="N143" s="2"/>
      <c r="O143" s="2" t="n">
        <v>18</v>
      </c>
    </row>
    <row r="144" customFormat="false" ht="16.4" hidden="false" customHeight="false" outlineLevel="0" collapsed="false">
      <c r="A144" s="0" t="s">
        <v>15</v>
      </c>
      <c r="B144" s="0" t="s">
        <v>559</v>
      </c>
      <c r="C144" s="0" t="n">
        <v>114001</v>
      </c>
      <c r="D144" s="0" t="n">
        <v>114001</v>
      </c>
      <c r="E144" s="0" t="s">
        <v>294</v>
      </c>
      <c r="F144" s="0" t="s">
        <v>18</v>
      </c>
      <c r="G144" s="7" t="s">
        <v>560</v>
      </c>
      <c r="H144" s="0" t="s">
        <v>561</v>
      </c>
      <c r="I144" s="0" t="s">
        <v>149</v>
      </c>
      <c r="J144" s="0" t="s">
        <v>150</v>
      </c>
      <c r="L144" s="0" t="str">
        <f aca="false">IFERROR(VLOOKUP(K144,'Supplier list'!B:C,2,0),"")</f>
        <v/>
      </c>
      <c r="M144" s="1" t="n">
        <f aca="false">FALSE()</f>
        <v>0</v>
      </c>
      <c r="N144" s="2"/>
      <c r="O144" s="2" t="n">
        <v>108</v>
      </c>
    </row>
    <row r="145" customFormat="false" ht="16.4" hidden="false" customHeight="false" outlineLevel="0" collapsed="false">
      <c r="A145" s="0" t="s">
        <v>15</v>
      </c>
      <c r="B145" s="0" t="s">
        <v>562</v>
      </c>
      <c r="C145" s="0" t="n">
        <v>114001</v>
      </c>
      <c r="D145" s="0" t="n">
        <v>114001</v>
      </c>
      <c r="E145" s="0" t="s">
        <v>514</v>
      </c>
      <c r="F145" s="0" t="s">
        <v>18</v>
      </c>
      <c r="G145" s="7" t="s">
        <v>563</v>
      </c>
      <c r="H145" s="0" t="s">
        <v>564</v>
      </c>
      <c r="I145" s="0" t="s">
        <v>517</v>
      </c>
      <c r="J145" s="0" t="s">
        <v>518</v>
      </c>
      <c r="L145" s="0" t="str">
        <f aca="false">IFERROR(VLOOKUP(K145,'Supplier list'!B:C,2,0),"")</f>
        <v/>
      </c>
      <c r="M145" s="1" t="n">
        <f aca="false">FALSE()</f>
        <v>0</v>
      </c>
      <c r="N145" s="2"/>
      <c r="O145" s="2" t="n">
        <v>159</v>
      </c>
    </row>
    <row r="146" customFormat="false" ht="14.9" hidden="false" customHeight="false" outlineLevel="0" collapsed="false">
      <c r="A146" s="0" t="s">
        <v>15</v>
      </c>
      <c r="B146" s="0" t="s">
        <v>565</v>
      </c>
      <c r="C146" s="0" t="n">
        <v>114001</v>
      </c>
      <c r="D146" s="0" t="n">
        <v>114001</v>
      </c>
      <c r="E146" s="0" t="s">
        <v>374</v>
      </c>
      <c r="F146" s="0" t="s">
        <v>18</v>
      </c>
      <c r="G146" s="7" t="s">
        <v>566</v>
      </c>
      <c r="H146" s="0" t="s">
        <v>566</v>
      </c>
      <c r="I146" s="0" t="s">
        <v>102</v>
      </c>
      <c r="J146" s="0" t="s">
        <v>103</v>
      </c>
      <c r="K146" s="0" t="s">
        <v>567</v>
      </c>
      <c r="L146" s="0" t="str">
        <f aca="false">IFERROR(VLOOKUP(K146,'Supplier list'!B:C,2,0),"")</f>
        <v>บริษัท ไทย เมก้าแคบ จำกัด</v>
      </c>
      <c r="M146" s="1" t="n">
        <f aca="false">FALSE()</f>
        <v>0</v>
      </c>
      <c r="N146" s="2"/>
      <c r="O146" s="2" t="n">
        <v>1.85</v>
      </c>
    </row>
    <row r="147" customFormat="false" ht="16.4" hidden="false" customHeight="false" outlineLevel="0" collapsed="false">
      <c r="A147" s="0" t="s">
        <v>15</v>
      </c>
      <c r="B147" s="0" t="s">
        <v>568</v>
      </c>
      <c r="C147" s="0" t="n">
        <v>114001</v>
      </c>
      <c r="D147" s="0" t="n">
        <v>114001</v>
      </c>
      <c r="E147" s="0" t="s">
        <v>121</v>
      </c>
      <c r="F147" s="0" t="s">
        <v>18</v>
      </c>
      <c r="G147" s="7" t="s">
        <v>569</v>
      </c>
      <c r="H147" s="0" t="s">
        <v>570</v>
      </c>
      <c r="I147" s="0" t="s">
        <v>142</v>
      </c>
      <c r="J147" s="0" t="s">
        <v>143</v>
      </c>
      <c r="K147" s="0" t="s">
        <v>75</v>
      </c>
      <c r="L147" s="0" t="str">
        <f aca="false">IFERROR(VLOOKUP(K147,'Supplier list'!B:C,2,0),"")</f>
        <v/>
      </c>
      <c r="M147" s="1" t="n">
        <f aca="false">FALSE()</f>
        <v>0</v>
      </c>
      <c r="N147" s="2"/>
      <c r="O147" s="2" t="n">
        <v>320</v>
      </c>
    </row>
    <row r="148" customFormat="false" ht="16.4" hidden="false" customHeight="false" outlineLevel="0" collapsed="false">
      <c r="A148" s="0" t="s">
        <v>15</v>
      </c>
      <c r="B148" s="0" t="s">
        <v>571</v>
      </c>
      <c r="C148" s="0" t="n">
        <v>114001</v>
      </c>
      <c r="D148" s="0" t="n">
        <v>114001</v>
      </c>
      <c r="E148" s="0" t="s">
        <v>572</v>
      </c>
      <c r="F148" s="0" t="s">
        <v>18</v>
      </c>
      <c r="G148" s="7" t="s">
        <v>573</v>
      </c>
      <c r="H148" s="0" t="s">
        <v>574</v>
      </c>
      <c r="I148" s="0" t="s">
        <v>248</v>
      </c>
      <c r="J148" s="0" t="s">
        <v>249</v>
      </c>
      <c r="L148" s="0" t="str">
        <f aca="false">IFERROR(VLOOKUP(K148,'Supplier list'!B:C,2,0),"")</f>
        <v/>
      </c>
      <c r="M148" s="1" t="n">
        <f aca="false">FALSE()</f>
        <v>0</v>
      </c>
      <c r="N148" s="2"/>
      <c r="O148" s="2" t="n">
        <v>471.64</v>
      </c>
    </row>
    <row r="149" customFormat="false" ht="14.9" hidden="false" customHeight="false" outlineLevel="0" collapsed="false">
      <c r="A149" s="0" t="s">
        <v>15</v>
      </c>
      <c r="B149" s="0" t="s">
        <v>575</v>
      </c>
      <c r="C149" s="0" t="n">
        <v>114001</v>
      </c>
      <c r="D149" s="0" t="n">
        <v>114001</v>
      </c>
      <c r="E149" s="0" t="s">
        <v>121</v>
      </c>
      <c r="F149" s="0" t="s">
        <v>18</v>
      </c>
      <c r="G149" s="7" t="s">
        <v>576</v>
      </c>
      <c r="H149" s="0" t="s">
        <v>576</v>
      </c>
      <c r="I149" s="0" t="s">
        <v>21</v>
      </c>
      <c r="J149" s="0" t="s">
        <v>22</v>
      </c>
      <c r="K149" s="0" t="s">
        <v>567</v>
      </c>
      <c r="L149" s="0" t="str">
        <f aca="false">IFERROR(VLOOKUP(K149,'Supplier list'!B:C,2,0),"")</f>
        <v>บริษัท ไทย เมก้าแคบ จำกัด</v>
      </c>
      <c r="M149" s="1" t="n">
        <f aca="false">FALSE()</f>
        <v>0</v>
      </c>
      <c r="N149" s="2"/>
      <c r="O149" s="2" t="n">
        <v>2.461</v>
      </c>
    </row>
    <row r="150" customFormat="false" ht="16.4" hidden="false" customHeight="false" outlineLevel="0" collapsed="false">
      <c r="A150" s="0" t="s">
        <v>15</v>
      </c>
      <c r="B150" s="0" t="s">
        <v>577</v>
      </c>
      <c r="C150" s="0" t="n">
        <v>114001</v>
      </c>
      <c r="D150" s="0" t="n">
        <v>114001</v>
      </c>
      <c r="E150" s="0" t="s">
        <v>127</v>
      </c>
      <c r="F150" s="0" t="s">
        <v>18</v>
      </c>
      <c r="G150" s="7" t="s">
        <v>578</v>
      </c>
      <c r="H150" s="0" t="s">
        <v>579</v>
      </c>
      <c r="I150" s="0" t="s">
        <v>21</v>
      </c>
      <c r="J150" s="0" t="s">
        <v>22</v>
      </c>
      <c r="K150" s="0" t="s">
        <v>68</v>
      </c>
      <c r="L150" s="0" t="str">
        <f aca="false">IFERROR(VLOOKUP(K150,'Supplier list'!B:C,2,0),"")</f>
        <v>หจก. กรีน ดิสทริบิวชั่น</v>
      </c>
      <c r="M150" s="1" t="n">
        <f aca="false">FALSE()</f>
        <v>0</v>
      </c>
      <c r="N150" s="2"/>
      <c r="O150" s="2" t="n">
        <v>35</v>
      </c>
    </row>
    <row r="151" customFormat="false" ht="16.4" hidden="false" customHeight="false" outlineLevel="0" collapsed="false">
      <c r="A151" s="0" t="s">
        <v>15</v>
      </c>
      <c r="B151" s="0" t="s">
        <v>580</v>
      </c>
      <c r="C151" s="0" t="n">
        <v>114001</v>
      </c>
      <c r="D151" s="0" t="n">
        <v>114001</v>
      </c>
      <c r="E151" s="0" t="s">
        <v>581</v>
      </c>
      <c r="F151" s="0" t="s">
        <v>18</v>
      </c>
      <c r="G151" s="7" t="s">
        <v>582</v>
      </c>
      <c r="H151" s="0" t="s">
        <v>583</v>
      </c>
      <c r="I151" s="0" t="s">
        <v>21</v>
      </c>
      <c r="J151" s="0" t="s">
        <v>22</v>
      </c>
      <c r="K151" s="0" t="s">
        <v>567</v>
      </c>
      <c r="L151" s="0" t="str">
        <f aca="false">IFERROR(VLOOKUP(K151,'Supplier list'!B:C,2,0),"")</f>
        <v>บริษัท ไทย เมก้าแคบ จำกัด</v>
      </c>
      <c r="M151" s="1" t="n">
        <f aca="false">FALSE()</f>
        <v>0</v>
      </c>
      <c r="N151" s="2"/>
      <c r="O151" s="2" t="n">
        <v>0.21</v>
      </c>
    </row>
    <row r="152" customFormat="false" ht="16.4" hidden="false" customHeight="false" outlineLevel="0" collapsed="false">
      <c r="A152" s="0" t="s">
        <v>15</v>
      </c>
      <c r="B152" s="0" t="s">
        <v>584</v>
      </c>
      <c r="C152" s="0" t="n">
        <v>114001</v>
      </c>
      <c r="D152" s="0" t="n">
        <v>114001</v>
      </c>
      <c r="E152" s="0" t="s">
        <v>581</v>
      </c>
      <c r="F152" s="0" t="s">
        <v>18</v>
      </c>
      <c r="G152" s="7" t="s">
        <v>585</v>
      </c>
      <c r="H152" s="0" t="s">
        <v>586</v>
      </c>
      <c r="I152" s="0" t="s">
        <v>21</v>
      </c>
      <c r="J152" s="0" t="s">
        <v>22</v>
      </c>
      <c r="K152" s="0" t="s">
        <v>567</v>
      </c>
      <c r="L152" s="0" t="str">
        <f aca="false">IFERROR(VLOOKUP(K152,'Supplier list'!B:C,2,0),"")</f>
        <v>บริษัท ไทย เมก้าแคบ จำกัด</v>
      </c>
      <c r="M152" s="1" t="n">
        <f aca="false">FALSE()</f>
        <v>0</v>
      </c>
      <c r="N152" s="2"/>
      <c r="O152" s="2" t="n">
        <v>0.298</v>
      </c>
    </row>
    <row r="153" customFormat="false" ht="14.9" hidden="false" customHeight="false" outlineLevel="0" collapsed="false">
      <c r="A153" s="0" t="s">
        <v>15</v>
      </c>
      <c r="B153" s="0" t="s">
        <v>587</v>
      </c>
      <c r="C153" s="0" t="n">
        <v>114001</v>
      </c>
      <c r="D153" s="0" t="n">
        <v>114001</v>
      </c>
      <c r="E153" s="0" t="s">
        <v>374</v>
      </c>
      <c r="F153" s="0" t="s">
        <v>18</v>
      </c>
      <c r="G153" s="7" t="s">
        <v>588</v>
      </c>
      <c r="H153" s="0" t="s">
        <v>588</v>
      </c>
      <c r="I153" s="0" t="s">
        <v>21</v>
      </c>
      <c r="J153" s="0" t="s">
        <v>22</v>
      </c>
      <c r="L153" s="0" t="str">
        <f aca="false">IFERROR(VLOOKUP(K153,'Supplier list'!B:C,2,0),"")</f>
        <v/>
      </c>
      <c r="M153" s="1" t="n">
        <f aca="false">FALSE()</f>
        <v>0</v>
      </c>
      <c r="N153" s="2"/>
      <c r="O153" s="2" t="n">
        <v>1.85</v>
      </c>
    </row>
    <row r="154" customFormat="false" ht="16.4" hidden="false" customHeight="false" outlineLevel="0" collapsed="false">
      <c r="A154" s="0" t="s">
        <v>15</v>
      </c>
      <c r="B154" s="0" t="s">
        <v>589</v>
      </c>
      <c r="C154" s="0" t="n">
        <v>114001</v>
      </c>
      <c r="D154" s="0" t="n">
        <v>114001</v>
      </c>
      <c r="E154" s="0" t="s">
        <v>590</v>
      </c>
      <c r="F154" s="0" t="s">
        <v>18</v>
      </c>
      <c r="G154" s="7" t="s">
        <v>591</v>
      </c>
      <c r="H154" s="0" t="s">
        <v>590</v>
      </c>
      <c r="I154" s="0" t="s">
        <v>21</v>
      </c>
      <c r="J154" s="0" t="s">
        <v>22</v>
      </c>
      <c r="K154" s="0" t="s">
        <v>352</v>
      </c>
      <c r="L154" s="0" t="str">
        <f aca="false">IFERROR(VLOOKUP(K154,'Supplier list'!B:C,2,0),"")</f>
        <v>บริษัท พีเอ็นพี อินเตอร์แพค</v>
      </c>
      <c r="M154" s="1" t="n">
        <f aca="false">FALSE()</f>
        <v>0</v>
      </c>
      <c r="N154" s="2"/>
      <c r="O154" s="2" t="n">
        <v>20</v>
      </c>
    </row>
    <row r="155" customFormat="false" ht="16.4" hidden="false" customHeight="false" outlineLevel="0" collapsed="false">
      <c r="A155" s="0" t="s">
        <v>15</v>
      </c>
      <c r="B155" s="0" t="s">
        <v>592</v>
      </c>
      <c r="C155" s="0" t="n">
        <v>114001</v>
      </c>
      <c r="D155" s="0" t="n">
        <v>114001</v>
      </c>
      <c r="E155" s="0" t="s">
        <v>593</v>
      </c>
      <c r="F155" s="0" t="s">
        <v>18</v>
      </c>
      <c r="G155" s="7" t="s">
        <v>594</v>
      </c>
      <c r="H155" s="0" t="s">
        <v>595</v>
      </c>
      <c r="I155" s="0" t="s">
        <v>21</v>
      </c>
      <c r="J155" s="0" t="s">
        <v>22</v>
      </c>
      <c r="L155" s="0" t="str">
        <f aca="false">IFERROR(VLOOKUP(K155,'Supplier list'!B:C,2,0),"")</f>
        <v/>
      </c>
      <c r="M155" s="1" t="n">
        <f aca="false">FALSE()</f>
        <v>0</v>
      </c>
      <c r="N155" s="2"/>
      <c r="O155" s="2" t="n">
        <v>55</v>
      </c>
    </row>
    <row r="156" customFormat="false" ht="16.4" hidden="false" customHeight="false" outlineLevel="0" collapsed="false">
      <c r="A156" s="0" t="s">
        <v>15</v>
      </c>
      <c r="B156" s="0" t="s">
        <v>596</v>
      </c>
      <c r="C156" s="0" t="n">
        <v>114001</v>
      </c>
      <c r="D156" s="0" t="n">
        <v>114001</v>
      </c>
      <c r="E156" s="0" t="s">
        <v>443</v>
      </c>
      <c r="F156" s="0" t="s">
        <v>18</v>
      </c>
      <c r="G156" s="7" t="s">
        <v>597</v>
      </c>
      <c r="H156" s="0" t="s">
        <v>598</v>
      </c>
      <c r="I156" s="0" t="s">
        <v>446</v>
      </c>
      <c r="J156" s="0" t="s">
        <v>447</v>
      </c>
      <c r="L156" s="0" t="str">
        <f aca="false">IFERROR(VLOOKUP(K156,'Supplier list'!B:C,2,0),"")</f>
        <v/>
      </c>
      <c r="M156" s="1" t="n">
        <f aca="false">FALSE()</f>
        <v>0</v>
      </c>
      <c r="N156" s="2"/>
      <c r="O156" s="2" t="n">
        <v>720</v>
      </c>
    </row>
    <row r="157" customFormat="false" ht="16.4" hidden="false" customHeight="false" outlineLevel="0" collapsed="false">
      <c r="A157" s="0" t="s">
        <v>15</v>
      </c>
      <c r="B157" s="0" t="s">
        <v>599</v>
      </c>
      <c r="C157" s="0" t="n">
        <v>114001</v>
      </c>
      <c r="D157" s="0" t="n">
        <v>114001</v>
      </c>
      <c r="E157" s="0" t="s">
        <v>600</v>
      </c>
      <c r="F157" s="0" t="s">
        <v>18</v>
      </c>
      <c r="G157" s="7" t="s">
        <v>601</v>
      </c>
      <c r="H157" s="0" t="s">
        <v>602</v>
      </c>
      <c r="I157" s="0" t="s">
        <v>21</v>
      </c>
      <c r="J157" s="0" t="s">
        <v>22</v>
      </c>
      <c r="K157" s="0" t="s">
        <v>68</v>
      </c>
      <c r="L157" s="0" t="str">
        <f aca="false">IFERROR(VLOOKUP(K157,'Supplier list'!B:C,2,0),"")</f>
        <v>หจก. กรีน ดิสทริบิวชั่น</v>
      </c>
      <c r="M157" s="1" t="n">
        <f aca="false">FALSE()</f>
        <v>0</v>
      </c>
      <c r="N157" s="2"/>
      <c r="O157" s="2" t="n">
        <v>23</v>
      </c>
    </row>
    <row r="158" customFormat="false" ht="16.4" hidden="false" customHeight="false" outlineLevel="0" collapsed="false">
      <c r="A158" s="0" t="s">
        <v>15</v>
      </c>
      <c r="B158" s="0" t="s">
        <v>603</v>
      </c>
      <c r="C158" s="0" t="n">
        <v>114001</v>
      </c>
      <c r="D158" s="0" t="n">
        <v>114001</v>
      </c>
      <c r="E158" s="0" t="s">
        <v>572</v>
      </c>
      <c r="F158" s="0" t="s">
        <v>18</v>
      </c>
      <c r="G158" s="7" t="s">
        <v>604</v>
      </c>
      <c r="H158" s="0" t="s">
        <v>605</v>
      </c>
      <c r="I158" s="0" t="s">
        <v>248</v>
      </c>
      <c r="J158" s="0" t="s">
        <v>249</v>
      </c>
      <c r="K158" s="0" t="s">
        <v>606</v>
      </c>
      <c r="L158" s="0" t="str">
        <f aca="false">IFERROR(VLOOKUP(K158,'Supplier list'!B:C,2,0),"")</f>
        <v/>
      </c>
      <c r="M158" s="1" t="n">
        <f aca="false">FALSE()</f>
        <v>0</v>
      </c>
      <c r="N158" s="2"/>
      <c r="O158" s="2" t="n">
        <v>26</v>
      </c>
    </row>
    <row r="159" customFormat="false" ht="16.4" hidden="false" customHeight="false" outlineLevel="0" collapsed="false">
      <c r="A159" s="0" t="s">
        <v>15</v>
      </c>
      <c r="B159" s="0" t="s">
        <v>607</v>
      </c>
      <c r="C159" s="0" t="n">
        <v>114001</v>
      </c>
      <c r="D159" s="0" t="n">
        <v>114001</v>
      </c>
      <c r="E159" s="0" t="s">
        <v>608</v>
      </c>
      <c r="F159" s="0" t="s">
        <v>18</v>
      </c>
      <c r="G159" s="7" t="s">
        <v>609</v>
      </c>
      <c r="H159" s="0" t="s">
        <v>610</v>
      </c>
      <c r="I159" s="0" t="s">
        <v>248</v>
      </c>
      <c r="J159" s="0" t="s">
        <v>249</v>
      </c>
      <c r="K159" s="0" t="s">
        <v>611</v>
      </c>
      <c r="L159" s="0" t="str">
        <f aca="false">IFERROR(VLOOKUP(K159,'Supplier list'!B:C,2,0),"")</f>
        <v>ร้าน bee to</v>
      </c>
      <c r="M159" s="1" t="n">
        <f aca="false">FALSE()</f>
        <v>0</v>
      </c>
      <c r="N159" s="2"/>
      <c r="O159" s="2" t="n">
        <v>218</v>
      </c>
    </row>
    <row r="160" customFormat="false" ht="16.4" hidden="false" customHeight="false" outlineLevel="0" collapsed="false">
      <c r="A160" s="0" t="s">
        <v>15</v>
      </c>
      <c r="B160" s="0" t="s">
        <v>612</v>
      </c>
      <c r="C160" s="0" t="n">
        <v>114001</v>
      </c>
      <c r="D160" s="0" t="n">
        <v>114001</v>
      </c>
      <c r="E160" s="0" t="s">
        <v>613</v>
      </c>
      <c r="F160" s="0" t="s">
        <v>18</v>
      </c>
      <c r="G160" s="7" t="s">
        <v>614</v>
      </c>
      <c r="H160" s="0" t="s">
        <v>615</v>
      </c>
      <c r="I160" s="0" t="s">
        <v>248</v>
      </c>
      <c r="J160" s="0" t="s">
        <v>249</v>
      </c>
      <c r="K160" s="0" t="s">
        <v>616</v>
      </c>
      <c r="L160" s="0" t="str">
        <f aca="false">IFERROR(VLOOKUP(K160,'Supplier list'!B:C,2,0),"")</f>
        <v>บริษัท จิ่งหรง พริ้นติ้ง จากัด</v>
      </c>
      <c r="M160" s="1" t="n">
        <f aca="false">FALSE()</f>
        <v>0</v>
      </c>
      <c r="N160" s="2"/>
      <c r="O160" s="2" t="n">
        <v>190</v>
      </c>
    </row>
    <row r="161" customFormat="false" ht="16.4" hidden="false" customHeight="false" outlineLevel="0" collapsed="false">
      <c r="A161" s="0" t="s">
        <v>15</v>
      </c>
      <c r="B161" s="0" t="s">
        <v>617</v>
      </c>
      <c r="C161" s="0" t="n">
        <v>114001</v>
      </c>
      <c r="D161" s="0" t="n">
        <v>114001</v>
      </c>
      <c r="E161" s="0" t="s">
        <v>121</v>
      </c>
      <c r="F161" s="0" t="s">
        <v>18</v>
      </c>
      <c r="G161" s="7" t="s">
        <v>618</v>
      </c>
      <c r="H161" s="0" t="s">
        <v>619</v>
      </c>
      <c r="I161" s="0" t="s">
        <v>21</v>
      </c>
      <c r="J161" s="0" t="s">
        <v>22</v>
      </c>
      <c r="K161" s="0" t="s">
        <v>567</v>
      </c>
      <c r="L161" s="0" t="str">
        <f aca="false">IFERROR(VLOOKUP(K161,'Supplier list'!B:C,2,0),"")</f>
        <v>บริษัท ไทย เมก้าแคบ จำกัด</v>
      </c>
      <c r="M161" s="1" t="n">
        <f aca="false">FALSE()</f>
        <v>0</v>
      </c>
      <c r="N161" s="2"/>
      <c r="O161" s="2" t="n">
        <v>4.3</v>
      </c>
    </row>
    <row r="162" customFormat="false" ht="16.4" hidden="false" customHeight="false" outlineLevel="0" collapsed="false">
      <c r="A162" s="0" t="s">
        <v>15</v>
      </c>
      <c r="B162" s="0" t="s">
        <v>620</v>
      </c>
      <c r="C162" s="0" t="n">
        <v>114001</v>
      </c>
      <c r="D162" s="0" t="n">
        <v>114001</v>
      </c>
      <c r="E162" s="0" t="s">
        <v>621</v>
      </c>
      <c r="F162" s="0" t="s">
        <v>18</v>
      </c>
      <c r="G162" s="7" t="s">
        <v>622</v>
      </c>
      <c r="H162" s="0" t="s">
        <v>623</v>
      </c>
      <c r="I162" s="0" t="s">
        <v>21</v>
      </c>
      <c r="J162" s="0" t="s">
        <v>22</v>
      </c>
      <c r="K162" s="0" t="s">
        <v>567</v>
      </c>
      <c r="L162" s="0" t="str">
        <f aca="false">IFERROR(VLOOKUP(K162,'Supplier list'!B:C,2,0),"")</f>
        <v>บริษัท ไทย เมก้าแคบ จำกัด</v>
      </c>
      <c r="M162" s="1" t="n">
        <f aca="false">FALSE()</f>
        <v>0</v>
      </c>
      <c r="N162" s="2"/>
      <c r="O162" s="2" t="n">
        <v>8</v>
      </c>
    </row>
    <row r="163" customFormat="false" ht="16.4" hidden="false" customHeight="false" outlineLevel="0" collapsed="false">
      <c r="A163" s="0" t="s">
        <v>15</v>
      </c>
      <c r="B163" s="0" t="s">
        <v>624</v>
      </c>
      <c r="C163" s="0" t="n">
        <v>114001</v>
      </c>
      <c r="D163" s="0" t="n">
        <v>114001</v>
      </c>
      <c r="E163" s="0" t="s">
        <v>625</v>
      </c>
      <c r="F163" s="0" t="s">
        <v>18</v>
      </c>
      <c r="G163" s="7" t="s">
        <v>626</v>
      </c>
      <c r="H163" s="0" t="s">
        <v>627</v>
      </c>
      <c r="I163" s="0" t="s">
        <v>248</v>
      </c>
      <c r="J163" s="0" t="s">
        <v>249</v>
      </c>
      <c r="K163" s="0" t="s">
        <v>352</v>
      </c>
      <c r="L163" s="0" t="str">
        <f aca="false">IFERROR(VLOOKUP(K163,'Supplier list'!B:C,2,0),"")</f>
        <v>บริษัท พีเอ็นพี อินเตอร์แพค</v>
      </c>
      <c r="M163" s="1" t="n">
        <f aca="false">FALSE()</f>
        <v>0</v>
      </c>
      <c r="N163" s="2"/>
      <c r="O163" s="2" t="n">
        <v>55</v>
      </c>
    </row>
    <row r="164" customFormat="false" ht="16.4" hidden="false" customHeight="false" outlineLevel="0" collapsed="false">
      <c r="A164" s="0" t="s">
        <v>15</v>
      </c>
      <c r="B164" s="0" t="s">
        <v>628</v>
      </c>
      <c r="C164" s="0" t="n">
        <v>114001</v>
      </c>
      <c r="D164" s="0" t="n">
        <v>114001</v>
      </c>
      <c r="E164" s="0" t="s">
        <v>298</v>
      </c>
      <c r="F164" s="0" t="s">
        <v>18</v>
      </c>
      <c r="G164" s="7" t="s">
        <v>629</v>
      </c>
      <c r="H164" s="0" t="s">
        <v>630</v>
      </c>
      <c r="I164" s="0" t="s">
        <v>142</v>
      </c>
      <c r="J164" s="0" t="s">
        <v>143</v>
      </c>
      <c r="K164" s="0" t="s">
        <v>303</v>
      </c>
      <c r="L164" s="0" t="str">
        <f aca="false">IFERROR(VLOOKUP(K164,'Supplier list'!B:C,2,0),"")</f>
        <v>บริษัท เอ็มเค วู้ดเทค จำกัด</v>
      </c>
      <c r="M164" s="1" t="n">
        <f aca="false">FALSE()</f>
        <v>0</v>
      </c>
      <c r="N164" s="2"/>
      <c r="O164" s="2" t="n">
        <v>80</v>
      </c>
    </row>
    <row r="165" customFormat="false" ht="16.4" hidden="false" customHeight="false" outlineLevel="0" collapsed="false">
      <c r="A165" s="0" t="s">
        <v>15</v>
      </c>
      <c r="B165" s="0" t="s">
        <v>631</v>
      </c>
      <c r="C165" s="0" t="n">
        <v>114001</v>
      </c>
      <c r="D165" s="0" t="n">
        <v>114001</v>
      </c>
      <c r="E165" s="0" t="s">
        <v>97</v>
      </c>
      <c r="F165" s="0" t="s">
        <v>18</v>
      </c>
      <c r="G165" s="7" t="s">
        <v>632</v>
      </c>
      <c r="H165" s="0" t="s">
        <v>633</v>
      </c>
      <c r="I165" s="0" t="s">
        <v>21</v>
      </c>
      <c r="J165" s="0" t="s">
        <v>22</v>
      </c>
      <c r="K165" s="0" t="s">
        <v>68</v>
      </c>
      <c r="L165" s="0" t="str">
        <f aca="false">IFERROR(VLOOKUP(K165,'Supplier list'!B:C,2,0),"")</f>
        <v>หจก. กรีน ดิสทริบิวชั่น</v>
      </c>
      <c r="M165" s="1" t="n">
        <f aca="false">FALSE()</f>
        <v>0</v>
      </c>
      <c r="N165" s="2"/>
      <c r="O165" s="2" t="n">
        <v>35</v>
      </c>
    </row>
    <row r="166" customFormat="false" ht="16.4" hidden="false" customHeight="false" outlineLevel="0" collapsed="false">
      <c r="A166" s="0" t="s">
        <v>15</v>
      </c>
      <c r="B166" s="0" t="s">
        <v>634</v>
      </c>
      <c r="C166" s="0" t="n">
        <v>114001</v>
      </c>
      <c r="D166" s="0" t="n">
        <v>114001</v>
      </c>
      <c r="E166" s="0" t="s">
        <v>97</v>
      </c>
      <c r="F166" s="0" t="s">
        <v>18</v>
      </c>
      <c r="G166" s="7" t="s">
        <v>635</v>
      </c>
      <c r="H166" s="0" t="s">
        <v>636</v>
      </c>
      <c r="I166" s="0" t="s">
        <v>21</v>
      </c>
      <c r="J166" s="0" t="s">
        <v>22</v>
      </c>
      <c r="K166" s="0" t="s">
        <v>68</v>
      </c>
      <c r="L166" s="0" t="str">
        <f aca="false">IFERROR(VLOOKUP(K166,'Supplier list'!B:C,2,0),"")</f>
        <v>หจก. กรีน ดิสทริบิวชั่น</v>
      </c>
      <c r="M166" s="1" t="n">
        <f aca="false">FALSE()</f>
        <v>0</v>
      </c>
      <c r="N166" s="2"/>
      <c r="O166" s="2" t="n">
        <v>35</v>
      </c>
    </row>
    <row r="167" customFormat="false" ht="16.4" hidden="false" customHeight="false" outlineLevel="0" collapsed="false">
      <c r="A167" s="0" t="s">
        <v>15</v>
      </c>
      <c r="B167" s="0" t="s">
        <v>637</v>
      </c>
      <c r="C167" s="0" t="n">
        <v>114001</v>
      </c>
      <c r="D167" s="0" t="n">
        <v>114001</v>
      </c>
      <c r="E167" s="0" t="s">
        <v>97</v>
      </c>
      <c r="F167" s="0" t="s">
        <v>18</v>
      </c>
      <c r="G167" s="7" t="s">
        <v>638</v>
      </c>
      <c r="H167" s="0" t="s">
        <v>639</v>
      </c>
      <c r="I167" s="0" t="s">
        <v>21</v>
      </c>
      <c r="J167" s="0" t="s">
        <v>22</v>
      </c>
      <c r="K167" s="0" t="s">
        <v>68</v>
      </c>
      <c r="L167" s="0" t="str">
        <f aca="false">IFERROR(VLOOKUP(K167,'Supplier list'!B:C,2,0),"")</f>
        <v>หจก. กรีน ดิสทริบิวชั่น</v>
      </c>
      <c r="M167" s="1" t="n">
        <f aca="false">FALSE()</f>
        <v>0</v>
      </c>
      <c r="N167" s="2"/>
      <c r="O167" s="2" t="n">
        <v>32</v>
      </c>
    </row>
    <row r="168" customFormat="false" ht="16.4" hidden="false" customHeight="false" outlineLevel="0" collapsed="false">
      <c r="A168" s="0" t="s">
        <v>15</v>
      </c>
      <c r="B168" s="0" t="s">
        <v>640</v>
      </c>
      <c r="C168" s="0" t="n">
        <v>114001</v>
      </c>
      <c r="D168" s="0" t="n">
        <v>114001</v>
      </c>
      <c r="E168" s="0" t="s">
        <v>97</v>
      </c>
      <c r="F168" s="0" t="s">
        <v>18</v>
      </c>
      <c r="G168" s="7" t="s">
        <v>641</v>
      </c>
      <c r="H168" s="0" t="s">
        <v>642</v>
      </c>
      <c r="I168" s="0" t="s">
        <v>21</v>
      </c>
      <c r="J168" s="0" t="s">
        <v>22</v>
      </c>
      <c r="K168" s="0" t="s">
        <v>68</v>
      </c>
      <c r="L168" s="0" t="str">
        <f aca="false">IFERROR(VLOOKUP(K168,'Supplier list'!B:C,2,0),"")</f>
        <v>หจก. กรีน ดิสทริบิวชั่น</v>
      </c>
      <c r="M168" s="1" t="n">
        <f aca="false">FALSE()</f>
        <v>0</v>
      </c>
      <c r="N168" s="2"/>
      <c r="O168" s="2" t="n">
        <v>52</v>
      </c>
    </row>
    <row r="169" customFormat="false" ht="16.4" hidden="false" customHeight="false" outlineLevel="0" collapsed="false">
      <c r="A169" s="0" t="s">
        <v>15</v>
      </c>
      <c r="B169" s="0" t="s">
        <v>643</v>
      </c>
      <c r="C169" s="0" t="n">
        <v>114001</v>
      </c>
      <c r="D169" s="0" t="n">
        <v>114001</v>
      </c>
      <c r="E169" s="0" t="s">
        <v>97</v>
      </c>
      <c r="F169" s="0" t="s">
        <v>18</v>
      </c>
      <c r="G169" s="7" t="s">
        <v>644</v>
      </c>
      <c r="H169" s="0" t="s">
        <v>645</v>
      </c>
      <c r="I169" s="0" t="s">
        <v>21</v>
      </c>
      <c r="J169" s="0" t="s">
        <v>22</v>
      </c>
      <c r="K169" s="0" t="s">
        <v>68</v>
      </c>
      <c r="L169" s="0" t="str">
        <f aca="false">IFERROR(VLOOKUP(K169,'Supplier list'!B:C,2,0),"")</f>
        <v>หจก. กรีน ดิสทริบิวชั่น</v>
      </c>
      <c r="M169" s="1" t="n">
        <f aca="false">FALSE()</f>
        <v>0</v>
      </c>
      <c r="N169" s="2"/>
      <c r="O169" s="2" t="n">
        <v>68</v>
      </c>
    </row>
    <row r="170" customFormat="false" ht="16.4" hidden="false" customHeight="false" outlineLevel="0" collapsed="false">
      <c r="A170" s="0" t="s">
        <v>15</v>
      </c>
      <c r="B170" s="0" t="s">
        <v>646</v>
      </c>
      <c r="C170" s="0" t="n">
        <v>114001</v>
      </c>
      <c r="D170" s="0" t="n">
        <v>114001</v>
      </c>
      <c r="E170" s="0" t="s">
        <v>97</v>
      </c>
      <c r="F170" s="0" t="s">
        <v>18</v>
      </c>
      <c r="G170" s="7" t="s">
        <v>647</v>
      </c>
      <c r="H170" s="0" t="s">
        <v>648</v>
      </c>
      <c r="I170" s="0" t="s">
        <v>21</v>
      </c>
      <c r="J170" s="0" t="s">
        <v>22</v>
      </c>
      <c r="K170" s="0" t="s">
        <v>68</v>
      </c>
      <c r="L170" s="0" t="str">
        <f aca="false">IFERROR(VLOOKUP(K170,'Supplier list'!B:C,2,0),"")</f>
        <v>หจก. กรีน ดิสทริบิวชั่น</v>
      </c>
      <c r="M170" s="1" t="n">
        <f aca="false">FALSE()</f>
        <v>0</v>
      </c>
      <c r="N170" s="2"/>
      <c r="O170" s="2" t="n">
        <v>163</v>
      </c>
    </row>
    <row r="171" customFormat="false" ht="16.4" hidden="false" customHeight="false" outlineLevel="0" collapsed="false">
      <c r="A171" s="0" t="s">
        <v>15</v>
      </c>
      <c r="B171" s="0" t="s">
        <v>649</v>
      </c>
      <c r="C171" s="0" t="n">
        <v>114001</v>
      </c>
      <c r="D171" s="0" t="n">
        <v>114001</v>
      </c>
      <c r="E171" s="0" t="s">
        <v>97</v>
      </c>
      <c r="F171" s="0" t="s">
        <v>18</v>
      </c>
      <c r="G171" s="7" t="s">
        <v>650</v>
      </c>
      <c r="H171" s="0" t="s">
        <v>651</v>
      </c>
      <c r="I171" s="0" t="s">
        <v>21</v>
      </c>
      <c r="J171" s="0" t="s">
        <v>22</v>
      </c>
      <c r="K171" s="0" t="s">
        <v>68</v>
      </c>
      <c r="L171" s="0" t="str">
        <f aca="false">IFERROR(VLOOKUP(K171,'Supplier list'!B:C,2,0),"")</f>
        <v>หจก. กรีน ดิสทริบิวชั่น</v>
      </c>
      <c r="M171" s="1" t="n">
        <f aca="false">FALSE()</f>
        <v>0</v>
      </c>
      <c r="N171" s="2"/>
      <c r="O171" s="2" t="n">
        <v>222</v>
      </c>
    </row>
    <row r="172" customFormat="false" ht="16.4" hidden="false" customHeight="false" outlineLevel="0" collapsed="false">
      <c r="A172" s="0" t="s">
        <v>15</v>
      </c>
      <c r="B172" s="0" t="s">
        <v>652</v>
      </c>
      <c r="C172" s="0" t="n">
        <v>114001</v>
      </c>
      <c r="D172" s="0" t="n">
        <v>114001</v>
      </c>
      <c r="E172" s="0" t="s">
        <v>97</v>
      </c>
      <c r="F172" s="0" t="s">
        <v>18</v>
      </c>
      <c r="G172" s="7" t="s">
        <v>653</v>
      </c>
      <c r="H172" s="0" t="s">
        <v>654</v>
      </c>
      <c r="I172" s="0" t="s">
        <v>21</v>
      </c>
      <c r="J172" s="0" t="s">
        <v>22</v>
      </c>
      <c r="K172" s="0" t="s">
        <v>68</v>
      </c>
      <c r="L172" s="0" t="str">
        <f aca="false">IFERROR(VLOOKUP(K172,'Supplier list'!B:C,2,0),"")</f>
        <v>หจก. กรีน ดิสทริบิวชั่น</v>
      </c>
      <c r="M172" s="1" t="n">
        <f aca="false">FALSE()</f>
        <v>0</v>
      </c>
      <c r="N172" s="2"/>
      <c r="O172" s="2" t="n">
        <v>328</v>
      </c>
    </row>
    <row r="173" customFormat="false" ht="16.4" hidden="false" customHeight="false" outlineLevel="0" collapsed="false">
      <c r="A173" s="0" t="s">
        <v>15</v>
      </c>
      <c r="B173" s="0" t="s">
        <v>655</v>
      </c>
      <c r="C173" s="0" t="n">
        <v>114001</v>
      </c>
      <c r="D173" s="0" t="n">
        <v>114001</v>
      </c>
      <c r="E173" s="0" t="s">
        <v>97</v>
      </c>
      <c r="F173" s="0" t="s">
        <v>18</v>
      </c>
      <c r="G173" s="7" t="s">
        <v>656</v>
      </c>
      <c r="H173" s="0" t="s">
        <v>657</v>
      </c>
      <c r="I173" s="0" t="s">
        <v>21</v>
      </c>
      <c r="J173" s="0" t="s">
        <v>22</v>
      </c>
      <c r="L173" s="0" t="str">
        <f aca="false">IFERROR(VLOOKUP(K173,'Supplier list'!B:C,2,0),"")</f>
        <v/>
      </c>
      <c r="M173" s="1" t="n">
        <f aca="false">FALSE()</f>
        <v>0</v>
      </c>
      <c r="N173" s="2"/>
      <c r="O173" s="2" t="n">
        <v>155</v>
      </c>
    </row>
    <row r="174" customFormat="false" ht="16.4" hidden="false" customHeight="false" outlineLevel="0" collapsed="false">
      <c r="A174" s="0" t="s">
        <v>15</v>
      </c>
      <c r="B174" s="0" t="s">
        <v>658</v>
      </c>
      <c r="C174" s="0" t="n">
        <v>114001</v>
      </c>
      <c r="D174" s="0" t="n">
        <v>114001</v>
      </c>
      <c r="E174" s="0" t="s">
        <v>659</v>
      </c>
      <c r="F174" s="0" t="s">
        <v>18</v>
      </c>
      <c r="G174" s="7" t="s">
        <v>660</v>
      </c>
      <c r="H174" s="0" t="s">
        <v>661</v>
      </c>
      <c r="I174" s="0" t="s">
        <v>21</v>
      </c>
      <c r="J174" s="0" t="s">
        <v>22</v>
      </c>
      <c r="L174" s="0" t="str">
        <f aca="false">IFERROR(VLOOKUP(K174,'Supplier list'!B:C,2,0),"")</f>
        <v/>
      </c>
      <c r="M174" s="1" t="n">
        <f aca="false">FALSE()</f>
        <v>0</v>
      </c>
      <c r="N174" s="2"/>
      <c r="O174" s="2" t="n">
        <v>135</v>
      </c>
    </row>
    <row r="175" customFormat="false" ht="16.4" hidden="false" customHeight="false" outlineLevel="0" collapsed="false">
      <c r="A175" s="0" t="s">
        <v>15</v>
      </c>
      <c r="B175" s="0" t="s">
        <v>662</v>
      </c>
      <c r="C175" s="0" t="n">
        <v>114001</v>
      </c>
      <c r="D175" s="0" t="n">
        <v>114001</v>
      </c>
      <c r="E175" s="0" t="s">
        <v>97</v>
      </c>
      <c r="F175" s="0" t="s">
        <v>18</v>
      </c>
      <c r="G175" s="7" t="s">
        <v>663</v>
      </c>
      <c r="H175" s="0" t="s">
        <v>664</v>
      </c>
      <c r="I175" s="0" t="s">
        <v>21</v>
      </c>
      <c r="J175" s="0" t="s">
        <v>22</v>
      </c>
      <c r="K175" s="0" t="s">
        <v>234</v>
      </c>
      <c r="L175" s="0" t="str">
        <f aca="false">IFERROR(VLOOKUP(K175,'Supplier list'!B:C,2,0),"")</f>
        <v/>
      </c>
      <c r="M175" s="1" t="n">
        <f aca="false">FALSE()</f>
        <v>0</v>
      </c>
      <c r="N175" s="2"/>
      <c r="O175" s="2" t="n">
        <v>299</v>
      </c>
    </row>
    <row r="176" customFormat="false" ht="16.4" hidden="false" customHeight="false" outlineLevel="0" collapsed="false">
      <c r="A176" s="0" t="s">
        <v>15</v>
      </c>
      <c r="B176" s="0" t="s">
        <v>665</v>
      </c>
      <c r="C176" s="0" t="n">
        <v>114001</v>
      </c>
      <c r="D176" s="0" t="n">
        <v>114001</v>
      </c>
      <c r="E176" s="0" t="s">
        <v>97</v>
      </c>
      <c r="F176" s="0" t="s">
        <v>18</v>
      </c>
      <c r="G176" s="7" t="s">
        <v>666</v>
      </c>
      <c r="H176" s="0" t="s">
        <v>667</v>
      </c>
      <c r="I176" s="0" t="s">
        <v>21</v>
      </c>
      <c r="J176" s="0" t="s">
        <v>22</v>
      </c>
      <c r="K176" s="0" t="s">
        <v>234</v>
      </c>
      <c r="L176" s="0" t="str">
        <f aca="false">IFERROR(VLOOKUP(K176,'Supplier list'!B:C,2,0),"")</f>
        <v/>
      </c>
      <c r="M176" s="1" t="n">
        <f aca="false">FALSE()</f>
        <v>0</v>
      </c>
      <c r="N176" s="2"/>
      <c r="O176" s="2" t="n">
        <v>275</v>
      </c>
    </row>
    <row r="177" customFormat="false" ht="16.4" hidden="false" customHeight="false" outlineLevel="0" collapsed="false">
      <c r="A177" s="0" t="s">
        <v>15</v>
      </c>
      <c r="B177" s="0" t="s">
        <v>668</v>
      </c>
      <c r="C177" s="0" t="n">
        <v>114001</v>
      </c>
      <c r="D177" s="0" t="n">
        <v>114001</v>
      </c>
      <c r="E177" s="0" t="s">
        <v>97</v>
      </c>
      <c r="F177" s="0" t="s">
        <v>18</v>
      </c>
      <c r="G177" s="7" t="s">
        <v>669</v>
      </c>
      <c r="H177" s="0" t="s">
        <v>670</v>
      </c>
      <c r="I177" s="0" t="s">
        <v>21</v>
      </c>
      <c r="J177" s="0" t="s">
        <v>22</v>
      </c>
      <c r="K177" s="0" t="s">
        <v>234</v>
      </c>
      <c r="L177" s="0" t="str">
        <f aca="false">IFERROR(VLOOKUP(K177,'Supplier list'!B:C,2,0),"")</f>
        <v/>
      </c>
      <c r="M177" s="1" t="n">
        <f aca="false">FALSE()</f>
        <v>0</v>
      </c>
      <c r="N177" s="2"/>
      <c r="O177" s="2" t="n">
        <v>275</v>
      </c>
    </row>
    <row r="178" customFormat="false" ht="16.4" hidden="false" customHeight="false" outlineLevel="0" collapsed="false">
      <c r="A178" s="0" t="s">
        <v>15</v>
      </c>
      <c r="B178" s="0" t="s">
        <v>671</v>
      </c>
      <c r="C178" s="0" t="n">
        <v>114001</v>
      </c>
      <c r="D178" s="0" t="n">
        <v>114001</v>
      </c>
      <c r="E178" s="0" t="s">
        <v>97</v>
      </c>
      <c r="F178" s="0" t="s">
        <v>18</v>
      </c>
      <c r="G178" s="7" t="s">
        <v>672</v>
      </c>
      <c r="H178" s="0" t="s">
        <v>673</v>
      </c>
      <c r="I178" s="0" t="s">
        <v>21</v>
      </c>
      <c r="J178" s="0" t="s">
        <v>22</v>
      </c>
      <c r="K178" s="0" t="s">
        <v>234</v>
      </c>
      <c r="L178" s="0" t="str">
        <f aca="false">IFERROR(VLOOKUP(K178,'Supplier list'!B:C,2,0),"")</f>
        <v/>
      </c>
      <c r="M178" s="1" t="n">
        <f aca="false">FALSE()</f>
        <v>0</v>
      </c>
      <c r="N178" s="2"/>
      <c r="O178" s="2" t="n">
        <v>290</v>
      </c>
    </row>
    <row r="179" customFormat="false" ht="16.4" hidden="false" customHeight="false" outlineLevel="0" collapsed="false">
      <c r="A179" s="0" t="s">
        <v>15</v>
      </c>
      <c r="B179" s="0" t="s">
        <v>674</v>
      </c>
      <c r="C179" s="0" t="n">
        <v>114001</v>
      </c>
      <c r="D179" s="0" t="n">
        <v>114001</v>
      </c>
      <c r="E179" s="0" t="s">
        <v>97</v>
      </c>
      <c r="F179" s="0" t="s">
        <v>18</v>
      </c>
      <c r="G179" s="7" t="s">
        <v>675</v>
      </c>
      <c r="H179" s="0" t="s">
        <v>676</v>
      </c>
      <c r="I179" s="0" t="s">
        <v>21</v>
      </c>
      <c r="J179" s="0" t="s">
        <v>22</v>
      </c>
      <c r="K179" s="0" t="s">
        <v>234</v>
      </c>
      <c r="L179" s="0" t="str">
        <f aca="false">IFERROR(VLOOKUP(K179,'Supplier list'!B:C,2,0),"")</f>
        <v/>
      </c>
      <c r="M179" s="1" t="n">
        <f aca="false">FALSE()</f>
        <v>0</v>
      </c>
      <c r="N179" s="2"/>
      <c r="O179" s="2" t="n">
        <v>290</v>
      </c>
    </row>
    <row r="180" customFormat="false" ht="16.4" hidden="false" customHeight="false" outlineLevel="0" collapsed="false">
      <c r="A180" s="0" t="s">
        <v>15</v>
      </c>
      <c r="B180" s="0" t="s">
        <v>677</v>
      </c>
      <c r="C180" s="0" t="n">
        <v>114001</v>
      </c>
      <c r="D180" s="0" t="n">
        <v>114001</v>
      </c>
      <c r="E180" s="0" t="s">
        <v>97</v>
      </c>
      <c r="F180" s="0" t="s">
        <v>18</v>
      </c>
      <c r="G180" s="7" t="s">
        <v>678</v>
      </c>
      <c r="H180" s="0" t="s">
        <v>679</v>
      </c>
      <c r="I180" s="0" t="s">
        <v>21</v>
      </c>
      <c r="J180" s="0" t="s">
        <v>22</v>
      </c>
      <c r="K180" s="0" t="s">
        <v>234</v>
      </c>
      <c r="L180" s="0" t="str">
        <f aca="false">IFERROR(VLOOKUP(K180,'Supplier list'!B:C,2,0),"")</f>
        <v/>
      </c>
      <c r="M180" s="1" t="n">
        <f aca="false">FALSE()</f>
        <v>0</v>
      </c>
      <c r="N180" s="2"/>
      <c r="O180" s="2" t="n">
        <v>265</v>
      </c>
    </row>
    <row r="181" customFormat="false" ht="16.4" hidden="false" customHeight="false" outlineLevel="0" collapsed="false">
      <c r="A181" s="0" t="s">
        <v>15</v>
      </c>
      <c r="B181" s="0" t="s">
        <v>680</v>
      </c>
      <c r="C181" s="0" t="n">
        <v>114001</v>
      </c>
      <c r="D181" s="0" t="n">
        <v>114001</v>
      </c>
      <c r="E181" s="0" t="s">
        <v>97</v>
      </c>
      <c r="F181" s="0" t="s">
        <v>18</v>
      </c>
      <c r="G181" s="7" t="s">
        <v>681</v>
      </c>
      <c r="H181" s="0" t="s">
        <v>682</v>
      </c>
      <c r="I181" s="0" t="s">
        <v>21</v>
      </c>
      <c r="J181" s="0" t="s">
        <v>22</v>
      </c>
      <c r="K181" s="0" t="s">
        <v>234</v>
      </c>
      <c r="L181" s="0" t="str">
        <f aca="false">IFERROR(VLOOKUP(K181,'Supplier list'!B:C,2,0),"")</f>
        <v/>
      </c>
      <c r="M181" s="1" t="n">
        <f aca="false">FALSE()</f>
        <v>0</v>
      </c>
      <c r="N181" s="2"/>
      <c r="O181" s="2" t="n">
        <v>265</v>
      </c>
    </row>
    <row r="182" customFormat="false" ht="16.4" hidden="false" customHeight="false" outlineLevel="0" collapsed="false">
      <c r="A182" s="0" t="s">
        <v>15</v>
      </c>
      <c r="B182" s="0" t="s">
        <v>683</v>
      </c>
      <c r="C182" s="0" t="n">
        <v>114001</v>
      </c>
      <c r="D182" s="0" t="n">
        <v>114001</v>
      </c>
      <c r="E182" s="0" t="s">
        <v>97</v>
      </c>
      <c r="F182" s="0" t="s">
        <v>18</v>
      </c>
      <c r="G182" s="7" t="s">
        <v>684</v>
      </c>
      <c r="H182" s="0" t="s">
        <v>685</v>
      </c>
      <c r="I182" s="0" t="s">
        <v>21</v>
      </c>
      <c r="J182" s="0" t="s">
        <v>22</v>
      </c>
      <c r="K182" s="0" t="s">
        <v>234</v>
      </c>
      <c r="L182" s="0" t="str">
        <f aca="false">IFERROR(VLOOKUP(K182,'Supplier list'!B:C,2,0),"")</f>
        <v/>
      </c>
      <c r="M182" s="1" t="n">
        <f aca="false">FALSE()</f>
        <v>0</v>
      </c>
      <c r="N182" s="2"/>
      <c r="O182" s="2" t="n">
        <v>791</v>
      </c>
    </row>
    <row r="183" customFormat="false" ht="16.4" hidden="false" customHeight="false" outlineLevel="0" collapsed="false">
      <c r="A183" s="0" t="s">
        <v>15</v>
      </c>
      <c r="B183" s="0" t="s">
        <v>686</v>
      </c>
      <c r="C183" s="0" t="n">
        <v>114001</v>
      </c>
      <c r="D183" s="0" t="n">
        <v>114001</v>
      </c>
      <c r="E183" s="0" t="s">
        <v>97</v>
      </c>
      <c r="F183" s="0" t="s">
        <v>18</v>
      </c>
      <c r="G183" s="7" t="s">
        <v>687</v>
      </c>
      <c r="H183" s="0" t="s">
        <v>688</v>
      </c>
      <c r="I183" s="0" t="s">
        <v>21</v>
      </c>
      <c r="J183" s="0" t="s">
        <v>22</v>
      </c>
      <c r="K183" s="0" t="s">
        <v>234</v>
      </c>
      <c r="L183" s="0" t="str">
        <f aca="false">IFERROR(VLOOKUP(K183,'Supplier list'!B:C,2,0),"")</f>
        <v/>
      </c>
      <c r="M183" s="1" t="n">
        <f aca="false">FALSE()</f>
        <v>0</v>
      </c>
      <c r="N183" s="2"/>
      <c r="O183" s="2" t="n">
        <v>791</v>
      </c>
    </row>
    <row r="184" customFormat="false" ht="16.4" hidden="false" customHeight="false" outlineLevel="0" collapsed="false">
      <c r="A184" s="0" t="s">
        <v>15</v>
      </c>
      <c r="B184" s="0" t="s">
        <v>689</v>
      </c>
      <c r="C184" s="0" t="n">
        <v>114001</v>
      </c>
      <c r="D184" s="0" t="n">
        <v>114001</v>
      </c>
      <c r="E184" s="0" t="s">
        <v>97</v>
      </c>
      <c r="F184" s="0" t="s">
        <v>18</v>
      </c>
      <c r="G184" s="7" t="s">
        <v>690</v>
      </c>
      <c r="H184" s="0" t="s">
        <v>691</v>
      </c>
      <c r="I184" s="0" t="s">
        <v>21</v>
      </c>
      <c r="J184" s="0" t="s">
        <v>22</v>
      </c>
      <c r="K184" s="0" t="s">
        <v>234</v>
      </c>
      <c r="L184" s="0" t="str">
        <f aca="false">IFERROR(VLOOKUP(K184,'Supplier list'!B:C,2,0),"")</f>
        <v/>
      </c>
      <c r="M184" s="1" t="n">
        <f aca="false">FALSE()</f>
        <v>0</v>
      </c>
      <c r="N184" s="2"/>
      <c r="O184" s="2" t="n">
        <v>585</v>
      </c>
    </row>
    <row r="185" customFormat="false" ht="16.4" hidden="false" customHeight="false" outlineLevel="0" collapsed="false">
      <c r="A185" s="0" t="s">
        <v>15</v>
      </c>
      <c r="B185" s="0" t="s">
        <v>692</v>
      </c>
      <c r="C185" s="0" t="n">
        <v>114001</v>
      </c>
      <c r="D185" s="0" t="n">
        <v>114001</v>
      </c>
      <c r="E185" s="0" t="s">
        <v>97</v>
      </c>
      <c r="F185" s="0" t="s">
        <v>18</v>
      </c>
      <c r="G185" s="7" t="s">
        <v>693</v>
      </c>
      <c r="H185" s="0" t="s">
        <v>694</v>
      </c>
      <c r="I185" s="0" t="s">
        <v>21</v>
      </c>
      <c r="J185" s="0" t="s">
        <v>22</v>
      </c>
      <c r="K185" s="0" t="s">
        <v>176</v>
      </c>
      <c r="L185" s="0" t="str">
        <f aca="false">IFERROR(VLOOKUP(K185,'Supplier list'!B:C,2,0),"")</f>
        <v>บริษัท ต้าโจว อินดัสทรี จำกัด</v>
      </c>
      <c r="M185" s="1" t="n">
        <f aca="false">FALSE()</f>
        <v>0</v>
      </c>
      <c r="N185" s="2"/>
      <c r="O185" s="2" t="n">
        <v>180</v>
      </c>
    </row>
    <row r="186" customFormat="false" ht="16.4" hidden="false" customHeight="false" outlineLevel="0" collapsed="false">
      <c r="A186" s="0" t="s">
        <v>15</v>
      </c>
      <c r="B186" s="0" t="s">
        <v>695</v>
      </c>
      <c r="C186" s="0" t="n">
        <v>114001</v>
      </c>
      <c r="D186" s="0" t="n">
        <v>114001</v>
      </c>
      <c r="E186" s="0" t="s">
        <v>97</v>
      </c>
      <c r="F186" s="0" t="s">
        <v>18</v>
      </c>
      <c r="G186" s="7" t="s">
        <v>696</v>
      </c>
      <c r="H186" s="0" t="s">
        <v>697</v>
      </c>
      <c r="I186" s="0" t="s">
        <v>21</v>
      </c>
      <c r="J186" s="0" t="s">
        <v>22</v>
      </c>
      <c r="K186" s="0" t="s">
        <v>234</v>
      </c>
      <c r="L186" s="0" t="str">
        <f aca="false">IFERROR(VLOOKUP(K186,'Supplier list'!B:C,2,0),"")</f>
        <v/>
      </c>
      <c r="M186" s="1" t="n">
        <f aca="false">FALSE()</f>
        <v>0</v>
      </c>
      <c r="N186" s="2"/>
      <c r="O186" s="2" t="n">
        <v>585</v>
      </c>
    </row>
    <row r="187" customFormat="false" ht="16.4" hidden="false" customHeight="false" outlineLevel="0" collapsed="false">
      <c r="A187" s="0" t="s">
        <v>15</v>
      </c>
      <c r="B187" s="0" t="s">
        <v>698</v>
      </c>
      <c r="C187" s="0" t="n">
        <v>114001</v>
      </c>
      <c r="D187" s="0" t="n">
        <v>114001</v>
      </c>
      <c r="E187" s="0" t="s">
        <v>97</v>
      </c>
      <c r="F187" s="0" t="s">
        <v>18</v>
      </c>
      <c r="G187" s="7" t="s">
        <v>699</v>
      </c>
      <c r="H187" s="0" t="s">
        <v>700</v>
      </c>
      <c r="I187" s="0" t="s">
        <v>701</v>
      </c>
      <c r="J187" s="0" t="s">
        <v>22</v>
      </c>
      <c r="K187" s="0" t="s">
        <v>234</v>
      </c>
      <c r="L187" s="0" t="str">
        <f aca="false">IFERROR(VLOOKUP(K187,'Supplier list'!B:C,2,0),"")</f>
        <v/>
      </c>
      <c r="M187" s="1" t="n">
        <f aca="false">FALSE()</f>
        <v>0</v>
      </c>
      <c r="N187" s="2"/>
      <c r="O187" s="2" t="n">
        <v>585</v>
      </c>
    </row>
    <row r="188" customFormat="false" ht="16.4" hidden="false" customHeight="false" outlineLevel="0" collapsed="false">
      <c r="A188" s="0" t="s">
        <v>15</v>
      </c>
      <c r="B188" s="0" t="s">
        <v>702</v>
      </c>
      <c r="C188" s="0" t="n">
        <v>114001</v>
      </c>
      <c r="D188" s="0" t="n">
        <v>114001</v>
      </c>
      <c r="E188" s="0" t="s">
        <v>97</v>
      </c>
      <c r="F188" s="0" t="s">
        <v>18</v>
      </c>
      <c r="G188" s="7" t="s">
        <v>703</v>
      </c>
      <c r="H188" s="0" t="s">
        <v>704</v>
      </c>
      <c r="I188" s="0" t="s">
        <v>21</v>
      </c>
      <c r="J188" s="0" t="s">
        <v>22</v>
      </c>
      <c r="L188" s="0" t="str">
        <f aca="false">IFERROR(VLOOKUP(K188,'Supplier list'!B:C,2,0),"")</f>
        <v/>
      </c>
      <c r="M188" s="1" t="n">
        <f aca="false">FALSE()</f>
        <v>0</v>
      </c>
      <c r="N188" s="2"/>
      <c r="O188" s="2" t="n">
        <v>108</v>
      </c>
    </row>
    <row r="189" customFormat="false" ht="16.4" hidden="false" customHeight="false" outlineLevel="0" collapsed="false">
      <c r="A189" s="0" t="s">
        <v>15</v>
      </c>
      <c r="B189" s="0" t="s">
        <v>705</v>
      </c>
      <c r="C189" s="0" t="n">
        <v>114001</v>
      </c>
      <c r="D189" s="0" t="n">
        <v>114001</v>
      </c>
      <c r="E189" s="0" t="s">
        <v>97</v>
      </c>
      <c r="F189" s="0" t="s">
        <v>18</v>
      </c>
      <c r="G189" s="7" t="s">
        <v>706</v>
      </c>
      <c r="H189" s="0" t="s">
        <v>707</v>
      </c>
      <c r="I189" s="0" t="s">
        <v>21</v>
      </c>
      <c r="J189" s="0" t="s">
        <v>22</v>
      </c>
      <c r="L189" s="0" t="str">
        <f aca="false">IFERROR(VLOOKUP(K189,'Supplier list'!B:C,2,0),"")</f>
        <v/>
      </c>
      <c r="M189" s="1" t="n">
        <f aca="false">FALSE()</f>
        <v>0</v>
      </c>
      <c r="N189" s="2"/>
      <c r="O189" s="2" t="n">
        <v>125</v>
      </c>
    </row>
    <row r="190" customFormat="false" ht="16.4" hidden="false" customHeight="false" outlineLevel="0" collapsed="false">
      <c r="A190" s="0" t="s">
        <v>15</v>
      </c>
      <c r="B190" s="0" t="s">
        <v>708</v>
      </c>
      <c r="C190" s="0" t="n">
        <v>114001</v>
      </c>
      <c r="D190" s="0" t="n">
        <v>114001</v>
      </c>
      <c r="E190" s="0" t="s">
        <v>97</v>
      </c>
      <c r="F190" s="0" t="s">
        <v>18</v>
      </c>
      <c r="G190" s="7" t="s">
        <v>709</v>
      </c>
      <c r="H190" s="0" t="s">
        <v>710</v>
      </c>
      <c r="I190" s="0" t="s">
        <v>21</v>
      </c>
      <c r="J190" s="0" t="s">
        <v>22</v>
      </c>
      <c r="L190" s="0" t="str">
        <f aca="false">IFERROR(VLOOKUP(K190,'Supplier list'!B:C,2,0),"")</f>
        <v/>
      </c>
      <c r="M190" s="1" t="n">
        <f aca="false">FALSE()</f>
        <v>0</v>
      </c>
      <c r="N190" s="2"/>
      <c r="O190" s="2" t="n">
        <v>195</v>
      </c>
    </row>
    <row r="191" customFormat="false" ht="16.4" hidden="false" customHeight="false" outlineLevel="0" collapsed="false">
      <c r="A191" s="0" t="s">
        <v>15</v>
      </c>
      <c r="B191" s="0" t="s">
        <v>711</v>
      </c>
      <c r="C191" s="0" t="n">
        <v>114001</v>
      </c>
      <c r="D191" s="0" t="n">
        <v>114001</v>
      </c>
      <c r="E191" s="0" t="s">
        <v>97</v>
      </c>
      <c r="F191" s="0" t="s">
        <v>18</v>
      </c>
      <c r="G191" s="7" t="s">
        <v>712</v>
      </c>
      <c r="H191" s="0" t="s">
        <v>713</v>
      </c>
      <c r="I191" s="0" t="s">
        <v>21</v>
      </c>
      <c r="J191" s="0" t="s">
        <v>22</v>
      </c>
      <c r="K191" s="0" t="s">
        <v>176</v>
      </c>
      <c r="L191" s="0" t="str">
        <f aca="false">IFERROR(VLOOKUP(K191,'Supplier list'!B:C,2,0),"")</f>
        <v>บริษัท ต้าโจว อินดัสทรี จำกัด</v>
      </c>
      <c r="M191" s="1" t="n">
        <f aca="false">FALSE()</f>
        <v>0</v>
      </c>
      <c r="N191" s="2"/>
      <c r="O191" s="2" t="n">
        <v>105</v>
      </c>
    </row>
    <row r="192" customFormat="false" ht="16.4" hidden="false" customHeight="false" outlineLevel="0" collapsed="false">
      <c r="A192" s="0" t="s">
        <v>15</v>
      </c>
      <c r="B192" s="0" t="s">
        <v>714</v>
      </c>
      <c r="C192" s="0" t="n">
        <v>114001</v>
      </c>
      <c r="D192" s="0" t="n">
        <v>114001</v>
      </c>
      <c r="E192" s="0" t="s">
        <v>97</v>
      </c>
      <c r="F192" s="0" t="s">
        <v>18</v>
      </c>
      <c r="G192" s="7" t="s">
        <v>715</v>
      </c>
      <c r="H192" s="0" t="s">
        <v>716</v>
      </c>
      <c r="I192" s="0" t="s">
        <v>21</v>
      </c>
      <c r="J192" s="0" t="s">
        <v>22</v>
      </c>
      <c r="K192" s="0" t="s">
        <v>176</v>
      </c>
      <c r="L192" s="0" t="str">
        <f aca="false">IFERROR(VLOOKUP(K192,'Supplier list'!B:C,2,0),"")</f>
        <v>บริษัท ต้าโจว อินดัสทรี จำกัด</v>
      </c>
      <c r="M192" s="1" t="n">
        <f aca="false">FALSE()</f>
        <v>0</v>
      </c>
      <c r="N192" s="2"/>
      <c r="O192" s="2" t="n">
        <v>105</v>
      </c>
    </row>
    <row r="193" customFormat="false" ht="16.4" hidden="false" customHeight="false" outlineLevel="0" collapsed="false">
      <c r="A193" s="0" t="s">
        <v>15</v>
      </c>
      <c r="B193" s="0" t="s">
        <v>717</v>
      </c>
      <c r="C193" s="0" t="n">
        <v>114001</v>
      </c>
      <c r="D193" s="0" t="n">
        <v>114001</v>
      </c>
      <c r="E193" s="0" t="s">
        <v>97</v>
      </c>
      <c r="F193" s="0" t="s">
        <v>18</v>
      </c>
      <c r="G193" s="7" t="s">
        <v>718</v>
      </c>
      <c r="H193" s="0" t="s">
        <v>719</v>
      </c>
      <c r="I193" s="0" t="s">
        <v>21</v>
      </c>
      <c r="J193" s="0" t="s">
        <v>22</v>
      </c>
      <c r="K193" s="0" t="s">
        <v>234</v>
      </c>
      <c r="L193" s="0" t="str">
        <f aca="false">IFERROR(VLOOKUP(K193,'Supplier list'!B:C,2,0),"")</f>
        <v/>
      </c>
      <c r="M193" s="1" t="n">
        <f aca="false">FALSE()</f>
        <v>0</v>
      </c>
      <c r="N193" s="2"/>
      <c r="O193" s="2" t="n">
        <v>420</v>
      </c>
    </row>
    <row r="194" customFormat="false" ht="16.4" hidden="false" customHeight="false" outlineLevel="0" collapsed="false">
      <c r="A194" s="0" t="s">
        <v>15</v>
      </c>
      <c r="B194" s="0" t="s">
        <v>720</v>
      </c>
      <c r="C194" s="0" t="n">
        <v>114001</v>
      </c>
      <c r="D194" s="0" t="n">
        <v>114001</v>
      </c>
      <c r="E194" s="0" t="s">
        <v>97</v>
      </c>
      <c r="F194" s="0" t="s">
        <v>18</v>
      </c>
      <c r="G194" s="7" t="s">
        <v>721</v>
      </c>
      <c r="H194" s="0" t="s">
        <v>722</v>
      </c>
      <c r="I194" s="0" t="s">
        <v>21</v>
      </c>
      <c r="J194" s="0" t="s">
        <v>22</v>
      </c>
      <c r="L194" s="0" t="str">
        <f aca="false">IFERROR(VLOOKUP(K194,'Supplier list'!B:C,2,0),"")</f>
        <v/>
      </c>
      <c r="M194" s="1" t="n">
        <f aca="false">FALSE()</f>
        <v>0</v>
      </c>
      <c r="N194" s="2"/>
      <c r="O194" s="2" t="n">
        <v>330</v>
      </c>
    </row>
    <row r="195" customFormat="false" ht="16.4" hidden="false" customHeight="false" outlineLevel="0" collapsed="false">
      <c r="A195" s="0" t="s">
        <v>15</v>
      </c>
      <c r="B195" s="0" t="s">
        <v>723</v>
      </c>
      <c r="C195" s="0" t="n">
        <v>114001</v>
      </c>
      <c r="D195" s="0" t="n">
        <v>114001</v>
      </c>
      <c r="E195" s="0" t="s">
        <v>97</v>
      </c>
      <c r="F195" s="0" t="s">
        <v>18</v>
      </c>
      <c r="G195" s="7" t="s">
        <v>724</v>
      </c>
      <c r="H195" s="0" t="s">
        <v>725</v>
      </c>
      <c r="I195" s="0" t="s">
        <v>21</v>
      </c>
      <c r="J195" s="0" t="s">
        <v>22</v>
      </c>
      <c r="L195" s="0" t="str">
        <f aca="false">IFERROR(VLOOKUP(K195,'Supplier list'!B:C,2,0),"")</f>
        <v/>
      </c>
      <c r="M195" s="1" t="n">
        <f aca="false">FALSE()</f>
        <v>0</v>
      </c>
      <c r="N195" s="2"/>
      <c r="O195" s="2" t="n">
        <v>249</v>
      </c>
    </row>
    <row r="196" customFormat="false" ht="16.4" hidden="false" customHeight="false" outlineLevel="0" collapsed="false">
      <c r="A196" s="0" t="s">
        <v>15</v>
      </c>
      <c r="B196" s="0" t="s">
        <v>726</v>
      </c>
      <c r="C196" s="0" t="n">
        <v>114001</v>
      </c>
      <c r="D196" s="0" t="n">
        <v>114001</v>
      </c>
      <c r="E196" s="0" t="s">
        <v>97</v>
      </c>
      <c r="F196" s="0" t="s">
        <v>18</v>
      </c>
      <c r="G196" s="7" t="s">
        <v>727</v>
      </c>
      <c r="H196" s="0" t="s">
        <v>728</v>
      </c>
      <c r="I196" s="0" t="s">
        <v>21</v>
      </c>
      <c r="J196" s="0" t="s">
        <v>22</v>
      </c>
      <c r="L196" s="0" t="str">
        <f aca="false">IFERROR(VLOOKUP(K196,'Supplier list'!B:C,2,0),"")</f>
        <v/>
      </c>
      <c r="M196" s="1" t="n">
        <f aca="false">FALSE()</f>
        <v>0</v>
      </c>
      <c r="N196" s="2"/>
      <c r="O196" s="2" t="n">
        <v>249</v>
      </c>
    </row>
    <row r="197" customFormat="false" ht="16.4" hidden="false" customHeight="false" outlineLevel="0" collapsed="false">
      <c r="A197" s="0" t="s">
        <v>15</v>
      </c>
      <c r="B197" s="0" t="s">
        <v>729</v>
      </c>
      <c r="C197" s="0" t="n">
        <v>114001</v>
      </c>
      <c r="D197" s="0" t="n">
        <v>114001</v>
      </c>
      <c r="E197" s="0" t="s">
        <v>97</v>
      </c>
      <c r="F197" s="0" t="s">
        <v>18</v>
      </c>
      <c r="G197" s="7" t="s">
        <v>730</v>
      </c>
      <c r="H197" s="0" t="s">
        <v>731</v>
      </c>
      <c r="I197" s="0" t="s">
        <v>21</v>
      </c>
      <c r="J197" s="0" t="s">
        <v>22</v>
      </c>
      <c r="L197" s="0" t="str">
        <f aca="false">IFERROR(VLOOKUP(K197,'Supplier list'!B:C,2,0),"")</f>
        <v/>
      </c>
      <c r="M197" s="1" t="n">
        <f aca="false">FALSE()</f>
        <v>0</v>
      </c>
      <c r="N197" s="2"/>
      <c r="O197" s="2" t="n">
        <v>580</v>
      </c>
    </row>
    <row r="198" customFormat="false" ht="16.4" hidden="false" customHeight="false" outlineLevel="0" collapsed="false">
      <c r="A198" s="0" t="s">
        <v>15</v>
      </c>
      <c r="B198" s="0" t="s">
        <v>732</v>
      </c>
      <c r="C198" s="0" t="n">
        <v>114001</v>
      </c>
      <c r="D198" s="0" t="n">
        <v>114001</v>
      </c>
      <c r="E198" s="0" t="s">
        <v>97</v>
      </c>
      <c r="F198" s="0" t="s">
        <v>18</v>
      </c>
      <c r="G198" s="7" t="s">
        <v>733</v>
      </c>
      <c r="H198" s="0" t="s">
        <v>734</v>
      </c>
      <c r="I198" s="0" t="s">
        <v>21</v>
      </c>
      <c r="J198" s="0" t="s">
        <v>22</v>
      </c>
      <c r="L198" s="0" t="str">
        <f aca="false">IFERROR(VLOOKUP(K198,'Supplier list'!B:C,2,0),"")</f>
        <v/>
      </c>
      <c r="M198" s="1" t="n">
        <f aca="false">FALSE()</f>
        <v>0</v>
      </c>
      <c r="N198" s="2"/>
      <c r="O198" s="2" t="n">
        <v>580</v>
      </c>
    </row>
    <row r="199" customFormat="false" ht="16.4" hidden="false" customHeight="false" outlineLevel="0" collapsed="false">
      <c r="A199" s="0" t="s">
        <v>15</v>
      </c>
      <c r="B199" s="0" t="s">
        <v>735</v>
      </c>
      <c r="C199" s="0" t="n">
        <v>114001</v>
      </c>
      <c r="D199" s="0" t="n">
        <v>114001</v>
      </c>
      <c r="E199" s="0" t="s">
        <v>736</v>
      </c>
      <c r="F199" s="0" t="s">
        <v>18</v>
      </c>
      <c r="G199" s="7" t="s">
        <v>737</v>
      </c>
      <c r="H199" s="0" t="s">
        <v>738</v>
      </c>
      <c r="I199" s="0" t="s">
        <v>124</v>
      </c>
      <c r="J199" s="0" t="s">
        <v>125</v>
      </c>
      <c r="K199" s="0" t="s">
        <v>739</v>
      </c>
      <c r="L199" s="0" t="str">
        <f aca="false">IFERROR(VLOOKUP(K199,'Supplier list'!B:C,2,0),"")</f>
        <v>บริษัท ฮาร์ดแวร์เฮาส์ จำกัด</v>
      </c>
      <c r="M199" s="1" t="n">
        <f aca="false">FALSE()</f>
        <v>0</v>
      </c>
      <c r="N199" s="2"/>
      <c r="O199" s="2" t="n">
        <v>102</v>
      </c>
    </row>
    <row r="200" customFormat="false" ht="16.4" hidden="false" customHeight="false" outlineLevel="0" collapsed="false">
      <c r="A200" s="0" t="s">
        <v>15</v>
      </c>
      <c r="B200" s="0" t="s">
        <v>740</v>
      </c>
      <c r="C200" s="0" t="n">
        <v>114001</v>
      </c>
      <c r="D200" s="0" t="n">
        <v>114001</v>
      </c>
      <c r="E200" s="0" t="s">
        <v>659</v>
      </c>
      <c r="F200" s="0" t="s">
        <v>18</v>
      </c>
      <c r="G200" s="7" t="s">
        <v>741</v>
      </c>
      <c r="H200" s="0" t="s">
        <v>742</v>
      </c>
      <c r="I200" s="0" t="s">
        <v>701</v>
      </c>
      <c r="J200" s="0" t="s">
        <v>22</v>
      </c>
      <c r="K200" s="0" t="s">
        <v>75</v>
      </c>
      <c r="L200" s="0" t="str">
        <f aca="false">IFERROR(VLOOKUP(K200,'Supplier list'!B:C,2,0),"")</f>
        <v/>
      </c>
      <c r="M200" s="1" t="n">
        <f aca="false">FALSE()</f>
        <v>0</v>
      </c>
      <c r="N200" s="2"/>
      <c r="O200" s="2" t="n">
        <v>30</v>
      </c>
    </row>
    <row r="201" customFormat="false" ht="16.4" hidden="false" customHeight="false" outlineLevel="0" collapsed="false">
      <c r="A201" s="0" t="s">
        <v>15</v>
      </c>
      <c r="B201" s="0" t="s">
        <v>743</v>
      </c>
      <c r="C201" s="0" t="n">
        <v>114001</v>
      </c>
      <c r="D201" s="0" t="n">
        <v>114001</v>
      </c>
      <c r="E201" s="0" t="s">
        <v>659</v>
      </c>
      <c r="F201" s="0" t="s">
        <v>18</v>
      </c>
      <c r="G201" s="7" t="s">
        <v>744</v>
      </c>
      <c r="H201" s="0" t="s">
        <v>745</v>
      </c>
      <c r="I201" s="0" t="s">
        <v>701</v>
      </c>
      <c r="J201" s="0" t="s">
        <v>22</v>
      </c>
      <c r="K201" s="0" t="s">
        <v>75</v>
      </c>
      <c r="L201" s="0" t="str">
        <f aca="false">IFERROR(VLOOKUP(K201,'Supplier list'!B:C,2,0),"")</f>
        <v/>
      </c>
      <c r="M201" s="1" t="n">
        <f aca="false">FALSE()</f>
        <v>0</v>
      </c>
      <c r="N201" s="2"/>
      <c r="O201" s="2" t="n">
        <v>30</v>
      </c>
    </row>
    <row r="202" customFormat="false" ht="16.4" hidden="false" customHeight="false" outlineLevel="0" collapsed="false">
      <c r="A202" s="0" t="s">
        <v>15</v>
      </c>
      <c r="B202" s="0" t="s">
        <v>746</v>
      </c>
      <c r="C202" s="0" t="n">
        <v>114001</v>
      </c>
      <c r="D202" s="0" t="n">
        <v>114001</v>
      </c>
      <c r="E202" s="0" t="s">
        <v>97</v>
      </c>
      <c r="F202" s="0" t="s">
        <v>18</v>
      </c>
      <c r="G202" s="7" t="s">
        <v>747</v>
      </c>
      <c r="H202" s="0" t="s">
        <v>748</v>
      </c>
      <c r="I202" s="0" t="s">
        <v>701</v>
      </c>
      <c r="J202" s="0" t="s">
        <v>22</v>
      </c>
      <c r="L202" s="0" t="str">
        <f aca="false">IFERROR(VLOOKUP(K202,'Supplier list'!B:C,2,0),"")</f>
        <v/>
      </c>
      <c r="M202" s="1" t="n">
        <f aca="false">FALSE()</f>
        <v>0</v>
      </c>
      <c r="N202" s="2"/>
      <c r="O202" s="2" t="n">
        <v>1490</v>
      </c>
    </row>
    <row r="203" customFormat="false" ht="16.4" hidden="false" customHeight="false" outlineLevel="0" collapsed="false">
      <c r="A203" s="0" t="s">
        <v>15</v>
      </c>
      <c r="B203" s="0" t="s">
        <v>749</v>
      </c>
      <c r="C203" s="0" t="n">
        <v>114001</v>
      </c>
      <c r="D203" s="0" t="n">
        <v>114001</v>
      </c>
      <c r="E203" s="0" t="s">
        <v>659</v>
      </c>
      <c r="F203" s="0" t="s">
        <v>18</v>
      </c>
      <c r="G203" s="7" t="s">
        <v>750</v>
      </c>
      <c r="H203" s="0" t="s">
        <v>751</v>
      </c>
      <c r="I203" s="0" t="s">
        <v>701</v>
      </c>
      <c r="J203" s="0" t="s">
        <v>22</v>
      </c>
      <c r="L203" s="0" t="str">
        <f aca="false">IFERROR(VLOOKUP(K203,'Supplier list'!B:C,2,0),"")</f>
        <v/>
      </c>
      <c r="M203" s="1" t="n">
        <f aca="false">FALSE()</f>
        <v>0</v>
      </c>
      <c r="N203" s="2"/>
      <c r="O203" s="2" t="n">
        <v>163</v>
      </c>
    </row>
    <row r="204" customFormat="false" ht="16.4" hidden="false" customHeight="false" outlineLevel="0" collapsed="false">
      <c r="A204" s="0" t="s">
        <v>15</v>
      </c>
      <c r="B204" s="0" t="s">
        <v>752</v>
      </c>
      <c r="C204" s="0" t="n">
        <v>114001</v>
      </c>
      <c r="D204" s="0" t="n">
        <v>114001</v>
      </c>
      <c r="E204" s="0" t="s">
        <v>659</v>
      </c>
      <c r="F204" s="0" t="s">
        <v>18</v>
      </c>
      <c r="G204" s="7" t="s">
        <v>753</v>
      </c>
      <c r="H204" s="0" t="s">
        <v>754</v>
      </c>
      <c r="I204" s="0" t="s">
        <v>701</v>
      </c>
      <c r="J204" s="0" t="s">
        <v>22</v>
      </c>
      <c r="L204" s="0" t="str">
        <f aca="false">IFERROR(VLOOKUP(K204,'Supplier list'!B:C,2,0),"")</f>
        <v/>
      </c>
      <c r="M204" s="1" t="n">
        <f aca="false">FALSE()</f>
        <v>0</v>
      </c>
      <c r="N204" s="2"/>
      <c r="O204" s="2" t="n">
        <v>135</v>
      </c>
    </row>
    <row r="205" customFormat="false" ht="41.75" hidden="false" customHeight="false" outlineLevel="0" collapsed="false">
      <c r="A205" s="0" t="s">
        <v>15</v>
      </c>
      <c r="B205" s="0" t="s">
        <v>755</v>
      </c>
      <c r="C205" s="0" t="n">
        <v>114001</v>
      </c>
      <c r="D205" s="0" t="n">
        <v>114001</v>
      </c>
      <c r="E205" s="0" t="s">
        <v>756</v>
      </c>
      <c r="F205" s="0" t="s">
        <v>18</v>
      </c>
      <c r="G205" s="7" t="s">
        <v>757</v>
      </c>
      <c r="H205" s="0" t="s">
        <v>758</v>
      </c>
      <c r="I205" s="0" t="s">
        <v>21</v>
      </c>
      <c r="J205" s="0" t="s">
        <v>22</v>
      </c>
      <c r="K205" s="6" t="s">
        <v>192</v>
      </c>
      <c r="L205" s="0" t="str">
        <f aca="false">IFERROR(VLOOKUP(K205,'Supplier list'!B:C,2,0),"")</f>
        <v/>
      </c>
      <c r="M205" s="1" t="n">
        <f aca="false">FALSE()</f>
        <v>0</v>
      </c>
      <c r="N205" s="2"/>
      <c r="O205" s="2" t="n">
        <v>0.39</v>
      </c>
    </row>
    <row r="206" customFormat="false" ht="16.4" hidden="false" customHeight="false" outlineLevel="0" collapsed="false">
      <c r="A206" s="0" t="s">
        <v>15</v>
      </c>
      <c r="B206" s="0" t="s">
        <v>759</v>
      </c>
      <c r="C206" s="0" t="n">
        <v>114001</v>
      </c>
      <c r="D206" s="0" t="n">
        <v>114001</v>
      </c>
      <c r="E206" s="0" t="s">
        <v>217</v>
      </c>
      <c r="F206" s="0" t="s">
        <v>18</v>
      </c>
      <c r="G206" s="7" t="s">
        <v>760</v>
      </c>
      <c r="H206" s="0" t="s">
        <v>761</v>
      </c>
      <c r="I206" s="0" t="s">
        <v>21</v>
      </c>
      <c r="J206" s="0" t="s">
        <v>22</v>
      </c>
      <c r="K206" s="0" t="s">
        <v>75</v>
      </c>
      <c r="L206" s="0" t="str">
        <f aca="false">IFERROR(VLOOKUP(K206,'Supplier list'!B:C,2,0),"")</f>
        <v/>
      </c>
      <c r="M206" s="1" t="n">
        <f aca="false">FALSE()</f>
        <v>0</v>
      </c>
      <c r="N206" s="2"/>
      <c r="O206" s="2" t="n">
        <v>95</v>
      </c>
    </row>
    <row r="207" customFormat="false" ht="16.4" hidden="false" customHeight="false" outlineLevel="0" collapsed="false">
      <c r="A207" s="0" t="s">
        <v>15</v>
      </c>
      <c r="B207" s="0" t="s">
        <v>762</v>
      </c>
      <c r="C207" s="0" t="n">
        <v>114001</v>
      </c>
      <c r="D207" s="0" t="n">
        <v>114001</v>
      </c>
      <c r="E207" s="0" t="s">
        <v>97</v>
      </c>
      <c r="F207" s="0" t="s">
        <v>18</v>
      </c>
      <c r="G207" s="7" t="s">
        <v>763</v>
      </c>
      <c r="H207" s="0" t="s">
        <v>764</v>
      </c>
      <c r="I207" s="0" t="s">
        <v>765</v>
      </c>
      <c r="J207" s="0" t="s">
        <v>22</v>
      </c>
      <c r="L207" s="0" t="str">
        <f aca="false">IFERROR(VLOOKUP(K207,'Supplier list'!B:C,2,0),"")</f>
        <v/>
      </c>
      <c r="M207" s="1" t="n">
        <f aca="false">FALSE()</f>
        <v>0</v>
      </c>
      <c r="N207" s="2"/>
      <c r="O207" s="2" t="n">
        <v>170</v>
      </c>
    </row>
    <row r="208" customFormat="false" ht="16.4" hidden="false" customHeight="false" outlineLevel="0" collapsed="false">
      <c r="A208" s="0" t="s">
        <v>15</v>
      </c>
      <c r="B208" s="0" t="s">
        <v>766</v>
      </c>
      <c r="C208" s="0" t="n">
        <v>114001</v>
      </c>
      <c r="D208" s="0" t="n">
        <v>114001</v>
      </c>
      <c r="E208" s="0" t="s">
        <v>97</v>
      </c>
      <c r="F208" s="0" t="s">
        <v>18</v>
      </c>
      <c r="G208" s="7" t="s">
        <v>767</v>
      </c>
      <c r="H208" s="0" t="s">
        <v>768</v>
      </c>
      <c r="I208" s="0" t="s">
        <v>765</v>
      </c>
      <c r="J208" s="0" t="s">
        <v>22</v>
      </c>
      <c r="L208" s="0" t="str">
        <f aca="false">IFERROR(VLOOKUP(K208,'Supplier list'!B:C,2,0),"")</f>
        <v/>
      </c>
      <c r="M208" s="1" t="n">
        <f aca="false">FALSE()</f>
        <v>0</v>
      </c>
      <c r="N208" s="2"/>
      <c r="O208" s="2" t="n">
        <v>150</v>
      </c>
    </row>
    <row r="209" customFormat="false" ht="16.4" hidden="false" customHeight="false" outlineLevel="0" collapsed="false">
      <c r="A209" s="0" t="s">
        <v>15</v>
      </c>
      <c r="B209" s="0" t="s">
        <v>769</v>
      </c>
      <c r="C209" s="0" t="n">
        <v>114001</v>
      </c>
      <c r="D209" s="0" t="n">
        <v>114001</v>
      </c>
      <c r="E209" s="0" t="s">
        <v>97</v>
      </c>
      <c r="F209" s="0" t="s">
        <v>18</v>
      </c>
      <c r="G209" s="7" t="s">
        <v>770</v>
      </c>
      <c r="H209" s="0" t="s">
        <v>771</v>
      </c>
      <c r="I209" s="0" t="s">
        <v>765</v>
      </c>
      <c r="J209" s="0" t="s">
        <v>22</v>
      </c>
      <c r="L209" s="0" t="str">
        <f aca="false">IFERROR(VLOOKUP(K209,'Supplier list'!B:C,2,0),"")</f>
        <v/>
      </c>
      <c r="M209" s="1" t="n">
        <f aca="false">FALSE()</f>
        <v>0</v>
      </c>
      <c r="N209" s="2"/>
      <c r="O209" s="2" t="n">
        <v>170</v>
      </c>
    </row>
    <row r="210" customFormat="false" ht="16.4" hidden="false" customHeight="false" outlineLevel="0" collapsed="false">
      <c r="A210" s="0" t="s">
        <v>15</v>
      </c>
      <c r="B210" s="0" t="s">
        <v>772</v>
      </c>
      <c r="C210" s="0" t="n">
        <v>114001</v>
      </c>
      <c r="D210" s="0" t="n">
        <v>114001</v>
      </c>
      <c r="E210" s="0" t="s">
        <v>97</v>
      </c>
      <c r="F210" s="0" t="s">
        <v>18</v>
      </c>
      <c r="G210" s="7" t="s">
        <v>773</v>
      </c>
      <c r="H210" s="0" t="s">
        <v>774</v>
      </c>
      <c r="I210" s="0" t="s">
        <v>765</v>
      </c>
      <c r="J210" s="0" t="s">
        <v>22</v>
      </c>
      <c r="L210" s="0" t="str">
        <f aca="false">IFERROR(VLOOKUP(K210,'Supplier list'!B:C,2,0),"")</f>
        <v/>
      </c>
      <c r="M210" s="1" t="n">
        <f aca="false">FALSE()</f>
        <v>0</v>
      </c>
      <c r="N210" s="2"/>
      <c r="O210" s="2" t="n">
        <v>150</v>
      </c>
    </row>
    <row r="211" customFormat="false" ht="16.4" hidden="false" customHeight="false" outlineLevel="0" collapsed="false">
      <c r="A211" s="0" t="s">
        <v>15</v>
      </c>
      <c r="B211" s="0" t="s">
        <v>775</v>
      </c>
      <c r="C211" s="0" t="n">
        <v>114001</v>
      </c>
      <c r="D211" s="0" t="n">
        <v>114001</v>
      </c>
      <c r="E211" s="0" t="s">
        <v>217</v>
      </c>
      <c r="F211" s="0" t="s">
        <v>18</v>
      </c>
      <c r="G211" s="7" t="s">
        <v>776</v>
      </c>
      <c r="H211" s="0" t="s">
        <v>777</v>
      </c>
      <c r="I211" s="0" t="s">
        <v>765</v>
      </c>
      <c r="J211" s="0" t="s">
        <v>22</v>
      </c>
      <c r="K211" s="0" t="s">
        <v>75</v>
      </c>
      <c r="L211" s="0" t="str">
        <f aca="false">IFERROR(VLOOKUP(K211,'Supplier list'!B:C,2,0),"")</f>
        <v/>
      </c>
      <c r="M211" s="1" t="n">
        <f aca="false">FALSE()</f>
        <v>0</v>
      </c>
      <c r="N211" s="2"/>
      <c r="O211" s="2" t="n">
        <v>50</v>
      </c>
    </row>
    <row r="212" customFormat="false" ht="16.4" hidden="false" customHeight="false" outlineLevel="0" collapsed="false">
      <c r="A212" s="0" t="s">
        <v>15</v>
      </c>
      <c r="B212" s="0" t="s">
        <v>778</v>
      </c>
      <c r="C212" s="0" t="n">
        <v>114001</v>
      </c>
      <c r="D212" s="0" t="n">
        <v>114001</v>
      </c>
      <c r="E212" s="0" t="s">
        <v>97</v>
      </c>
      <c r="F212" s="0" t="s">
        <v>18</v>
      </c>
      <c r="G212" s="7" t="s">
        <v>779</v>
      </c>
      <c r="H212" s="0" t="s">
        <v>780</v>
      </c>
      <c r="I212" s="0" t="s">
        <v>765</v>
      </c>
      <c r="J212" s="0" t="s">
        <v>22</v>
      </c>
      <c r="L212" s="0" t="str">
        <f aca="false">IFERROR(VLOOKUP(K212,'Supplier list'!B:C,2,0),"")</f>
        <v/>
      </c>
      <c r="M212" s="1" t="n">
        <f aca="false">FALSE()</f>
        <v>0</v>
      </c>
      <c r="N212" s="2"/>
      <c r="O212" s="2" t="n">
        <v>125</v>
      </c>
    </row>
    <row r="213" customFormat="false" ht="16.4" hidden="false" customHeight="false" outlineLevel="0" collapsed="false">
      <c r="A213" s="0" t="s">
        <v>15</v>
      </c>
      <c r="B213" s="0" t="s">
        <v>781</v>
      </c>
      <c r="C213" s="0" t="n">
        <v>114001</v>
      </c>
      <c r="D213" s="0" t="n">
        <v>114001</v>
      </c>
      <c r="E213" s="0" t="s">
        <v>217</v>
      </c>
      <c r="F213" s="0" t="s">
        <v>18</v>
      </c>
      <c r="G213" s="7" t="s">
        <v>782</v>
      </c>
      <c r="H213" s="0" t="s">
        <v>783</v>
      </c>
      <c r="I213" s="0" t="s">
        <v>765</v>
      </c>
      <c r="J213" s="0" t="s">
        <v>22</v>
      </c>
      <c r="K213" s="0" t="s">
        <v>75</v>
      </c>
      <c r="L213" s="0" t="str">
        <f aca="false">IFERROR(VLOOKUP(K213,'Supplier list'!B:C,2,0),"")</f>
        <v/>
      </c>
      <c r="M213" s="1" t="n">
        <f aca="false">FALSE()</f>
        <v>0</v>
      </c>
      <c r="N213" s="2"/>
      <c r="O213" s="2" t="n">
        <v>75</v>
      </c>
    </row>
    <row r="214" customFormat="false" ht="16.4" hidden="false" customHeight="false" outlineLevel="0" collapsed="false">
      <c r="A214" s="0" t="s">
        <v>15</v>
      </c>
      <c r="B214" s="0" t="s">
        <v>784</v>
      </c>
      <c r="C214" s="0" t="n">
        <v>114001</v>
      </c>
      <c r="D214" s="0" t="n">
        <v>114001</v>
      </c>
      <c r="E214" s="0" t="s">
        <v>756</v>
      </c>
      <c r="F214" s="0" t="s">
        <v>18</v>
      </c>
      <c r="G214" s="7" t="s">
        <v>785</v>
      </c>
      <c r="H214" s="0" t="s">
        <v>786</v>
      </c>
      <c r="I214" s="0" t="s">
        <v>21</v>
      </c>
      <c r="J214" s="0" t="s">
        <v>22</v>
      </c>
      <c r="K214" s="0" t="s">
        <v>787</v>
      </c>
      <c r="L214" s="0" t="str">
        <f aca="false">IFERROR(VLOOKUP(K214,'Supplier list'!B:C,2,0),"")</f>
        <v>บริษัท ฟิวเจอร์เทค อินเตอร์มาร์เก็ตติ้ง จำกัด</v>
      </c>
      <c r="M214" s="1" t="n">
        <f aca="false">FALSE()</f>
        <v>0</v>
      </c>
      <c r="N214" s="2"/>
      <c r="O214" s="2" t="n">
        <v>20</v>
      </c>
    </row>
    <row r="215" customFormat="false" ht="16.4" hidden="false" customHeight="false" outlineLevel="0" collapsed="false">
      <c r="A215" s="0" t="s">
        <v>15</v>
      </c>
      <c r="B215" s="0" t="s">
        <v>788</v>
      </c>
      <c r="C215" s="0" t="n">
        <v>114001</v>
      </c>
      <c r="D215" s="0" t="n">
        <v>114001</v>
      </c>
      <c r="E215" s="0" t="s">
        <v>97</v>
      </c>
      <c r="F215" s="0" t="s">
        <v>18</v>
      </c>
      <c r="G215" s="7" t="s">
        <v>789</v>
      </c>
      <c r="H215" s="0" t="s">
        <v>790</v>
      </c>
      <c r="I215" s="0" t="s">
        <v>102</v>
      </c>
      <c r="J215" s="0" t="s">
        <v>103</v>
      </c>
      <c r="L215" s="0" t="str">
        <f aca="false">IFERROR(VLOOKUP(K215,'Supplier list'!B:C,2,0),"")</f>
        <v/>
      </c>
      <c r="M215" s="1" t="n">
        <f aca="false">FALSE()</f>
        <v>0</v>
      </c>
      <c r="N215" s="2"/>
      <c r="O215" s="2" t="n">
        <v>77</v>
      </c>
    </row>
    <row r="216" customFormat="false" ht="16.4" hidden="false" customHeight="false" outlineLevel="0" collapsed="false">
      <c r="A216" s="0" t="s">
        <v>15</v>
      </c>
      <c r="B216" s="0" t="s">
        <v>791</v>
      </c>
      <c r="C216" s="0" t="n">
        <v>114001</v>
      </c>
      <c r="D216" s="0" t="n">
        <v>114001</v>
      </c>
      <c r="E216" s="0" t="s">
        <v>97</v>
      </c>
      <c r="F216" s="0" t="s">
        <v>18</v>
      </c>
      <c r="G216" s="7" t="s">
        <v>792</v>
      </c>
      <c r="H216" s="0" t="s">
        <v>793</v>
      </c>
      <c r="I216" s="0" t="s">
        <v>102</v>
      </c>
      <c r="J216" s="0" t="s">
        <v>103</v>
      </c>
      <c r="L216" s="0" t="str">
        <f aca="false">IFERROR(VLOOKUP(K216,'Supplier list'!B:C,2,0),"")</f>
        <v/>
      </c>
      <c r="M216" s="1" t="n">
        <f aca="false">FALSE()</f>
        <v>0</v>
      </c>
      <c r="N216" s="2"/>
      <c r="O216" s="2" t="n">
        <v>129</v>
      </c>
    </row>
    <row r="217" customFormat="false" ht="16.4" hidden="false" customHeight="false" outlineLevel="0" collapsed="false">
      <c r="A217" s="0" t="s">
        <v>15</v>
      </c>
      <c r="B217" s="0" t="s">
        <v>794</v>
      </c>
      <c r="C217" s="0" t="n">
        <v>114001</v>
      </c>
      <c r="D217" s="0" t="n">
        <v>114001</v>
      </c>
      <c r="E217" s="0" t="s">
        <v>97</v>
      </c>
      <c r="F217" s="0" t="s">
        <v>18</v>
      </c>
      <c r="G217" s="7" t="s">
        <v>795</v>
      </c>
      <c r="H217" s="0" t="s">
        <v>796</v>
      </c>
      <c r="I217" s="0" t="s">
        <v>102</v>
      </c>
      <c r="J217" s="0" t="s">
        <v>103</v>
      </c>
      <c r="L217" s="0" t="str">
        <f aca="false">IFERROR(VLOOKUP(K217,'Supplier list'!B:C,2,0),"")</f>
        <v/>
      </c>
      <c r="M217" s="1" t="n">
        <f aca="false">FALSE()</f>
        <v>0</v>
      </c>
      <c r="N217" s="2"/>
      <c r="O217" s="2" t="n">
        <v>77</v>
      </c>
    </row>
    <row r="218" customFormat="false" ht="16.4" hidden="false" customHeight="false" outlineLevel="0" collapsed="false">
      <c r="A218" s="0" t="s">
        <v>15</v>
      </c>
      <c r="B218" s="0" t="s">
        <v>797</v>
      </c>
      <c r="C218" s="0" t="n">
        <v>114001</v>
      </c>
      <c r="D218" s="0" t="n">
        <v>114001</v>
      </c>
      <c r="E218" s="0" t="s">
        <v>97</v>
      </c>
      <c r="F218" s="0" t="s">
        <v>18</v>
      </c>
      <c r="G218" s="7" t="s">
        <v>798</v>
      </c>
      <c r="H218" s="0" t="s">
        <v>799</v>
      </c>
      <c r="I218" s="0" t="s">
        <v>102</v>
      </c>
      <c r="J218" s="0" t="s">
        <v>103</v>
      </c>
      <c r="L218" s="0" t="str">
        <f aca="false">IFERROR(VLOOKUP(K218,'Supplier list'!B:C,2,0),"")</f>
        <v/>
      </c>
      <c r="M218" s="1" t="n">
        <f aca="false">FALSE()</f>
        <v>0</v>
      </c>
      <c r="N218" s="2"/>
      <c r="O218" s="2" t="n">
        <v>87</v>
      </c>
    </row>
    <row r="219" customFormat="false" ht="16.4" hidden="false" customHeight="false" outlineLevel="0" collapsed="false">
      <c r="A219" s="0" t="s">
        <v>15</v>
      </c>
      <c r="B219" s="0" t="s">
        <v>800</v>
      </c>
      <c r="C219" s="0" t="n">
        <v>114001</v>
      </c>
      <c r="D219" s="0" t="n">
        <v>114001</v>
      </c>
      <c r="E219" s="0" t="s">
        <v>97</v>
      </c>
      <c r="F219" s="0" t="s">
        <v>18</v>
      </c>
      <c r="G219" s="7" t="s">
        <v>801</v>
      </c>
      <c r="H219" s="0" t="s">
        <v>802</v>
      </c>
      <c r="I219" s="0" t="s">
        <v>102</v>
      </c>
      <c r="J219" s="0" t="s">
        <v>103</v>
      </c>
      <c r="L219" s="0" t="str">
        <f aca="false">IFERROR(VLOOKUP(K219,'Supplier list'!B:C,2,0),"")</f>
        <v/>
      </c>
      <c r="M219" s="1" t="n">
        <f aca="false">FALSE()</f>
        <v>0</v>
      </c>
      <c r="N219" s="2"/>
      <c r="O219" s="2" t="n">
        <v>93</v>
      </c>
    </row>
    <row r="220" customFormat="false" ht="16.4" hidden="false" customHeight="false" outlineLevel="0" collapsed="false">
      <c r="A220" s="0" t="s">
        <v>15</v>
      </c>
      <c r="B220" s="0" t="s">
        <v>803</v>
      </c>
      <c r="C220" s="0" t="n">
        <v>114001</v>
      </c>
      <c r="D220" s="0" t="n">
        <v>114001</v>
      </c>
      <c r="E220" s="0" t="s">
        <v>97</v>
      </c>
      <c r="F220" s="0" t="s">
        <v>18</v>
      </c>
      <c r="G220" s="7" t="s">
        <v>804</v>
      </c>
      <c r="H220" s="0" t="s">
        <v>805</v>
      </c>
      <c r="I220" s="0" t="s">
        <v>102</v>
      </c>
      <c r="J220" s="0" t="s">
        <v>103</v>
      </c>
      <c r="L220" s="0" t="str">
        <f aca="false">IFERROR(VLOOKUP(K220,'Supplier list'!B:C,2,0),"")</f>
        <v/>
      </c>
      <c r="M220" s="1" t="n">
        <f aca="false">FALSE()</f>
        <v>0</v>
      </c>
      <c r="N220" s="2"/>
      <c r="O220" s="2" t="n">
        <v>173</v>
      </c>
    </row>
    <row r="221" customFormat="false" ht="16.4" hidden="false" customHeight="false" outlineLevel="0" collapsed="false">
      <c r="A221" s="0" t="s">
        <v>15</v>
      </c>
      <c r="B221" s="0" t="s">
        <v>806</v>
      </c>
      <c r="C221" s="0" t="n">
        <v>114001</v>
      </c>
      <c r="D221" s="0" t="n">
        <v>114001</v>
      </c>
      <c r="E221" s="0" t="s">
        <v>97</v>
      </c>
      <c r="F221" s="0" t="s">
        <v>18</v>
      </c>
      <c r="G221" s="7" t="s">
        <v>807</v>
      </c>
      <c r="H221" s="0" t="s">
        <v>808</v>
      </c>
      <c r="I221" s="0" t="s">
        <v>102</v>
      </c>
      <c r="J221" s="0" t="s">
        <v>103</v>
      </c>
      <c r="L221" s="0" t="str">
        <f aca="false">IFERROR(VLOOKUP(K221,'Supplier list'!B:C,2,0),"")</f>
        <v/>
      </c>
      <c r="M221" s="1" t="n">
        <f aca="false">FALSE()</f>
        <v>0</v>
      </c>
      <c r="N221" s="2"/>
      <c r="O221" s="2" t="n">
        <v>118</v>
      </c>
    </row>
    <row r="222" customFormat="false" ht="16.4" hidden="false" customHeight="false" outlineLevel="0" collapsed="false">
      <c r="A222" s="0" t="s">
        <v>15</v>
      </c>
      <c r="B222" s="0" t="s">
        <v>809</v>
      </c>
      <c r="C222" s="0" t="n">
        <v>114001</v>
      </c>
      <c r="D222" s="0" t="n">
        <v>114001</v>
      </c>
      <c r="E222" s="0" t="s">
        <v>197</v>
      </c>
      <c r="F222" s="0" t="s">
        <v>18</v>
      </c>
      <c r="G222" s="7" t="s">
        <v>810</v>
      </c>
      <c r="H222" s="0" t="s">
        <v>811</v>
      </c>
      <c r="I222" s="0" t="s">
        <v>102</v>
      </c>
      <c r="J222" s="0" t="s">
        <v>103</v>
      </c>
      <c r="L222" s="0" t="str">
        <f aca="false">IFERROR(VLOOKUP(K222,'Supplier list'!B:C,2,0),"")</f>
        <v/>
      </c>
      <c r="M222" s="1" t="n">
        <f aca="false">FALSE()</f>
        <v>0</v>
      </c>
      <c r="N222" s="2"/>
      <c r="O222" s="2" t="n">
        <v>99</v>
      </c>
    </row>
    <row r="223" customFormat="false" ht="16.4" hidden="false" customHeight="false" outlineLevel="0" collapsed="false">
      <c r="A223" s="0" t="s">
        <v>15</v>
      </c>
      <c r="B223" s="0" t="s">
        <v>812</v>
      </c>
      <c r="C223" s="0" t="n">
        <v>114001</v>
      </c>
      <c r="D223" s="0" t="n">
        <v>114001</v>
      </c>
      <c r="E223" s="0" t="s">
        <v>139</v>
      </c>
      <c r="F223" s="0" t="s">
        <v>18</v>
      </c>
      <c r="G223" s="7" t="s">
        <v>813</v>
      </c>
      <c r="H223" s="0" t="s">
        <v>814</v>
      </c>
      <c r="I223" s="0" t="s">
        <v>102</v>
      </c>
      <c r="J223" s="0" t="s">
        <v>103</v>
      </c>
      <c r="L223" s="0" t="str">
        <f aca="false">IFERROR(VLOOKUP(K223,'Supplier list'!B:C,2,0),"")</f>
        <v/>
      </c>
      <c r="M223" s="1" t="n">
        <f aca="false">FALSE()</f>
        <v>0</v>
      </c>
      <c r="N223" s="2"/>
      <c r="O223" s="2" t="n">
        <v>178</v>
      </c>
    </row>
    <row r="224" customFormat="false" ht="16.4" hidden="false" customHeight="false" outlineLevel="0" collapsed="false">
      <c r="A224" s="0" t="s">
        <v>15</v>
      </c>
      <c r="B224" s="0" t="s">
        <v>815</v>
      </c>
      <c r="C224" s="0" t="n">
        <v>114001</v>
      </c>
      <c r="D224" s="0" t="n">
        <v>114001</v>
      </c>
      <c r="E224" s="0" t="s">
        <v>139</v>
      </c>
      <c r="F224" s="0" t="s">
        <v>18</v>
      </c>
      <c r="G224" s="7" t="s">
        <v>816</v>
      </c>
      <c r="H224" s="0" t="s">
        <v>817</v>
      </c>
      <c r="I224" s="0" t="s">
        <v>102</v>
      </c>
      <c r="J224" s="0" t="s">
        <v>103</v>
      </c>
      <c r="L224" s="0" t="str">
        <f aca="false">IFERROR(VLOOKUP(K224,'Supplier list'!B:C,2,0),"")</f>
        <v/>
      </c>
      <c r="M224" s="1" t="n">
        <f aca="false">FALSE()</f>
        <v>0</v>
      </c>
      <c r="N224" s="2"/>
      <c r="O224" s="2" t="n">
        <v>178</v>
      </c>
    </row>
    <row r="225" customFormat="false" ht="16.4" hidden="false" customHeight="false" outlineLevel="0" collapsed="false">
      <c r="A225" s="0" t="s">
        <v>15</v>
      </c>
      <c r="B225" s="0" t="s">
        <v>818</v>
      </c>
      <c r="C225" s="0" t="n">
        <v>114001</v>
      </c>
      <c r="D225" s="0" t="n">
        <v>114001</v>
      </c>
      <c r="E225" s="0" t="s">
        <v>819</v>
      </c>
      <c r="F225" s="0" t="s">
        <v>18</v>
      </c>
      <c r="G225" s="7" t="s">
        <v>820</v>
      </c>
      <c r="H225" s="0" t="s">
        <v>821</v>
      </c>
      <c r="I225" s="0" t="s">
        <v>102</v>
      </c>
      <c r="J225" s="0" t="s">
        <v>103</v>
      </c>
      <c r="K225" s="0" t="s">
        <v>110</v>
      </c>
      <c r="L225" s="0" t="str">
        <f aca="false">IFERROR(VLOOKUP(K225,'Supplier list'!B:C,2,0),"")</f>
        <v>บริษัท ที.พี.เค ไทยเมท แมชชีนทูลล์ จำกัด</v>
      </c>
      <c r="M225" s="1" t="n">
        <f aca="false">FALSE()</f>
        <v>0</v>
      </c>
      <c r="N225" s="2"/>
      <c r="O225" s="2" t="n">
        <v>60</v>
      </c>
    </row>
    <row r="226" customFormat="false" ht="16.4" hidden="false" customHeight="false" outlineLevel="0" collapsed="false">
      <c r="A226" s="0" t="s">
        <v>15</v>
      </c>
      <c r="B226" s="0" t="s">
        <v>822</v>
      </c>
      <c r="C226" s="0" t="n">
        <v>114001</v>
      </c>
      <c r="D226" s="0" t="n">
        <v>114001</v>
      </c>
      <c r="E226" s="0" t="s">
        <v>197</v>
      </c>
      <c r="F226" s="0" t="s">
        <v>18</v>
      </c>
      <c r="G226" s="7" t="s">
        <v>823</v>
      </c>
      <c r="H226" s="0" t="s">
        <v>824</v>
      </c>
      <c r="I226" s="0" t="s">
        <v>102</v>
      </c>
      <c r="J226" s="0" t="s">
        <v>103</v>
      </c>
      <c r="L226" s="0" t="str">
        <f aca="false">IFERROR(VLOOKUP(K226,'Supplier list'!B:C,2,0),"")</f>
        <v/>
      </c>
      <c r="M226" s="1" t="n">
        <f aca="false">FALSE()</f>
        <v>0</v>
      </c>
      <c r="N226" s="2"/>
      <c r="O226" s="2" t="n">
        <v>549</v>
      </c>
    </row>
    <row r="227" customFormat="false" ht="41.75" hidden="false" customHeight="false" outlineLevel="0" collapsed="false">
      <c r="A227" s="0" t="s">
        <v>15</v>
      </c>
      <c r="B227" s="0" t="s">
        <v>825</v>
      </c>
      <c r="C227" s="0" t="n">
        <v>114001</v>
      </c>
      <c r="D227" s="0" t="n">
        <v>114001</v>
      </c>
      <c r="E227" s="0" t="s">
        <v>826</v>
      </c>
      <c r="F227" s="0" t="s">
        <v>18</v>
      </c>
      <c r="G227" s="7" t="s">
        <v>827</v>
      </c>
      <c r="H227" s="0" t="s">
        <v>826</v>
      </c>
      <c r="I227" s="0" t="s">
        <v>21</v>
      </c>
      <c r="J227" s="0" t="s">
        <v>22</v>
      </c>
      <c r="K227" s="6" t="s">
        <v>192</v>
      </c>
      <c r="L227" s="0" t="str">
        <f aca="false">IFERROR(VLOOKUP(K227,'Supplier list'!B:C,2,0),"")</f>
        <v/>
      </c>
      <c r="M227" s="1" t="n">
        <f aca="false">FALSE()</f>
        <v>0</v>
      </c>
      <c r="N227" s="2"/>
      <c r="O227" s="2" t="n">
        <v>30</v>
      </c>
    </row>
    <row r="228" customFormat="false" ht="16.4" hidden="false" customHeight="false" outlineLevel="0" collapsed="false">
      <c r="A228" s="0" t="s">
        <v>15</v>
      </c>
      <c r="B228" s="0" t="s">
        <v>828</v>
      </c>
      <c r="C228" s="0" t="n">
        <v>114001</v>
      </c>
      <c r="D228" s="0" t="n">
        <v>114001</v>
      </c>
      <c r="E228" s="0" t="s">
        <v>659</v>
      </c>
      <c r="F228" s="0" t="s">
        <v>18</v>
      </c>
      <c r="G228" s="7" t="s">
        <v>829</v>
      </c>
      <c r="H228" s="0" t="s">
        <v>830</v>
      </c>
      <c r="I228" s="0" t="s">
        <v>142</v>
      </c>
      <c r="J228" s="0" t="s">
        <v>143</v>
      </c>
      <c r="K228" s="0" t="s">
        <v>75</v>
      </c>
      <c r="L228" s="0" t="str">
        <f aca="false">IFERROR(VLOOKUP(K228,'Supplier list'!B:C,2,0),"")</f>
        <v/>
      </c>
      <c r="M228" s="1" t="n">
        <f aca="false">FALSE()</f>
        <v>0</v>
      </c>
      <c r="N228" s="2"/>
      <c r="O228" s="2" t="n">
        <v>120</v>
      </c>
    </row>
    <row r="229" customFormat="false" ht="16.4" hidden="false" customHeight="false" outlineLevel="0" collapsed="false">
      <c r="A229" s="0" t="s">
        <v>15</v>
      </c>
      <c r="B229" s="0" t="s">
        <v>831</v>
      </c>
      <c r="C229" s="0" t="n">
        <v>114001</v>
      </c>
      <c r="D229" s="0" t="n">
        <v>114001</v>
      </c>
      <c r="E229" s="0" t="s">
        <v>756</v>
      </c>
      <c r="F229" s="0" t="s">
        <v>18</v>
      </c>
      <c r="G229" s="7" t="s">
        <v>832</v>
      </c>
      <c r="H229" s="0" t="s">
        <v>833</v>
      </c>
      <c r="I229" s="0" t="s">
        <v>21</v>
      </c>
      <c r="J229" s="0" t="s">
        <v>22</v>
      </c>
      <c r="L229" s="0" t="str">
        <f aca="false">IFERROR(VLOOKUP(K229,'Supplier list'!B:C,2,0),"")</f>
        <v/>
      </c>
      <c r="M229" s="1" t="n">
        <f aca="false">FALSE()</f>
        <v>0</v>
      </c>
      <c r="N229" s="2"/>
      <c r="O229" s="2" t="n">
        <v>20</v>
      </c>
    </row>
    <row r="230" customFormat="false" ht="16.4" hidden="false" customHeight="false" outlineLevel="0" collapsed="false">
      <c r="A230" s="0" t="s">
        <v>15</v>
      </c>
      <c r="B230" s="0" t="s">
        <v>834</v>
      </c>
      <c r="C230" s="0" t="n">
        <v>114001</v>
      </c>
      <c r="D230" s="0" t="n">
        <v>114001</v>
      </c>
      <c r="E230" s="0" t="s">
        <v>275</v>
      </c>
      <c r="F230" s="0" t="s">
        <v>18</v>
      </c>
      <c r="G230" s="7" t="s">
        <v>835</v>
      </c>
      <c r="H230" s="0" t="s">
        <v>836</v>
      </c>
      <c r="I230" s="0" t="s">
        <v>142</v>
      </c>
      <c r="J230" s="0" t="s">
        <v>143</v>
      </c>
      <c r="K230" s="0" t="s">
        <v>352</v>
      </c>
      <c r="L230" s="0" t="str">
        <f aca="false">IFERROR(VLOOKUP(K230,'Supplier list'!B:C,2,0),"")</f>
        <v>บริษัท พีเอ็นพี อินเตอร์แพค</v>
      </c>
      <c r="M230" s="1" t="n">
        <f aca="false">FALSE()</f>
        <v>0</v>
      </c>
      <c r="N230" s="2"/>
      <c r="O230" s="2" t="n">
        <v>285</v>
      </c>
    </row>
    <row r="231" customFormat="false" ht="16.4" hidden="false" customHeight="false" outlineLevel="0" collapsed="false">
      <c r="A231" s="0" t="s">
        <v>15</v>
      </c>
      <c r="B231" s="0" t="s">
        <v>837</v>
      </c>
      <c r="C231" s="0" t="n">
        <v>114001</v>
      </c>
      <c r="D231" s="0" t="n">
        <v>114001</v>
      </c>
      <c r="E231" s="0" t="s">
        <v>405</v>
      </c>
      <c r="F231" s="0" t="s">
        <v>18</v>
      </c>
      <c r="G231" s="7" t="s">
        <v>838</v>
      </c>
      <c r="H231" s="0" t="s">
        <v>839</v>
      </c>
      <c r="I231" s="0" t="s">
        <v>142</v>
      </c>
      <c r="J231" s="0" t="s">
        <v>143</v>
      </c>
      <c r="K231" s="0" t="s">
        <v>352</v>
      </c>
      <c r="L231" s="0" t="str">
        <f aca="false">IFERROR(VLOOKUP(K231,'Supplier list'!B:C,2,0),"")</f>
        <v>บริษัท พีเอ็นพี อินเตอร์แพค</v>
      </c>
      <c r="M231" s="1" t="n">
        <f aca="false">FALSE()</f>
        <v>0</v>
      </c>
      <c r="N231" s="2"/>
      <c r="O231" s="2" t="n">
        <v>274</v>
      </c>
    </row>
    <row r="232" customFormat="false" ht="16.4" hidden="false" customHeight="false" outlineLevel="0" collapsed="false">
      <c r="A232" s="0" t="s">
        <v>15</v>
      </c>
      <c r="B232" s="0" t="s">
        <v>840</v>
      </c>
      <c r="C232" s="0" t="n">
        <v>114001</v>
      </c>
      <c r="D232" s="0" t="n">
        <v>114001</v>
      </c>
      <c r="E232" s="0" t="s">
        <v>613</v>
      </c>
      <c r="F232" s="0" t="s">
        <v>18</v>
      </c>
      <c r="G232" s="7" t="s">
        <v>841</v>
      </c>
      <c r="H232" s="0" t="s">
        <v>842</v>
      </c>
      <c r="I232" s="0" t="s">
        <v>21</v>
      </c>
      <c r="J232" s="0" t="s">
        <v>22</v>
      </c>
      <c r="K232" s="0" t="s">
        <v>616</v>
      </c>
      <c r="L232" s="0" t="str">
        <f aca="false">IFERROR(VLOOKUP(K232,'Supplier list'!B:C,2,0),"")</f>
        <v>บริษัท จิ่งหรง พริ้นติ้ง จากัด</v>
      </c>
      <c r="M232" s="1" t="n">
        <f aca="false">FALSE()</f>
        <v>0</v>
      </c>
      <c r="N232" s="2"/>
      <c r="O232" s="2" t="n">
        <v>350</v>
      </c>
    </row>
    <row r="233" customFormat="false" ht="16.4" hidden="false" customHeight="false" outlineLevel="0" collapsed="false">
      <c r="A233" s="0" t="s">
        <v>15</v>
      </c>
      <c r="B233" s="0" t="s">
        <v>843</v>
      </c>
      <c r="C233" s="0" t="n">
        <v>114001</v>
      </c>
      <c r="D233" s="0" t="n">
        <v>114001</v>
      </c>
      <c r="E233" s="0" t="s">
        <v>844</v>
      </c>
      <c r="F233" s="0" t="s">
        <v>18</v>
      </c>
      <c r="G233" s="7" t="s">
        <v>845</v>
      </c>
      <c r="H233" s="0" t="s">
        <v>846</v>
      </c>
      <c r="I233" s="0" t="s">
        <v>248</v>
      </c>
      <c r="J233" s="0" t="s">
        <v>249</v>
      </c>
      <c r="L233" s="0" t="str">
        <f aca="false">IFERROR(VLOOKUP(K233,'Supplier list'!B:C,2,0),"")</f>
        <v/>
      </c>
      <c r="M233" s="1" t="n">
        <f aca="false">FALSE()</f>
        <v>0</v>
      </c>
      <c r="N233" s="2"/>
      <c r="O233" s="2" t="n">
        <v>512</v>
      </c>
    </row>
    <row r="234" customFormat="false" ht="16.4" hidden="false" customHeight="false" outlineLevel="0" collapsed="false">
      <c r="A234" s="0" t="s">
        <v>15</v>
      </c>
      <c r="B234" s="0" t="s">
        <v>847</v>
      </c>
      <c r="C234" s="0" t="n">
        <v>114001</v>
      </c>
      <c r="D234" s="0" t="n">
        <v>114001</v>
      </c>
      <c r="E234" s="0" t="s">
        <v>405</v>
      </c>
      <c r="F234" s="0" t="s">
        <v>18</v>
      </c>
      <c r="G234" s="7" t="s">
        <v>848</v>
      </c>
      <c r="H234" s="0" t="s">
        <v>849</v>
      </c>
      <c r="I234" s="0" t="s">
        <v>142</v>
      </c>
      <c r="J234" s="0" t="s">
        <v>143</v>
      </c>
      <c r="K234" s="0" t="s">
        <v>155</v>
      </c>
      <c r="L234" s="0" t="str">
        <f aca="false">IFERROR(VLOOKUP(K234,'Supplier list'!B:C,2,0),"")</f>
        <v>บริษัท ก.เจริญฮาร์ดแวร์ จำกัด</v>
      </c>
      <c r="M234" s="1" t="n">
        <f aca="false">FALSE()</f>
        <v>0</v>
      </c>
      <c r="N234" s="2"/>
      <c r="O234" s="2" t="n">
        <v>171</v>
      </c>
    </row>
    <row r="235" customFormat="false" ht="16.4" hidden="false" customHeight="false" outlineLevel="0" collapsed="false">
      <c r="A235" s="0" t="s">
        <v>15</v>
      </c>
      <c r="B235" s="0" t="s">
        <v>850</v>
      </c>
      <c r="C235" s="0" t="n">
        <v>114001</v>
      </c>
      <c r="D235" s="0" t="n">
        <v>114001</v>
      </c>
      <c r="E235" s="0" t="s">
        <v>659</v>
      </c>
      <c r="F235" s="0" t="s">
        <v>18</v>
      </c>
      <c r="G235" s="7" t="s">
        <v>851</v>
      </c>
      <c r="H235" s="0" t="s">
        <v>852</v>
      </c>
      <c r="I235" s="0" t="s">
        <v>21</v>
      </c>
      <c r="J235" s="0" t="s">
        <v>22</v>
      </c>
      <c r="L235" s="0" t="str">
        <f aca="false">IFERROR(VLOOKUP(K235,'Supplier list'!B:C,2,0),"")</f>
        <v/>
      </c>
      <c r="M235" s="1" t="n">
        <f aca="false">FALSE()</f>
        <v>0</v>
      </c>
      <c r="N235" s="2"/>
      <c r="O235" s="2" t="n">
        <v>633</v>
      </c>
    </row>
    <row r="236" customFormat="false" ht="16.4" hidden="false" customHeight="false" outlineLevel="0" collapsed="false">
      <c r="A236" s="0" t="s">
        <v>15</v>
      </c>
      <c r="B236" s="0" t="s">
        <v>853</v>
      </c>
      <c r="C236" s="0" t="n">
        <v>114001</v>
      </c>
      <c r="D236" s="0" t="n">
        <v>114001</v>
      </c>
      <c r="E236" s="0" t="s">
        <v>514</v>
      </c>
      <c r="F236" s="0" t="s">
        <v>18</v>
      </c>
      <c r="G236" s="7" t="s">
        <v>854</v>
      </c>
      <c r="H236" s="0" t="s">
        <v>855</v>
      </c>
      <c r="I236" s="0" t="s">
        <v>517</v>
      </c>
      <c r="J236" s="0" t="s">
        <v>518</v>
      </c>
      <c r="K236" s="0" t="s">
        <v>68</v>
      </c>
      <c r="L236" s="0" t="str">
        <f aca="false">IFERROR(VLOOKUP(K236,'Supplier list'!B:C,2,0),"")</f>
        <v>หจก. กรีน ดิสทริบิวชั่น</v>
      </c>
      <c r="M236" s="1" t="n">
        <f aca="false">FALSE()</f>
        <v>0</v>
      </c>
      <c r="N236" s="2"/>
      <c r="O236" s="2" t="n">
        <v>16</v>
      </c>
    </row>
    <row r="237" customFormat="false" ht="16.4" hidden="false" customHeight="false" outlineLevel="0" collapsed="false">
      <c r="A237" s="0" t="s">
        <v>15</v>
      </c>
      <c r="B237" s="0" t="s">
        <v>856</v>
      </c>
      <c r="C237" s="0" t="n">
        <v>114001</v>
      </c>
      <c r="D237" s="0" t="n">
        <v>114001</v>
      </c>
      <c r="E237" s="0" t="s">
        <v>369</v>
      </c>
      <c r="F237" s="0" t="s">
        <v>18</v>
      </c>
      <c r="G237" s="7" t="s">
        <v>857</v>
      </c>
      <c r="H237" s="0" t="s">
        <v>858</v>
      </c>
      <c r="I237" s="0" t="s">
        <v>248</v>
      </c>
      <c r="J237" s="0" t="s">
        <v>249</v>
      </c>
      <c r="K237" s="0" t="s">
        <v>859</v>
      </c>
      <c r="L237" s="0" t="str">
        <f aca="false">IFERROR(VLOOKUP(K237,'Supplier list'!B:C,2,0),"")</f>
        <v/>
      </c>
      <c r="M237" s="1" t="n">
        <f aca="false">FALSE()</f>
        <v>0</v>
      </c>
      <c r="N237" s="2"/>
      <c r="O237" s="2" t="n">
        <v>150</v>
      </c>
    </row>
    <row r="238" customFormat="false" ht="16.4" hidden="false" customHeight="false" outlineLevel="0" collapsed="false">
      <c r="A238" s="0" t="s">
        <v>15</v>
      </c>
      <c r="B238" s="0" t="s">
        <v>860</v>
      </c>
      <c r="C238" s="0" t="n">
        <v>114001</v>
      </c>
      <c r="D238" s="0" t="n">
        <v>114001</v>
      </c>
      <c r="E238" s="0" t="s">
        <v>294</v>
      </c>
      <c r="F238" s="0" t="s">
        <v>18</v>
      </c>
      <c r="G238" s="7" t="s">
        <v>861</v>
      </c>
      <c r="H238" s="0" t="s">
        <v>862</v>
      </c>
      <c r="I238" s="0" t="s">
        <v>384</v>
      </c>
      <c r="J238" s="0" t="s">
        <v>385</v>
      </c>
      <c r="L238" s="0" t="str">
        <f aca="false">IFERROR(VLOOKUP(K238,'Supplier list'!B:C,2,0),"")</f>
        <v/>
      </c>
      <c r="M238" s="1" t="n">
        <f aca="false">FALSE()</f>
        <v>0</v>
      </c>
      <c r="N238" s="2"/>
      <c r="O238" s="2" t="n">
        <v>390</v>
      </c>
    </row>
    <row r="239" customFormat="false" ht="16.4" hidden="false" customHeight="false" outlineLevel="0" collapsed="false">
      <c r="A239" s="0" t="s">
        <v>15</v>
      </c>
      <c r="B239" s="0" t="s">
        <v>863</v>
      </c>
      <c r="C239" s="0" t="n">
        <v>114001</v>
      </c>
      <c r="D239" s="0" t="n">
        <v>114001</v>
      </c>
      <c r="E239" s="0" t="s">
        <v>514</v>
      </c>
      <c r="F239" s="0" t="s">
        <v>18</v>
      </c>
      <c r="G239" s="7" t="s">
        <v>864</v>
      </c>
      <c r="H239" s="0" t="s">
        <v>865</v>
      </c>
      <c r="I239" s="0" t="s">
        <v>866</v>
      </c>
      <c r="J239" s="0" t="s">
        <v>509</v>
      </c>
      <c r="L239" s="0" t="str">
        <f aca="false">IFERROR(VLOOKUP(K239,'Supplier list'!B:C,2,0),"")</f>
        <v/>
      </c>
      <c r="M239" s="1" t="n">
        <f aca="false">FALSE()</f>
        <v>0</v>
      </c>
      <c r="N239" s="2"/>
      <c r="O239" s="2" t="n">
        <v>530</v>
      </c>
    </row>
    <row r="240" customFormat="false" ht="16.4" hidden="false" customHeight="false" outlineLevel="0" collapsed="false">
      <c r="A240" s="0" t="s">
        <v>15</v>
      </c>
      <c r="B240" s="0" t="s">
        <v>867</v>
      </c>
      <c r="C240" s="0" t="n">
        <v>114001</v>
      </c>
      <c r="D240" s="0" t="n">
        <v>114001</v>
      </c>
      <c r="E240" s="0" t="s">
        <v>127</v>
      </c>
      <c r="F240" s="0" t="s">
        <v>18</v>
      </c>
      <c r="G240" s="7" t="s">
        <v>868</v>
      </c>
      <c r="H240" s="0" t="s">
        <v>869</v>
      </c>
      <c r="I240" s="0" t="s">
        <v>21</v>
      </c>
      <c r="J240" s="0" t="s">
        <v>22</v>
      </c>
      <c r="K240" s="0" t="s">
        <v>155</v>
      </c>
      <c r="L240" s="0" t="str">
        <f aca="false">IFERROR(VLOOKUP(K240,'Supplier list'!B:C,2,0),"")</f>
        <v>บริษัท ก.เจริญฮาร์ดแวร์ จำกัด</v>
      </c>
      <c r="M240" s="1" t="n">
        <f aca="false">FALSE()</f>
        <v>0</v>
      </c>
      <c r="N240" s="2"/>
      <c r="O240" s="2" t="n">
        <v>57</v>
      </c>
    </row>
    <row r="241" customFormat="false" ht="16.4" hidden="false" customHeight="false" outlineLevel="0" collapsed="false">
      <c r="A241" s="0" t="s">
        <v>15</v>
      </c>
      <c r="B241" s="0" t="s">
        <v>870</v>
      </c>
      <c r="C241" s="0" t="n">
        <v>114001</v>
      </c>
      <c r="D241" s="0" t="n">
        <v>114001</v>
      </c>
      <c r="E241" s="0" t="s">
        <v>127</v>
      </c>
      <c r="F241" s="0" t="s">
        <v>18</v>
      </c>
      <c r="G241" s="7" t="s">
        <v>871</v>
      </c>
      <c r="H241" s="0" t="s">
        <v>872</v>
      </c>
      <c r="I241" s="0" t="s">
        <v>21</v>
      </c>
      <c r="J241" s="0" t="s">
        <v>22</v>
      </c>
      <c r="K241" s="0" t="s">
        <v>155</v>
      </c>
      <c r="L241" s="0" t="str">
        <f aca="false">IFERROR(VLOOKUP(K241,'Supplier list'!B:C,2,0),"")</f>
        <v>บริษัท ก.เจริญฮาร์ดแวร์ จำกัด</v>
      </c>
      <c r="M241" s="1" t="n">
        <f aca="false">FALSE()</f>
        <v>0</v>
      </c>
      <c r="N241" s="2"/>
      <c r="O241" s="2" t="n">
        <v>11</v>
      </c>
    </row>
    <row r="242" customFormat="false" ht="16.4" hidden="false" customHeight="false" outlineLevel="0" collapsed="false">
      <c r="A242" s="0" t="s">
        <v>15</v>
      </c>
      <c r="B242" s="0" t="s">
        <v>873</v>
      </c>
      <c r="C242" s="0" t="n">
        <v>114001</v>
      </c>
      <c r="D242" s="0" t="n">
        <v>114001</v>
      </c>
      <c r="E242" s="0" t="s">
        <v>874</v>
      </c>
      <c r="F242" s="0" t="s">
        <v>18</v>
      </c>
      <c r="G242" s="7" t="s">
        <v>875</v>
      </c>
      <c r="H242" s="0" t="s">
        <v>876</v>
      </c>
      <c r="I242" s="0" t="s">
        <v>21</v>
      </c>
      <c r="J242" s="0" t="s">
        <v>22</v>
      </c>
      <c r="K242" s="0" t="s">
        <v>155</v>
      </c>
      <c r="L242" s="0" t="str">
        <f aca="false">IFERROR(VLOOKUP(K242,'Supplier list'!B:C,2,0),"")</f>
        <v>บริษัท ก.เจริญฮาร์ดแวร์ จำกัด</v>
      </c>
      <c r="M242" s="1" t="n">
        <f aca="false">FALSE()</f>
        <v>0</v>
      </c>
      <c r="N242" s="2"/>
      <c r="O242" s="2" t="n">
        <v>162</v>
      </c>
    </row>
    <row r="243" customFormat="false" ht="16.4" hidden="false" customHeight="false" outlineLevel="0" collapsed="false">
      <c r="A243" s="0" t="s">
        <v>15</v>
      </c>
      <c r="B243" s="0" t="s">
        <v>877</v>
      </c>
      <c r="C243" s="0" t="n">
        <v>114001</v>
      </c>
      <c r="D243" s="0" t="n">
        <v>114001</v>
      </c>
      <c r="E243" s="0" t="s">
        <v>121</v>
      </c>
      <c r="F243" s="0" t="s">
        <v>18</v>
      </c>
      <c r="G243" s="7" t="s">
        <v>878</v>
      </c>
      <c r="H243" s="0" t="s">
        <v>879</v>
      </c>
      <c r="I243" s="0" t="s">
        <v>21</v>
      </c>
      <c r="J243" s="0" t="s">
        <v>22</v>
      </c>
      <c r="K243" s="0" t="s">
        <v>155</v>
      </c>
      <c r="L243" s="0" t="str">
        <f aca="false">IFERROR(VLOOKUP(K243,'Supplier list'!B:C,2,0),"")</f>
        <v>บริษัท ก.เจริญฮาร์ดแวร์ จำกัด</v>
      </c>
      <c r="M243" s="1" t="n">
        <f aca="false">FALSE()</f>
        <v>0</v>
      </c>
      <c r="N243" s="2"/>
      <c r="O243" s="2" t="n">
        <v>0.69</v>
      </c>
    </row>
    <row r="244" customFormat="false" ht="41.75" hidden="false" customHeight="false" outlineLevel="0" collapsed="false">
      <c r="A244" s="0" t="s">
        <v>15</v>
      </c>
      <c r="B244" s="0" t="s">
        <v>880</v>
      </c>
      <c r="C244" s="0" t="n">
        <v>114001</v>
      </c>
      <c r="D244" s="0" t="n">
        <v>114001</v>
      </c>
      <c r="E244" s="0" t="s">
        <v>121</v>
      </c>
      <c r="F244" s="0" t="s">
        <v>18</v>
      </c>
      <c r="G244" s="7" t="s">
        <v>881</v>
      </c>
      <c r="H244" s="0" t="s">
        <v>882</v>
      </c>
      <c r="I244" s="0" t="s">
        <v>21</v>
      </c>
      <c r="J244" s="0" t="s">
        <v>22</v>
      </c>
      <c r="K244" s="6" t="s">
        <v>192</v>
      </c>
      <c r="L244" s="0" t="str">
        <f aca="false">IFERROR(VLOOKUP(K244,'Supplier list'!B:C,2,0),"")</f>
        <v/>
      </c>
      <c r="M244" s="1" t="n">
        <f aca="false">FALSE()</f>
        <v>0</v>
      </c>
      <c r="N244" s="2"/>
      <c r="O244" s="2" t="n">
        <v>0.3</v>
      </c>
    </row>
    <row r="245" customFormat="false" ht="16.4" hidden="false" customHeight="false" outlineLevel="0" collapsed="false">
      <c r="A245" s="0" t="s">
        <v>15</v>
      </c>
      <c r="B245" s="0" t="s">
        <v>883</v>
      </c>
      <c r="C245" s="0" t="n">
        <v>114001</v>
      </c>
      <c r="D245" s="0" t="n">
        <v>114001</v>
      </c>
      <c r="E245" s="0" t="s">
        <v>121</v>
      </c>
      <c r="F245" s="0" t="s">
        <v>18</v>
      </c>
      <c r="G245" s="7" t="s">
        <v>884</v>
      </c>
      <c r="H245" s="0" t="s">
        <v>885</v>
      </c>
      <c r="I245" s="0" t="s">
        <v>21</v>
      </c>
      <c r="J245" s="0" t="s">
        <v>22</v>
      </c>
      <c r="K245" s="0" t="s">
        <v>155</v>
      </c>
      <c r="L245" s="0" t="str">
        <f aca="false">IFERROR(VLOOKUP(K245,'Supplier list'!B:C,2,0),"")</f>
        <v>บริษัท ก.เจริญฮาร์ดแวร์ จำกัด</v>
      </c>
      <c r="M245" s="1" t="n">
        <f aca="false">FALSE()</f>
        <v>0</v>
      </c>
      <c r="N245" s="2"/>
      <c r="O245" s="2" t="n">
        <v>0.34</v>
      </c>
    </row>
    <row r="246" customFormat="false" ht="16.4" hidden="false" customHeight="false" outlineLevel="0" collapsed="false">
      <c r="A246" s="0" t="s">
        <v>15</v>
      </c>
      <c r="B246" s="0" t="s">
        <v>886</v>
      </c>
      <c r="C246" s="0" t="n">
        <v>114001</v>
      </c>
      <c r="D246" s="0" t="n">
        <v>114001</v>
      </c>
      <c r="E246" s="0" t="s">
        <v>483</v>
      </c>
      <c r="F246" s="0" t="s">
        <v>18</v>
      </c>
      <c r="G246" s="7" t="s">
        <v>887</v>
      </c>
      <c r="H246" s="0" t="s">
        <v>888</v>
      </c>
      <c r="I246" s="0" t="s">
        <v>21</v>
      </c>
      <c r="J246" s="0" t="s">
        <v>22</v>
      </c>
      <c r="K246" s="0" t="s">
        <v>75</v>
      </c>
      <c r="L246" s="0" t="str">
        <f aca="false">IFERROR(VLOOKUP(K246,'Supplier list'!B:C,2,0),"")</f>
        <v/>
      </c>
      <c r="M246" s="1" t="n">
        <f aca="false">FALSE()</f>
        <v>0</v>
      </c>
      <c r="N246" s="2"/>
      <c r="O246" s="2" t="n">
        <v>40</v>
      </c>
    </row>
    <row r="247" customFormat="false" ht="16.4" hidden="false" customHeight="false" outlineLevel="0" collapsed="false">
      <c r="A247" s="0" t="s">
        <v>15</v>
      </c>
      <c r="B247" s="0" t="s">
        <v>889</v>
      </c>
      <c r="C247" s="0" t="n">
        <v>114001</v>
      </c>
      <c r="D247" s="0" t="n">
        <v>114001</v>
      </c>
      <c r="E247" s="0" t="s">
        <v>294</v>
      </c>
      <c r="F247" s="0" t="s">
        <v>18</v>
      </c>
      <c r="G247" s="7" t="s">
        <v>890</v>
      </c>
      <c r="H247" s="0" t="s">
        <v>891</v>
      </c>
      <c r="I247" s="0" t="s">
        <v>384</v>
      </c>
      <c r="J247" s="0" t="s">
        <v>385</v>
      </c>
      <c r="K247" s="0" t="s">
        <v>567</v>
      </c>
      <c r="L247" s="0" t="str">
        <f aca="false">IFERROR(VLOOKUP(K247,'Supplier list'!B:C,2,0),"")</f>
        <v>บริษัท ไทย เมก้าแคบ จำกัด</v>
      </c>
      <c r="M247" s="1" t="n">
        <f aca="false">FALSE()</f>
        <v>0</v>
      </c>
      <c r="N247" s="2"/>
      <c r="O247" s="2" t="n">
        <v>101.16</v>
      </c>
    </row>
    <row r="248" customFormat="false" ht="16.4" hidden="false" customHeight="false" outlineLevel="0" collapsed="false">
      <c r="A248" s="0" t="s">
        <v>15</v>
      </c>
      <c r="B248" s="0" t="s">
        <v>892</v>
      </c>
      <c r="C248" s="0" t="n">
        <v>114001</v>
      </c>
      <c r="D248" s="0" t="n">
        <v>114001</v>
      </c>
      <c r="E248" s="0" t="s">
        <v>294</v>
      </c>
      <c r="F248" s="0" t="s">
        <v>18</v>
      </c>
      <c r="G248" s="7" t="s">
        <v>893</v>
      </c>
      <c r="H248" s="0" t="s">
        <v>894</v>
      </c>
      <c r="I248" s="0" t="s">
        <v>384</v>
      </c>
      <c r="J248" s="0" t="s">
        <v>385</v>
      </c>
      <c r="K248" s="0" t="s">
        <v>392</v>
      </c>
      <c r="L248" s="0" t="str">
        <f aca="false">IFERROR(VLOOKUP(K248,'Supplier list'!B:C,2,0),"")</f>
        <v>บริษัท สไตเนอร์ท จำกัด</v>
      </c>
      <c r="M248" s="1" t="n">
        <f aca="false">FALSE()</f>
        <v>0</v>
      </c>
      <c r="N248" s="2"/>
      <c r="O248" s="2" t="n">
        <v>140</v>
      </c>
    </row>
    <row r="249" customFormat="false" ht="16.4" hidden="false" customHeight="false" outlineLevel="0" collapsed="false">
      <c r="A249" s="0" t="s">
        <v>15</v>
      </c>
      <c r="B249" s="0" t="s">
        <v>895</v>
      </c>
      <c r="C249" s="0" t="n">
        <v>114001</v>
      </c>
      <c r="D249" s="0" t="n">
        <v>114001</v>
      </c>
      <c r="E249" s="0" t="s">
        <v>896</v>
      </c>
      <c r="F249" s="0" t="s">
        <v>18</v>
      </c>
      <c r="G249" s="7" t="s">
        <v>897</v>
      </c>
      <c r="H249" s="0" t="s">
        <v>898</v>
      </c>
      <c r="I249" s="0" t="s">
        <v>384</v>
      </c>
      <c r="J249" s="0" t="s">
        <v>385</v>
      </c>
      <c r="K249" s="0" t="s">
        <v>899</v>
      </c>
      <c r="L249" s="0" t="str">
        <f aca="false">IFERROR(VLOOKUP(K249,'Supplier list'!B:C,2,0),"")</f>
        <v>บริษัท ไทฟง อินเตอร์เนชั่นแนล จำกัด</v>
      </c>
      <c r="M249" s="1" t="n">
        <f aca="false">FALSE()</f>
        <v>0</v>
      </c>
      <c r="N249" s="2"/>
      <c r="O249" s="2" t="n">
        <v>810</v>
      </c>
    </row>
    <row r="250" customFormat="false" ht="16.4" hidden="false" customHeight="false" outlineLevel="0" collapsed="false">
      <c r="A250" s="0" t="s">
        <v>15</v>
      </c>
      <c r="B250" s="0" t="s">
        <v>900</v>
      </c>
      <c r="C250" s="0" t="n">
        <v>114001</v>
      </c>
      <c r="D250" s="0" t="n">
        <v>114001</v>
      </c>
      <c r="E250" s="0" t="s">
        <v>901</v>
      </c>
      <c r="F250" s="0" t="s">
        <v>18</v>
      </c>
      <c r="G250" s="7" t="s">
        <v>902</v>
      </c>
      <c r="H250" s="0" t="s">
        <v>903</v>
      </c>
      <c r="I250" s="0" t="s">
        <v>904</v>
      </c>
      <c r="J250" s="0" t="s">
        <v>905</v>
      </c>
      <c r="K250" s="0" t="s">
        <v>899</v>
      </c>
      <c r="L250" s="0" t="str">
        <f aca="false">IFERROR(VLOOKUP(K250,'Supplier list'!B:C,2,0),"")</f>
        <v>บริษัท ไทฟง อินเตอร์เนชั่นแนล จำกัด</v>
      </c>
      <c r="M250" s="1" t="n">
        <f aca="false">FALSE()</f>
        <v>0</v>
      </c>
      <c r="N250" s="2"/>
      <c r="O250" s="2" t="n">
        <v>1220</v>
      </c>
    </row>
    <row r="251" customFormat="false" ht="16.4" hidden="false" customHeight="false" outlineLevel="0" collapsed="false">
      <c r="A251" s="0" t="s">
        <v>15</v>
      </c>
      <c r="B251" s="0" t="s">
        <v>906</v>
      </c>
      <c r="C251" s="0" t="n">
        <v>114001</v>
      </c>
      <c r="D251" s="0" t="n">
        <v>114001</v>
      </c>
      <c r="E251" s="0" t="s">
        <v>907</v>
      </c>
      <c r="F251" s="0" t="s">
        <v>18</v>
      </c>
      <c r="G251" s="7" t="s">
        <v>908</v>
      </c>
      <c r="H251" s="0" t="s">
        <v>909</v>
      </c>
      <c r="I251" s="0" t="s">
        <v>517</v>
      </c>
      <c r="J251" s="0" t="s">
        <v>518</v>
      </c>
      <c r="K251" s="0" t="s">
        <v>89</v>
      </c>
      <c r="L251" s="0" t="str">
        <f aca="false">IFERROR(VLOOKUP(K251,'Supplier list'!B:C,2,0),"")</f>
        <v>บริษัท เฮเฟเล่ (ประเทศไทย) จำกัด</v>
      </c>
      <c r="M251" s="1" t="n">
        <f aca="false">FALSE()</f>
        <v>0</v>
      </c>
      <c r="N251" s="2"/>
      <c r="O251" s="2" t="n">
        <v>47</v>
      </c>
    </row>
    <row r="252" customFormat="false" ht="16.4" hidden="false" customHeight="false" outlineLevel="0" collapsed="false">
      <c r="A252" s="0" t="s">
        <v>15</v>
      </c>
      <c r="B252" s="0" t="s">
        <v>910</v>
      </c>
      <c r="C252" s="0" t="n">
        <v>114001</v>
      </c>
      <c r="D252" s="0" t="n">
        <v>114001</v>
      </c>
      <c r="E252" s="0" t="s">
        <v>907</v>
      </c>
      <c r="F252" s="0" t="s">
        <v>18</v>
      </c>
      <c r="G252" s="7" t="s">
        <v>911</v>
      </c>
      <c r="H252" s="0" t="s">
        <v>912</v>
      </c>
      <c r="I252" s="0" t="s">
        <v>21</v>
      </c>
      <c r="J252" s="0" t="s">
        <v>22</v>
      </c>
      <c r="K252" s="0" t="s">
        <v>89</v>
      </c>
      <c r="L252" s="0" t="str">
        <f aca="false">IFERROR(VLOOKUP(K252,'Supplier list'!B:C,2,0),"")</f>
        <v>บริษัท เฮเฟเล่ (ประเทศไทย) จำกัด</v>
      </c>
      <c r="M252" s="1" t="n">
        <f aca="false">FALSE()</f>
        <v>0</v>
      </c>
      <c r="N252" s="2"/>
      <c r="O252" s="2" t="n">
        <v>112</v>
      </c>
    </row>
    <row r="253" customFormat="false" ht="16.4" hidden="false" customHeight="false" outlineLevel="0" collapsed="false">
      <c r="A253" s="0" t="s">
        <v>15</v>
      </c>
      <c r="B253" s="0" t="s">
        <v>913</v>
      </c>
      <c r="C253" s="0" t="n">
        <v>114001</v>
      </c>
      <c r="D253" s="0" t="n">
        <v>114001</v>
      </c>
      <c r="E253" s="0" t="s">
        <v>907</v>
      </c>
      <c r="F253" s="0" t="s">
        <v>18</v>
      </c>
      <c r="G253" s="7" t="s">
        <v>914</v>
      </c>
      <c r="H253" s="0" t="s">
        <v>915</v>
      </c>
      <c r="I253" s="0" t="s">
        <v>21</v>
      </c>
      <c r="J253" s="0" t="s">
        <v>22</v>
      </c>
      <c r="K253" s="0" t="s">
        <v>89</v>
      </c>
      <c r="L253" s="0" t="str">
        <f aca="false">IFERROR(VLOOKUP(K253,'Supplier list'!B:C,2,0),"")</f>
        <v>บริษัท เฮเฟเล่ (ประเทศไทย) จำกัด</v>
      </c>
      <c r="M253" s="1" t="n">
        <f aca="false">FALSE()</f>
        <v>0</v>
      </c>
      <c r="N253" s="2"/>
      <c r="O253" s="2" t="n">
        <v>112</v>
      </c>
    </row>
    <row r="254" customFormat="false" ht="16.4" hidden="false" customHeight="false" outlineLevel="0" collapsed="false">
      <c r="A254" s="0" t="s">
        <v>15</v>
      </c>
      <c r="B254" s="0" t="s">
        <v>916</v>
      </c>
      <c r="C254" s="0" t="n">
        <v>114001</v>
      </c>
      <c r="D254" s="0" t="n">
        <v>114001</v>
      </c>
      <c r="E254" s="0" t="s">
        <v>127</v>
      </c>
      <c r="F254" s="0" t="s">
        <v>18</v>
      </c>
      <c r="G254" s="7" t="s">
        <v>917</v>
      </c>
      <c r="H254" s="0" t="s">
        <v>918</v>
      </c>
      <c r="I254" s="0" t="s">
        <v>21</v>
      </c>
      <c r="J254" s="0" t="s">
        <v>22</v>
      </c>
      <c r="K254" s="0" t="s">
        <v>89</v>
      </c>
      <c r="L254" s="0" t="str">
        <f aca="false">IFERROR(VLOOKUP(K254,'Supplier list'!B:C,2,0),"")</f>
        <v>บริษัท เฮเฟเล่ (ประเทศไทย) จำกัด</v>
      </c>
      <c r="M254" s="1" t="n">
        <f aca="false">FALSE()</f>
        <v>0</v>
      </c>
      <c r="N254" s="2"/>
      <c r="O254" s="2" t="n">
        <v>21</v>
      </c>
    </row>
    <row r="255" customFormat="false" ht="16.4" hidden="false" customHeight="false" outlineLevel="0" collapsed="false">
      <c r="A255" s="0" t="s">
        <v>15</v>
      </c>
      <c r="B255" s="0" t="s">
        <v>919</v>
      </c>
      <c r="C255" s="0" t="n">
        <v>114001</v>
      </c>
      <c r="D255" s="0" t="n">
        <v>114001</v>
      </c>
      <c r="E255" s="0" t="s">
        <v>127</v>
      </c>
      <c r="F255" s="0" t="s">
        <v>18</v>
      </c>
      <c r="G255" s="7" t="s">
        <v>920</v>
      </c>
      <c r="H255" s="0" t="s">
        <v>921</v>
      </c>
      <c r="I255" s="0" t="s">
        <v>21</v>
      </c>
      <c r="J255" s="0" t="s">
        <v>22</v>
      </c>
      <c r="K255" s="0" t="s">
        <v>89</v>
      </c>
      <c r="L255" s="0" t="str">
        <f aca="false">IFERROR(VLOOKUP(K255,'Supplier list'!B:C,2,0),"")</f>
        <v>บริษัท เฮเฟเล่ (ประเทศไทย) จำกัด</v>
      </c>
      <c r="M255" s="1" t="n">
        <f aca="false">FALSE()</f>
        <v>0</v>
      </c>
      <c r="N255" s="2"/>
      <c r="O255" s="2" t="n">
        <v>25</v>
      </c>
    </row>
    <row r="256" customFormat="false" ht="16.4" hidden="false" customHeight="false" outlineLevel="0" collapsed="false">
      <c r="A256" s="0" t="s">
        <v>15</v>
      </c>
      <c r="B256" s="0" t="s">
        <v>922</v>
      </c>
      <c r="C256" s="0" t="n">
        <v>114001</v>
      </c>
      <c r="D256" s="0" t="n">
        <v>114001</v>
      </c>
      <c r="E256" s="0" t="s">
        <v>923</v>
      </c>
      <c r="F256" s="0" t="s">
        <v>18</v>
      </c>
      <c r="G256" s="7" t="s">
        <v>924</v>
      </c>
      <c r="H256" s="0" t="s">
        <v>925</v>
      </c>
      <c r="I256" s="0" t="s">
        <v>21</v>
      </c>
      <c r="J256" s="0" t="s">
        <v>22</v>
      </c>
      <c r="K256" s="0" t="s">
        <v>68</v>
      </c>
      <c r="L256" s="0" t="str">
        <f aca="false">IFERROR(VLOOKUP(K256,'Supplier list'!B:C,2,0),"")</f>
        <v>หจก. กรีน ดิสทริบิวชั่น</v>
      </c>
      <c r="M256" s="1" t="n">
        <f aca="false">FALSE()</f>
        <v>0</v>
      </c>
      <c r="N256" s="2"/>
      <c r="O256" s="2" t="n">
        <v>110</v>
      </c>
    </row>
    <row r="257" customFormat="false" ht="16.4" hidden="false" customHeight="false" outlineLevel="0" collapsed="false">
      <c r="A257" s="0" t="s">
        <v>15</v>
      </c>
      <c r="B257" s="0" t="s">
        <v>926</v>
      </c>
      <c r="C257" s="0" t="n">
        <v>114001</v>
      </c>
      <c r="D257" s="0" t="n">
        <v>114001</v>
      </c>
      <c r="E257" s="0" t="s">
        <v>923</v>
      </c>
      <c r="F257" s="0" t="s">
        <v>18</v>
      </c>
      <c r="G257" s="7" t="s">
        <v>927</v>
      </c>
      <c r="H257" s="0" t="s">
        <v>928</v>
      </c>
      <c r="I257" s="0" t="s">
        <v>21</v>
      </c>
      <c r="J257" s="0" t="s">
        <v>22</v>
      </c>
      <c r="K257" s="0" t="s">
        <v>68</v>
      </c>
      <c r="L257" s="0" t="str">
        <f aca="false">IFERROR(VLOOKUP(K257,'Supplier list'!B:C,2,0),"")</f>
        <v>หจก. กรีน ดิสทริบิวชั่น</v>
      </c>
      <c r="M257" s="1" t="n">
        <f aca="false">FALSE()</f>
        <v>0</v>
      </c>
      <c r="N257" s="2"/>
      <c r="O257" s="2" t="n">
        <v>80</v>
      </c>
    </row>
    <row r="258" customFormat="false" ht="16.4" hidden="false" customHeight="false" outlineLevel="0" collapsed="false">
      <c r="A258" s="0" t="s">
        <v>15</v>
      </c>
      <c r="B258" s="0" t="s">
        <v>929</v>
      </c>
      <c r="C258" s="0" t="n">
        <v>114001</v>
      </c>
      <c r="D258" s="0" t="n">
        <v>114001</v>
      </c>
      <c r="E258" s="0" t="s">
        <v>923</v>
      </c>
      <c r="F258" s="0" t="s">
        <v>18</v>
      </c>
      <c r="G258" s="7" t="s">
        <v>930</v>
      </c>
      <c r="H258" s="0" t="s">
        <v>931</v>
      </c>
      <c r="I258" s="0" t="s">
        <v>21</v>
      </c>
      <c r="J258" s="0" t="s">
        <v>22</v>
      </c>
      <c r="K258" s="0" t="s">
        <v>68</v>
      </c>
      <c r="L258" s="0" t="str">
        <f aca="false">IFERROR(VLOOKUP(K258,'Supplier list'!B:C,2,0),"")</f>
        <v>หจก. กรีน ดิสทริบิวชั่น</v>
      </c>
      <c r="M258" s="1" t="n">
        <f aca="false">FALSE()</f>
        <v>0</v>
      </c>
      <c r="N258" s="2"/>
      <c r="O258" s="2" t="n">
        <v>180</v>
      </c>
    </row>
    <row r="259" customFormat="false" ht="16.4" hidden="false" customHeight="false" outlineLevel="0" collapsed="false">
      <c r="A259" s="0" t="s">
        <v>15</v>
      </c>
      <c r="B259" s="0" t="s">
        <v>932</v>
      </c>
      <c r="C259" s="0" t="n">
        <v>114001</v>
      </c>
      <c r="D259" s="0" t="n">
        <v>114001</v>
      </c>
      <c r="E259" s="0" t="s">
        <v>121</v>
      </c>
      <c r="F259" s="0" t="s">
        <v>18</v>
      </c>
      <c r="G259" s="7" t="s">
        <v>933</v>
      </c>
      <c r="H259" s="0" t="s">
        <v>934</v>
      </c>
      <c r="I259" s="0" t="s">
        <v>21</v>
      </c>
      <c r="J259" s="0" t="s">
        <v>22</v>
      </c>
      <c r="K259" s="0" t="s">
        <v>787</v>
      </c>
      <c r="L259" s="0" t="str">
        <f aca="false">IFERROR(VLOOKUP(K259,'Supplier list'!B:C,2,0),"")</f>
        <v>บริษัท ฟิวเจอร์เทค อินเตอร์มาร์เก็ตติ้ง จำกัด</v>
      </c>
      <c r="M259" s="1" t="n">
        <f aca="false">FALSE()</f>
        <v>0</v>
      </c>
      <c r="N259" s="2"/>
      <c r="O259" s="2" t="n">
        <v>0.5</v>
      </c>
    </row>
    <row r="260" customFormat="false" ht="14.9" hidden="false" customHeight="false" outlineLevel="0" collapsed="false">
      <c r="A260" s="0" t="s">
        <v>15</v>
      </c>
      <c r="B260" s="0" t="s">
        <v>935</v>
      </c>
      <c r="C260" s="0" t="n">
        <v>114001</v>
      </c>
      <c r="D260" s="0" t="n">
        <v>114001</v>
      </c>
      <c r="E260" s="0" t="s">
        <v>161</v>
      </c>
      <c r="F260" s="0" t="s">
        <v>18</v>
      </c>
      <c r="G260" s="7" t="s">
        <v>936</v>
      </c>
      <c r="H260" s="0" t="s">
        <v>937</v>
      </c>
      <c r="I260" s="0" t="s">
        <v>248</v>
      </c>
      <c r="J260" s="0" t="s">
        <v>249</v>
      </c>
      <c r="K260" s="0" t="s">
        <v>938</v>
      </c>
      <c r="L260" s="0" t="str">
        <f aca="false">IFERROR(VLOOKUP(K260,'Supplier list'!B:C,2,0),"")</f>
        <v>บริษัท เคพีเอ แพคกิ้ง แอนด์ โปรดักส์ จำกัด</v>
      </c>
      <c r="M260" s="1" t="n">
        <f aca="false">FALSE()</f>
        <v>0</v>
      </c>
      <c r="N260" s="2"/>
      <c r="O260" s="2" t="n">
        <v>520</v>
      </c>
    </row>
    <row r="261" customFormat="false" ht="16.4" hidden="false" customHeight="false" outlineLevel="0" collapsed="false">
      <c r="A261" s="0" t="s">
        <v>15</v>
      </c>
      <c r="B261" s="0" t="s">
        <v>939</v>
      </c>
      <c r="C261" s="0" t="n">
        <v>114001</v>
      </c>
      <c r="D261" s="0" t="n">
        <v>114001</v>
      </c>
      <c r="E261" s="0" t="s">
        <v>940</v>
      </c>
      <c r="F261" s="0" t="s">
        <v>18</v>
      </c>
      <c r="G261" s="7" t="s">
        <v>941</v>
      </c>
      <c r="H261" s="0" t="s">
        <v>942</v>
      </c>
      <c r="I261" s="0" t="s">
        <v>21</v>
      </c>
      <c r="J261" s="0" t="s">
        <v>22</v>
      </c>
      <c r="K261" s="0" t="s">
        <v>787</v>
      </c>
      <c r="L261" s="0" t="str">
        <f aca="false">IFERROR(VLOOKUP(K261,'Supplier list'!B:C,2,0),"")</f>
        <v>บริษัท ฟิวเจอร์เทค อินเตอร์มาร์เก็ตติ้ง จำกัด</v>
      </c>
      <c r="M261" s="1" t="n">
        <f aca="false">FALSE()</f>
        <v>0</v>
      </c>
      <c r="N261" s="2"/>
      <c r="O261" s="2" t="n">
        <v>0.21</v>
      </c>
    </row>
    <row r="262" customFormat="false" ht="16.4" hidden="false" customHeight="false" outlineLevel="0" collapsed="false">
      <c r="A262" s="0" t="s">
        <v>15</v>
      </c>
      <c r="B262" s="0" t="s">
        <v>943</v>
      </c>
      <c r="C262" s="0" t="n">
        <v>114001</v>
      </c>
      <c r="D262" s="0" t="n">
        <v>114001</v>
      </c>
      <c r="E262" s="0" t="s">
        <v>944</v>
      </c>
      <c r="F262" s="0" t="s">
        <v>18</v>
      </c>
      <c r="G262" s="7" t="s">
        <v>945</v>
      </c>
      <c r="H262" s="0" t="s">
        <v>946</v>
      </c>
      <c r="I262" s="0" t="s">
        <v>947</v>
      </c>
      <c r="J262" s="0" t="s">
        <v>948</v>
      </c>
      <c r="K262" s="0" t="s">
        <v>392</v>
      </c>
      <c r="L262" s="0" t="str">
        <f aca="false">IFERROR(VLOOKUP(K262,'Supplier list'!B:C,2,0),"")</f>
        <v>บริษัท สไตเนอร์ท จำกัด</v>
      </c>
      <c r="M262" s="1" t="n">
        <f aca="false">FALSE()</f>
        <v>0</v>
      </c>
      <c r="N262" s="2"/>
      <c r="O262" s="2" t="n">
        <v>4050</v>
      </c>
    </row>
    <row r="263" customFormat="false" ht="16.4" hidden="false" customHeight="false" outlineLevel="0" collapsed="false">
      <c r="A263" s="0" t="s">
        <v>15</v>
      </c>
      <c r="B263" s="0" t="s">
        <v>949</v>
      </c>
      <c r="C263" s="0" t="n">
        <v>114001</v>
      </c>
      <c r="D263" s="0" t="n">
        <v>114001</v>
      </c>
      <c r="E263" s="0" t="s">
        <v>950</v>
      </c>
      <c r="F263" s="0" t="s">
        <v>18</v>
      </c>
      <c r="G263" s="7" t="s">
        <v>951</v>
      </c>
      <c r="H263" s="0" t="s">
        <v>952</v>
      </c>
      <c r="I263" s="0" t="s">
        <v>947</v>
      </c>
      <c r="J263" s="0" t="s">
        <v>948</v>
      </c>
      <c r="K263" s="0" t="s">
        <v>392</v>
      </c>
      <c r="L263" s="0" t="str">
        <f aca="false">IFERROR(VLOOKUP(K263,'Supplier list'!B:C,2,0),"")</f>
        <v>บริษัท สไตเนอร์ท จำกัด</v>
      </c>
      <c r="M263" s="1" t="n">
        <f aca="false">FALSE()</f>
        <v>0</v>
      </c>
      <c r="N263" s="2"/>
      <c r="O263" s="2" t="n">
        <v>4050</v>
      </c>
    </row>
    <row r="264" customFormat="false" ht="16.4" hidden="false" customHeight="false" outlineLevel="0" collapsed="false">
      <c r="A264" s="0" t="s">
        <v>15</v>
      </c>
      <c r="B264" s="0" t="s">
        <v>953</v>
      </c>
      <c r="C264" s="0" t="n">
        <v>114001</v>
      </c>
      <c r="D264" s="0" t="n">
        <v>114001</v>
      </c>
      <c r="E264" s="0" t="s">
        <v>613</v>
      </c>
      <c r="F264" s="0" t="s">
        <v>18</v>
      </c>
      <c r="G264" s="7" t="s">
        <v>954</v>
      </c>
      <c r="H264" s="0" t="s">
        <v>955</v>
      </c>
      <c r="I264" s="0" t="s">
        <v>21</v>
      </c>
      <c r="J264" s="0" t="s">
        <v>22</v>
      </c>
      <c r="K264" s="0" t="s">
        <v>616</v>
      </c>
      <c r="L264" s="0" t="str">
        <f aca="false">IFERROR(VLOOKUP(K264,'Supplier list'!B:C,2,0),"")</f>
        <v>บริษัท จิ่งหรง พริ้นติ้ง จากัด</v>
      </c>
      <c r="M264" s="1" t="n">
        <f aca="false">FALSE()</f>
        <v>0</v>
      </c>
      <c r="N264" s="2"/>
      <c r="O264" s="2" t="n">
        <v>0.45</v>
      </c>
    </row>
    <row r="265" customFormat="false" ht="14.9" hidden="false" customHeight="false" outlineLevel="0" collapsed="false">
      <c r="A265" s="0" t="s">
        <v>15</v>
      </c>
      <c r="B265" s="0" t="s">
        <v>956</v>
      </c>
      <c r="C265" s="0" t="n">
        <v>114001</v>
      </c>
      <c r="D265" s="0" t="n">
        <v>114001</v>
      </c>
      <c r="E265" s="0" t="s">
        <v>957</v>
      </c>
      <c r="F265" s="0" t="s">
        <v>18</v>
      </c>
      <c r="G265" s="7" t="s">
        <v>958</v>
      </c>
      <c r="H265" s="0" t="s">
        <v>959</v>
      </c>
      <c r="I265" s="0" t="s">
        <v>248</v>
      </c>
      <c r="J265" s="0" t="s">
        <v>249</v>
      </c>
      <c r="K265" s="0" t="s">
        <v>616</v>
      </c>
      <c r="L265" s="0" t="str">
        <f aca="false">IFERROR(VLOOKUP(K265,'Supplier list'!B:C,2,0),"")</f>
        <v>บริษัท จิ่งหรง พริ้นติ้ง จากัด</v>
      </c>
      <c r="M265" s="1" t="n">
        <f aca="false">FALSE()</f>
        <v>0</v>
      </c>
      <c r="N265" s="2"/>
      <c r="O265" s="2" t="n">
        <v>260</v>
      </c>
    </row>
    <row r="266" customFormat="false" ht="16.4" hidden="false" customHeight="false" outlineLevel="0" collapsed="false">
      <c r="A266" s="0" t="s">
        <v>15</v>
      </c>
      <c r="B266" s="0" t="s">
        <v>960</v>
      </c>
      <c r="C266" s="0" t="n">
        <v>114001</v>
      </c>
      <c r="D266" s="0" t="n">
        <v>114001</v>
      </c>
      <c r="E266" s="0" t="s">
        <v>961</v>
      </c>
      <c r="F266" s="0" t="s">
        <v>18</v>
      </c>
      <c r="G266" s="7" t="s">
        <v>962</v>
      </c>
      <c r="H266" s="0" t="s">
        <v>963</v>
      </c>
      <c r="I266" s="0" t="s">
        <v>21</v>
      </c>
      <c r="J266" s="0" t="s">
        <v>22</v>
      </c>
      <c r="K266" s="0" t="s">
        <v>89</v>
      </c>
      <c r="L266" s="0" t="str">
        <f aca="false">IFERROR(VLOOKUP(K266,'Supplier list'!B:C,2,0),"")</f>
        <v>บริษัท เฮเฟเล่ (ประเทศไทย) จำกัด</v>
      </c>
      <c r="M266" s="1" t="n">
        <f aca="false">FALSE()</f>
        <v>0</v>
      </c>
      <c r="N266" s="2"/>
      <c r="O266" s="2" t="n">
        <v>9</v>
      </c>
    </row>
    <row r="267" customFormat="false" ht="16.4" hidden="false" customHeight="false" outlineLevel="0" collapsed="false">
      <c r="A267" s="0" t="s">
        <v>15</v>
      </c>
      <c r="B267" s="0" t="s">
        <v>964</v>
      </c>
      <c r="C267" s="0" t="n">
        <v>114001</v>
      </c>
      <c r="D267" s="0" t="n">
        <v>114001</v>
      </c>
      <c r="E267" s="0" t="s">
        <v>965</v>
      </c>
      <c r="F267" s="0" t="s">
        <v>18</v>
      </c>
      <c r="G267" s="7" t="s">
        <v>966</v>
      </c>
      <c r="H267" s="0" t="s">
        <v>967</v>
      </c>
      <c r="I267" s="0" t="s">
        <v>21</v>
      </c>
      <c r="J267" s="0" t="s">
        <v>22</v>
      </c>
      <c r="K267" s="0" t="s">
        <v>89</v>
      </c>
      <c r="L267" s="0" t="str">
        <f aca="false">IFERROR(VLOOKUP(K267,'Supplier list'!B:C,2,0),"")</f>
        <v>บริษัท เฮเฟเล่ (ประเทศไทย) จำกัด</v>
      </c>
      <c r="M267" s="1" t="n">
        <f aca="false">FALSE()</f>
        <v>0</v>
      </c>
      <c r="N267" s="2"/>
      <c r="O267" s="2" t="n">
        <v>3</v>
      </c>
    </row>
    <row r="268" customFormat="false" ht="16.4" hidden="false" customHeight="false" outlineLevel="0" collapsed="false">
      <c r="A268" s="0" t="s">
        <v>15</v>
      </c>
      <c r="B268" s="0" t="s">
        <v>968</v>
      </c>
      <c r="C268" s="0" t="n">
        <v>114001</v>
      </c>
      <c r="D268" s="0" t="n">
        <v>114001</v>
      </c>
      <c r="E268" s="0" t="s">
        <v>121</v>
      </c>
      <c r="F268" s="0" t="s">
        <v>18</v>
      </c>
      <c r="G268" s="7" t="s">
        <v>969</v>
      </c>
      <c r="H268" s="0" t="s">
        <v>970</v>
      </c>
      <c r="I268" s="0" t="s">
        <v>21</v>
      </c>
      <c r="J268" s="0" t="s">
        <v>22</v>
      </c>
      <c r="K268" s="0" t="s">
        <v>89</v>
      </c>
      <c r="L268" s="0" t="str">
        <f aca="false">IFERROR(VLOOKUP(K268,'Supplier list'!B:C,2,0),"")</f>
        <v>บริษัท เฮเฟเล่ (ประเทศไทย) จำกัด</v>
      </c>
      <c r="M268" s="1" t="n">
        <f aca="false">FALSE()</f>
        <v>0</v>
      </c>
      <c r="N268" s="2"/>
      <c r="O268" s="2" t="n">
        <v>2</v>
      </c>
    </row>
    <row r="269" customFormat="false" ht="16.4" hidden="false" customHeight="false" outlineLevel="0" collapsed="false">
      <c r="A269" s="0" t="s">
        <v>15</v>
      </c>
      <c r="B269" s="0" t="s">
        <v>971</v>
      </c>
      <c r="C269" s="0" t="n">
        <v>114001</v>
      </c>
      <c r="D269" s="0" t="n">
        <v>114001</v>
      </c>
      <c r="E269" s="0" t="s">
        <v>965</v>
      </c>
      <c r="F269" s="0" t="s">
        <v>18</v>
      </c>
      <c r="G269" s="7" t="s">
        <v>972</v>
      </c>
      <c r="H269" s="0" t="s">
        <v>973</v>
      </c>
      <c r="I269" s="0" t="s">
        <v>21</v>
      </c>
      <c r="J269" s="0" t="s">
        <v>22</v>
      </c>
      <c r="K269" s="0" t="s">
        <v>89</v>
      </c>
      <c r="L269" s="0" t="str">
        <f aca="false">IFERROR(VLOOKUP(K269,'Supplier list'!B:C,2,0),"")</f>
        <v>บริษัท เฮเฟเล่ (ประเทศไทย) จำกัด</v>
      </c>
      <c r="M269" s="1" t="n">
        <f aca="false">FALSE()</f>
        <v>0</v>
      </c>
      <c r="N269" s="2"/>
      <c r="O269" s="2" t="n">
        <v>18</v>
      </c>
    </row>
    <row r="270" customFormat="false" ht="16.4" hidden="false" customHeight="false" outlineLevel="0" collapsed="false">
      <c r="A270" s="0" t="s">
        <v>15</v>
      </c>
      <c r="B270" s="0" t="s">
        <v>974</v>
      </c>
      <c r="C270" s="0" t="n">
        <v>114001</v>
      </c>
      <c r="D270" s="0" t="n">
        <v>114001</v>
      </c>
      <c r="E270" s="0" t="s">
        <v>298</v>
      </c>
      <c r="F270" s="0" t="s">
        <v>18</v>
      </c>
      <c r="G270" s="7" t="s">
        <v>975</v>
      </c>
      <c r="H270" s="0" t="s">
        <v>976</v>
      </c>
      <c r="I270" s="0" t="s">
        <v>21</v>
      </c>
      <c r="J270" s="0" t="s">
        <v>22</v>
      </c>
      <c r="K270" s="0" t="s">
        <v>303</v>
      </c>
      <c r="L270" s="0" t="str">
        <f aca="false">IFERROR(VLOOKUP(K270,'Supplier list'!B:C,2,0),"")</f>
        <v>บริษัท เอ็มเค วู้ดเทค จำกัด</v>
      </c>
      <c r="M270" s="1" t="n">
        <f aca="false">FALSE()</f>
        <v>0</v>
      </c>
      <c r="N270" s="2"/>
      <c r="O270" s="2" t="n">
        <v>80</v>
      </c>
    </row>
    <row r="271" customFormat="false" ht="16.4" hidden="false" customHeight="false" outlineLevel="0" collapsed="false">
      <c r="A271" s="0" t="s">
        <v>15</v>
      </c>
      <c r="B271" s="0" t="s">
        <v>977</v>
      </c>
      <c r="C271" s="0" t="n">
        <v>114001</v>
      </c>
      <c r="D271" s="0" t="n">
        <v>114001</v>
      </c>
      <c r="E271" s="0" t="s">
        <v>298</v>
      </c>
      <c r="F271" s="0" t="s">
        <v>18</v>
      </c>
      <c r="G271" s="7" t="s">
        <v>978</v>
      </c>
      <c r="H271" s="0" t="s">
        <v>979</v>
      </c>
      <c r="I271" s="0" t="s">
        <v>21</v>
      </c>
      <c r="J271" s="0" t="s">
        <v>22</v>
      </c>
      <c r="K271" s="0" t="s">
        <v>303</v>
      </c>
      <c r="L271" s="0" t="str">
        <f aca="false">IFERROR(VLOOKUP(K271,'Supplier list'!B:C,2,0),"")</f>
        <v>บริษัท เอ็มเค วู้ดเทค จำกัด</v>
      </c>
      <c r="M271" s="1" t="n">
        <f aca="false">FALSE()</f>
        <v>0</v>
      </c>
      <c r="N271" s="2"/>
      <c r="O271" s="2" t="n">
        <v>80</v>
      </c>
    </row>
    <row r="272" customFormat="false" ht="16.4" hidden="false" customHeight="false" outlineLevel="0" collapsed="false">
      <c r="A272" s="0" t="s">
        <v>15</v>
      </c>
      <c r="B272" s="0" t="s">
        <v>980</v>
      </c>
      <c r="C272" s="0" t="n">
        <v>114001</v>
      </c>
      <c r="D272" s="0" t="n">
        <v>114001</v>
      </c>
      <c r="E272" s="0" t="s">
        <v>298</v>
      </c>
      <c r="F272" s="0" t="s">
        <v>18</v>
      </c>
      <c r="G272" s="7" t="s">
        <v>981</v>
      </c>
      <c r="H272" s="0" t="s">
        <v>982</v>
      </c>
      <c r="I272" s="0" t="s">
        <v>21</v>
      </c>
      <c r="J272" s="0" t="s">
        <v>22</v>
      </c>
      <c r="K272" s="0" t="s">
        <v>303</v>
      </c>
      <c r="L272" s="0" t="str">
        <f aca="false">IFERROR(VLOOKUP(K272,'Supplier list'!B:C,2,0),"")</f>
        <v>บริษัท เอ็มเค วู้ดเทค จำกัด</v>
      </c>
      <c r="M272" s="1" t="n">
        <f aca="false">FALSE()</f>
        <v>0</v>
      </c>
      <c r="N272" s="2"/>
      <c r="O272" s="2" t="n">
        <v>80</v>
      </c>
    </row>
    <row r="273" customFormat="false" ht="16.4" hidden="false" customHeight="false" outlineLevel="0" collapsed="false">
      <c r="A273" s="0" t="s">
        <v>15</v>
      </c>
      <c r="B273" s="0" t="s">
        <v>983</v>
      </c>
      <c r="C273" s="0" t="n">
        <v>114001</v>
      </c>
      <c r="D273" s="0" t="n">
        <v>114001</v>
      </c>
      <c r="E273" s="0" t="s">
        <v>965</v>
      </c>
      <c r="F273" s="0" t="s">
        <v>18</v>
      </c>
      <c r="G273" s="7" t="s">
        <v>984</v>
      </c>
      <c r="H273" s="0" t="s">
        <v>985</v>
      </c>
      <c r="I273" s="0" t="s">
        <v>21</v>
      </c>
      <c r="J273" s="0" t="s">
        <v>22</v>
      </c>
      <c r="K273" s="0" t="s">
        <v>89</v>
      </c>
      <c r="L273" s="0" t="str">
        <f aca="false">IFERROR(VLOOKUP(K273,'Supplier list'!B:C,2,0),"")</f>
        <v>บริษัท เฮเฟเล่ (ประเทศไทย) จำกัด</v>
      </c>
      <c r="M273" s="1" t="n">
        <f aca="false">FALSE()</f>
        <v>0</v>
      </c>
      <c r="N273" s="2"/>
      <c r="O273" s="2" t="n">
        <v>1</v>
      </c>
    </row>
    <row r="274" customFormat="false" ht="16.4" hidden="false" customHeight="false" outlineLevel="0" collapsed="false">
      <c r="A274" s="0" t="s">
        <v>15</v>
      </c>
      <c r="B274" s="0" t="s">
        <v>986</v>
      </c>
      <c r="C274" s="0" t="n">
        <v>114001</v>
      </c>
      <c r="D274" s="0" t="n">
        <v>114001</v>
      </c>
      <c r="E274" s="0" t="s">
        <v>514</v>
      </c>
      <c r="F274" s="0" t="s">
        <v>18</v>
      </c>
      <c r="G274" s="7" t="s">
        <v>987</v>
      </c>
      <c r="H274" s="0" t="s">
        <v>988</v>
      </c>
      <c r="I274" s="0" t="s">
        <v>517</v>
      </c>
      <c r="J274" s="0" t="s">
        <v>518</v>
      </c>
      <c r="K274" s="0" t="s">
        <v>989</v>
      </c>
      <c r="L274" s="0" t="str">
        <f aca="false">IFERROR(VLOOKUP(K274,'Supplier list'!B:C,2,0),"")</f>
        <v>หจก. โปรเฟส ซัพพลาย</v>
      </c>
      <c r="M274" s="1" t="n">
        <f aca="false">FALSE()</f>
        <v>0</v>
      </c>
      <c r="N274" s="2"/>
      <c r="O274" s="2" t="n">
        <v>145</v>
      </c>
    </row>
    <row r="275" customFormat="false" ht="16.4" hidden="false" customHeight="false" outlineLevel="0" collapsed="false">
      <c r="A275" s="0" t="s">
        <v>15</v>
      </c>
      <c r="B275" s="0" t="s">
        <v>990</v>
      </c>
      <c r="C275" s="0" t="n">
        <v>114003</v>
      </c>
      <c r="D275" s="0" t="n">
        <v>114003</v>
      </c>
      <c r="E275" s="0" t="s">
        <v>87</v>
      </c>
      <c r="F275" s="0" t="s">
        <v>18</v>
      </c>
      <c r="G275" s="7" t="s">
        <v>991</v>
      </c>
      <c r="H275" s="0" t="s">
        <v>991</v>
      </c>
      <c r="I275" s="0" t="s">
        <v>142</v>
      </c>
      <c r="J275" s="0" t="s">
        <v>143</v>
      </c>
      <c r="K275" s="0" t="s">
        <v>89</v>
      </c>
      <c r="L275" s="0" t="str">
        <f aca="false">IFERROR(VLOOKUP(K275,'Supplier list'!B:C,2,0),"")</f>
        <v>บริษัท เฮเฟเล่ (ประเทศไทย) จำกัด</v>
      </c>
      <c r="M275" s="1" t="n">
        <f aca="false">FALSE()</f>
        <v>0</v>
      </c>
      <c r="N275" s="2"/>
      <c r="O275" s="2" t="n">
        <v>1450</v>
      </c>
    </row>
    <row r="276" customFormat="false" ht="16.4" hidden="false" customHeight="false" outlineLevel="0" collapsed="false">
      <c r="A276" s="0" t="s">
        <v>15</v>
      </c>
      <c r="B276" s="0" t="s">
        <v>992</v>
      </c>
      <c r="C276" s="0" t="n">
        <v>114003</v>
      </c>
      <c r="D276" s="0" t="n">
        <v>114003</v>
      </c>
      <c r="E276" s="0" t="s">
        <v>87</v>
      </c>
      <c r="F276" s="0" t="s">
        <v>18</v>
      </c>
      <c r="G276" s="7" t="s">
        <v>993</v>
      </c>
      <c r="H276" s="0" t="s">
        <v>993</v>
      </c>
      <c r="I276" s="0" t="s">
        <v>142</v>
      </c>
      <c r="J276" s="0" t="s">
        <v>143</v>
      </c>
      <c r="K276" s="0" t="s">
        <v>89</v>
      </c>
      <c r="L276" s="0" t="str">
        <f aca="false">IFERROR(VLOOKUP(K276,'Supplier list'!B:C,2,0),"")</f>
        <v>บริษัท เฮเฟเล่ (ประเทศไทย) จำกัด</v>
      </c>
      <c r="M276" s="1" t="n">
        <f aca="false">FALSE()</f>
        <v>0</v>
      </c>
      <c r="N276" s="2"/>
      <c r="O276" s="2" t="n">
        <v>1450</v>
      </c>
    </row>
    <row r="277" customFormat="false" ht="16.4" hidden="false" customHeight="false" outlineLevel="0" collapsed="false">
      <c r="A277" s="0" t="s">
        <v>15</v>
      </c>
      <c r="B277" s="0" t="s">
        <v>994</v>
      </c>
      <c r="C277" s="0" t="n">
        <v>114003</v>
      </c>
      <c r="D277" s="0" t="n">
        <v>114003</v>
      </c>
      <c r="E277" s="0" t="s">
        <v>87</v>
      </c>
      <c r="F277" s="0" t="s">
        <v>18</v>
      </c>
      <c r="G277" s="7" t="s">
        <v>995</v>
      </c>
      <c r="H277" s="0" t="s">
        <v>995</v>
      </c>
      <c r="I277" s="0" t="s">
        <v>142</v>
      </c>
      <c r="J277" s="0" t="s">
        <v>143</v>
      </c>
      <c r="K277" s="0" t="s">
        <v>89</v>
      </c>
      <c r="L277" s="0" t="str">
        <f aca="false">IFERROR(VLOOKUP(K277,'Supplier list'!B:C,2,0),"")</f>
        <v>บริษัท เฮเฟเล่ (ประเทศไทย) จำกัด</v>
      </c>
      <c r="M277" s="1" t="n">
        <f aca="false">FALSE()</f>
        <v>0</v>
      </c>
      <c r="N277" s="2"/>
      <c r="O277" s="2" t="n">
        <v>1450</v>
      </c>
    </row>
    <row r="278" customFormat="false" ht="16.4" hidden="false" customHeight="false" outlineLevel="0" collapsed="false">
      <c r="A278" s="0" t="s">
        <v>15</v>
      </c>
      <c r="B278" s="0" t="s">
        <v>996</v>
      </c>
      <c r="C278" s="0" t="n">
        <v>114003</v>
      </c>
      <c r="D278" s="0" t="n">
        <v>114003</v>
      </c>
      <c r="E278" s="0" t="s">
        <v>87</v>
      </c>
      <c r="F278" s="0" t="s">
        <v>18</v>
      </c>
      <c r="G278" s="7" t="s">
        <v>997</v>
      </c>
      <c r="H278" s="0" t="s">
        <v>998</v>
      </c>
      <c r="I278" s="0" t="s">
        <v>102</v>
      </c>
      <c r="J278" s="0" t="s">
        <v>103</v>
      </c>
      <c r="K278" s="0" t="s">
        <v>352</v>
      </c>
      <c r="L278" s="0" t="str">
        <f aca="false">IFERROR(VLOOKUP(K278,'Supplier list'!B:C,2,0),"")</f>
        <v>บริษัท พีเอ็นพี อินเตอร์แพค</v>
      </c>
      <c r="M278" s="1" t="n">
        <f aca="false">FALSE()</f>
        <v>0</v>
      </c>
      <c r="N278" s="2"/>
      <c r="O278" s="2" t="n">
        <v>10.65</v>
      </c>
    </row>
    <row r="279" customFormat="false" ht="16.4" hidden="false" customHeight="false" outlineLevel="0" collapsed="false">
      <c r="A279" s="0" t="s">
        <v>15</v>
      </c>
      <c r="B279" s="0" t="s">
        <v>999</v>
      </c>
      <c r="C279" s="0" t="n">
        <v>114003</v>
      </c>
      <c r="D279" s="0" t="n">
        <v>114003</v>
      </c>
      <c r="E279" s="0" t="s">
        <v>1000</v>
      </c>
      <c r="F279" s="0" t="s">
        <v>18</v>
      </c>
      <c r="G279" s="7" t="s">
        <v>1001</v>
      </c>
      <c r="H279" s="0" t="s">
        <v>1002</v>
      </c>
      <c r="I279" s="0" t="s">
        <v>21</v>
      </c>
      <c r="J279" s="0" t="s">
        <v>22</v>
      </c>
      <c r="L279" s="0" t="str">
        <f aca="false">IFERROR(VLOOKUP(K279,'Supplier list'!B:C,2,0),"")</f>
        <v/>
      </c>
      <c r="M279" s="1" t="n">
        <f aca="false">FALSE()</f>
        <v>0</v>
      </c>
      <c r="N279" s="2"/>
      <c r="O279" s="2" t="n">
        <v>49</v>
      </c>
    </row>
    <row r="280" customFormat="false" ht="16.4" hidden="false" customHeight="false" outlineLevel="0" collapsed="false">
      <c r="A280" s="0" t="s">
        <v>15</v>
      </c>
      <c r="B280" s="0" t="s">
        <v>1003</v>
      </c>
      <c r="C280" s="0" t="n">
        <v>114003</v>
      </c>
      <c r="D280" s="0" t="n">
        <v>114003</v>
      </c>
      <c r="E280" s="0" t="s">
        <v>17</v>
      </c>
      <c r="F280" s="0" t="s">
        <v>18</v>
      </c>
      <c r="G280" s="7" t="s">
        <v>1004</v>
      </c>
      <c r="H280" s="0" t="s">
        <v>1005</v>
      </c>
      <c r="I280" s="0" t="s">
        <v>248</v>
      </c>
      <c r="J280" s="0" t="s">
        <v>249</v>
      </c>
      <c r="K280" s="0" t="s">
        <v>352</v>
      </c>
      <c r="L280" s="0" t="str">
        <f aca="false">IFERROR(VLOOKUP(K280,'Supplier list'!B:C,2,0),"")</f>
        <v>บริษัท พีเอ็นพี อินเตอร์แพค</v>
      </c>
      <c r="M280" s="1" t="n">
        <f aca="false">FALSE()</f>
        <v>0</v>
      </c>
      <c r="N280" s="2"/>
      <c r="O280" s="2" t="n">
        <v>185</v>
      </c>
    </row>
    <row r="281" customFormat="false" ht="16.4" hidden="false" customHeight="false" outlineLevel="0" collapsed="false">
      <c r="A281" s="0" t="s">
        <v>15</v>
      </c>
      <c r="B281" s="0" t="s">
        <v>1006</v>
      </c>
      <c r="C281" s="0" t="n">
        <v>114003</v>
      </c>
      <c r="D281" s="0" t="n">
        <v>114003</v>
      </c>
      <c r="E281" s="0" t="s">
        <v>499</v>
      </c>
      <c r="F281" s="0" t="s">
        <v>18</v>
      </c>
      <c r="G281" s="7" t="s">
        <v>1007</v>
      </c>
      <c r="H281" s="0" t="s">
        <v>1008</v>
      </c>
      <c r="I281" s="0" t="s">
        <v>384</v>
      </c>
      <c r="J281" s="0" t="s">
        <v>385</v>
      </c>
      <c r="K281" s="0" t="s">
        <v>1009</v>
      </c>
      <c r="L281" s="0" t="str">
        <f aca="false">IFERROR(VLOOKUP(K281,'Supplier list'!B:C,2,0),"")</f>
        <v/>
      </c>
      <c r="M281" s="1" t="n">
        <f aca="false">FALSE()</f>
        <v>0</v>
      </c>
      <c r="N281" s="2"/>
      <c r="O281" s="2" t="n">
        <v>55</v>
      </c>
    </row>
    <row r="282" customFormat="false" ht="16.4" hidden="false" customHeight="false" outlineLevel="0" collapsed="false">
      <c r="A282" s="0" t="s">
        <v>15</v>
      </c>
      <c r="B282" s="0" t="s">
        <v>1010</v>
      </c>
      <c r="C282" s="0" t="n">
        <v>114003</v>
      </c>
      <c r="D282" s="0" t="n">
        <v>114003</v>
      </c>
      <c r="E282" s="0" t="s">
        <v>87</v>
      </c>
      <c r="F282" s="0" t="s">
        <v>18</v>
      </c>
      <c r="G282" s="7" t="s">
        <v>1011</v>
      </c>
      <c r="H282" s="0" t="s">
        <v>1012</v>
      </c>
      <c r="I282" s="0" t="s">
        <v>168</v>
      </c>
      <c r="J282" s="0" t="s">
        <v>169</v>
      </c>
      <c r="K282" s="0" t="s">
        <v>352</v>
      </c>
      <c r="L282" s="0" t="str">
        <f aca="false">IFERROR(VLOOKUP(K282,'Supplier list'!B:C,2,0),"")</f>
        <v>บริษัท พีเอ็นพี อินเตอร์แพค</v>
      </c>
      <c r="M282" s="1" t="n">
        <f aca="false">FALSE()</f>
        <v>0</v>
      </c>
      <c r="N282" s="2"/>
      <c r="O282" s="2" t="n">
        <v>297</v>
      </c>
    </row>
    <row r="283" customFormat="false" ht="16.4" hidden="false" customHeight="false" outlineLevel="0" collapsed="false">
      <c r="A283" s="0" t="s">
        <v>15</v>
      </c>
      <c r="B283" s="0" t="s">
        <v>1013</v>
      </c>
      <c r="C283" s="0" t="n">
        <v>114003</v>
      </c>
      <c r="D283" s="0" t="n">
        <v>114003</v>
      </c>
      <c r="E283" s="0" t="s">
        <v>1014</v>
      </c>
      <c r="F283" s="0" t="s">
        <v>18</v>
      </c>
      <c r="G283" s="7" t="s">
        <v>1015</v>
      </c>
      <c r="H283" s="0" t="s">
        <v>1016</v>
      </c>
      <c r="I283" s="0" t="s">
        <v>331</v>
      </c>
      <c r="J283" s="0" t="s">
        <v>332</v>
      </c>
      <c r="L283" s="0" t="str">
        <f aca="false">IFERROR(VLOOKUP(K283,'Supplier list'!B:C,2,0),"")</f>
        <v/>
      </c>
      <c r="M283" s="1" t="n">
        <f aca="false">FALSE()</f>
        <v>0</v>
      </c>
      <c r="N283" s="2"/>
      <c r="O283" s="2" t="n">
        <v>320</v>
      </c>
    </row>
    <row r="284" customFormat="false" ht="16.4" hidden="false" customHeight="false" outlineLevel="0" collapsed="false">
      <c r="A284" s="0" t="s">
        <v>15</v>
      </c>
      <c r="B284" s="0" t="s">
        <v>1017</v>
      </c>
      <c r="C284" s="0" t="n">
        <v>114003</v>
      </c>
      <c r="D284" s="0" t="n">
        <v>114003</v>
      </c>
      <c r="E284" s="0" t="s">
        <v>17</v>
      </c>
      <c r="F284" s="0" t="s">
        <v>18</v>
      </c>
      <c r="G284" s="7" t="s">
        <v>1018</v>
      </c>
      <c r="H284" s="0" t="s">
        <v>1019</v>
      </c>
      <c r="I284" s="0" t="s">
        <v>1020</v>
      </c>
      <c r="J284" s="0" t="s">
        <v>1021</v>
      </c>
      <c r="K284" s="0" t="s">
        <v>352</v>
      </c>
      <c r="L284" s="0" t="str">
        <f aca="false">IFERROR(VLOOKUP(K284,'Supplier list'!B:C,2,0),"")</f>
        <v>บริษัท พีเอ็นพี อินเตอร์แพค</v>
      </c>
      <c r="M284" s="1" t="n">
        <f aca="false">FALSE()</f>
        <v>0</v>
      </c>
      <c r="N284" s="2"/>
      <c r="O284" s="2" t="n">
        <v>4080</v>
      </c>
    </row>
    <row r="285" customFormat="false" ht="16.4" hidden="false" customHeight="false" outlineLevel="0" collapsed="false">
      <c r="A285" s="0" t="s">
        <v>15</v>
      </c>
      <c r="B285" s="0" t="s">
        <v>1022</v>
      </c>
      <c r="C285" s="0" t="n">
        <v>114003</v>
      </c>
      <c r="D285" s="0" t="n">
        <v>114003</v>
      </c>
      <c r="E285" s="0" t="s">
        <v>17</v>
      </c>
      <c r="F285" s="0" t="s">
        <v>18</v>
      </c>
      <c r="G285" s="7" t="s">
        <v>1023</v>
      </c>
      <c r="H285" s="0" t="s">
        <v>1024</v>
      </c>
      <c r="I285" s="0" t="s">
        <v>248</v>
      </c>
      <c r="J285" s="0" t="s">
        <v>249</v>
      </c>
      <c r="K285" s="0" t="s">
        <v>352</v>
      </c>
      <c r="L285" s="0" t="str">
        <f aca="false">IFERROR(VLOOKUP(K285,'Supplier list'!B:C,2,0),"")</f>
        <v>บริษัท พีเอ็นพี อินเตอร์แพค</v>
      </c>
      <c r="M285" s="1" t="n">
        <f aca="false">FALSE()</f>
        <v>0</v>
      </c>
      <c r="N285" s="2"/>
      <c r="O285" s="2" t="n">
        <v>8.8</v>
      </c>
    </row>
    <row r="286" customFormat="false" ht="16.4" hidden="false" customHeight="false" outlineLevel="0" collapsed="false">
      <c r="A286" s="0" t="s">
        <v>15</v>
      </c>
      <c r="B286" s="0" t="s">
        <v>1025</v>
      </c>
      <c r="C286" s="0" t="n">
        <v>114003</v>
      </c>
      <c r="D286" s="0" t="n">
        <v>114003</v>
      </c>
      <c r="E286" s="0" t="s">
        <v>1026</v>
      </c>
      <c r="F286" s="0" t="s">
        <v>18</v>
      </c>
      <c r="G286" s="7" t="s">
        <v>1027</v>
      </c>
      <c r="H286" s="0" t="s">
        <v>1028</v>
      </c>
      <c r="I286" s="0" t="s">
        <v>331</v>
      </c>
      <c r="J286" s="0" t="s">
        <v>332</v>
      </c>
      <c r="K286" s="0" t="s">
        <v>352</v>
      </c>
      <c r="L286" s="0" t="str">
        <f aca="false">IFERROR(VLOOKUP(K286,'Supplier list'!B:C,2,0),"")</f>
        <v>บริษัท พีเอ็นพี อินเตอร์แพค</v>
      </c>
      <c r="M286" s="1" t="n">
        <f aca="false">FALSE()</f>
        <v>0</v>
      </c>
      <c r="N286" s="2"/>
      <c r="O286" s="2" t="n">
        <v>289</v>
      </c>
    </row>
    <row r="287" customFormat="false" ht="16.4" hidden="false" customHeight="false" outlineLevel="0" collapsed="false">
      <c r="A287" s="0" t="s">
        <v>15</v>
      </c>
      <c r="B287" s="0" t="s">
        <v>1029</v>
      </c>
      <c r="C287" s="0" t="n">
        <v>114003</v>
      </c>
      <c r="D287" s="0" t="n">
        <v>114003</v>
      </c>
      <c r="E287" s="0" t="s">
        <v>1014</v>
      </c>
      <c r="F287" s="0" t="s">
        <v>18</v>
      </c>
      <c r="G287" s="7" t="s">
        <v>1030</v>
      </c>
      <c r="H287" s="0" t="s">
        <v>1031</v>
      </c>
      <c r="I287" s="0" t="s">
        <v>1032</v>
      </c>
      <c r="J287" s="0" t="s">
        <v>1033</v>
      </c>
      <c r="K287" s="0" t="s">
        <v>82</v>
      </c>
      <c r="L287" s="0" t="str">
        <f aca="false">IFERROR(VLOOKUP(K287,'Supplier list'!B:C,2,0),"")</f>
        <v>บริษัท เกรียงศิริพัฒนา (1995) จำกัด</v>
      </c>
      <c r="M287" s="1" t="n">
        <f aca="false">FALSE()</f>
        <v>0</v>
      </c>
      <c r="N287" s="2"/>
      <c r="O287" s="2" t="n">
        <v>210</v>
      </c>
    </row>
    <row r="288" customFormat="false" ht="16.4" hidden="false" customHeight="false" outlineLevel="0" collapsed="false">
      <c r="A288" s="0" t="s">
        <v>15</v>
      </c>
      <c r="B288" s="0" t="s">
        <v>1034</v>
      </c>
      <c r="C288" s="0" t="n">
        <v>114003</v>
      </c>
      <c r="D288" s="0" t="n">
        <v>114003</v>
      </c>
      <c r="E288" s="0" t="s">
        <v>87</v>
      </c>
      <c r="F288" s="0" t="s">
        <v>18</v>
      </c>
      <c r="G288" s="7" t="s">
        <v>1035</v>
      </c>
      <c r="H288" s="0" t="s">
        <v>1036</v>
      </c>
      <c r="I288" s="0" t="s">
        <v>248</v>
      </c>
      <c r="J288" s="0" t="s">
        <v>249</v>
      </c>
      <c r="K288" s="0" t="s">
        <v>89</v>
      </c>
      <c r="L288" s="0" t="str">
        <f aca="false">IFERROR(VLOOKUP(K288,'Supplier list'!B:C,2,0),"")</f>
        <v>บริษัท เฮเฟเล่ (ประเทศไทย) จำกัด</v>
      </c>
      <c r="M288" s="1" t="n">
        <f aca="false">FALSE()</f>
        <v>0</v>
      </c>
      <c r="N288" s="2"/>
      <c r="O288" s="2" t="n">
        <v>1650</v>
      </c>
    </row>
    <row r="289" customFormat="false" ht="16.4" hidden="false" customHeight="false" outlineLevel="0" collapsed="false">
      <c r="A289" s="0" t="s">
        <v>15</v>
      </c>
      <c r="B289" s="0" t="s">
        <v>1037</v>
      </c>
      <c r="C289" s="0" t="n">
        <v>114003</v>
      </c>
      <c r="D289" s="0" t="n">
        <v>114003</v>
      </c>
      <c r="E289" s="0" t="s">
        <v>87</v>
      </c>
      <c r="F289" s="0" t="s">
        <v>18</v>
      </c>
      <c r="G289" s="7" t="s">
        <v>1038</v>
      </c>
      <c r="H289" s="0" t="s">
        <v>1039</v>
      </c>
      <c r="I289" s="0" t="s">
        <v>248</v>
      </c>
      <c r="J289" s="0" t="s">
        <v>249</v>
      </c>
      <c r="K289" s="0" t="s">
        <v>89</v>
      </c>
      <c r="L289" s="0" t="str">
        <f aca="false">IFERROR(VLOOKUP(K289,'Supplier list'!B:C,2,0),"")</f>
        <v>บริษัท เฮเฟเล่ (ประเทศไทย) จำกัด</v>
      </c>
      <c r="M289" s="1" t="n">
        <f aca="false">FALSE()</f>
        <v>0</v>
      </c>
      <c r="N289" s="2"/>
      <c r="O289" s="2" t="n">
        <v>1650</v>
      </c>
    </row>
    <row r="290" customFormat="false" ht="16.4" hidden="false" customHeight="false" outlineLevel="0" collapsed="false">
      <c r="A290" s="0" t="s">
        <v>15</v>
      </c>
      <c r="B290" s="0" t="s">
        <v>1040</v>
      </c>
      <c r="C290" s="0" t="n">
        <v>114003</v>
      </c>
      <c r="D290" s="0" t="n">
        <v>114003</v>
      </c>
      <c r="E290" s="0" t="s">
        <v>87</v>
      </c>
      <c r="F290" s="0" t="s">
        <v>18</v>
      </c>
      <c r="G290" s="7" t="s">
        <v>1041</v>
      </c>
      <c r="H290" s="0" t="s">
        <v>1042</v>
      </c>
      <c r="I290" s="0" t="s">
        <v>248</v>
      </c>
      <c r="J290" s="0" t="s">
        <v>249</v>
      </c>
      <c r="K290" s="0" t="s">
        <v>89</v>
      </c>
      <c r="L290" s="0" t="str">
        <f aca="false">IFERROR(VLOOKUP(K290,'Supplier list'!B:C,2,0),"")</f>
        <v>บริษัท เฮเฟเล่ (ประเทศไทย) จำกัด</v>
      </c>
      <c r="M290" s="1" t="n">
        <f aca="false">FALSE()</f>
        <v>0</v>
      </c>
      <c r="N290" s="2"/>
      <c r="O290" s="2" t="n">
        <v>1650</v>
      </c>
    </row>
    <row r="291" customFormat="false" ht="16.4" hidden="false" customHeight="false" outlineLevel="0" collapsed="false">
      <c r="A291" s="0" t="s">
        <v>15</v>
      </c>
      <c r="B291" s="0" t="s">
        <v>1043</v>
      </c>
      <c r="C291" s="0" t="n">
        <v>114003</v>
      </c>
      <c r="D291" s="0" t="n">
        <v>114003</v>
      </c>
      <c r="E291" s="0" t="s">
        <v>1044</v>
      </c>
      <c r="F291" s="0" t="s">
        <v>18</v>
      </c>
      <c r="G291" s="7" t="s">
        <v>1045</v>
      </c>
      <c r="H291" s="0" t="s">
        <v>1046</v>
      </c>
      <c r="I291" s="0" t="s">
        <v>21</v>
      </c>
      <c r="J291" s="0" t="s">
        <v>22</v>
      </c>
      <c r="K291" s="0" t="s">
        <v>352</v>
      </c>
      <c r="L291" s="0" t="str">
        <f aca="false">IFERROR(VLOOKUP(K291,'Supplier list'!B:C,2,0),"")</f>
        <v>บริษัท พีเอ็นพี อินเตอร์แพค</v>
      </c>
      <c r="M291" s="1" t="n">
        <f aca="false">FALSE()</f>
        <v>0</v>
      </c>
      <c r="N291" s="2"/>
      <c r="O291" s="2" t="n">
        <v>180</v>
      </c>
    </row>
    <row r="292" customFormat="false" ht="16.4" hidden="false" customHeight="false" outlineLevel="0" collapsed="false">
      <c r="A292" s="0" t="s">
        <v>15</v>
      </c>
      <c r="B292" s="0" t="s">
        <v>1047</v>
      </c>
      <c r="C292" s="0" t="n">
        <v>114003</v>
      </c>
      <c r="D292" s="0" t="n">
        <v>114003</v>
      </c>
      <c r="E292" s="0" t="s">
        <v>358</v>
      </c>
      <c r="F292" s="0" t="s">
        <v>18</v>
      </c>
      <c r="G292" s="7" t="s">
        <v>1048</v>
      </c>
      <c r="H292" s="0" t="s">
        <v>1049</v>
      </c>
      <c r="I292" s="0" t="s">
        <v>142</v>
      </c>
      <c r="J292" s="0" t="s">
        <v>143</v>
      </c>
      <c r="K292" s="0" t="s">
        <v>1050</v>
      </c>
      <c r="L292" s="0" t="str">
        <f aca="false">IFERROR(VLOOKUP(K292,'Supplier list'!B:C,2,0),"")</f>
        <v/>
      </c>
      <c r="M292" s="1" t="n">
        <f aca="false">FALSE()</f>
        <v>0</v>
      </c>
      <c r="N292" s="2"/>
      <c r="O292" s="2" t="n">
        <v>737.5</v>
      </c>
    </row>
    <row r="293" customFormat="false" ht="16.4" hidden="false" customHeight="false" outlineLevel="0" collapsed="false">
      <c r="A293" s="0" t="s">
        <v>15</v>
      </c>
      <c r="B293" s="0" t="s">
        <v>1051</v>
      </c>
      <c r="C293" s="0" t="n">
        <v>114003</v>
      </c>
      <c r="D293" s="0" t="n">
        <v>114003</v>
      </c>
      <c r="E293" s="0" t="s">
        <v>87</v>
      </c>
      <c r="F293" s="0" t="s">
        <v>18</v>
      </c>
      <c r="G293" s="7" t="s">
        <v>1052</v>
      </c>
      <c r="H293" s="0" t="s">
        <v>1053</v>
      </c>
      <c r="I293" s="0" t="s">
        <v>21</v>
      </c>
      <c r="J293" s="0" t="s">
        <v>22</v>
      </c>
      <c r="K293" s="0" t="s">
        <v>1054</v>
      </c>
      <c r="L293" s="0" t="str">
        <f aca="false">IFERROR(VLOOKUP(K293,'Supplier list'!B:C,2,0),"")</f>
        <v>บริษัท บอร์เนียว เทคนิเคิล (ประเทศไทย) จำกัด</v>
      </c>
      <c r="M293" s="1" t="n">
        <f aca="false">FALSE()</f>
        <v>0</v>
      </c>
      <c r="N293" s="2"/>
      <c r="O293" s="2" t="n">
        <v>950</v>
      </c>
    </row>
    <row r="294" customFormat="false" ht="16.4" hidden="false" customHeight="false" outlineLevel="0" collapsed="false">
      <c r="A294" s="0" t="s">
        <v>15</v>
      </c>
      <c r="B294" s="0" t="s">
        <v>1055</v>
      </c>
      <c r="C294" s="0" t="n">
        <v>114003</v>
      </c>
      <c r="D294" s="0" t="n">
        <v>114003</v>
      </c>
      <c r="E294" s="0" t="s">
        <v>87</v>
      </c>
      <c r="F294" s="0" t="s">
        <v>18</v>
      </c>
      <c r="G294" s="7" t="s">
        <v>1056</v>
      </c>
      <c r="H294" s="0" t="s">
        <v>1057</v>
      </c>
      <c r="I294" s="0" t="s">
        <v>21</v>
      </c>
      <c r="J294" s="0" t="s">
        <v>22</v>
      </c>
      <c r="K294" s="0" t="s">
        <v>1058</v>
      </c>
      <c r="L294" s="0" t="str">
        <f aca="false">IFERROR(VLOOKUP(K294,'Supplier list'!B:C,2,0),"")</f>
        <v>บริษัท เค โซลูชั่น ฟิต จำกัด</v>
      </c>
      <c r="M294" s="1" t="n">
        <f aca="false">FALSE()</f>
        <v>0</v>
      </c>
      <c r="N294" s="2"/>
      <c r="O294" s="2" t="n">
        <v>950</v>
      </c>
    </row>
    <row r="295" customFormat="false" ht="16.4" hidden="false" customHeight="false" outlineLevel="0" collapsed="false">
      <c r="A295" s="0" t="s">
        <v>15</v>
      </c>
      <c r="B295" s="0" t="s">
        <v>1059</v>
      </c>
      <c r="C295" s="0" t="n">
        <v>114003</v>
      </c>
      <c r="D295" s="0" t="n">
        <v>114003</v>
      </c>
      <c r="E295" s="0" t="s">
        <v>87</v>
      </c>
      <c r="F295" s="0" t="s">
        <v>18</v>
      </c>
      <c r="G295" s="7" t="s">
        <v>1060</v>
      </c>
      <c r="H295" s="0" t="s">
        <v>1061</v>
      </c>
      <c r="I295" s="0" t="s">
        <v>21</v>
      </c>
      <c r="J295" s="0" t="s">
        <v>22</v>
      </c>
      <c r="K295" s="0" t="s">
        <v>1058</v>
      </c>
      <c r="L295" s="0" t="str">
        <f aca="false">IFERROR(VLOOKUP(K295,'Supplier list'!B:C,2,0),"")</f>
        <v>บริษัท เค โซลูชั่น ฟิต จำกัด</v>
      </c>
      <c r="M295" s="1" t="n">
        <f aca="false">FALSE()</f>
        <v>0</v>
      </c>
      <c r="N295" s="2"/>
      <c r="O295" s="2" t="n">
        <v>840</v>
      </c>
    </row>
    <row r="296" customFormat="false" ht="16.4" hidden="false" customHeight="false" outlineLevel="0" collapsed="false">
      <c r="A296" s="0" t="s">
        <v>15</v>
      </c>
      <c r="B296" s="0" t="s">
        <v>1062</v>
      </c>
      <c r="C296" s="0" t="n">
        <v>114003</v>
      </c>
      <c r="D296" s="0" t="n">
        <v>114003</v>
      </c>
      <c r="E296" s="0" t="s">
        <v>659</v>
      </c>
      <c r="F296" s="0" t="s">
        <v>18</v>
      </c>
      <c r="G296" s="7" t="s">
        <v>1063</v>
      </c>
      <c r="H296" s="0" t="s">
        <v>1063</v>
      </c>
      <c r="I296" s="0" t="s">
        <v>149</v>
      </c>
      <c r="J296" s="0" t="s">
        <v>150</v>
      </c>
      <c r="K296" s="0" t="s">
        <v>1064</v>
      </c>
      <c r="L296" s="0" t="str">
        <f aca="false">IFERROR(VLOOKUP(K296,'Supplier list'!B:C,2,0),"")</f>
        <v>บริษัท เมกไกวส์ (ไทยแลนด์) จำกัด</v>
      </c>
      <c r="M296" s="1" t="n">
        <f aca="false">FALSE()</f>
        <v>0</v>
      </c>
      <c r="N296" s="2"/>
      <c r="O296" s="2" t="n">
        <v>346.5</v>
      </c>
    </row>
    <row r="297" customFormat="false" ht="16.4" hidden="false" customHeight="false" outlineLevel="0" collapsed="false">
      <c r="A297" s="0" t="s">
        <v>15</v>
      </c>
      <c r="B297" s="0" t="s">
        <v>1065</v>
      </c>
      <c r="C297" s="0" t="n">
        <v>114003</v>
      </c>
      <c r="D297" s="0" t="n">
        <v>114003</v>
      </c>
      <c r="E297" s="0" t="s">
        <v>374</v>
      </c>
      <c r="F297" s="0" t="s">
        <v>18</v>
      </c>
      <c r="G297" s="7" t="s">
        <v>1066</v>
      </c>
      <c r="H297" s="0" t="s">
        <v>1067</v>
      </c>
      <c r="I297" s="0" t="s">
        <v>21</v>
      </c>
      <c r="J297" s="0" t="s">
        <v>22</v>
      </c>
      <c r="K297" s="0" t="s">
        <v>380</v>
      </c>
      <c r="L297" s="0" t="str">
        <f aca="false">IFERROR(VLOOKUP(K297,'Supplier list'!B:C,2,0),"")</f>
        <v>บริษัท เอ.ที.คอน อินซูเลชั่น จำกัด</v>
      </c>
      <c r="M297" s="1" t="n">
        <f aca="false">FALSE()</f>
        <v>0</v>
      </c>
      <c r="N297" s="2"/>
      <c r="O297" s="2" t="n">
        <v>18</v>
      </c>
    </row>
    <row r="298" customFormat="false" ht="16.4" hidden="false" customHeight="false" outlineLevel="0" collapsed="false">
      <c r="A298" s="0" t="s">
        <v>15</v>
      </c>
      <c r="B298" s="0" t="s">
        <v>1068</v>
      </c>
      <c r="C298" s="0" t="n">
        <v>114003</v>
      </c>
      <c r="D298" s="0" t="n">
        <v>114003</v>
      </c>
      <c r="E298" s="0" t="s">
        <v>1014</v>
      </c>
      <c r="F298" s="0" t="s">
        <v>18</v>
      </c>
      <c r="G298" s="7" t="s">
        <v>1069</v>
      </c>
      <c r="H298" s="0" t="s">
        <v>1070</v>
      </c>
      <c r="I298" s="0" t="s">
        <v>402</v>
      </c>
      <c r="J298" s="0" t="s">
        <v>403</v>
      </c>
      <c r="K298" s="0" t="s">
        <v>1071</v>
      </c>
      <c r="L298" s="0" t="str">
        <f aca="false">IFERROR(VLOOKUP(K298,'Supplier list'!B:C,2,0),"")</f>
        <v/>
      </c>
      <c r="M298" s="1" t="n">
        <f aca="false">FALSE()</f>
        <v>0</v>
      </c>
      <c r="N298" s="2"/>
      <c r="O298" s="2" t="n">
        <v>610</v>
      </c>
    </row>
    <row r="299" customFormat="false" ht="16.4" hidden="false" customHeight="false" outlineLevel="0" collapsed="false">
      <c r="A299" s="0" t="s">
        <v>15</v>
      </c>
      <c r="B299" s="0" t="s">
        <v>1072</v>
      </c>
      <c r="C299" s="0" t="n">
        <v>114003</v>
      </c>
      <c r="D299" s="0" t="n">
        <v>114003</v>
      </c>
      <c r="E299" s="0" t="s">
        <v>87</v>
      </c>
      <c r="F299" s="0" t="s">
        <v>18</v>
      </c>
      <c r="G299" s="7" t="s">
        <v>1073</v>
      </c>
      <c r="H299" s="0" t="s">
        <v>1073</v>
      </c>
      <c r="I299" s="0" t="s">
        <v>142</v>
      </c>
      <c r="J299" s="0" t="s">
        <v>143</v>
      </c>
      <c r="K299" s="0" t="s">
        <v>89</v>
      </c>
      <c r="L299" s="0" t="str">
        <f aca="false">IFERROR(VLOOKUP(K299,'Supplier list'!B:C,2,0),"")</f>
        <v>บริษัท เฮเฟเล่ (ประเทศไทย) จำกัด</v>
      </c>
      <c r="M299" s="1" t="n">
        <f aca="false">FALSE()</f>
        <v>0</v>
      </c>
      <c r="N299" s="2"/>
      <c r="O299" s="2" t="n">
        <v>1450</v>
      </c>
    </row>
    <row r="300" customFormat="false" ht="16.4" hidden="false" customHeight="false" outlineLevel="0" collapsed="false">
      <c r="A300" s="0" t="s">
        <v>15</v>
      </c>
      <c r="B300" s="0" t="s">
        <v>1074</v>
      </c>
      <c r="C300" s="0" t="n">
        <v>114003</v>
      </c>
      <c r="D300" s="0" t="n">
        <v>114003</v>
      </c>
      <c r="E300" s="0" t="s">
        <v>127</v>
      </c>
      <c r="F300" s="0" t="s">
        <v>18</v>
      </c>
      <c r="G300" s="7" t="s">
        <v>1075</v>
      </c>
      <c r="H300" s="0" t="s">
        <v>1076</v>
      </c>
      <c r="I300" s="0" t="s">
        <v>21</v>
      </c>
      <c r="J300" s="0" t="s">
        <v>22</v>
      </c>
      <c r="K300" s="0" t="s">
        <v>82</v>
      </c>
      <c r="L300" s="0" t="str">
        <f aca="false">IFERROR(VLOOKUP(K300,'Supplier list'!B:C,2,0),"")</f>
        <v>บริษัท เกรียงศิริพัฒนา (1995) จำกัด</v>
      </c>
      <c r="M300" s="1" t="n">
        <f aca="false">FALSE()</f>
        <v>0</v>
      </c>
      <c r="N300" s="2"/>
      <c r="O300" s="2" t="n">
        <v>120</v>
      </c>
    </row>
    <row r="301" customFormat="false" ht="16.4" hidden="false" customHeight="false" outlineLevel="0" collapsed="false">
      <c r="A301" s="0" t="s">
        <v>15</v>
      </c>
      <c r="B301" s="0" t="s">
        <v>1077</v>
      </c>
      <c r="C301" s="0" t="n">
        <v>114003</v>
      </c>
      <c r="D301" s="0" t="n">
        <v>114003</v>
      </c>
      <c r="E301" s="0" t="s">
        <v>127</v>
      </c>
      <c r="F301" s="0" t="s">
        <v>18</v>
      </c>
      <c r="G301" s="7" t="s">
        <v>1078</v>
      </c>
      <c r="H301" s="0" t="s">
        <v>1079</v>
      </c>
      <c r="I301" s="0" t="s">
        <v>21</v>
      </c>
      <c r="J301" s="0" t="s">
        <v>22</v>
      </c>
      <c r="K301" s="0" t="s">
        <v>82</v>
      </c>
      <c r="L301" s="0" t="str">
        <f aca="false">IFERROR(VLOOKUP(K301,'Supplier list'!B:C,2,0),"")</f>
        <v>บริษัท เกรียงศิริพัฒนา (1995) จำกัด</v>
      </c>
      <c r="M301" s="1" t="n">
        <f aca="false">FALSE()</f>
        <v>0</v>
      </c>
      <c r="N301" s="2"/>
      <c r="O301" s="2" t="n">
        <v>50</v>
      </c>
    </row>
    <row r="302" customFormat="false" ht="16.4" hidden="false" customHeight="false" outlineLevel="0" collapsed="false">
      <c r="A302" s="0" t="s">
        <v>15</v>
      </c>
      <c r="B302" s="0" t="s">
        <v>1080</v>
      </c>
      <c r="C302" s="0" t="n">
        <v>114003</v>
      </c>
      <c r="D302" s="0" t="n">
        <v>114003</v>
      </c>
      <c r="E302" s="0" t="s">
        <v>127</v>
      </c>
      <c r="F302" s="0" t="s">
        <v>18</v>
      </c>
      <c r="G302" s="7" t="s">
        <v>1081</v>
      </c>
      <c r="H302" s="0" t="s">
        <v>1082</v>
      </c>
      <c r="I302" s="0" t="s">
        <v>21</v>
      </c>
      <c r="J302" s="0" t="s">
        <v>22</v>
      </c>
      <c r="K302" s="0" t="s">
        <v>82</v>
      </c>
      <c r="L302" s="0" t="str">
        <f aca="false">IFERROR(VLOOKUP(K302,'Supplier list'!B:C,2,0),"")</f>
        <v>บริษัท เกรียงศิริพัฒนา (1995) จำกัด</v>
      </c>
      <c r="M302" s="1" t="n">
        <f aca="false">FALSE()</f>
        <v>0</v>
      </c>
      <c r="N302" s="2"/>
      <c r="O302" s="2" t="n">
        <v>350</v>
      </c>
    </row>
    <row r="303" customFormat="false" ht="16.4" hidden="false" customHeight="false" outlineLevel="0" collapsed="false">
      <c r="A303" s="0" t="s">
        <v>15</v>
      </c>
      <c r="B303" s="0" t="s">
        <v>1083</v>
      </c>
      <c r="C303" s="0" t="n">
        <v>114003</v>
      </c>
      <c r="D303" s="0" t="n">
        <v>114003</v>
      </c>
      <c r="E303" s="0" t="s">
        <v>87</v>
      </c>
      <c r="F303" s="0" t="s">
        <v>18</v>
      </c>
      <c r="G303" s="7" t="s">
        <v>1084</v>
      </c>
      <c r="H303" s="0" t="s">
        <v>1085</v>
      </c>
      <c r="I303" s="0" t="s">
        <v>142</v>
      </c>
      <c r="J303" s="0" t="s">
        <v>143</v>
      </c>
      <c r="K303" s="0" t="s">
        <v>1054</v>
      </c>
      <c r="L303" s="0" t="str">
        <f aca="false">IFERROR(VLOOKUP(K303,'Supplier list'!B:C,2,0),"")</f>
        <v>บริษัท บอร์เนียว เทคนิเคิล (ประเทศไทย) จำกัด</v>
      </c>
      <c r="M303" s="1" t="n">
        <f aca="false">FALSE()</f>
        <v>0</v>
      </c>
      <c r="N303" s="2"/>
      <c r="O303" s="2" t="n">
        <v>950</v>
      </c>
    </row>
    <row r="304" customFormat="false" ht="16.4" hidden="false" customHeight="false" outlineLevel="0" collapsed="false">
      <c r="A304" s="0" t="s">
        <v>15</v>
      </c>
      <c r="B304" s="0" t="s">
        <v>1086</v>
      </c>
      <c r="C304" s="0" t="n">
        <v>114003</v>
      </c>
      <c r="D304" s="0" t="n">
        <v>114003</v>
      </c>
      <c r="E304" s="0" t="s">
        <v>87</v>
      </c>
      <c r="F304" s="0" t="s">
        <v>18</v>
      </c>
      <c r="G304" s="7" t="s">
        <v>1087</v>
      </c>
      <c r="H304" s="0" t="s">
        <v>1088</v>
      </c>
      <c r="I304" s="0" t="s">
        <v>21</v>
      </c>
      <c r="J304" s="0" t="s">
        <v>22</v>
      </c>
      <c r="K304" s="0" t="s">
        <v>1054</v>
      </c>
      <c r="L304" s="0" t="str">
        <f aca="false">IFERROR(VLOOKUP(K304,'Supplier list'!B:C,2,0),"")</f>
        <v>บริษัท บอร์เนียว เทคนิเคิล (ประเทศไทย) จำกัด</v>
      </c>
      <c r="M304" s="1" t="n">
        <f aca="false">FALSE()</f>
        <v>0</v>
      </c>
      <c r="N304" s="2"/>
      <c r="O304" s="2" t="n">
        <v>950</v>
      </c>
    </row>
    <row r="305" customFormat="false" ht="16.4" hidden="false" customHeight="false" outlineLevel="0" collapsed="false">
      <c r="A305" s="0" t="s">
        <v>15</v>
      </c>
      <c r="B305" s="0" t="s">
        <v>1089</v>
      </c>
      <c r="C305" s="0" t="n">
        <v>114004</v>
      </c>
      <c r="D305" s="0" t="n">
        <v>114004</v>
      </c>
      <c r="E305" s="0" t="s">
        <v>87</v>
      </c>
      <c r="F305" s="0" t="s">
        <v>18</v>
      </c>
      <c r="G305" s="7" t="s">
        <v>1090</v>
      </c>
      <c r="H305" s="0" t="s">
        <v>1091</v>
      </c>
      <c r="I305" s="0" t="s">
        <v>102</v>
      </c>
      <c r="J305" s="0" t="s">
        <v>103</v>
      </c>
      <c r="L305" s="0" t="str">
        <f aca="false">IFERROR(VLOOKUP(K305,'Supplier list'!B:C,2,0),"")</f>
        <v/>
      </c>
      <c r="M305" s="1" t="n">
        <f aca="false">FALSE()</f>
        <v>0</v>
      </c>
      <c r="N305" s="2"/>
      <c r="O305" s="2" t="n">
        <v>13</v>
      </c>
    </row>
    <row r="306" customFormat="false" ht="16.4" hidden="false" customHeight="false" outlineLevel="0" collapsed="false">
      <c r="A306" s="0" t="s">
        <v>15</v>
      </c>
      <c r="B306" s="0" t="s">
        <v>1092</v>
      </c>
      <c r="C306" s="0" t="n">
        <v>114004</v>
      </c>
      <c r="D306" s="0" t="n">
        <v>114004</v>
      </c>
      <c r="E306" s="0" t="s">
        <v>87</v>
      </c>
      <c r="F306" s="0" t="s">
        <v>18</v>
      </c>
      <c r="G306" s="7" t="s">
        <v>1093</v>
      </c>
      <c r="H306" s="0" t="s">
        <v>1094</v>
      </c>
      <c r="I306" s="0" t="s">
        <v>102</v>
      </c>
      <c r="J306" s="0" t="s">
        <v>103</v>
      </c>
      <c r="L306" s="0" t="str">
        <f aca="false">IFERROR(VLOOKUP(K306,'Supplier list'!B:C,2,0),"")</f>
        <v/>
      </c>
      <c r="M306" s="1" t="n">
        <f aca="false">FALSE()</f>
        <v>0</v>
      </c>
      <c r="N306" s="2"/>
      <c r="O306" s="2" t="n">
        <v>13</v>
      </c>
    </row>
    <row r="307" customFormat="false" ht="16.4" hidden="false" customHeight="false" outlineLevel="0" collapsed="false">
      <c r="A307" s="0" t="s">
        <v>15</v>
      </c>
      <c r="B307" s="0" t="s">
        <v>1095</v>
      </c>
      <c r="C307" s="0" t="n">
        <v>114004</v>
      </c>
      <c r="D307" s="0" t="n">
        <v>114004</v>
      </c>
      <c r="E307" s="0" t="s">
        <v>87</v>
      </c>
      <c r="F307" s="0" t="s">
        <v>18</v>
      </c>
      <c r="G307" s="7" t="s">
        <v>1096</v>
      </c>
      <c r="H307" s="0" t="s">
        <v>1097</v>
      </c>
      <c r="I307" s="0" t="s">
        <v>102</v>
      </c>
      <c r="J307" s="0" t="s">
        <v>103</v>
      </c>
      <c r="L307" s="0" t="str">
        <f aca="false">IFERROR(VLOOKUP(K307,'Supplier list'!B:C,2,0),"")</f>
        <v/>
      </c>
      <c r="M307" s="1" t="n">
        <f aca="false">FALSE()</f>
        <v>0</v>
      </c>
      <c r="N307" s="2"/>
      <c r="O307" s="2" t="n">
        <v>13.5</v>
      </c>
    </row>
    <row r="308" customFormat="false" ht="16.4" hidden="false" customHeight="false" outlineLevel="0" collapsed="false">
      <c r="A308" s="0" t="s">
        <v>15</v>
      </c>
      <c r="B308" s="0" t="s">
        <v>1098</v>
      </c>
      <c r="C308" s="0" t="n">
        <v>114004</v>
      </c>
      <c r="D308" s="0" t="n">
        <v>114004</v>
      </c>
      <c r="E308" s="0" t="s">
        <v>87</v>
      </c>
      <c r="F308" s="0" t="s">
        <v>18</v>
      </c>
      <c r="G308" s="7" t="s">
        <v>1099</v>
      </c>
      <c r="H308" s="0" t="s">
        <v>1100</v>
      </c>
      <c r="I308" s="0" t="s">
        <v>102</v>
      </c>
      <c r="J308" s="0" t="s">
        <v>103</v>
      </c>
      <c r="L308" s="0" t="str">
        <f aca="false">IFERROR(VLOOKUP(K308,'Supplier list'!B:C,2,0),"")</f>
        <v/>
      </c>
      <c r="M308" s="1" t="n">
        <f aca="false">FALSE()</f>
        <v>0</v>
      </c>
      <c r="N308" s="2"/>
      <c r="O308" s="2" t="n">
        <v>13.5</v>
      </c>
    </row>
    <row r="309" customFormat="false" ht="16.4" hidden="false" customHeight="false" outlineLevel="0" collapsed="false">
      <c r="A309" s="0" t="s">
        <v>15</v>
      </c>
      <c r="B309" s="0" t="s">
        <v>1101</v>
      </c>
      <c r="C309" s="0" t="n">
        <v>114004</v>
      </c>
      <c r="D309" s="0" t="n">
        <v>114004</v>
      </c>
      <c r="E309" s="0" t="s">
        <v>87</v>
      </c>
      <c r="F309" s="0" t="s">
        <v>18</v>
      </c>
      <c r="G309" s="7" t="s">
        <v>1102</v>
      </c>
      <c r="H309" s="0" t="s">
        <v>1103</v>
      </c>
      <c r="I309" s="0" t="s">
        <v>102</v>
      </c>
      <c r="J309" s="0" t="s">
        <v>103</v>
      </c>
      <c r="K309" s="0" t="s">
        <v>1104</v>
      </c>
      <c r="L309" s="0" t="str">
        <f aca="false">IFERROR(VLOOKUP(K309,'Supplier list'!B:C,2,0),"")</f>
        <v/>
      </c>
      <c r="M309" s="1" t="n">
        <f aca="false">FALSE()</f>
        <v>0</v>
      </c>
      <c r="N309" s="2"/>
      <c r="O309" s="2" t="n">
        <v>7</v>
      </c>
    </row>
    <row r="310" customFormat="false" ht="16.4" hidden="false" customHeight="false" outlineLevel="0" collapsed="false">
      <c r="A310" s="0" t="s">
        <v>15</v>
      </c>
      <c r="B310" s="0" t="s">
        <v>1105</v>
      </c>
      <c r="C310" s="0" t="n">
        <v>114004</v>
      </c>
      <c r="D310" s="0" t="n">
        <v>114004</v>
      </c>
      <c r="E310" s="0" t="s">
        <v>87</v>
      </c>
      <c r="F310" s="0" t="s">
        <v>18</v>
      </c>
      <c r="G310" s="7" t="s">
        <v>1106</v>
      </c>
      <c r="H310" s="0" t="s">
        <v>1107</v>
      </c>
      <c r="I310" s="0" t="s">
        <v>102</v>
      </c>
      <c r="J310" s="0" t="s">
        <v>103</v>
      </c>
      <c r="K310" s="0" t="s">
        <v>1104</v>
      </c>
      <c r="L310" s="0" t="str">
        <f aca="false">IFERROR(VLOOKUP(K310,'Supplier list'!B:C,2,0),"")</f>
        <v/>
      </c>
      <c r="M310" s="1" t="n">
        <f aca="false">FALSE()</f>
        <v>0</v>
      </c>
      <c r="N310" s="2"/>
      <c r="O310" s="2" t="n">
        <v>7</v>
      </c>
    </row>
    <row r="311" customFormat="false" ht="16.4" hidden="false" customHeight="false" outlineLevel="0" collapsed="false">
      <c r="A311" s="0" t="s">
        <v>15</v>
      </c>
      <c r="B311" s="0" t="s">
        <v>1108</v>
      </c>
      <c r="C311" s="0" t="n">
        <v>114004</v>
      </c>
      <c r="D311" s="0" t="n">
        <v>114004</v>
      </c>
      <c r="E311" s="0" t="s">
        <v>87</v>
      </c>
      <c r="F311" s="0" t="s">
        <v>18</v>
      </c>
      <c r="G311" s="7" t="s">
        <v>1109</v>
      </c>
      <c r="H311" s="0" t="s">
        <v>1110</v>
      </c>
      <c r="I311" s="0" t="s">
        <v>102</v>
      </c>
      <c r="J311" s="0" t="s">
        <v>103</v>
      </c>
      <c r="K311" s="0" t="s">
        <v>1104</v>
      </c>
      <c r="L311" s="0" t="str">
        <f aca="false">IFERROR(VLOOKUP(K311,'Supplier list'!B:C,2,0),"")</f>
        <v/>
      </c>
      <c r="M311" s="1" t="n">
        <f aca="false">FALSE()</f>
        <v>0</v>
      </c>
      <c r="N311" s="2"/>
      <c r="O311" s="2" t="n">
        <v>10</v>
      </c>
    </row>
    <row r="312" customFormat="false" ht="16.4" hidden="false" customHeight="false" outlineLevel="0" collapsed="false">
      <c r="A312" s="0" t="s">
        <v>15</v>
      </c>
      <c r="B312" s="0" t="s">
        <v>1111</v>
      </c>
      <c r="C312" s="0" t="n">
        <v>114004</v>
      </c>
      <c r="D312" s="0" t="n">
        <v>114004</v>
      </c>
      <c r="E312" s="0" t="s">
        <v>87</v>
      </c>
      <c r="F312" s="0" t="s">
        <v>18</v>
      </c>
      <c r="G312" s="7" t="s">
        <v>1112</v>
      </c>
      <c r="H312" s="0" t="s">
        <v>1113</v>
      </c>
      <c r="I312" s="0" t="s">
        <v>102</v>
      </c>
      <c r="J312" s="0" t="s">
        <v>103</v>
      </c>
      <c r="K312" s="0" t="s">
        <v>1104</v>
      </c>
      <c r="L312" s="0" t="str">
        <f aca="false">IFERROR(VLOOKUP(K312,'Supplier list'!B:C,2,0),"")</f>
        <v/>
      </c>
      <c r="M312" s="1" t="n">
        <f aca="false">FALSE()</f>
        <v>0</v>
      </c>
      <c r="N312" s="2"/>
      <c r="O312" s="2" t="n">
        <v>10</v>
      </c>
    </row>
    <row r="313" customFormat="false" ht="16.4" hidden="false" customHeight="false" outlineLevel="0" collapsed="false">
      <c r="A313" s="0" t="s">
        <v>15</v>
      </c>
      <c r="B313" s="0" t="s">
        <v>1114</v>
      </c>
      <c r="C313" s="0" t="n">
        <v>114004</v>
      </c>
      <c r="D313" s="0" t="n">
        <v>114004</v>
      </c>
      <c r="E313" s="0" t="s">
        <v>87</v>
      </c>
      <c r="F313" s="0" t="s">
        <v>18</v>
      </c>
      <c r="G313" s="7" t="s">
        <v>1115</v>
      </c>
      <c r="H313" s="0" t="s">
        <v>1116</v>
      </c>
      <c r="I313" s="0" t="s">
        <v>102</v>
      </c>
      <c r="J313" s="0" t="s">
        <v>103</v>
      </c>
      <c r="K313" s="0" t="s">
        <v>1104</v>
      </c>
      <c r="L313" s="0" t="str">
        <f aca="false">IFERROR(VLOOKUP(K313,'Supplier list'!B:C,2,0),"")</f>
        <v/>
      </c>
      <c r="M313" s="1" t="n">
        <f aca="false">FALSE()</f>
        <v>0</v>
      </c>
      <c r="N313" s="2"/>
      <c r="O313" s="2" t="n">
        <v>8</v>
      </c>
    </row>
    <row r="314" customFormat="false" ht="16.4" hidden="false" customHeight="false" outlineLevel="0" collapsed="false">
      <c r="A314" s="0" t="s">
        <v>15</v>
      </c>
      <c r="B314" s="0" t="s">
        <v>1117</v>
      </c>
      <c r="C314" s="0" t="n">
        <v>114004</v>
      </c>
      <c r="D314" s="0" t="n">
        <v>114004</v>
      </c>
      <c r="E314" s="0" t="s">
        <v>1000</v>
      </c>
      <c r="F314" s="0" t="s">
        <v>18</v>
      </c>
      <c r="G314" s="7" t="s">
        <v>1118</v>
      </c>
      <c r="H314" s="0" t="s">
        <v>1119</v>
      </c>
      <c r="I314" s="0" t="s">
        <v>21</v>
      </c>
      <c r="J314" s="0" t="s">
        <v>22</v>
      </c>
      <c r="K314" s="0" t="s">
        <v>1120</v>
      </c>
      <c r="L314" s="0" t="str">
        <f aca="false">IFERROR(VLOOKUP(K314,'Supplier list'!B:C,2,0),"")</f>
        <v/>
      </c>
      <c r="M314" s="1" t="n">
        <f aca="false">FALSE()</f>
        <v>0</v>
      </c>
      <c r="N314" s="2"/>
      <c r="O314" s="2" t="n">
        <v>510</v>
      </c>
    </row>
    <row r="315" customFormat="false" ht="16.4" hidden="false" customHeight="false" outlineLevel="0" collapsed="false">
      <c r="A315" s="0" t="s">
        <v>15</v>
      </c>
      <c r="B315" s="0" t="s">
        <v>1121</v>
      </c>
      <c r="C315" s="0" t="n">
        <v>114004</v>
      </c>
      <c r="D315" s="0" t="n">
        <v>114004</v>
      </c>
      <c r="E315" s="0" t="s">
        <v>87</v>
      </c>
      <c r="F315" s="0" t="s">
        <v>18</v>
      </c>
      <c r="G315" s="7" t="s">
        <v>1122</v>
      </c>
      <c r="H315" s="0" t="s">
        <v>1123</v>
      </c>
      <c r="I315" s="0" t="s">
        <v>701</v>
      </c>
      <c r="J315" s="0" t="s">
        <v>22</v>
      </c>
      <c r="K315" s="0" t="s">
        <v>1124</v>
      </c>
      <c r="L315" s="0" t="str">
        <f aca="false">IFERROR(VLOOKUP(K315,'Supplier list'!B:C,2,0),"")</f>
        <v/>
      </c>
      <c r="M315" s="1" t="n">
        <f aca="false">FALSE()</f>
        <v>0</v>
      </c>
      <c r="N315" s="2"/>
      <c r="O315" s="2" t="n">
        <v>13</v>
      </c>
    </row>
    <row r="316" customFormat="false" ht="16.4" hidden="false" customHeight="false" outlineLevel="0" collapsed="false">
      <c r="A316" s="0" t="s">
        <v>15</v>
      </c>
      <c r="B316" s="0" t="s">
        <v>1125</v>
      </c>
      <c r="C316" s="0" t="n">
        <v>114004</v>
      </c>
      <c r="D316" s="0" t="n">
        <v>114004</v>
      </c>
      <c r="E316" s="0" t="s">
        <v>87</v>
      </c>
      <c r="F316" s="0" t="s">
        <v>18</v>
      </c>
      <c r="G316" s="7" t="s">
        <v>1126</v>
      </c>
      <c r="H316" s="0" t="s">
        <v>1127</v>
      </c>
      <c r="I316" s="0" t="s">
        <v>701</v>
      </c>
      <c r="J316" s="0" t="s">
        <v>22</v>
      </c>
      <c r="K316" s="0" t="s">
        <v>1124</v>
      </c>
      <c r="L316" s="0" t="str">
        <f aca="false">IFERROR(VLOOKUP(K316,'Supplier list'!B:C,2,0),"")</f>
        <v/>
      </c>
      <c r="M316" s="1" t="n">
        <f aca="false">FALSE()</f>
        <v>0</v>
      </c>
      <c r="N316" s="2"/>
      <c r="O316" s="2" t="n">
        <v>12</v>
      </c>
    </row>
    <row r="317" customFormat="false" ht="16.4" hidden="false" customHeight="false" outlineLevel="0" collapsed="false">
      <c r="A317" s="0" t="s">
        <v>15</v>
      </c>
      <c r="B317" s="0" t="s">
        <v>1128</v>
      </c>
      <c r="C317" s="0" t="n">
        <v>114004</v>
      </c>
      <c r="D317" s="0" t="n">
        <v>114004</v>
      </c>
      <c r="E317" s="0" t="s">
        <v>1129</v>
      </c>
      <c r="F317" s="0" t="s">
        <v>18</v>
      </c>
      <c r="G317" s="7" t="s">
        <v>1130</v>
      </c>
      <c r="H317" s="0" t="s">
        <v>1131</v>
      </c>
      <c r="I317" s="0" t="s">
        <v>102</v>
      </c>
      <c r="J317" s="0" t="s">
        <v>103</v>
      </c>
      <c r="L317" s="0" t="str">
        <f aca="false">IFERROR(VLOOKUP(K317,'Supplier list'!B:C,2,0),"")</f>
        <v/>
      </c>
      <c r="M317" s="1" t="n">
        <f aca="false">FALSE()</f>
        <v>0</v>
      </c>
      <c r="N317" s="2"/>
      <c r="O317" s="2" t="n">
        <v>195</v>
      </c>
    </row>
    <row r="318" customFormat="false" ht="16.4" hidden="false" customHeight="false" outlineLevel="0" collapsed="false">
      <c r="A318" s="0" t="s">
        <v>15</v>
      </c>
      <c r="B318" s="0" t="s">
        <v>1132</v>
      </c>
      <c r="C318" s="0" t="n">
        <v>114004</v>
      </c>
      <c r="D318" s="0" t="n">
        <v>114004</v>
      </c>
      <c r="E318" s="0" t="s">
        <v>1129</v>
      </c>
      <c r="F318" s="0" t="s">
        <v>18</v>
      </c>
      <c r="G318" s="7" t="s">
        <v>1133</v>
      </c>
      <c r="H318" s="0" t="s">
        <v>1134</v>
      </c>
      <c r="I318" s="0" t="s">
        <v>21</v>
      </c>
      <c r="J318" s="0" t="s">
        <v>22</v>
      </c>
      <c r="L318" s="0" t="str">
        <f aca="false">IFERROR(VLOOKUP(K318,'Supplier list'!B:C,2,0),"")</f>
        <v/>
      </c>
      <c r="M318" s="1" t="n">
        <f aca="false">FALSE()</f>
        <v>0</v>
      </c>
      <c r="N318" s="2"/>
      <c r="O318" s="2" t="n">
        <v>500</v>
      </c>
    </row>
    <row r="319" customFormat="false" ht="16.4" hidden="false" customHeight="false" outlineLevel="0" collapsed="false">
      <c r="A319" s="0" t="s">
        <v>15</v>
      </c>
      <c r="B319" s="0" t="s">
        <v>1135</v>
      </c>
      <c r="C319" s="0" t="n">
        <v>114004</v>
      </c>
      <c r="D319" s="0" t="n">
        <v>114004</v>
      </c>
      <c r="E319" s="0" t="s">
        <v>1129</v>
      </c>
      <c r="F319" s="0" t="s">
        <v>18</v>
      </c>
      <c r="G319" s="7" t="s">
        <v>1136</v>
      </c>
      <c r="H319" s="0" t="s">
        <v>1137</v>
      </c>
      <c r="I319" s="0" t="s">
        <v>21</v>
      </c>
      <c r="J319" s="0" t="s">
        <v>22</v>
      </c>
      <c r="L319" s="0" t="str">
        <f aca="false">IFERROR(VLOOKUP(K319,'Supplier list'!B:C,2,0),"")</f>
        <v/>
      </c>
      <c r="M319" s="1" t="n">
        <f aca="false">FALSE()</f>
        <v>0</v>
      </c>
      <c r="N319" s="2"/>
      <c r="O319" s="2" t="n">
        <v>500</v>
      </c>
    </row>
    <row r="320" customFormat="false" ht="16.4" hidden="false" customHeight="false" outlineLevel="0" collapsed="false">
      <c r="A320" s="0" t="s">
        <v>15</v>
      </c>
      <c r="B320" s="0" t="s">
        <v>1138</v>
      </c>
      <c r="C320" s="0" t="n">
        <v>114004</v>
      </c>
      <c r="D320" s="0" t="n">
        <v>114004</v>
      </c>
      <c r="E320" s="0" t="s">
        <v>1129</v>
      </c>
      <c r="F320" s="0" t="s">
        <v>18</v>
      </c>
      <c r="G320" s="7" t="s">
        <v>1139</v>
      </c>
      <c r="H320" s="0" t="s">
        <v>1140</v>
      </c>
      <c r="I320" s="0" t="s">
        <v>21</v>
      </c>
      <c r="J320" s="0" t="s">
        <v>22</v>
      </c>
      <c r="L320" s="0" t="str">
        <f aca="false">IFERROR(VLOOKUP(K320,'Supplier list'!B:C,2,0),"")</f>
        <v/>
      </c>
      <c r="M320" s="1" t="n">
        <f aca="false">FALSE()</f>
        <v>0</v>
      </c>
      <c r="N320" s="2"/>
      <c r="O320" s="2" t="n">
        <v>500</v>
      </c>
    </row>
    <row r="321" customFormat="false" ht="16.4" hidden="false" customHeight="false" outlineLevel="0" collapsed="false">
      <c r="A321" s="0" t="s">
        <v>15</v>
      </c>
      <c r="B321" s="0" t="s">
        <v>1141</v>
      </c>
      <c r="C321" s="0" t="n">
        <v>114004</v>
      </c>
      <c r="D321" s="0" t="n">
        <v>114004</v>
      </c>
      <c r="E321" s="0" t="s">
        <v>1129</v>
      </c>
      <c r="F321" s="0" t="s">
        <v>18</v>
      </c>
      <c r="G321" s="7" t="s">
        <v>1142</v>
      </c>
      <c r="H321" s="0" t="s">
        <v>1143</v>
      </c>
      <c r="I321" s="0" t="s">
        <v>21</v>
      </c>
      <c r="J321" s="0" t="s">
        <v>22</v>
      </c>
      <c r="L321" s="0" t="str">
        <f aca="false">IFERROR(VLOOKUP(K321,'Supplier list'!B:C,2,0),"")</f>
        <v/>
      </c>
      <c r="M321" s="1" t="n">
        <f aca="false">FALSE()</f>
        <v>0</v>
      </c>
      <c r="N321" s="2"/>
      <c r="O321" s="2" t="n">
        <v>500</v>
      </c>
    </row>
    <row r="322" customFormat="false" ht="16.4" hidden="false" customHeight="false" outlineLevel="0" collapsed="false">
      <c r="A322" s="0" t="s">
        <v>15</v>
      </c>
      <c r="B322" s="0" t="s">
        <v>1144</v>
      </c>
      <c r="C322" s="0" t="n">
        <v>114004</v>
      </c>
      <c r="D322" s="0" t="n">
        <v>114004</v>
      </c>
      <c r="E322" s="0" t="s">
        <v>1129</v>
      </c>
      <c r="F322" s="0" t="s">
        <v>18</v>
      </c>
      <c r="G322" s="7" t="s">
        <v>1145</v>
      </c>
      <c r="H322" s="0" t="s">
        <v>1146</v>
      </c>
      <c r="I322" s="0" t="s">
        <v>21</v>
      </c>
      <c r="J322" s="0" t="s">
        <v>22</v>
      </c>
      <c r="L322" s="0" t="str">
        <f aca="false">IFERROR(VLOOKUP(K322,'Supplier list'!B:C,2,0),"")</f>
        <v/>
      </c>
      <c r="M322" s="1" t="n">
        <f aca="false">FALSE()</f>
        <v>0</v>
      </c>
      <c r="N322" s="2"/>
      <c r="O322" s="2" t="n">
        <v>500</v>
      </c>
    </row>
    <row r="323" customFormat="false" ht="16.4" hidden="false" customHeight="false" outlineLevel="0" collapsed="false">
      <c r="A323" s="0" t="s">
        <v>15</v>
      </c>
      <c r="B323" s="0" t="s">
        <v>1147</v>
      </c>
      <c r="C323" s="0" t="n">
        <v>114004</v>
      </c>
      <c r="D323" s="0" t="n">
        <v>114004</v>
      </c>
      <c r="E323" s="0" t="s">
        <v>1129</v>
      </c>
      <c r="F323" s="0" t="s">
        <v>18</v>
      </c>
      <c r="G323" s="7" t="s">
        <v>1148</v>
      </c>
      <c r="H323" s="0" t="s">
        <v>1149</v>
      </c>
      <c r="I323" s="0" t="s">
        <v>21</v>
      </c>
      <c r="J323" s="0" t="s">
        <v>22</v>
      </c>
      <c r="L323" s="0" t="str">
        <f aca="false">IFERROR(VLOOKUP(K323,'Supplier list'!B:C,2,0),"")</f>
        <v/>
      </c>
      <c r="M323" s="1" t="n">
        <f aca="false">FALSE()</f>
        <v>0</v>
      </c>
      <c r="N323" s="2"/>
      <c r="O323" s="2" t="n">
        <v>500</v>
      </c>
    </row>
    <row r="324" customFormat="false" ht="16.4" hidden="false" customHeight="false" outlineLevel="0" collapsed="false">
      <c r="A324" s="0" t="s">
        <v>15</v>
      </c>
      <c r="B324" s="0" t="s">
        <v>1150</v>
      </c>
      <c r="C324" s="0" t="n">
        <v>114004</v>
      </c>
      <c r="D324" s="0" t="n">
        <v>114004</v>
      </c>
      <c r="E324" s="0" t="s">
        <v>1129</v>
      </c>
      <c r="F324" s="0" t="s">
        <v>18</v>
      </c>
      <c r="G324" s="7" t="s">
        <v>1151</v>
      </c>
      <c r="H324" s="0" t="s">
        <v>1152</v>
      </c>
      <c r="I324" s="0" t="s">
        <v>21</v>
      </c>
      <c r="J324" s="0" t="s">
        <v>22</v>
      </c>
      <c r="L324" s="0" t="str">
        <f aca="false">IFERROR(VLOOKUP(K324,'Supplier list'!B:C,2,0),"")</f>
        <v/>
      </c>
      <c r="M324" s="1" t="n">
        <f aca="false">FALSE()</f>
        <v>0</v>
      </c>
      <c r="N324" s="2"/>
      <c r="O324" s="2" t="n">
        <v>500</v>
      </c>
    </row>
    <row r="325" customFormat="false" ht="16.4" hidden="false" customHeight="false" outlineLevel="0" collapsed="false">
      <c r="A325" s="0" t="s">
        <v>15</v>
      </c>
      <c r="B325" s="0" t="s">
        <v>1153</v>
      </c>
      <c r="C325" s="0" t="n">
        <v>114004</v>
      </c>
      <c r="D325" s="0" t="n">
        <v>114004</v>
      </c>
      <c r="E325" s="0" t="s">
        <v>1154</v>
      </c>
      <c r="F325" s="0" t="s">
        <v>18</v>
      </c>
      <c r="G325" s="7" t="s">
        <v>1155</v>
      </c>
      <c r="H325" s="0" t="s">
        <v>1156</v>
      </c>
      <c r="I325" s="0" t="s">
        <v>508</v>
      </c>
      <c r="J325" s="0" t="s">
        <v>509</v>
      </c>
      <c r="K325" s="0" t="s">
        <v>75</v>
      </c>
      <c r="L325" s="0" t="str">
        <f aca="false">IFERROR(VLOOKUP(K325,'Supplier list'!B:C,2,0),"")</f>
        <v/>
      </c>
      <c r="M325" s="1" t="n">
        <f aca="false">FALSE()</f>
        <v>0</v>
      </c>
      <c r="N325" s="2"/>
      <c r="O325" s="2" t="n">
        <v>150</v>
      </c>
    </row>
    <row r="326" customFormat="false" ht="16.4" hidden="false" customHeight="false" outlineLevel="0" collapsed="false">
      <c r="A326" s="0" t="s">
        <v>15</v>
      </c>
      <c r="B326" s="0" t="s">
        <v>1157</v>
      </c>
      <c r="C326" s="0" t="n">
        <v>114004</v>
      </c>
      <c r="D326" s="0" t="n">
        <v>114004</v>
      </c>
      <c r="E326" s="0" t="s">
        <v>87</v>
      </c>
      <c r="F326" s="0" t="s">
        <v>18</v>
      </c>
      <c r="G326" s="7" t="s">
        <v>1158</v>
      </c>
      <c r="H326" s="0" t="s">
        <v>1159</v>
      </c>
      <c r="I326" s="0" t="s">
        <v>102</v>
      </c>
      <c r="J326" s="0" t="s">
        <v>103</v>
      </c>
      <c r="K326" s="0" t="s">
        <v>1160</v>
      </c>
      <c r="L326" s="0" t="str">
        <f aca="false">IFERROR(VLOOKUP(K326,'Supplier list'!B:C,2,0),"")</f>
        <v/>
      </c>
      <c r="M326" s="1" t="n">
        <f aca="false">FALSE()</f>
        <v>0</v>
      </c>
      <c r="N326" s="2"/>
      <c r="O326" s="2" t="n">
        <v>6</v>
      </c>
    </row>
    <row r="327" customFormat="false" ht="16.4" hidden="false" customHeight="false" outlineLevel="0" collapsed="false">
      <c r="A327" s="0" t="s">
        <v>15</v>
      </c>
      <c r="B327" s="0" t="s">
        <v>1161</v>
      </c>
      <c r="C327" s="0" t="n">
        <v>114004</v>
      </c>
      <c r="D327" s="0" t="n">
        <v>114004</v>
      </c>
      <c r="E327" s="0" t="s">
        <v>87</v>
      </c>
      <c r="F327" s="0" t="s">
        <v>18</v>
      </c>
      <c r="G327" s="7" t="s">
        <v>1162</v>
      </c>
      <c r="H327" s="0" t="s">
        <v>1163</v>
      </c>
      <c r="I327" s="0" t="s">
        <v>102</v>
      </c>
      <c r="J327" s="0" t="s">
        <v>103</v>
      </c>
      <c r="K327" s="0" t="s">
        <v>1160</v>
      </c>
      <c r="L327" s="0" t="str">
        <f aca="false">IFERROR(VLOOKUP(K327,'Supplier list'!B:C,2,0),"")</f>
        <v/>
      </c>
      <c r="M327" s="1" t="n">
        <f aca="false">FALSE()</f>
        <v>0</v>
      </c>
      <c r="N327" s="2"/>
      <c r="O327" s="2" t="n">
        <v>6</v>
      </c>
    </row>
    <row r="328" customFormat="false" ht="16.4" hidden="false" customHeight="false" outlineLevel="0" collapsed="false">
      <c r="A328" s="0" t="s">
        <v>15</v>
      </c>
      <c r="B328" s="0" t="s">
        <v>1164</v>
      </c>
      <c r="C328" s="0" t="n">
        <v>114004</v>
      </c>
      <c r="D328" s="0" t="n">
        <v>114004</v>
      </c>
      <c r="E328" s="0" t="s">
        <v>87</v>
      </c>
      <c r="F328" s="0" t="s">
        <v>18</v>
      </c>
      <c r="G328" s="7" t="s">
        <v>1165</v>
      </c>
      <c r="H328" s="0" t="s">
        <v>1166</v>
      </c>
      <c r="I328" s="0" t="s">
        <v>102</v>
      </c>
      <c r="J328" s="0" t="s">
        <v>103</v>
      </c>
      <c r="K328" s="0" t="s">
        <v>1160</v>
      </c>
      <c r="L328" s="0" t="str">
        <f aca="false">IFERROR(VLOOKUP(K328,'Supplier list'!B:C,2,0),"")</f>
        <v/>
      </c>
      <c r="M328" s="1" t="n">
        <f aca="false">FALSE()</f>
        <v>0</v>
      </c>
      <c r="N328" s="2"/>
      <c r="O328" s="2" t="n">
        <v>6</v>
      </c>
    </row>
    <row r="329" customFormat="false" ht="16.4" hidden="false" customHeight="false" outlineLevel="0" collapsed="false">
      <c r="A329" s="0" t="s">
        <v>15</v>
      </c>
      <c r="B329" s="0" t="s">
        <v>1167</v>
      </c>
      <c r="C329" s="0" t="n">
        <v>114004</v>
      </c>
      <c r="D329" s="0" t="n">
        <v>114004</v>
      </c>
      <c r="E329" s="0" t="s">
        <v>87</v>
      </c>
      <c r="F329" s="0" t="s">
        <v>18</v>
      </c>
      <c r="G329" s="7" t="s">
        <v>1168</v>
      </c>
      <c r="H329" s="0" t="s">
        <v>1169</v>
      </c>
      <c r="I329" s="0" t="s">
        <v>102</v>
      </c>
      <c r="J329" s="0" t="s">
        <v>103</v>
      </c>
      <c r="K329" s="0" t="s">
        <v>1160</v>
      </c>
      <c r="L329" s="0" t="str">
        <f aca="false">IFERROR(VLOOKUP(K329,'Supplier list'!B:C,2,0),"")</f>
        <v/>
      </c>
      <c r="M329" s="1" t="n">
        <f aca="false">FALSE()</f>
        <v>0</v>
      </c>
      <c r="N329" s="2"/>
      <c r="O329" s="2" t="n">
        <v>6.5</v>
      </c>
    </row>
    <row r="330" customFormat="false" ht="16.4" hidden="false" customHeight="false" outlineLevel="0" collapsed="false">
      <c r="A330" s="0" t="s">
        <v>15</v>
      </c>
      <c r="B330" s="0" t="s">
        <v>1170</v>
      </c>
      <c r="C330" s="0" t="n">
        <v>114004</v>
      </c>
      <c r="D330" s="0" t="n">
        <v>114004</v>
      </c>
      <c r="E330" s="0" t="s">
        <v>87</v>
      </c>
      <c r="F330" s="0" t="s">
        <v>18</v>
      </c>
      <c r="G330" s="7" t="s">
        <v>1171</v>
      </c>
      <c r="H330" s="0" t="s">
        <v>1172</v>
      </c>
      <c r="I330" s="0" t="s">
        <v>102</v>
      </c>
      <c r="J330" s="0" t="s">
        <v>103</v>
      </c>
      <c r="K330" s="0" t="s">
        <v>1160</v>
      </c>
      <c r="L330" s="0" t="str">
        <f aca="false">IFERROR(VLOOKUP(K330,'Supplier list'!B:C,2,0),"")</f>
        <v/>
      </c>
      <c r="M330" s="1" t="n">
        <f aca="false">FALSE()</f>
        <v>0</v>
      </c>
      <c r="N330" s="2"/>
      <c r="O330" s="2" t="n">
        <v>6.5</v>
      </c>
    </row>
    <row r="331" customFormat="false" ht="16.4" hidden="false" customHeight="false" outlineLevel="0" collapsed="false">
      <c r="A331" s="0" t="s">
        <v>15</v>
      </c>
      <c r="B331" s="0" t="s">
        <v>1173</v>
      </c>
      <c r="C331" s="0" t="n">
        <v>114004</v>
      </c>
      <c r="D331" s="0" t="n">
        <v>114004</v>
      </c>
      <c r="E331" s="0" t="s">
        <v>87</v>
      </c>
      <c r="F331" s="0" t="s">
        <v>18</v>
      </c>
      <c r="G331" s="7" t="s">
        <v>1174</v>
      </c>
      <c r="H331" s="0" t="s">
        <v>1175</v>
      </c>
      <c r="I331" s="0" t="s">
        <v>102</v>
      </c>
      <c r="J331" s="0" t="s">
        <v>103</v>
      </c>
      <c r="K331" s="0" t="s">
        <v>1160</v>
      </c>
      <c r="L331" s="0" t="str">
        <f aca="false">IFERROR(VLOOKUP(K331,'Supplier list'!B:C,2,0),"")</f>
        <v/>
      </c>
      <c r="M331" s="1" t="n">
        <f aca="false">FALSE()</f>
        <v>0</v>
      </c>
      <c r="N331" s="2"/>
      <c r="O331" s="2" t="n">
        <v>6.5</v>
      </c>
    </row>
    <row r="332" customFormat="false" ht="16.4" hidden="false" customHeight="false" outlineLevel="0" collapsed="false">
      <c r="A332" s="0" t="s">
        <v>15</v>
      </c>
      <c r="B332" s="0" t="s">
        <v>1176</v>
      </c>
      <c r="C332" s="0" t="n">
        <v>114004</v>
      </c>
      <c r="D332" s="0" t="n">
        <v>114004</v>
      </c>
      <c r="E332" s="0" t="s">
        <v>87</v>
      </c>
      <c r="F332" s="0" t="s">
        <v>18</v>
      </c>
      <c r="G332" s="7" t="s">
        <v>1177</v>
      </c>
      <c r="H332" s="0" t="s">
        <v>1178</v>
      </c>
      <c r="I332" s="0" t="s">
        <v>102</v>
      </c>
      <c r="J332" s="0" t="s">
        <v>103</v>
      </c>
      <c r="K332" s="0" t="s">
        <v>1160</v>
      </c>
      <c r="L332" s="0" t="str">
        <f aca="false">IFERROR(VLOOKUP(K332,'Supplier list'!B:C,2,0),"")</f>
        <v/>
      </c>
      <c r="M332" s="1" t="n">
        <f aca="false">FALSE()</f>
        <v>0</v>
      </c>
      <c r="N332" s="2"/>
      <c r="O332" s="2" t="n">
        <v>7</v>
      </c>
    </row>
    <row r="333" customFormat="false" ht="16.4" hidden="false" customHeight="false" outlineLevel="0" collapsed="false">
      <c r="A333" s="0" t="s">
        <v>15</v>
      </c>
      <c r="B333" s="0" t="s">
        <v>1179</v>
      </c>
      <c r="C333" s="0" t="n">
        <v>114004</v>
      </c>
      <c r="D333" s="0" t="n">
        <v>114004</v>
      </c>
      <c r="E333" s="0" t="s">
        <v>87</v>
      </c>
      <c r="F333" s="0" t="s">
        <v>18</v>
      </c>
      <c r="G333" s="7" t="s">
        <v>1180</v>
      </c>
      <c r="H333" s="0" t="s">
        <v>1181</v>
      </c>
      <c r="I333" s="0" t="s">
        <v>102</v>
      </c>
      <c r="J333" s="0" t="s">
        <v>103</v>
      </c>
      <c r="K333" s="0" t="s">
        <v>89</v>
      </c>
      <c r="L333" s="0" t="str">
        <f aca="false">IFERROR(VLOOKUP(K333,'Supplier list'!B:C,2,0),"")</f>
        <v>บริษัท เฮเฟเล่ (ประเทศไทย) จำกัด</v>
      </c>
      <c r="M333" s="1" t="n">
        <f aca="false">FALSE()</f>
        <v>0</v>
      </c>
      <c r="N333" s="2"/>
      <c r="O333" s="2" t="n">
        <v>1450</v>
      </c>
    </row>
    <row r="334" customFormat="false" ht="16.4" hidden="false" customHeight="false" outlineLevel="0" collapsed="false">
      <c r="A334" s="0" t="s">
        <v>15</v>
      </c>
      <c r="B334" s="0" t="s">
        <v>1182</v>
      </c>
      <c r="C334" s="0" t="n">
        <v>114004</v>
      </c>
      <c r="D334" s="0" t="n">
        <v>114004</v>
      </c>
      <c r="E334" s="0" t="s">
        <v>87</v>
      </c>
      <c r="F334" s="0" t="s">
        <v>18</v>
      </c>
      <c r="G334" s="7" t="s">
        <v>1183</v>
      </c>
      <c r="H334" s="0" t="s">
        <v>1184</v>
      </c>
      <c r="I334" s="0" t="s">
        <v>102</v>
      </c>
      <c r="J334" s="0" t="s">
        <v>103</v>
      </c>
      <c r="K334" s="0" t="s">
        <v>89</v>
      </c>
      <c r="L334" s="0" t="str">
        <f aca="false">IFERROR(VLOOKUP(K334,'Supplier list'!B:C,2,0),"")</f>
        <v>บริษัท เฮเฟเล่ (ประเทศไทย) จำกัด</v>
      </c>
      <c r="M334" s="1" t="n">
        <f aca="false">FALSE()</f>
        <v>0</v>
      </c>
      <c r="N334" s="2"/>
      <c r="O334" s="2" t="n">
        <v>1450</v>
      </c>
    </row>
    <row r="335" customFormat="false" ht="16.4" hidden="false" customHeight="false" outlineLevel="0" collapsed="false">
      <c r="A335" s="0" t="s">
        <v>15</v>
      </c>
      <c r="B335" s="0" t="s">
        <v>1185</v>
      </c>
      <c r="C335" s="0" t="n">
        <v>114004</v>
      </c>
      <c r="D335" s="0" t="n">
        <v>114004</v>
      </c>
      <c r="E335" s="0" t="s">
        <v>87</v>
      </c>
      <c r="F335" s="0" t="s">
        <v>18</v>
      </c>
      <c r="G335" s="7" t="s">
        <v>1186</v>
      </c>
      <c r="H335" s="0" t="s">
        <v>1187</v>
      </c>
      <c r="I335" s="0" t="s">
        <v>102</v>
      </c>
      <c r="J335" s="0" t="s">
        <v>103</v>
      </c>
      <c r="K335" s="0" t="s">
        <v>89</v>
      </c>
      <c r="L335" s="0" t="str">
        <f aca="false">IFERROR(VLOOKUP(K335,'Supplier list'!B:C,2,0),"")</f>
        <v>บริษัท เฮเฟเล่ (ประเทศไทย) จำกัด</v>
      </c>
      <c r="M335" s="1" t="n">
        <f aca="false">FALSE()</f>
        <v>0</v>
      </c>
      <c r="N335" s="2"/>
      <c r="O335" s="2" t="n">
        <v>1450</v>
      </c>
    </row>
    <row r="336" customFormat="false" ht="16.4" hidden="false" customHeight="false" outlineLevel="0" collapsed="false">
      <c r="A336" s="0" t="s">
        <v>15</v>
      </c>
      <c r="B336" s="0" t="s">
        <v>1188</v>
      </c>
      <c r="C336" s="0" t="n">
        <v>114004</v>
      </c>
      <c r="D336" s="0" t="n">
        <v>114004</v>
      </c>
      <c r="E336" s="0" t="s">
        <v>87</v>
      </c>
      <c r="F336" s="0" t="s">
        <v>18</v>
      </c>
      <c r="G336" s="7" t="s">
        <v>1189</v>
      </c>
      <c r="H336" s="0" t="s">
        <v>1190</v>
      </c>
      <c r="I336" s="0" t="s">
        <v>102</v>
      </c>
      <c r="J336" s="0" t="s">
        <v>103</v>
      </c>
      <c r="K336" s="0" t="s">
        <v>89</v>
      </c>
      <c r="L336" s="0" t="str">
        <f aca="false">IFERROR(VLOOKUP(K336,'Supplier list'!B:C,2,0),"")</f>
        <v>บริษัท เฮเฟเล่ (ประเทศไทย) จำกัด</v>
      </c>
      <c r="M336" s="1" t="n">
        <f aca="false">FALSE()</f>
        <v>0</v>
      </c>
      <c r="N336" s="2"/>
      <c r="O336" s="2" t="n">
        <v>850</v>
      </c>
    </row>
    <row r="337" customFormat="false" ht="16.4" hidden="false" customHeight="false" outlineLevel="0" collapsed="false">
      <c r="A337" s="0" t="s">
        <v>15</v>
      </c>
      <c r="B337" s="0" t="s">
        <v>1191</v>
      </c>
      <c r="C337" s="0" t="n">
        <v>114004</v>
      </c>
      <c r="D337" s="0" t="n">
        <v>114004</v>
      </c>
      <c r="E337" s="0" t="s">
        <v>87</v>
      </c>
      <c r="F337" s="0" t="s">
        <v>18</v>
      </c>
      <c r="G337" s="7" t="s">
        <v>1192</v>
      </c>
      <c r="H337" s="0" t="s">
        <v>1193</v>
      </c>
      <c r="I337" s="0" t="s">
        <v>102</v>
      </c>
      <c r="J337" s="0" t="s">
        <v>103</v>
      </c>
      <c r="K337" s="0" t="s">
        <v>89</v>
      </c>
      <c r="L337" s="0" t="str">
        <f aca="false">IFERROR(VLOOKUP(K337,'Supplier list'!B:C,2,0),"")</f>
        <v>บริษัท เฮเฟเล่ (ประเทศไทย) จำกัด</v>
      </c>
      <c r="M337" s="1" t="n">
        <f aca="false">FALSE()</f>
        <v>0</v>
      </c>
      <c r="N337" s="2"/>
      <c r="O337" s="2" t="n">
        <v>2440</v>
      </c>
    </row>
    <row r="338" customFormat="false" ht="16.4" hidden="false" customHeight="false" outlineLevel="0" collapsed="false">
      <c r="A338" s="0" t="s">
        <v>15</v>
      </c>
      <c r="B338" s="0" t="s">
        <v>1194</v>
      </c>
      <c r="C338" s="0" t="n">
        <v>114004</v>
      </c>
      <c r="D338" s="0" t="n">
        <v>114004</v>
      </c>
      <c r="E338" s="0" t="s">
        <v>87</v>
      </c>
      <c r="F338" s="0" t="s">
        <v>18</v>
      </c>
      <c r="G338" s="7" t="s">
        <v>1195</v>
      </c>
      <c r="H338" s="0" t="s">
        <v>1196</v>
      </c>
      <c r="I338" s="0" t="s">
        <v>102</v>
      </c>
      <c r="J338" s="0" t="s">
        <v>103</v>
      </c>
      <c r="K338" s="0" t="s">
        <v>89</v>
      </c>
      <c r="L338" s="0" t="str">
        <f aca="false">IFERROR(VLOOKUP(K338,'Supplier list'!B:C,2,0),"")</f>
        <v>บริษัท เฮเฟเล่ (ประเทศไทย) จำกัด</v>
      </c>
      <c r="M338" s="1" t="n">
        <f aca="false">FALSE()</f>
        <v>0</v>
      </c>
      <c r="N338" s="2"/>
      <c r="O338" s="2" t="n">
        <v>1776</v>
      </c>
    </row>
    <row r="339" customFormat="false" ht="16.4" hidden="false" customHeight="false" outlineLevel="0" collapsed="false">
      <c r="A339" s="0" t="s">
        <v>15</v>
      </c>
      <c r="B339" s="0" t="s">
        <v>1197</v>
      </c>
      <c r="C339" s="0" t="n">
        <v>114004</v>
      </c>
      <c r="D339" s="0" t="n">
        <v>114004</v>
      </c>
      <c r="E339" s="0" t="s">
        <v>87</v>
      </c>
      <c r="F339" s="0" t="s">
        <v>18</v>
      </c>
      <c r="G339" s="7" t="s">
        <v>1198</v>
      </c>
      <c r="H339" s="0" t="s">
        <v>1199</v>
      </c>
      <c r="I339" s="0" t="s">
        <v>102</v>
      </c>
      <c r="J339" s="0" t="s">
        <v>103</v>
      </c>
      <c r="K339" s="0" t="s">
        <v>89</v>
      </c>
      <c r="L339" s="0" t="str">
        <f aca="false">IFERROR(VLOOKUP(K339,'Supplier list'!B:C,2,0),"")</f>
        <v>บริษัท เฮเฟเล่ (ประเทศไทย) จำกัด</v>
      </c>
      <c r="M339" s="1" t="n">
        <f aca="false">FALSE()</f>
        <v>0</v>
      </c>
      <c r="N339" s="2"/>
      <c r="O339" s="2" t="n">
        <v>950</v>
      </c>
    </row>
    <row r="340" customFormat="false" ht="16.4" hidden="false" customHeight="false" outlineLevel="0" collapsed="false">
      <c r="A340" s="0" t="s">
        <v>15</v>
      </c>
      <c r="B340" s="0" t="s">
        <v>1200</v>
      </c>
      <c r="C340" s="0" t="n">
        <v>114004</v>
      </c>
      <c r="D340" s="0" t="n">
        <v>114004</v>
      </c>
      <c r="E340" s="0" t="s">
        <v>87</v>
      </c>
      <c r="F340" s="0" t="s">
        <v>18</v>
      </c>
      <c r="G340" s="7" t="s">
        <v>1201</v>
      </c>
      <c r="H340" s="0" t="s">
        <v>1202</v>
      </c>
      <c r="I340" s="0" t="s">
        <v>102</v>
      </c>
      <c r="J340" s="0" t="s">
        <v>103</v>
      </c>
      <c r="K340" s="0" t="s">
        <v>89</v>
      </c>
      <c r="L340" s="0" t="str">
        <f aca="false">IFERROR(VLOOKUP(K340,'Supplier list'!B:C,2,0),"")</f>
        <v>บริษัท เฮเฟเล่ (ประเทศไทย) จำกัด</v>
      </c>
      <c r="M340" s="1" t="n">
        <f aca="false">FALSE()</f>
        <v>0</v>
      </c>
      <c r="N340" s="2"/>
      <c r="O340" s="2" t="n">
        <v>1450</v>
      </c>
    </row>
    <row r="341" customFormat="false" ht="16.4" hidden="false" customHeight="false" outlineLevel="0" collapsed="false">
      <c r="A341" s="0" t="s">
        <v>15</v>
      </c>
      <c r="B341" s="0" t="s">
        <v>1203</v>
      </c>
      <c r="C341" s="0" t="n">
        <v>114004</v>
      </c>
      <c r="D341" s="0" t="n">
        <v>114004</v>
      </c>
      <c r="E341" s="0" t="s">
        <v>87</v>
      </c>
      <c r="F341" s="0" t="s">
        <v>18</v>
      </c>
      <c r="G341" s="7" t="s">
        <v>1204</v>
      </c>
      <c r="H341" s="0" t="s">
        <v>1205</v>
      </c>
      <c r="I341" s="0" t="s">
        <v>102</v>
      </c>
      <c r="J341" s="0" t="s">
        <v>103</v>
      </c>
      <c r="K341" s="0" t="s">
        <v>89</v>
      </c>
      <c r="L341" s="0" t="str">
        <f aca="false">IFERROR(VLOOKUP(K341,'Supplier list'!B:C,2,0),"")</f>
        <v>บริษัท เฮเฟเล่ (ประเทศไทย) จำกัด</v>
      </c>
      <c r="M341" s="1" t="n">
        <f aca="false">FALSE()</f>
        <v>0</v>
      </c>
      <c r="N341" s="2"/>
      <c r="O341" s="2" t="n">
        <v>1215</v>
      </c>
    </row>
    <row r="342" customFormat="false" ht="16.4" hidden="false" customHeight="false" outlineLevel="0" collapsed="false">
      <c r="A342" s="0" t="s">
        <v>15</v>
      </c>
      <c r="B342" s="0" t="s">
        <v>1206</v>
      </c>
      <c r="C342" s="0" t="n">
        <v>114004</v>
      </c>
      <c r="D342" s="0" t="n">
        <v>114004</v>
      </c>
      <c r="E342" s="0" t="s">
        <v>87</v>
      </c>
      <c r="F342" s="0" t="s">
        <v>18</v>
      </c>
      <c r="G342" s="7" t="s">
        <v>1207</v>
      </c>
      <c r="H342" s="0" t="s">
        <v>1208</v>
      </c>
      <c r="I342" s="0" t="s">
        <v>102</v>
      </c>
      <c r="J342" s="0" t="s">
        <v>103</v>
      </c>
      <c r="K342" s="0" t="s">
        <v>89</v>
      </c>
      <c r="L342" s="0" t="str">
        <f aca="false">IFERROR(VLOOKUP(K342,'Supplier list'!B:C,2,0),"")</f>
        <v>บริษัท เฮเฟเล่ (ประเทศไทย) จำกัด</v>
      </c>
      <c r="M342" s="1" t="n">
        <f aca="false">FALSE()</f>
        <v>0</v>
      </c>
      <c r="N342" s="2"/>
      <c r="O342" s="2" t="n">
        <v>900</v>
      </c>
    </row>
    <row r="343" customFormat="false" ht="16.4" hidden="false" customHeight="false" outlineLevel="0" collapsed="false">
      <c r="A343" s="0" t="s">
        <v>15</v>
      </c>
      <c r="B343" s="0" t="s">
        <v>1209</v>
      </c>
      <c r="C343" s="0" t="n">
        <v>114004</v>
      </c>
      <c r="D343" s="0" t="n">
        <v>114004</v>
      </c>
      <c r="E343" s="0" t="s">
        <v>87</v>
      </c>
      <c r="F343" s="0" t="s">
        <v>18</v>
      </c>
      <c r="G343" s="7" t="s">
        <v>1210</v>
      </c>
      <c r="H343" s="0" t="s">
        <v>1211</v>
      </c>
      <c r="I343" s="0" t="s">
        <v>102</v>
      </c>
      <c r="J343" s="0" t="s">
        <v>103</v>
      </c>
      <c r="K343" s="0" t="s">
        <v>89</v>
      </c>
      <c r="L343" s="0" t="str">
        <f aca="false">IFERROR(VLOOKUP(K343,'Supplier list'!B:C,2,0),"")</f>
        <v>บริษัท เฮเฟเล่ (ประเทศไทย) จำกัด</v>
      </c>
      <c r="M343" s="1" t="n">
        <f aca="false">FALSE()</f>
        <v>0</v>
      </c>
      <c r="N343" s="2"/>
      <c r="O343" s="2" t="n">
        <v>900</v>
      </c>
    </row>
    <row r="344" customFormat="false" ht="16.4" hidden="false" customHeight="false" outlineLevel="0" collapsed="false">
      <c r="A344" s="0" t="s">
        <v>15</v>
      </c>
      <c r="B344" s="0" t="s">
        <v>1212</v>
      </c>
      <c r="C344" s="0" t="n">
        <v>114004</v>
      </c>
      <c r="D344" s="0" t="n">
        <v>114004</v>
      </c>
      <c r="E344" s="0" t="s">
        <v>275</v>
      </c>
      <c r="F344" s="0" t="s">
        <v>18</v>
      </c>
      <c r="G344" s="7" t="s">
        <v>1213</v>
      </c>
      <c r="H344" s="0" t="s">
        <v>1214</v>
      </c>
      <c r="I344" s="0" t="s">
        <v>384</v>
      </c>
      <c r="J344" s="0" t="s">
        <v>385</v>
      </c>
      <c r="K344" s="0" t="s">
        <v>82</v>
      </c>
      <c r="L344" s="0" t="str">
        <f aca="false">IFERROR(VLOOKUP(K344,'Supplier list'!B:C,2,0),"")</f>
        <v>บริษัท เกรียงศิริพัฒนา (1995) จำกัด</v>
      </c>
      <c r="M344" s="1" t="n">
        <f aca="false">FALSE()</f>
        <v>0</v>
      </c>
      <c r="N344" s="2"/>
      <c r="O344" s="2" t="n">
        <v>60</v>
      </c>
    </row>
    <row r="345" customFormat="false" ht="16.4" hidden="false" customHeight="false" outlineLevel="0" collapsed="false">
      <c r="A345" s="0" t="s">
        <v>15</v>
      </c>
      <c r="B345" s="0" t="s">
        <v>1215</v>
      </c>
      <c r="C345" s="0" t="n">
        <v>114004</v>
      </c>
      <c r="D345" s="0" t="n">
        <v>114004</v>
      </c>
      <c r="E345" s="0" t="s">
        <v>87</v>
      </c>
      <c r="F345" s="0" t="s">
        <v>18</v>
      </c>
      <c r="G345" s="7" t="s">
        <v>1216</v>
      </c>
      <c r="H345" s="0" t="s">
        <v>1217</v>
      </c>
      <c r="I345" s="0" t="s">
        <v>102</v>
      </c>
      <c r="J345" s="0" t="s">
        <v>103</v>
      </c>
      <c r="K345" s="0" t="s">
        <v>89</v>
      </c>
      <c r="L345" s="0" t="str">
        <f aca="false">IFERROR(VLOOKUP(K345,'Supplier list'!B:C,2,0),"")</f>
        <v>บริษัท เฮเฟเล่ (ประเทศไทย) จำกัด</v>
      </c>
      <c r="M345" s="1" t="n">
        <f aca="false">FALSE()</f>
        <v>0</v>
      </c>
      <c r="N345" s="2"/>
      <c r="O345" s="2" t="n">
        <v>2057</v>
      </c>
    </row>
    <row r="346" customFormat="false" ht="16.4" hidden="false" customHeight="false" outlineLevel="0" collapsed="false">
      <c r="A346" s="0" t="s">
        <v>15</v>
      </c>
      <c r="B346" s="0" t="s">
        <v>1218</v>
      </c>
      <c r="C346" s="0" t="n">
        <v>114004</v>
      </c>
      <c r="D346" s="0" t="n">
        <v>114004</v>
      </c>
      <c r="E346" s="0" t="s">
        <v>87</v>
      </c>
      <c r="F346" s="0" t="s">
        <v>18</v>
      </c>
      <c r="G346" s="7" t="s">
        <v>1219</v>
      </c>
      <c r="H346" s="0" t="s">
        <v>1220</v>
      </c>
      <c r="I346" s="0" t="s">
        <v>102</v>
      </c>
      <c r="J346" s="0" t="s">
        <v>103</v>
      </c>
      <c r="K346" s="0" t="s">
        <v>352</v>
      </c>
      <c r="L346" s="0" t="str">
        <f aca="false">IFERROR(VLOOKUP(K346,'Supplier list'!B:C,2,0),"")</f>
        <v>บริษัท พีเอ็นพี อินเตอร์แพค</v>
      </c>
      <c r="M346" s="1" t="n">
        <f aca="false">FALSE()</f>
        <v>0</v>
      </c>
      <c r="N346" s="2"/>
      <c r="O346" s="2" t="n">
        <v>512</v>
      </c>
    </row>
    <row r="347" customFormat="false" ht="16.4" hidden="false" customHeight="false" outlineLevel="0" collapsed="false">
      <c r="A347" s="0" t="s">
        <v>15</v>
      </c>
      <c r="B347" s="0" t="s">
        <v>1221</v>
      </c>
      <c r="C347" s="0" t="n">
        <v>114004</v>
      </c>
      <c r="D347" s="0" t="n">
        <v>114004</v>
      </c>
      <c r="E347" s="0" t="s">
        <v>87</v>
      </c>
      <c r="F347" s="0" t="s">
        <v>18</v>
      </c>
      <c r="G347" s="7" t="s">
        <v>1222</v>
      </c>
      <c r="H347" s="0" t="s">
        <v>1223</v>
      </c>
      <c r="I347" s="0" t="s">
        <v>102</v>
      </c>
      <c r="J347" s="0" t="s">
        <v>103</v>
      </c>
      <c r="K347" s="0" t="s">
        <v>352</v>
      </c>
      <c r="L347" s="0" t="str">
        <f aca="false">IFERROR(VLOOKUP(K347,'Supplier list'!B:C,2,0),"")</f>
        <v>บริษัท พีเอ็นพี อินเตอร์แพค</v>
      </c>
      <c r="M347" s="1" t="n">
        <f aca="false">FALSE()</f>
        <v>0</v>
      </c>
      <c r="N347" s="2"/>
      <c r="O347" s="2" t="n">
        <v>512</v>
      </c>
    </row>
    <row r="348" customFormat="false" ht="16.4" hidden="false" customHeight="false" outlineLevel="0" collapsed="false">
      <c r="A348" s="0" t="s">
        <v>15</v>
      </c>
      <c r="B348" s="0" t="s">
        <v>1224</v>
      </c>
      <c r="C348" s="0" t="n">
        <v>114004</v>
      </c>
      <c r="D348" s="0" t="n">
        <v>114004</v>
      </c>
      <c r="E348" s="0" t="s">
        <v>87</v>
      </c>
      <c r="F348" s="0" t="s">
        <v>18</v>
      </c>
      <c r="G348" s="7" t="s">
        <v>1225</v>
      </c>
      <c r="H348" s="0" t="s">
        <v>1226</v>
      </c>
      <c r="I348" s="0" t="s">
        <v>102</v>
      </c>
      <c r="J348" s="0" t="s">
        <v>103</v>
      </c>
      <c r="K348" s="0" t="s">
        <v>352</v>
      </c>
      <c r="L348" s="0" t="str">
        <f aca="false">IFERROR(VLOOKUP(K348,'Supplier list'!B:C,2,0),"")</f>
        <v>บริษัท พีเอ็นพี อินเตอร์แพค</v>
      </c>
      <c r="M348" s="1" t="n">
        <f aca="false">FALSE()</f>
        <v>0</v>
      </c>
      <c r="N348" s="2"/>
      <c r="O348" s="2" t="n">
        <v>512</v>
      </c>
    </row>
    <row r="349" customFormat="false" ht="16.4" hidden="false" customHeight="false" outlineLevel="0" collapsed="false">
      <c r="A349" s="0" t="s">
        <v>15</v>
      </c>
      <c r="B349" s="0" t="s">
        <v>1227</v>
      </c>
      <c r="C349" s="0" t="n">
        <v>114004</v>
      </c>
      <c r="D349" s="0" t="n">
        <v>114004</v>
      </c>
      <c r="E349" s="0" t="s">
        <v>87</v>
      </c>
      <c r="F349" s="0" t="s">
        <v>18</v>
      </c>
      <c r="G349" s="7" t="s">
        <v>1228</v>
      </c>
      <c r="H349" s="0" t="s">
        <v>1229</v>
      </c>
      <c r="I349" s="0" t="s">
        <v>102</v>
      </c>
      <c r="J349" s="0" t="s">
        <v>103</v>
      </c>
      <c r="K349" s="0" t="s">
        <v>352</v>
      </c>
      <c r="L349" s="0" t="str">
        <f aca="false">IFERROR(VLOOKUP(K349,'Supplier list'!B:C,2,0),"")</f>
        <v>บริษัท พีเอ็นพี อินเตอร์แพค</v>
      </c>
      <c r="M349" s="1" t="n">
        <f aca="false">FALSE()</f>
        <v>0</v>
      </c>
      <c r="N349" s="2"/>
      <c r="O349" s="2" t="n">
        <v>512</v>
      </c>
    </row>
    <row r="350" customFormat="false" ht="16.4" hidden="false" customHeight="false" outlineLevel="0" collapsed="false">
      <c r="A350" s="0" t="s">
        <v>15</v>
      </c>
      <c r="B350" s="0" t="s">
        <v>1230</v>
      </c>
      <c r="C350" s="0" t="n">
        <v>114004</v>
      </c>
      <c r="D350" s="0" t="n">
        <v>114004</v>
      </c>
      <c r="E350" s="0" t="s">
        <v>87</v>
      </c>
      <c r="F350" s="0" t="s">
        <v>18</v>
      </c>
      <c r="G350" s="7" t="s">
        <v>1231</v>
      </c>
      <c r="H350" s="0" t="s">
        <v>1232</v>
      </c>
      <c r="I350" s="0" t="s">
        <v>102</v>
      </c>
      <c r="J350" s="0" t="s">
        <v>103</v>
      </c>
      <c r="L350" s="0" t="str">
        <f aca="false">IFERROR(VLOOKUP(K350,'Supplier list'!B:C,2,0),"")</f>
        <v/>
      </c>
      <c r="M350" s="1" t="n">
        <f aca="false">FALSE()</f>
        <v>0</v>
      </c>
      <c r="N350" s="2"/>
      <c r="O350" s="2" t="n">
        <v>175</v>
      </c>
    </row>
    <row r="351" customFormat="false" ht="16.4" hidden="false" customHeight="false" outlineLevel="0" collapsed="false">
      <c r="A351" s="0" t="s">
        <v>15</v>
      </c>
      <c r="B351" s="0" t="s">
        <v>1233</v>
      </c>
      <c r="C351" s="0" t="n">
        <v>114004</v>
      </c>
      <c r="D351" s="0" t="n">
        <v>114004</v>
      </c>
      <c r="E351" s="0" t="s">
        <v>957</v>
      </c>
      <c r="F351" s="0" t="s">
        <v>18</v>
      </c>
      <c r="G351" s="7" t="s">
        <v>1234</v>
      </c>
      <c r="H351" s="0" t="s">
        <v>1235</v>
      </c>
      <c r="I351" s="0" t="s">
        <v>331</v>
      </c>
      <c r="J351" s="0" t="s">
        <v>332</v>
      </c>
      <c r="K351" s="0" t="s">
        <v>56</v>
      </c>
      <c r="L351" s="0" t="str">
        <f aca="false">IFERROR(VLOOKUP(K351,'Supplier list'!B:C,2,0),"")</f>
        <v>CO.,LTD QINGDAO NEW LIBERTY INT'L TRADING CO.LTD.</v>
      </c>
      <c r="M351" s="1" t="n">
        <f aca="false">FALSE()</f>
        <v>0</v>
      </c>
      <c r="N351" s="2"/>
      <c r="O351" s="2" t="n">
        <v>330</v>
      </c>
    </row>
    <row r="352" customFormat="false" ht="16.4" hidden="false" customHeight="false" outlineLevel="0" collapsed="false">
      <c r="A352" s="0" t="s">
        <v>15</v>
      </c>
      <c r="B352" s="0" t="s">
        <v>1236</v>
      </c>
      <c r="C352" s="0" t="n">
        <v>114004</v>
      </c>
      <c r="D352" s="0" t="n">
        <v>114004</v>
      </c>
      <c r="E352" s="0" t="s">
        <v>957</v>
      </c>
      <c r="F352" s="0" t="s">
        <v>18</v>
      </c>
      <c r="G352" s="7" t="s">
        <v>1237</v>
      </c>
      <c r="H352" s="0" t="s">
        <v>1238</v>
      </c>
      <c r="I352" s="0" t="s">
        <v>331</v>
      </c>
      <c r="J352" s="0" t="s">
        <v>332</v>
      </c>
      <c r="K352" s="0" t="s">
        <v>82</v>
      </c>
      <c r="L352" s="0" t="str">
        <f aca="false">IFERROR(VLOOKUP(K352,'Supplier list'!B:C,2,0),"")</f>
        <v>บริษัท เกรียงศิริพัฒนา (1995) จำกัด</v>
      </c>
      <c r="M352" s="1" t="n">
        <f aca="false">FALSE()</f>
        <v>0</v>
      </c>
      <c r="N352" s="2"/>
      <c r="O352" s="2" t="n">
        <v>450</v>
      </c>
    </row>
    <row r="353" customFormat="false" ht="16.4" hidden="false" customHeight="false" outlineLevel="0" collapsed="false">
      <c r="A353" s="0" t="s">
        <v>15</v>
      </c>
      <c r="B353" s="0" t="s">
        <v>1239</v>
      </c>
      <c r="C353" s="0" t="n">
        <v>114004</v>
      </c>
      <c r="D353" s="0" t="n">
        <v>114004</v>
      </c>
      <c r="E353" s="0" t="s">
        <v>87</v>
      </c>
      <c r="F353" s="0" t="s">
        <v>18</v>
      </c>
      <c r="G353" s="7" t="s">
        <v>1240</v>
      </c>
      <c r="H353" s="0" t="s">
        <v>1241</v>
      </c>
      <c r="I353" s="0" t="s">
        <v>102</v>
      </c>
      <c r="J353" s="0" t="s">
        <v>103</v>
      </c>
      <c r="L353" s="0" t="str">
        <f aca="false">IFERROR(VLOOKUP(K353,'Supplier list'!B:C,2,0),"")</f>
        <v/>
      </c>
      <c r="M353" s="1" t="n">
        <f aca="false">FALSE()</f>
        <v>0</v>
      </c>
      <c r="N353" s="2"/>
      <c r="O353" s="2" t="n">
        <v>65</v>
      </c>
    </row>
    <row r="354" customFormat="false" ht="16.4" hidden="false" customHeight="false" outlineLevel="0" collapsed="false">
      <c r="A354" s="0" t="s">
        <v>15</v>
      </c>
      <c r="B354" s="0" t="s">
        <v>1242</v>
      </c>
      <c r="C354" s="0" t="n">
        <v>114004</v>
      </c>
      <c r="D354" s="0" t="n">
        <v>114004</v>
      </c>
      <c r="E354" s="0" t="s">
        <v>1026</v>
      </c>
      <c r="F354" s="0" t="s">
        <v>18</v>
      </c>
      <c r="G354" s="7" t="s">
        <v>1243</v>
      </c>
      <c r="H354" s="0" t="s">
        <v>1244</v>
      </c>
      <c r="I354" s="0" t="s">
        <v>1032</v>
      </c>
      <c r="J354" s="0" t="s">
        <v>1033</v>
      </c>
      <c r="K354" s="0" t="s">
        <v>1064</v>
      </c>
      <c r="L354" s="0" t="str">
        <f aca="false">IFERROR(VLOOKUP(K354,'Supplier list'!B:C,2,0),"")</f>
        <v>บริษัท เมกไกวส์ (ไทยแลนด์) จำกัด</v>
      </c>
      <c r="M354" s="1" t="n">
        <f aca="false">FALSE()</f>
        <v>0</v>
      </c>
      <c r="N354" s="2"/>
      <c r="O354" s="2" t="n">
        <v>1800</v>
      </c>
    </row>
    <row r="355" customFormat="false" ht="16.4" hidden="false" customHeight="false" outlineLevel="0" collapsed="false">
      <c r="A355" s="0" t="s">
        <v>15</v>
      </c>
      <c r="B355" s="0" t="s">
        <v>1245</v>
      </c>
      <c r="C355" s="0" t="n">
        <v>114004</v>
      </c>
      <c r="D355" s="0" t="n">
        <v>114004</v>
      </c>
      <c r="E355" s="0" t="s">
        <v>1246</v>
      </c>
      <c r="F355" s="0" t="s">
        <v>18</v>
      </c>
      <c r="G355" s="7" t="s">
        <v>1247</v>
      </c>
      <c r="H355" s="0" t="s">
        <v>1248</v>
      </c>
      <c r="I355" s="0" t="s">
        <v>1032</v>
      </c>
      <c r="J355" s="0" t="s">
        <v>1033</v>
      </c>
      <c r="K355" s="0" t="s">
        <v>1064</v>
      </c>
      <c r="L355" s="0" t="str">
        <f aca="false">IFERROR(VLOOKUP(K355,'Supplier list'!B:C,2,0),"")</f>
        <v>บริษัท เมกไกวส์ (ไทยแลนด์) จำกัด</v>
      </c>
      <c r="M355" s="1" t="n">
        <f aca="false">FALSE()</f>
        <v>0</v>
      </c>
      <c r="N355" s="2"/>
      <c r="O355" s="2" t="n">
        <v>2800</v>
      </c>
    </row>
    <row r="356" customFormat="false" ht="16.4" hidden="false" customHeight="false" outlineLevel="0" collapsed="false">
      <c r="A356" s="0" t="s">
        <v>15</v>
      </c>
      <c r="B356" s="0" t="s">
        <v>1249</v>
      </c>
      <c r="C356" s="0" t="n">
        <v>114004</v>
      </c>
      <c r="D356" s="0" t="n">
        <v>114004</v>
      </c>
      <c r="E356" s="0" t="s">
        <v>294</v>
      </c>
      <c r="F356" s="0" t="s">
        <v>18</v>
      </c>
      <c r="G356" s="7" t="s">
        <v>1250</v>
      </c>
      <c r="H356" s="0" t="s">
        <v>1251</v>
      </c>
      <c r="I356" s="0" t="s">
        <v>384</v>
      </c>
      <c r="J356" s="0" t="s">
        <v>385</v>
      </c>
      <c r="K356" s="0" t="s">
        <v>352</v>
      </c>
      <c r="L356" s="0" t="str">
        <f aca="false">IFERROR(VLOOKUP(K356,'Supplier list'!B:C,2,0),"")</f>
        <v>บริษัท พีเอ็นพี อินเตอร์แพค</v>
      </c>
      <c r="M356" s="1" t="n">
        <f aca="false">FALSE()</f>
        <v>0</v>
      </c>
      <c r="N356" s="2"/>
      <c r="O356" s="2" t="n">
        <v>156</v>
      </c>
    </row>
    <row r="357" customFormat="false" ht="16.4" hidden="false" customHeight="false" outlineLevel="0" collapsed="false">
      <c r="A357" s="0" t="s">
        <v>15</v>
      </c>
      <c r="B357" s="0" t="s">
        <v>1252</v>
      </c>
      <c r="C357" s="0" t="n">
        <v>114004</v>
      </c>
      <c r="D357" s="0" t="n">
        <v>114004</v>
      </c>
      <c r="E357" s="0" t="s">
        <v>1026</v>
      </c>
      <c r="F357" s="0" t="s">
        <v>18</v>
      </c>
      <c r="G357" s="7" t="s">
        <v>1253</v>
      </c>
      <c r="H357" s="0" t="s">
        <v>1254</v>
      </c>
      <c r="I357" s="0" t="s">
        <v>149</v>
      </c>
      <c r="J357" s="0" t="s">
        <v>150</v>
      </c>
      <c r="L357" s="0" t="str">
        <f aca="false">IFERROR(VLOOKUP(K357,'Supplier list'!B:C,2,0),"")</f>
        <v/>
      </c>
      <c r="M357" s="1" t="n">
        <f aca="false">FALSE()</f>
        <v>0</v>
      </c>
      <c r="N357" s="2"/>
      <c r="O357" s="2" t="n">
        <v>675</v>
      </c>
    </row>
    <row r="358" customFormat="false" ht="16.4" hidden="false" customHeight="false" outlineLevel="0" collapsed="false">
      <c r="A358" s="0" t="s">
        <v>15</v>
      </c>
      <c r="B358" s="0" t="s">
        <v>1255</v>
      </c>
      <c r="C358" s="0" t="n">
        <v>114004</v>
      </c>
      <c r="D358" s="0" t="n">
        <v>114004</v>
      </c>
      <c r="E358" s="0" t="s">
        <v>17</v>
      </c>
      <c r="F358" s="0" t="s">
        <v>18</v>
      </c>
      <c r="G358" s="7" t="s">
        <v>1256</v>
      </c>
      <c r="H358" s="0" t="s">
        <v>1257</v>
      </c>
      <c r="I358" s="0" t="s">
        <v>248</v>
      </c>
      <c r="J358" s="0" t="s">
        <v>249</v>
      </c>
      <c r="K358" s="0" t="s">
        <v>352</v>
      </c>
      <c r="L358" s="0" t="str">
        <f aca="false">IFERROR(VLOOKUP(K358,'Supplier list'!B:C,2,0),"")</f>
        <v>บริษัท พีเอ็นพี อินเตอร์แพค</v>
      </c>
      <c r="M358" s="1" t="n">
        <f aca="false">FALSE()</f>
        <v>0</v>
      </c>
      <c r="N358" s="2"/>
      <c r="O358" s="2" t="n">
        <v>27</v>
      </c>
    </row>
    <row r="359" customFormat="false" ht="16.4" hidden="false" customHeight="false" outlineLevel="0" collapsed="false">
      <c r="A359" s="0" t="s">
        <v>15</v>
      </c>
      <c r="B359" s="0" t="s">
        <v>1258</v>
      </c>
      <c r="C359" s="0" t="n">
        <v>114004</v>
      </c>
      <c r="D359" s="0" t="n">
        <v>114004</v>
      </c>
      <c r="E359" s="0" t="s">
        <v>17</v>
      </c>
      <c r="F359" s="0" t="s">
        <v>18</v>
      </c>
      <c r="G359" s="7" t="s">
        <v>1259</v>
      </c>
      <c r="H359" s="0" t="s">
        <v>1260</v>
      </c>
      <c r="I359" s="0" t="s">
        <v>248</v>
      </c>
      <c r="J359" s="0" t="s">
        <v>249</v>
      </c>
      <c r="K359" s="0" t="s">
        <v>352</v>
      </c>
      <c r="L359" s="0" t="str">
        <f aca="false">IFERROR(VLOOKUP(K359,'Supplier list'!B:C,2,0),"")</f>
        <v>บริษัท พีเอ็นพี อินเตอร์แพค</v>
      </c>
      <c r="M359" s="1" t="n">
        <f aca="false">FALSE()</f>
        <v>0</v>
      </c>
      <c r="N359" s="2"/>
      <c r="O359" s="2" t="n">
        <v>19.75</v>
      </c>
    </row>
    <row r="360" customFormat="false" ht="16.4" hidden="false" customHeight="false" outlineLevel="0" collapsed="false">
      <c r="A360" s="0" t="s">
        <v>15</v>
      </c>
      <c r="B360" s="0" t="s">
        <v>1261</v>
      </c>
      <c r="C360" s="0" t="n">
        <v>114004</v>
      </c>
      <c r="D360" s="0" t="n">
        <v>114004</v>
      </c>
      <c r="E360" s="0" t="s">
        <v>1262</v>
      </c>
      <c r="F360" s="0" t="s">
        <v>18</v>
      </c>
      <c r="G360" s="7" t="s">
        <v>1263</v>
      </c>
      <c r="H360" s="0" t="s">
        <v>1264</v>
      </c>
      <c r="I360" s="0" t="s">
        <v>248</v>
      </c>
      <c r="J360" s="0" t="s">
        <v>249</v>
      </c>
      <c r="L360" s="0" t="str">
        <f aca="false">IFERROR(VLOOKUP(K360,'Supplier list'!B:C,2,0),"")</f>
        <v/>
      </c>
      <c r="M360" s="1" t="n">
        <f aca="false">FALSE()</f>
        <v>0</v>
      </c>
      <c r="N360" s="2"/>
      <c r="O360" s="2" t="n">
        <v>528</v>
      </c>
    </row>
    <row r="361" customFormat="false" ht="16.4" hidden="false" customHeight="false" outlineLevel="0" collapsed="false">
      <c r="A361" s="0" t="s">
        <v>15</v>
      </c>
      <c r="B361" s="0" t="s">
        <v>1265</v>
      </c>
      <c r="C361" s="0" t="n">
        <v>114004</v>
      </c>
      <c r="D361" s="0" t="n">
        <v>114004</v>
      </c>
      <c r="E361" s="0" t="s">
        <v>499</v>
      </c>
      <c r="F361" s="0" t="s">
        <v>18</v>
      </c>
      <c r="G361" s="7" t="s">
        <v>1266</v>
      </c>
      <c r="H361" s="0" t="s">
        <v>1267</v>
      </c>
      <c r="I361" s="0" t="s">
        <v>1268</v>
      </c>
      <c r="J361" s="0" t="s">
        <v>1269</v>
      </c>
      <c r="L361" s="0" t="str">
        <f aca="false">IFERROR(VLOOKUP(K361,'Supplier list'!B:C,2,0),"")</f>
        <v/>
      </c>
      <c r="M361" s="1" t="n">
        <f aca="false">FALSE()</f>
        <v>0</v>
      </c>
      <c r="N361" s="2"/>
      <c r="O361" s="2" t="n">
        <v>20</v>
      </c>
    </row>
    <row r="362" customFormat="false" ht="16.4" hidden="false" customHeight="false" outlineLevel="0" collapsed="false">
      <c r="A362" s="0" t="s">
        <v>15</v>
      </c>
      <c r="B362" s="0" t="s">
        <v>1270</v>
      </c>
      <c r="C362" s="0" t="n">
        <v>114004</v>
      </c>
      <c r="D362" s="0" t="n">
        <v>114004</v>
      </c>
      <c r="E362" s="0" t="s">
        <v>499</v>
      </c>
      <c r="F362" s="0" t="s">
        <v>18</v>
      </c>
      <c r="G362" s="7" t="s">
        <v>1271</v>
      </c>
      <c r="H362" s="0" t="s">
        <v>1272</v>
      </c>
      <c r="I362" s="0" t="s">
        <v>1268</v>
      </c>
      <c r="J362" s="0" t="s">
        <v>1269</v>
      </c>
      <c r="K362" s="0" t="s">
        <v>465</v>
      </c>
      <c r="L362" s="0" t="str">
        <f aca="false">IFERROR(VLOOKUP(K362,'Supplier list'!B:C,2,0),"")</f>
        <v/>
      </c>
      <c r="M362" s="1" t="n">
        <f aca="false">FALSE()</f>
        <v>0</v>
      </c>
      <c r="N362" s="2"/>
      <c r="O362" s="2" t="n">
        <v>60</v>
      </c>
    </row>
    <row r="363" customFormat="false" ht="16.4" hidden="false" customHeight="false" outlineLevel="0" collapsed="false">
      <c r="A363" s="0" t="s">
        <v>15</v>
      </c>
      <c r="B363" s="0" t="s">
        <v>1273</v>
      </c>
      <c r="C363" s="0" t="n">
        <v>114004</v>
      </c>
      <c r="D363" s="0" t="n">
        <v>114004</v>
      </c>
      <c r="E363" s="0" t="s">
        <v>499</v>
      </c>
      <c r="F363" s="0" t="s">
        <v>18</v>
      </c>
      <c r="G363" s="7" t="s">
        <v>1274</v>
      </c>
      <c r="H363" s="0" t="s">
        <v>1275</v>
      </c>
      <c r="I363" s="0" t="s">
        <v>1268</v>
      </c>
      <c r="J363" s="0" t="s">
        <v>1269</v>
      </c>
      <c r="K363" s="0" t="s">
        <v>151</v>
      </c>
      <c r="L363" s="0" t="str">
        <f aca="false">IFERROR(VLOOKUP(K363,'Supplier list'!B:C,2,0),"")</f>
        <v>บริษัท สยามแม็คโคร จำกัด (มหาชน)</v>
      </c>
      <c r="M363" s="1" t="n">
        <f aca="false">FALSE()</f>
        <v>0</v>
      </c>
      <c r="N363" s="2"/>
      <c r="O363" s="2" t="n">
        <v>42.06</v>
      </c>
    </row>
    <row r="364" customFormat="false" ht="16.4" hidden="false" customHeight="false" outlineLevel="0" collapsed="false">
      <c r="A364" s="0" t="s">
        <v>15</v>
      </c>
      <c r="B364" s="0" t="s">
        <v>1276</v>
      </c>
      <c r="C364" s="0" t="n">
        <v>114004</v>
      </c>
      <c r="D364" s="0" t="n">
        <v>114004</v>
      </c>
      <c r="E364" s="0" t="s">
        <v>499</v>
      </c>
      <c r="F364" s="0" t="s">
        <v>18</v>
      </c>
      <c r="G364" s="7" t="s">
        <v>1277</v>
      </c>
      <c r="H364" s="0" t="s">
        <v>1278</v>
      </c>
      <c r="I364" s="0" t="s">
        <v>1268</v>
      </c>
      <c r="J364" s="0" t="s">
        <v>1269</v>
      </c>
      <c r="K364" s="0" t="s">
        <v>1279</v>
      </c>
      <c r="L364" s="0" t="str">
        <f aca="false">IFERROR(VLOOKUP(K364,'Supplier list'!B:C,2,0),"")</f>
        <v>ร้าน ศิริลักษณ์</v>
      </c>
      <c r="M364" s="1" t="n">
        <f aca="false">FALSE()</f>
        <v>0</v>
      </c>
      <c r="N364" s="2"/>
      <c r="O364" s="2" t="n">
        <v>10</v>
      </c>
    </row>
    <row r="365" customFormat="false" ht="16.4" hidden="false" customHeight="false" outlineLevel="0" collapsed="false">
      <c r="A365" s="0" t="s">
        <v>15</v>
      </c>
      <c r="B365" s="0" t="s">
        <v>1280</v>
      </c>
      <c r="C365" s="0" t="n">
        <v>114004</v>
      </c>
      <c r="D365" s="0" t="n">
        <v>114004</v>
      </c>
      <c r="E365" s="0" t="s">
        <v>93</v>
      </c>
      <c r="F365" s="0" t="s">
        <v>18</v>
      </c>
      <c r="G365" s="7" t="s">
        <v>1281</v>
      </c>
      <c r="H365" s="0" t="s">
        <v>1282</v>
      </c>
      <c r="I365" s="0" t="s">
        <v>21</v>
      </c>
      <c r="J365" s="0" t="s">
        <v>22</v>
      </c>
      <c r="K365" s="0" t="s">
        <v>75</v>
      </c>
      <c r="L365" s="0" t="str">
        <f aca="false">IFERROR(VLOOKUP(K365,'Supplier list'!B:C,2,0),"")</f>
        <v/>
      </c>
      <c r="M365" s="1" t="n">
        <f aca="false">FALSE()</f>
        <v>0</v>
      </c>
      <c r="N365" s="2"/>
      <c r="O365" s="2" t="n">
        <v>55</v>
      </c>
    </row>
    <row r="366" customFormat="false" ht="16.4" hidden="false" customHeight="false" outlineLevel="0" collapsed="false">
      <c r="A366" s="0" t="s">
        <v>15</v>
      </c>
      <c r="B366" s="0" t="s">
        <v>1283</v>
      </c>
      <c r="C366" s="0" t="n">
        <v>114004</v>
      </c>
      <c r="D366" s="0" t="n">
        <v>114004</v>
      </c>
      <c r="E366" s="0" t="s">
        <v>93</v>
      </c>
      <c r="F366" s="0" t="s">
        <v>18</v>
      </c>
      <c r="G366" s="7" t="s">
        <v>1284</v>
      </c>
      <c r="H366" s="0" t="s">
        <v>1285</v>
      </c>
      <c r="I366" s="0" t="s">
        <v>21</v>
      </c>
      <c r="J366" s="0" t="s">
        <v>22</v>
      </c>
      <c r="K366" s="0" t="s">
        <v>75</v>
      </c>
      <c r="L366" s="0" t="str">
        <f aca="false">IFERROR(VLOOKUP(K366,'Supplier list'!B:C,2,0),"")</f>
        <v/>
      </c>
      <c r="M366" s="1" t="n">
        <f aca="false">FALSE()</f>
        <v>0</v>
      </c>
      <c r="N366" s="2"/>
      <c r="O366" s="2" t="n">
        <v>55</v>
      </c>
    </row>
    <row r="367" customFormat="false" ht="16.4" hidden="false" customHeight="false" outlineLevel="0" collapsed="false">
      <c r="A367" s="0" t="s">
        <v>15</v>
      </c>
      <c r="B367" s="0" t="s">
        <v>1286</v>
      </c>
      <c r="C367" s="0" t="n">
        <v>114004</v>
      </c>
      <c r="D367" s="0" t="n">
        <v>114004</v>
      </c>
      <c r="E367" s="0" t="s">
        <v>93</v>
      </c>
      <c r="F367" s="0" t="s">
        <v>18</v>
      </c>
      <c r="G367" s="7" t="s">
        <v>1287</v>
      </c>
      <c r="H367" s="0" t="s">
        <v>1288</v>
      </c>
      <c r="I367" s="0" t="s">
        <v>21</v>
      </c>
      <c r="J367" s="0" t="s">
        <v>22</v>
      </c>
      <c r="K367" s="0" t="s">
        <v>75</v>
      </c>
      <c r="L367" s="0" t="str">
        <f aca="false">IFERROR(VLOOKUP(K367,'Supplier list'!B:C,2,0),"")</f>
        <v/>
      </c>
      <c r="M367" s="1" t="n">
        <f aca="false">FALSE()</f>
        <v>0</v>
      </c>
      <c r="N367" s="2"/>
      <c r="O367" s="2" t="n">
        <v>55</v>
      </c>
    </row>
    <row r="368" customFormat="false" ht="16.4" hidden="false" customHeight="false" outlineLevel="0" collapsed="false">
      <c r="A368" s="0" t="s">
        <v>15</v>
      </c>
      <c r="B368" s="0" t="s">
        <v>1289</v>
      </c>
      <c r="C368" s="0" t="n">
        <v>114004</v>
      </c>
      <c r="D368" s="0" t="n">
        <v>114004</v>
      </c>
      <c r="E368" s="0" t="s">
        <v>1290</v>
      </c>
      <c r="F368" s="0" t="s">
        <v>18</v>
      </c>
      <c r="G368" s="7" t="s">
        <v>1291</v>
      </c>
      <c r="H368" s="0" t="s">
        <v>1290</v>
      </c>
      <c r="I368" s="0" t="s">
        <v>21</v>
      </c>
      <c r="J368" s="0" t="s">
        <v>22</v>
      </c>
      <c r="K368" s="0" t="s">
        <v>75</v>
      </c>
      <c r="L368" s="0" t="str">
        <f aca="false">IFERROR(VLOOKUP(K368,'Supplier list'!B:C,2,0),"")</f>
        <v/>
      </c>
      <c r="M368" s="1" t="n">
        <f aca="false">FALSE()</f>
        <v>0</v>
      </c>
      <c r="N368" s="2"/>
      <c r="O368" s="2" t="n">
        <v>300</v>
      </c>
    </row>
    <row r="369" customFormat="false" ht="16.4" hidden="false" customHeight="false" outlineLevel="0" collapsed="false">
      <c r="A369" s="0" t="s">
        <v>15</v>
      </c>
      <c r="B369" s="0" t="s">
        <v>1292</v>
      </c>
      <c r="C369" s="0" t="n">
        <v>114004</v>
      </c>
      <c r="D369" s="0" t="n">
        <v>114004</v>
      </c>
      <c r="E369" s="0" t="s">
        <v>844</v>
      </c>
      <c r="F369" s="0" t="s">
        <v>18</v>
      </c>
      <c r="G369" s="7" t="s">
        <v>1293</v>
      </c>
      <c r="H369" s="0" t="s">
        <v>1294</v>
      </c>
      <c r="I369" s="0" t="s">
        <v>701</v>
      </c>
      <c r="J369" s="0" t="s">
        <v>22</v>
      </c>
      <c r="L369" s="0" t="str">
        <f aca="false">IFERROR(VLOOKUP(K369,'Supplier list'!B:C,2,0),"")</f>
        <v/>
      </c>
      <c r="M369" s="1" t="n">
        <f aca="false">FALSE()</f>
        <v>0</v>
      </c>
      <c r="N369" s="2"/>
      <c r="O369" s="2" t="n">
        <v>145</v>
      </c>
    </row>
    <row r="370" customFormat="false" ht="16.4" hidden="false" customHeight="false" outlineLevel="0" collapsed="false">
      <c r="A370" s="0" t="s">
        <v>15</v>
      </c>
      <c r="B370" s="0" t="s">
        <v>1295</v>
      </c>
      <c r="C370" s="0" t="n">
        <v>114004</v>
      </c>
      <c r="D370" s="0" t="n">
        <v>114004</v>
      </c>
      <c r="E370" s="0" t="s">
        <v>844</v>
      </c>
      <c r="F370" s="0" t="s">
        <v>18</v>
      </c>
      <c r="G370" s="7" t="s">
        <v>1296</v>
      </c>
      <c r="H370" s="0" t="s">
        <v>1297</v>
      </c>
      <c r="I370" s="0" t="s">
        <v>701</v>
      </c>
      <c r="J370" s="0" t="s">
        <v>22</v>
      </c>
      <c r="L370" s="0" t="str">
        <f aca="false">IFERROR(VLOOKUP(K370,'Supplier list'!B:C,2,0),"")</f>
        <v/>
      </c>
      <c r="M370" s="1" t="n">
        <f aca="false">FALSE()</f>
        <v>0</v>
      </c>
      <c r="N370" s="2"/>
      <c r="O370" s="2" t="n">
        <v>95</v>
      </c>
    </row>
    <row r="371" customFormat="false" ht="16.4" hidden="false" customHeight="false" outlineLevel="0" collapsed="false">
      <c r="A371" s="0" t="s">
        <v>15</v>
      </c>
      <c r="B371" s="0" t="s">
        <v>1298</v>
      </c>
      <c r="C371" s="0" t="n">
        <v>114004</v>
      </c>
      <c r="D371" s="0" t="n">
        <v>114004</v>
      </c>
      <c r="E371" s="0" t="s">
        <v>1299</v>
      </c>
      <c r="F371" s="0" t="s">
        <v>18</v>
      </c>
      <c r="G371" s="7" t="s">
        <v>1300</v>
      </c>
      <c r="H371" s="0" t="s">
        <v>1301</v>
      </c>
      <c r="I371" s="0" t="s">
        <v>21</v>
      </c>
      <c r="J371" s="0" t="s">
        <v>22</v>
      </c>
      <c r="L371" s="0" t="str">
        <f aca="false">IFERROR(VLOOKUP(K371,'Supplier list'!B:C,2,0),"")</f>
        <v/>
      </c>
      <c r="M371" s="1" t="n">
        <f aca="false">FALSE()</f>
        <v>0</v>
      </c>
      <c r="N371" s="2"/>
      <c r="O371" s="2" t="n">
        <v>20</v>
      </c>
    </row>
    <row r="372" customFormat="false" ht="16.4" hidden="false" customHeight="false" outlineLevel="0" collapsed="false">
      <c r="A372" s="0" t="s">
        <v>15</v>
      </c>
      <c r="B372" s="0" t="s">
        <v>1302</v>
      </c>
      <c r="C372" s="0" t="n">
        <v>114004</v>
      </c>
      <c r="D372" s="0" t="n">
        <v>114004</v>
      </c>
      <c r="E372" s="0" t="s">
        <v>1299</v>
      </c>
      <c r="F372" s="0" t="s">
        <v>18</v>
      </c>
      <c r="G372" s="7" t="s">
        <v>1303</v>
      </c>
      <c r="H372" s="0" t="s">
        <v>1304</v>
      </c>
      <c r="I372" s="0" t="s">
        <v>21</v>
      </c>
      <c r="J372" s="0" t="s">
        <v>22</v>
      </c>
      <c r="L372" s="0" t="str">
        <f aca="false">IFERROR(VLOOKUP(K372,'Supplier list'!B:C,2,0),"")</f>
        <v/>
      </c>
      <c r="M372" s="1" t="n">
        <f aca="false">FALSE()</f>
        <v>0</v>
      </c>
      <c r="N372" s="2"/>
      <c r="O372" s="2" t="n">
        <v>180</v>
      </c>
    </row>
    <row r="373" customFormat="false" ht="16.4" hidden="false" customHeight="false" outlineLevel="0" collapsed="false">
      <c r="A373" s="0" t="s">
        <v>15</v>
      </c>
      <c r="B373" s="0" t="s">
        <v>1305</v>
      </c>
      <c r="C373" s="0" t="n">
        <v>114004</v>
      </c>
      <c r="D373" s="0" t="n">
        <v>114004</v>
      </c>
      <c r="E373" s="0" t="s">
        <v>225</v>
      </c>
      <c r="F373" s="0" t="s">
        <v>18</v>
      </c>
      <c r="G373" s="7" t="s">
        <v>1306</v>
      </c>
      <c r="H373" s="0" t="s">
        <v>1307</v>
      </c>
      <c r="I373" s="0" t="s">
        <v>21</v>
      </c>
      <c r="J373" s="0" t="s">
        <v>22</v>
      </c>
      <c r="L373" s="0" t="str">
        <f aca="false">IFERROR(VLOOKUP(K373,'Supplier list'!B:C,2,0),"")</f>
        <v/>
      </c>
      <c r="M373" s="1" t="n">
        <f aca="false">FALSE()</f>
        <v>0</v>
      </c>
      <c r="N373" s="2"/>
      <c r="O373" s="2" t="n">
        <v>3.9</v>
      </c>
    </row>
    <row r="374" customFormat="false" ht="41.75" hidden="false" customHeight="false" outlineLevel="0" collapsed="false">
      <c r="A374" s="0" t="s">
        <v>15</v>
      </c>
      <c r="B374" s="0" t="s">
        <v>1308</v>
      </c>
      <c r="C374" s="0" t="n">
        <v>114004</v>
      </c>
      <c r="D374" s="0" t="n">
        <v>114004</v>
      </c>
      <c r="E374" s="0" t="s">
        <v>275</v>
      </c>
      <c r="F374" s="0" t="s">
        <v>18</v>
      </c>
      <c r="G374" s="7" t="s">
        <v>1309</v>
      </c>
      <c r="H374" s="0" t="s">
        <v>1310</v>
      </c>
      <c r="I374" s="0" t="s">
        <v>1020</v>
      </c>
      <c r="J374" s="0" t="s">
        <v>1021</v>
      </c>
      <c r="K374" s="6" t="s">
        <v>192</v>
      </c>
      <c r="L374" s="0" t="str">
        <f aca="false">IFERROR(VLOOKUP(K374,'Supplier list'!B:C,2,0),"")</f>
        <v/>
      </c>
      <c r="M374" s="1" t="n">
        <f aca="false">FALSE()</f>
        <v>0</v>
      </c>
      <c r="N374" s="2"/>
      <c r="O374" s="2" t="n">
        <v>920</v>
      </c>
    </row>
    <row r="375" customFormat="false" ht="16.4" hidden="false" customHeight="false" outlineLevel="0" collapsed="false">
      <c r="A375" s="0" t="s">
        <v>15</v>
      </c>
      <c r="B375" s="0" t="s">
        <v>1311</v>
      </c>
      <c r="C375" s="0" t="n">
        <v>114004</v>
      </c>
      <c r="D375" s="0" t="n">
        <v>114004</v>
      </c>
      <c r="E375" s="0" t="s">
        <v>520</v>
      </c>
      <c r="F375" s="0" t="s">
        <v>18</v>
      </c>
      <c r="G375" s="7" t="s">
        <v>1312</v>
      </c>
      <c r="H375" s="0" t="s">
        <v>1313</v>
      </c>
      <c r="I375" s="0" t="s">
        <v>21</v>
      </c>
      <c r="J375" s="0" t="s">
        <v>22</v>
      </c>
      <c r="L375" s="0" t="str">
        <f aca="false">IFERROR(VLOOKUP(K375,'Supplier list'!B:C,2,0),"")</f>
        <v/>
      </c>
      <c r="M375" s="1" t="n">
        <f aca="false">FALSE()</f>
        <v>0</v>
      </c>
      <c r="N375" s="2"/>
      <c r="O375" s="2" t="n">
        <v>765</v>
      </c>
    </row>
    <row r="376" customFormat="false" ht="16.4" hidden="false" customHeight="false" outlineLevel="0" collapsed="false">
      <c r="A376" s="0" t="s">
        <v>15</v>
      </c>
      <c r="B376" s="0" t="s">
        <v>1314</v>
      </c>
      <c r="C376" s="0" t="n">
        <v>114004</v>
      </c>
      <c r="D376" s="0" t="n">
        <v>114004</v>
      </c>
      <c r="E376" s="0" t="s">
        <v>520</v>
      </c>
      <c r="F376" s="0" t="s">
        <v>18</v>
      </c>
      <c r="G376" s="7" t="s">
        <v>1315</v>
      </c>
      <c r="H376" s="0" t="s">
        <v>1316</v>
      </c>
      <c r="I376" s="0" t="s">
        <v>21</v>
      </c>
      <c r="J376" s="0" t="s">
        <v>22</v>
      </c>
      <c r="L376" s="0" t="str">
        <f aca="false">IFERROR(VLOOKUP(K376,'Supplier list'!B:C,2,0),"")</f>
        <v/>
      </c>
      <c r="M376" s="1" t="n">
        <f aca="false">FALSE()</f>
        <v>0</v>
      </c>
      <c r="N376" s="2"/>
      <c r="O376" s="2" t="n">
        <v>150</v>
      </c>
    </row>
    <row r="377" customFormat="false" ht="16.4" hidden="false" customHeight="false" outlineLevel="0" collapsed="false">
      <c r="A377" s="0" t="s">
        <v>15</v>
      </c>
      <c r="B377" s="0" t="s">
        <v>1317</v>
      </c>
      <c r="C377" s="0" t="n">
        <v>114004</v>
      </c>
      <c r="D377" s="0" t="n">
        <v>114004</v>
      </c>
      <c r="E377" s="0" t="s">
        <v>17</v>
      </c>
      <c r="F377" s="0" t="s">
        <v>18</v>
      </c>
      <c r="G377" s="7" t="s">
        <v>1318</v>
      </c>
      <c r="H377" s="0" t="s">
        <v>17</v>
      </c>
      <c r="I377" s="0" t="s">
        <v>248</v>
      </c>
      <c r="J377" s="0" t="s">
        <v>249</v>
      </c>
      <c r="L377" s="0" t="str">
        <f aca="false">IFERROR(VLOOKUP(K377,'Supplier list'!B:C,2,0),"")</f>
        <v/>
      </c>
      <c r="M377" s="1" t="n">
        <f aca="false">FALSE()</f>
        <v>0</v>
      </c>
      <c r="N377" s="2"/>
      <c r="O377" s="2" t="n">
        <v>185</v>
      </c>
    </row>
    <row r="378" customFormat="false" ht="16.4" hidden="false" customHeight="false" outlineLevel="0" collapsed="false">
      <c r="A378" s="0" t="s">
        <v>15</v>
      </c>
      <c r="B378" s="0" t="s">
        <v>1319</v>
      </c>
      <c r="C378" s="0" t="n">
        <v>114004</v>
      </c>
      <c r="D378" s="0" t="n">
        <v>114004</v>
      </c>
      <c r="E378" s="0" t="s">
        <v>1320</v>
      </c>
      <c r="F378" s="0" t="s">
        <v>18</v>
      </c>
      <c r="G378" s="7" t="s">
        <v>1321</v>
      </c>
      <c r="H378" s="0" t="s">
        <v>1322</v>
      </c>
      <c r="I378" s="0" t="s">
        <v>1268</v>
      </c>
      <c r="J378" s="0" t="s">
        <v>1269</v>
      </c>
      <c r="K378" s="0" t="s">
        <v>352</v>
      </c>
      <c r="L378" s="0" t="str">
        <f aca="false">IFERROR(VLOOKUP(K378,'Supplier list'!B:C,2,0),"")</f>
        <v>บริษัท พีเอ็นพี อินเตอร์แพค</v>
      </c>
      <c r="M378" s="1" t="n">
        <f aca="false">FALSE()</f>
        <v>0</v>
      </c>
      <c r="N378" s="2"/>
      <c r="O378" s="2" t="n">
        <v>55</v>
      </c>
    </row>
    <row r="379" customFormat="false" ht="16.4" hidden="false" customHeight="false" outlineLevel="0" collapsed="false">
      <c r="A379" s="0" t="s">
        <v>15</v>
      </c>
      <c r="B379" s="0" t="s">
        <v>1323</v>
      </c>
      <c r="C379" s="0" t="n">
        <v>114004</v>
      </c>
      <c r="D379" s="0" t="n">
        <v>114004</v>
      </c>
      <c r="E379" s="0" t="s">
        <v>1320</v>
      </c>
      <c r="F379" s="0" t="s">
        <v>18</v>
      </c>
      <c r="G379" s="7" t="s">
        <v>1324</v>
      </c>
      <c r="H379" s="0" t="s">
        <v>1325</v>
      </c>
      <c r="I379" s="0" t="s">
        <v>1268</v>
      </c>
      <c r="J379" s="0" t="s">
        <v>1269</v>
      </c>
      <c r="K379" s="0" t="s">
        <v>1326</v>
      </c>
      <c r="L379" s="0" t="str">
        <f aca="false">IFERROR(VLOOKUP(K379,'Supplier list'!B:C,2,0),"")</f>
        <v>บริษัท ส.ธนภัทร (888) จำกัด</v>
      </c>
      <c r="M379" s="1" t="n">
        <f aca="false">FALSE()</f>
        <v>0</v>
      </c>
      <c r="N379" s="2"/>
      <c r="O379" s="2" t="n">
        <v>149</v>
      </c>
    </row>
    <row r="380" customFormat="false" ht="16.4" hidden="false" customHeight="false" outlineLevel="0" collapsed="false">
      <c r="A380" s="0" t="s">
        <v>15</v>
      </c>
      <c r="B380" s="0" t="s">
        <v>1327</v>
      </c>
      <c r="C380" s="0" t="n">
        <v>114004</v>
      </c>
      <c r="D380" s="0" t="n">
        <v>114004</v>
      </c>
      <c r="E380" s="0" t="s">
        <v>1328</v>
      </c>
      <c r="F380" s="0" t="s">
        <v>18</v>
      </c>
      <c r="G380" s="7" t="s">
        <v>1329</v>
      </c>
      <c r="H380" s="0" t="s">
        <v>1328</v>
      </c>
      <c r="I380" s="0" t="s">
        <v>701</v>
      </c>
      <c r="J380" s="0" t="s">
        <v>22</v>
      </c>
      <c r="L380" s="0" t="str">
        <f aca="false">IFERROR(VLOOKUP(K380,'Supplier list'!B:C,2,0),"")</f>
        <v/>
      </c>
      <c r="M380" s="1" t="n">
        <f aca="false">FALSE()</f>
        <v>0</v>
      </c>
      <c r="N380" s="2"/>
      <c r="O380" s="2" t="n">
        <v>28</v>
      </c>
    </row>
    <row r="381" customFormat="false" ht="16.4" hidden="false" customHeight="false" outlineLevel="0" collapsed="false">
      <c r="A381" s="0" t="s">
        <v>15</v>
      </c>
      <c r="B381" s="0" t="s">
        <v>1330</v>
      </c>
      <c r="C381" s="0" t="n">
        <v>114004</v>
      </c>
      <c r="D381" s="0" t="n">
        <v>114004</v>
      </c>
      <c r="E381" s="0" t="s">
        <v>1331</v>
      </c>
      <c r="F381" s="0" t="s">
        <v>18</v>
      </c>
      <c r="G381" s="7" t="s">
        <v>1332</v>
      </c>
      <c r="H381" s="0" t="s">
        <v>1331</v>
      </c>
      <c r="I381" s="0" t="s">
        <v>701</v>
      </c>
      <c r="J381" s="0" t="s">
        <v>22</v>
      </c>
      <c r="K381" s="0" t="s">
        <v>151</v>
      </c>
      <c r="L381" s="0" t="str">
        <f aca="false">IFERROR(VLOOKUP(K381,'Supplier list'!B:C,2,0),"")</f>
        <v>บริษัท สยามแม็คโคร จำกัด (มหาชน)</v>
      </c>
      <c r="M381" s="1" t="n">
        <f aca="false">FALSE()</f>
        <v>0</v>
      </c>
      <c r="N381" s="2"/>
      <c r="O381" s="2" t="n">
        <v>16.98</v>
      </c>
    </row>
    <row r="382" customFormat="false" ht="16.4" hidden="false" customHeight="false" outlineLevel="0" collapsed="false">
      <c r="A382" s="0" t="s">
        <v>15</v>
      </c>
      <c r="B382" s="0" t="s">
        <v>1333</v>
      </c>
      <c r="C382" s="0" t="n">
        <v>114004</v>
      </c>
      <c r="D382" s="0" t="n">
        <v>114004</v>
      </c>
      <c r="E382" s="0" t="s">
        <v>593</v>
      </c>
      <c r="F382" s="0" t="s">
        <v>18</v>
      </c>
      <c r="G382" s="7" t="s">
        <v>1334</v>
      </c>
      <c r="H382" s="0" t="s">
        <v>1335</v>
      </c>
      <c r="I382" s="0" t="s">
        <v>701</v>
      </c>
      <c r="J382" s="0" t="s">
        <v>22</v>
      </c>
      <c r="L382" s="0" t="str">
        <f aca="false">IFERROR(VLOOKUP(K382,'Supplier list'!B:C,2,0),"")</f>
        <v/>
      </c>
      <c r="M382" s="1" t="n">
        <f aca="false">FALSE()</f>
        <v>0</v>
      </c>
      <c r="N382" s="2"/>
      <c r="O382" s="2" t="n">
        <v>90</v>
      </c>
    </row>
    <row r="383" customFormat="false" ht="16.4" hidden="false" customHeight="false" outlineLevel="0" collapsed="false">
      <c r="A383" s="0" t="s">
        <v>15</v>
      </c>
      <c r="B383" s="0" t="s">
        <v>1336</v>
      </c>
      <c r="C383" s="0" t="n">
        <v>114004</v>
      </c>
      <c r="D383" s="0" t="n">
        <v>114004</v>
      </c>
      <c r="E383" s="0" t="s">
        <v>593</v>
      </c>
      <c r="F383" s="0" t="s">
        <v>18</v>
      </c>
      <c r="G383" s="7" t="s">
        <v>1337</v>
      </c>
      <c r="H383" s="0" t="s">
        <v>1338</v>
      </c>
      <c r="I383" s="0" t="s">
        <v>701</v>
      </c>
      <c r="J383" s="0" t="s">
        <v>22</v>
      </c>
      <c r="L383" s="0" t="str">
        <f aca="false">IFERROR(VLOOKUP(K383,'Supplier list'!B:C,2,0),"")</f>
        <v/>
      </c>
      <c r="M383" s="1" t="n">
        <f aca="false">FALSE()</f>
        <v>0</v>
      </c>
      <c r="N383" s="2"/>
      <c r="O383" s="2" t="n">
        <v>50</v>
      </c>
    </row>
    <row r="384" customFormat="false" ht="16.4" hidden="false" customHeight="false" outlineLevel="0" collapsed="false">
      <c r="A384" s="0" t="s">
        <v>15</v>
      </c>
      <c r="B384" s="0" t="s">
        <v>1339</v>
      </c>
      <c r="C384" s="0" t="n">
        <v>114004</v>
      </c>
      <c r="D384" s="0" t="n">
        <v>114004</v>
      </c>
      <c r="E384" s="0" t="s">
        <v>1340</v>
      </c>
      <c r="F384" s="0" t="s">
        <v>18</v>
      </c>
      <c r="G384" s="7" t="s">
        <v>1341</v>
      </c>
      <c r="H384" s="0" t="s">
        <v>1340</v>
      </c>
      <c r="I384" s="0" t="s">
        <v>396</v>
      </c>
      <c r="J384" s="0" t="s">
        <v>397</v>
      </c>
      <c r="L384" s="0" t="str">
        <f aca="false">IFERROR(VLOOKUP(K384,'Supplier list'!B:C,2,0),"")</f>
        <v/>
      </c>
      <c r="M384" s="1" t="n">
        <f aca="false">FALSE()</f>
        <v>0</v>
      </c>
      <c r="N384" s="2"/>
      <c r="O384" s="2" t="n">
        <v>76</v>
      </c>
    </row>
    <row r="385" customFormat="false" ht="16.4" hidden="false" customHeight="false" outlineLevel="0" collapsed="false">
      <c r="A385" s="0" t="s">
        <v>15</v>
      </c>
      <c r="B385" s="0" t="s">
        <v>1342</v>
      </c>
      <c r="C385" s="0" t="n">
        <v>114004</v>
      </c>
      <c r="D385" s="0" t="n">
        <v>114004</v>
      </c>
      <c r="E385" s="0" t="s">
        <v>844</v>
      </c>
      <c r="F385" s="0" t="s">
        <v>18</v>
      </c>
      <c r="G385" s="7" t="s">
        <v>1343</v>
      </c>
      <c r="H385" s="0" t="s">
        <v>1344</v>
      </c>
      <c r="I385" s="0" t="s">
        <v>508</v>
      </c>
      <c r="J385" s="0" t="s">
        <v>509</v>
      </c>
      <c r="K385" s="0" t="s">
        <v>151</v>
      </c>
      <c r="L385" s="0" t="str">
        <f aca="false">IFERROR(VLOOKUP(K385,'Supplier list'!B:C,2,0),"")</f>
        <v>บริษัท สยามแม็คโคร จำกัด (มหาชน)</v>
      </c>
      <c r="M385" s="1" t="n">
        <f aca="false">FALSE()</f>
        <v>0</v>
      </c>
      <c r="N385" s="2"/>
      <c r="O385" s="2" t="n">
        <v>620</v>
      </c>
    </row>
    <row r="386" customFormat="false" ht="16.4" hidden="false" customHeight="false" outlineLevel="0" collapsed="false">
      <c r="A386" s="0" t="s">
        <v>15</v>
      </c>
      <c r="B386" s="0" t="s">
        <v>1345</v>
      </c>
      <c r="C386" s="0" t="n">
        <v>114004</v>
      </c>
      <c r="D386" s="0" t="n">
        <v>114004</v>
      </c>
      <c r="E386" s="0" t="s">
        <v>844</v>
      </c>
      <c r="F386" s="0" t="s">
        <v>18</v>
      </c>
      <c r="G386" s="7" t="s">
        <v>1346</v>
      </c>
      <c r="H386" s="0" t="s">
        <v>1347</v>
      </c>
      <c r="I386" s="0" t="s">
        <v>508</v>
      </c>
      <c r="J386" s="0" t="s">
        <v>509</v>
      </c>
      <c r="K386" s="0" t="s">
        <v>151</v>
      </c>
      <c r="L386" s="0" t="str">
        <f aca="false">IFERROR(VLOOKUP(K386,'Supplier list'!B:C,2,0),"")</f>
        <v>บริษัท สยามแม็คโคร จำกัด (มหาชน)</v>
      </c>
      <c r="M386" s="1" t="n">
        <f aca="false">FALSE()</f>
        <v>0</v>
      </c>
      <c r="N386" s="2"/>
      <c r="O386" s="2" t="n">
        <v>530</v>
      </c>
    </row>
    <row r="387" customFormat="false" ht="16.4" hidden="false" customHeight="false" outlineLevel="0" collapsed="false">
      <c r="A387" s="0" t="s">
        <v>15</v>
      </c>
      <c r="B387" s="0" t="s">
        <v>1348</v>
      </c>
      <c r="C387" s="0" t="n">
        <v>114004</v>
      </c>
      <c r="D387" s="0" t="n">
        <v>114004</v>
      </c>
      <c r="E387" s="0" t="s">
        <v>505</v>
      </c>
      <c r="F387" s="0" t="s">
        <v>18</v>
      </c>
      <c r="G387" s="7" t="s">
        <v>1349</v>
      </c>
      <c r="H387" s="0" t="s">
        <v>1350</v>
      </c>
      <c r="I387" s="0" t="s">
        <v>508</v>
      </c>
      <c r="J387" s="0" t="s">
        <v>509</v>
      </c>
      <c r="L387" s="0" t="str">
        <f aca="false">IFERROR(VLOOKUP(K387,'Supplier list'!B:C,2,0),"")</f>
        <v/>
      </c>
      <c r="M387" s="1" t="n">
        <f aca="false">FALSE()</f>
        <v>0</v>
      </c>
      <c r="N387" s="2"/>
      <c r="O387" s="2" t="n">
        <v>28</v>
      </c>
    </row>
    <row r="388" customFormat="false" ht="16.4" hidden="false" customHeight="false" outlineLevel="0" collapsed="false">
      <c r="A388" s="0" t="s">
        <v>15</v>
      </c>
      <c r="B388" s="0" t="s">
        <v>1351</v>
      </c>
      <c r="C388" s="0" t="n">
        <v>114004</v>
      </c>
      <c r="D388" s="0" t="n">
        <v>114004</v>
      </c>
      <c r="E388" s="0" t="s">
        <v>1352</v>
      </c>
      <c r="F388" s="0" t="s">
        <v>18</v>
      </c>
      <c r="G388" s="7" t="s">
        <v>1353</v>
      </c>
      <c r="H388" s="0" t="s">
        <v>1354</v>
      </c>
      <c r="I388" s="0" t="s">
        <v>451</v>
      </c>
      <c r="J388" s="0" t="s">
        <v>452</v>
      </c>
      <c r="K388" s="0" t="s">
        <v>75</v>
      </c>
      <c r="L388" s="0" t="str">
        <f aca="false">IFERROR(VLOOKUP(K388,'Supplier list'!B:C,2,0),"")</f>
        <v/>
      </c>
      <c r="M388" s="1" t="n">
        <f aca="false">FALSE()</f>
        <v>0</v>
      </c>
      <c r="N388" s="2"/>
      <c r="O388" s="2" t="n">
        <v>15</v>
      </c>
    </row>
    <row r="389" customFormat="false" ht="16.4" hidden="false" customHeight="false" outlineLevel="0" collapsed="false">
      <c r="A389" s="0" t="s">
        <v>15</v>
      </c>
      <c r="B389" s="0" t="s">
        <v>1355</v>
      </c>
      <c r="C389" s="0" t="n">
        <v>114004</v>
      </c>
      <c r="D389" s="0" t="n">
        <v>114004</v>
      </c>
      <c r="E389" s="0" t="s">
        <v>1356</v>
      </c>
      <c r="F389" s="0" t="s">
        <v>18</v>
      </c>
      <c r="G389" s="7" t="s">
        <v>1357</v>
      </c>
      <c r="H389" s="0" t="s">
        <v>1358</v>
      </c>
      <c r="I389" s="0" t="s">
        <v>21</v>
      </c>
      <c r="J389" s="0" t="s">
        <v>22</v>
      </c>
      <c r="K389" s="0" t="s">
        <v>151</v>
      </c>
      <c r="L389" s="0" t="str">
        <f aca="false">IFERROR(VLOOKUP(K389,'Supplier list'!B:C,2,0),"")</f>
        <v>บริษัท สยามแม็คโคร จำกัด (มหาชน)</v>
      </c>
      <c r="M389" s="1" t="n">
        <f aca="false">FALSE()</f>
        <v>0</v>
      </c>
      <c r="N389" s="2"/>
      <c r="O389" s="2" t="n">
        <v>25</v>
      </c>
    </row>
    <row r="390" customFormat="false" ht="16.4" hidden="false" customHeight="false" outlineLevel="0" collapsed="false">
      <c r="A390" s="0" t="s">
        <v>15</v>
      </c>
      <c r="B390" s="0" t="s">
        <v>1359</v>
      </c>
      <c r="C390" s="0" t="n">
        <v>114004</v>
      </c>
      <c r="D390" s="0" t="n">
        <v>114004</v>
      </c>
      <c r="E390" s="0" t="s">
        <v>514</v>
      </c>
      <c r="F390" s="0" t="s">
        <v>18</v>
      </c>
      <c r="G390" s="7" t="s">
        <v>1360</v>
      </c>
      <c r="H390" s="0" t="s">
        <v>1361</v>
      </c>
      <c r="I390" s="0" t="s">
        <v>142</v>
      </c>
      <c r="J390" s="0" t="s">
        <v>143</v>
      </c>
      <c r="K390" s="0" t="s">
        <v>352</v>
      </c>
      <c r="L390" s="0" t="str">
        <f aca="false">IFERROR(VLOOKUP(K390,'Supplier list'!B:C,2,0),"")</f>
        <v>บริษัท พีเอ็นพี อินเตอร์แพค</v>
      </c>
      <c r="M390" s="1" t="n">
        <f aca="false">FALSE()</f>
        <v>0</v>
      </c>
      <c r="N390" s="2"/>
      <c r="O390" s="2" t="n">
        <v>320</v>
      </c>
    </row>
    <row r="391" customFormat="false" ht="16.4" hidden="false" customHeight="false" outlineLevel="0" collapsed="false">
      <c r="A391" s="0" t="s">
        <v>15</v>
      </c>
      <c r="B391" s="0" t="s">
        <v>1362</v>
      </c>
      <c r="C391" s="0" t="n">
        <v>114004</v>
      </c>
      <c r="D391" s="0" t="n">
        <v>114004</v>
      </c>
      <c r="E391" s="0" t="s">
        <v>514</v>
      </c>
      <c r="F391" s="0" t="s">
        <v>18</v>
      </c>
      <c r="G391" s="7" t="s">
        <v>1363</v>
      </c>
      <c r="H391" s="0" t="s">
        <v>1364</v>
      </c>
      <c r="I391" s="0" t="s">
        <v>517</v>
      </c>
      <c r="J391" s="0" t="s">
        <v>518</v>
      </c>
      <c r="K391" s="0" t="s">
        <v>82</v>
      </c>
      <c r="L391" s="0" t="str">
        <f aca="false">IFERROR(VLOOKUP(K391,'Supplier list'!B:C,2,0),"")</f>
        <v>บริษัท เกรียงศิริพัฒนา (1995) จำกัด</v>
      </c>
      <c r="M391" s="1" t="n">
        <f aca="false">FALSE()</f>
        <v>0</v>
      </c>
      <c r="N391" s="2"/>
      <c r="O391" s="2" t="n">
        <v>25</v>
      </c>
    </row>
    <row r="392" customFormat="false" ht="16.4" hidden="false" customHeight="false" outlineLevel="0" collapsed="false">
      <c r="A392" s="0" t="s">
        <v>15</v>
      </c>
      <c r="B392" s="0" t="s">
        <v>1365</v>
      </c>
      <c r="C392" s="0" t="n">
        <v>114004</v>
      </c>
      <c r="D392" s="0" t="n">
        <v>114004</v>
      </c>
      <c r="E392" s="0" t="s">
        <v>1366</v>
      </c>
      <c r="F392" s="0" t="s">
        <v>18</v>
      </c>
      <c r="G392" s="7" t="s">
        <v>1367</v>
      </c>
      <c r="H392" s="0" t="s">
        <v>1366</v>
      </c>
      <c r="I392" s="0" t="s">
        <v>248</v>
      </c>
      <c r="J392" s="0" t="s">
        <v>249</v>
      </c>
      <c r="L392" s="0" t="str">
        <f aca="false">IFERROR(VLOOKUP(K392,'Supplier list'!B:C,2,0),"")</f>
        <v/>
      </c>
      <c r="M392" s="1" t="n">
        <f aca="false">FALSE()</f>
        <v>0</v>
      </c>
      <c r="N392" s="2"/>
      <c r="O392" s="2" t="n">
        <v>325</v>
      </c>
    </row>
    <row r="393" customFormat="false" ht="16.4" hidden="false" customHeight="false" outlineLevel="0" collapsed="false">
      <c r="A393" s="0" t="s">
        <v>15</v>
      </c>
      <c r="B393" s="0" t="s">
        <v>1368</v>
      </c>
      <c r="C393" s="0" t="n">
        <v>114004</v>
      </c>
      <c r="D393" s="0" t="n">
        <v>114004</v>
      </c>
      <c r="E393" s="0" t="s">
        <v>17</v>
      </c>
      <c r="F393" s="0" t="s">
        <v>18</v>
      </c>
      <c r="G393" s="7" t="s">
        <v>1369</v>
      </c>
      <c r="H393" s="0" t="s">
        <v>1370</v>
      </c>
      <c r="I393" s="0" t="s">
        <v>248</v>
      </c>
      <c r="J393" s="0" t="s">
        <v>249</v>
      </c>
      <c r="K393" s="0" t="s">
        <v>1371</v>
      </c>
      <c r="L393" s="0" t="str">
        <f aca="false">IFERROR(VLOOKUP(K393,'Supplier list'!B:C,2,0),"")</f>
        <v/>
      </c>
      <c r="M393" s="1" t="n">
        <f aca="false">FALSE()</f>
        <v>0</v>
      </c>
      <c r="N393" s="2"/>
      <c r="O393" s="2" t="n">
        <v>408</v>
      </c>
    </row>
    <row r="394" customFormat="false" ht="16.4" hidden="false" customHeight="false" outlineLevel="0" collapsed="false">
      <c r="A394" s="0" t="s">
        <v>15</v>
      </c>
      <c r="B394" s="0" t="s">
        <v>1372</v>
      </c>
      <c r="C394" s="0" t="n">
        <v>114004</v>
      </c>
      <c r="D394" s="0" t="n">
        <v>114004</v>
      </c>
      <c r="E394" s="0" t="s">
        <v>1373</v>
      </c>
      <c r="F394" s="0" t="s">
        <v>18</v>
      </c>
      <c r="G394" s="7" t="s">
        <v>1374</v>
      </c>
      <c r="H394" s="0" t="s">
        <v>1373</v>
      </c>
      <c r="I394" s="0" t="s">
        <v>248</v>
      </c>
      <c r="J394" s="0" t="s">
        <v>249</v>
      </c>
      <c r="K394" s="0" t="s">
        <v>110</v>
      </c>
      <c r="L394" s="0" t="str">
        <f aca="false">IFERROR(VLOOKUP(K394,'Supplier list'!B:C,2,0),"")</f>
        <v>บริษัท ที.พี.เค ไทยเมท แมชชีนทูลล์ จำกัด</v>
      </c>
      <c r="M394" s="1" t="n">
        <f aca="false">FALSE()</f>
        <v>0</v>
      </c>
      <c r="N394" s="2"/>
      <c r="O394" s="2" t="n">
        <v>30</v>
      </c>
    </row>
    <row r="395" customFormat="false" ht="16.4" hidden="false" customHeight="false" outlineLevel="0" collapsed="false">
      <c r="A395" s="0" t="s">
        <v>15</v>
      </c>
      <c r="B395" s="0" t="s">
        <v>1375</v>
      </c>
      <c r="C395" s="0" t="n">
        <v>114004</v>
      </c>
      <c r="D395" s="0" t="n">
        <v>114004</v>
      </c>
      <c r="E395" s="0" t="s">
        <v>1331</v>
      </c>
      <c r="F395" s="0" t="s">
        <v>18</v>
      </c>
      <c r="G395" s="7" t="s">
        <v>1376</v>
      </c>
      <c r="H395" s="0" t="s">
        <v>1377</v>
      </c>
      <c r="I395" s="0" t="s">
        <v>701</v>
      </c>
      <c r="J395" s="0" t="s">
        <v>22</v>
      </c>
      <c r="K395" s="0" t="s">
        <v>1378</v>
      </c>
      <c r="L395" s="0" t="str">
        <f aca="false">IFERROR(VLOOKUP(K395,'Supplier list'!B:C,2,0),"")</f>
        <v>บริษัท บางพลี แพค (บีพีพี) จำกัด</v>
      </c>
      <c r="M395" s="1" t="n">
        <f aca="false">FALSE()</f>
        <v>0</v>
      </c>
      <c r="N395" s="2"/>
      <c r="O395" s="2" t="n">
        <v>1.9</v>
      </c>
    </row>
    <row r="396" customFormat="false" ht="16.4" hidden="false" customHeight="false" outlineLevel="0" collapsed="false">
      <c r="A396" s="0" t="s">
        <v>15</v>
      </c>
      <c r="B396" s="0" t="s">
        <v>1379</v>
      </c>
      <c r="C396" s="0" t="n">
        <v>114004</v>
      </c>
      <c r="D396" s="0" t="n">
        <v>114004</v>
      </c>
      <c r="E396" s="0" t="s">
        <v>1331</v>
      </c>
      <c r="F396" s="0" t="s">
        <v>18</v>
      </c>
      <c r="G396" s="7" t="s">
        <v>1380</v>
      </c>
      <c r="H396" s="0" t="s">
        <v>1381</v>
      </c>
      <c r="I396" s="0" t="s">
        <v>701</v>
      </c>
      <c r="J396" s="0" t="s">
        <v>22</v>
      </c>
      <c r="K396" s="0" t="s">
        <v>1378</v>
      </c>
      <c r="L396" s="0" t="str">
        <f aca="false">IFERROR(VLOOKUP(K396,'Supplier list'!B:C,2,0),"")</f>
        <v>บริษัท บางพลี แพค (บีพีพี) จำกัด</v>
      </c>
      <c r="M396" s="1" t="n">
        <f aca="false">FALSE()</f>
        <v>0</v>
      </c>
      <c r="N396" s="2"/>
      <c r="O396" s="2" t="n">
        <v>4.2</v>
      </c>
    </row>
    <row r="397" customFormat="false" ht="16.4" hidden="false" customHeight="false" outlineLevel="0" collapsed="false">
      <c r="A397" s="0" t="s">
        <v>15</v>
      </c>
      <c r="B397" s="0" t="s">
        <v>1382</v>
      </c>
      <c r="C397" s="0" t="n">
        <v>114004</v>
      </c>
      <c r="D397" s="0" t="n">
        <v>114004</v>
      </c>
      <c r="E397" s="0" t="s">
        <v>1383</v>
      </c>
      <c r="F397" s="0" t="s">
        <v>18</v>
      </c>
      <c r="G397" s="7" t="s">
        <v>1384</v>
      </c>
      <c r="H397" s="0" t="s">
        <v>1383</v>
      </c>
      <c r="I397" s="0" t="s">
        <v>21</v>
      </c>
      <c r="J397" s="0" t="s">
        <v>22</v>
      </c>
      <c r="L397" s="0" t="str">
        <f aca="false">IFERROR(VLOOKUP(K397,'Supplier list'!B:C,2,0),"")</f>
        <v/>
      </c>
      <c r="M397" s="1" t="n">
        <f aca="false">FALSE()</f>
        <v>0</v>
      </c>
      <c r="N397" s="2"/>
      <c r="O397" s="2" t="n">
        <v>10</v>
      </c>
    </row>
    <row r="398" customFormat="false" ht="16.4" hidden="false" customHeight="false" outlineLevel="0" collapsed="false">
      <c r="A398" s="0" t="s">
        <v>15</v>
      </c>
      <c r="B398" s="0" t="s">
        <v>1385</v>
      </c>
      <c r="C398" s="0" t="n">
        <v>114004</v>
      </c>
      <c r="D398" s="0" t="n">
        <v>114004</v>
      </c>
      <c r="E398" s="0" t="s">
        <v>339</v>
      </c>
      <c r="F398" s="0" t="s">
        <v>18</v>
      </c>
      <c r="G398" s="7" t="s">
        <v>1386</v>
      </c>
      <c r="H398" s="0" t="s">
        <v>1387</v>
      </c>
      <c r="I398" s="0" t="s">
        <v>108</v>
      </c>
      <c r="J398" s="0" t="s">
        <v>109</v>
      </c>
      <c r="K398" s="0" t="s">
        <v>68</v>
      </c>
      <c r="L398" s="0" t="str">
        <f aca="false">IFERROR(VLOOKUP(K398,'Supplier list'!B:C,2,0),"")</f>
        <v>หจก. กรีน ดิสทริบิวชั่น</v>
      </c>
      <c r="M398" s="1" t="n">
        <f aca="false">FALSE()</f>
        <v>0</v>
      </c>
      <c r="N398" s="2"/>
      <c r="O398" s="2" t="n">
        <v>80</v>
      </c>
    </row>
    <row r="399" customFormat="false" ht="16.4" hidden="false" customHeight="false" outlineLevel="0" collapsed="false">
      <c r="A399" s="0" t="s">
        <v>15</v>
      </c>
      <c r="B399" s="0" t="s">
        <v>1388</v>
      </c>
      <c r="C399" s="0" t="n">
        <v>114004</v>
      </c>
      <c r="D399" s="0" t="n">
        <v>114004</v>
      </c>
      <c r="E399" s="0" t="s">
        <v>339</v>
      </c>
      <c r="F399" s="0" t="s">
        <v>18</v>
      </c>
      <c r="G399" s="7" t="s">
        <v>1389</v>
      </c>
      <c r="H399" s="0" t="s">
        <v>1390</v>
      </c>
      <c r="I399" s="0" t="s">
        <v>108</v>
      </c>
      <c r="J399" s="0" t="s">
        <v>109</v>
      </c>
      <c r="K399" s="0" t="s">
        <v>68</v>
      </c>
      <c r="L399" s="0" t="str">
        <f aca="false">IFERROR(VLOOKUP(K399,'Supplier list'!B:C,2,0),"")</f>
        <v>หจก. กรีน ดิสทริบิวชั่น</v>
      </c>
      <c r="M399" s="1" t="n">
        <f aca="false">FALSE()</f>
        <v>0</v>
      </c>
      <c r="N399" s="2"/>
      <c r="O399" s="2" t="n">
        <v>80</v>
      </c>
    </row>
    <row r="400" customFormat="false" ht="16.4" hidden="false" customHeight="false" outlineLevel="0" collapsed="false">
      <c r="A400" s="0" t="s">
        <v>15</v>
      </c>
      <c r="B400" s="0" t="s">
        <v>1391</v>
      </c>
      <c r="C400" s="0" t="n">
        <v>114004</v>
      </c>
      <c r="D400" s="0" t="n">
        <v>114004</v>
      </c>
      <c r="E400" s="0" t="s">
        <v>17</v>
      </c>
      <c r="F400" s="0" t="s">
        <v>18</v>
      </c>
      <c r="G400" s="7" t="s">
        <v>1392</v>
      </c>
      <c r="H400" s="0" t="s">
        <v>1393</v>
      </c>
      <c r="I400" s="0" t="s">
        <v>248</v>
      </c>
      <c r="J400" s="0" t="s">
        <v>249</v>
      </c>
      <c r="L400" s="0" t="str">
        <f aca="false">IFERROR(VLOOKUP(K400,'Supplier list'!B:C,2,0),"")</f>
        <v/>
      </c>
      <c r="M400" s="1" t="n">
        <f aca="false">FALSE()</f>
        <v>0</v>
      </c>
      <c r="N400" s="2"/>
      <c r="O400" s="2" t="n">
        <v>63.3</v>
      </c>
    </row>
    <row r="401" customFormat="false" ht="16.4" hidden="false" customHeight="false" outlineLevel="0" collapsed="false">
      <c r="A401" s="0" t="s">
        <v>15</v>
      </c>
      <c r="B401" s="0" t="s">
        <v>1394</v>
      </c>
      <c r="C401" s="0" t="n">
        <v>114004</v>
      </c>
      <c r="D401" s="0" t="n">
        <v>114004</v>
      </c>
      <c r="E401" s="0" t="s">
        <v>17</v>
      </c>
      <c r="F401" s="0" t="s">
        <v>18</v>
      </c>
      <c r="G401" s="7" t="s">
        <v>1395</v>
      </c>
      <c r="H401" s="0" t="s">
        <v>1396</v>
      </c>
      <c r="I401" s="0" t="s">
        <v>21</v>
      </c>
      <c r="J401" s="0" t="s">
        <v>22</v>
      </c>
      <c r="L401" s="0" t="str">
        <f aca="false">IFERROR(VLOOKUP(K401,'Supplier list'!B:C,2,0),"")</f>
        <v/>
      </c>
      <c r="M401" s="1" t="n">
        <f aca="false">FALSE()</f>
        <v>0</v>
      </c>
      <c r="N401" s="2"/>
      <c r="O401" s="2" t="n">
        <v>22.5</v>
      </c>
    </row>
    <row r="402" customFormat="false" ht="16.4" hidden="false" customHeight="false" outlineLevel="0" collapsed="false">
      <c r="A402" s="0" t="s">
        <v>15</v>
      </c>
      <c r="B402" s="0" t="s">
        <v>1397</v>
      </c>
      <c r="C402" s="0" t="n">
        <v>114004</v>
      </c>
      <c r="D402" s="0" t="n">
        <v>114004</v>
      </c>
      <c r="E402" s="0" t="s">
        <v>17</v>
      </c>
      <c r="F402" s="0" t="s">
        <v>18</v>
      </c>
      <c r="G402" s="7" t="s">
        <v>1398</v>
      </c>
      <c r="H402" s="0" t="s">
        <v>438</v>
      </c>
      <c r="I402" s="0" t="s">
        <v>21</v>
      </c>
      <c r="J402" s="0" t="s">
        <v>22</v>
      </c>
      <c r="L402" s="0" t="str">
        <f aca="false">IFERROR(VLOOKUP(K402,'Supplier list'!B:C,2,0),"")</f>
        <v/>
      </c>
      <c r="M402" s="1" t="n">
        <f aca="false">FALSE()</f>
        <v>0</v>
      </c>
      <c r="N402" s="2"/>
      <c r="O402" s="2" t="n">
        <v>22.5</v>
      </c>
    </row>
    <row r="403" customFormat="false" ht="16.4" hidden="false" customHeight="false" outlineLevel="0" collapsed="false">
      <c r="A403" s="0" t="s">
        <v>15</v>
      </c>
      <c r="B403" s="0" t="s">
        <v>1399</v>
      </c>
      <c r="C403" s="0" t="n">
        <v>114004</v>
      </c>
      <c r="D403" s="0" t="n">
        <v>114004</v>
      </c>
      <c r="E403" s="0" t="s">
        <v>443</v>
      </c>
      <c r="F403" s="0" t="s">
        <v>18</v>
      </c>
      <c r="G403" s="7" t="s">
        <v>1400</v>
      </c>
      <c r="H403" s="0" t="s">
        <v>1401</v>
      </c>
      <c r="I403" s="0" t="s">
        <v>21</v>
      </c>
      <c r="J403" s="0" t="s">
        <v>22</v>
      </c>
      <c r="K403" s="0" t="s">
        <v>151</v>
      </c>
      <c r="L403" s="0" t="str">
        <f aca="false">IFERROR(VLOOKUP(K403,'Supplier list'!B:C,2,0),"")</f>
        <v>บริษัท สยามแม็คโคร จำกัด (มหาชน)</v>
      </c>
      <c r="M403" s="1" t="n">
        <f aca="false">FALSE()</f>
        <v>0</v>
      </c>
      <c r="N403" s="2"/>
      <c r="O403" s="2" t="n">
        <v>111.21</v>
      </c>
    </row>
    <row r="404" customFormat="false" ht="16.4" hidden="false" customHeight="false" outlineLevel="0" collapsed="false">
      <c r="A404" s="0" t="s">
        <v>15</v>
      </c>
      <c r="B404" s="0" t="s">
        <v>1402</v>
      </c>
      <c r="C404" s="0" t="n">
        <v>114004</v>
      </c>
      <c r="D404" s="0" t="n">
        <v>114004</v>
      </c>
      <c r="E404" s="0" t="s">
        <v>470</v>
      </c>
      <c r="F404" s="0" t="s">
        <v>18</v>
      </c>
      <c r="G404" s="7" t="s">
        <v>1403</v>
      </c>
      <c r="H404" s="0" t="s">
        <v>1404</v>
      </c>
      <c r="I404" s="0" t="s">
        <v>21</v>
      </c>
      <c r="J404" s="0" t="s">
        <v>22</v>
      </c>
      <c r="L404" s="0" t="str">
        <f aca="false">IFERROR(VLOOKUP(K404,'Supplier list'!B:C,2,0),"")</f>
        <v/>
      </c>
      <c r="M404" s="1" t="n">
        <f aca="false">FALSE()</f>
        <v>0</v>
      </c>
      <c r="N404" s="2"/>
      <c r="O404" s="2" t="n">
        <v>119</v>
      </c>
    </row>
    <row r="405" customFormat="false" ht="16.4" hidden="false" customHeight="false" outlineLevel="0" collapsed="false">
      <c r="A405" s="0" t="s">
        <v>15</v>
      </c>
      <c r="B405" s="0" t="s">
        <v>1405</v>
      </c>
      <c r="C405" s="0" t="n">
        <v>114004</v>
      </c>
      <c r="D405" s="0" t="n">
        <v>114004</v>
      </c>
      <c r="E405" s="0" t="s">
        <v>245</v>
      </c>
      <c r="F405" s="0" t="s">
        <v>18</v>
      </c>
      <c r="G405" s="7" t="s">
        <v>1406</v>
      </c>
      <c r="H405" s="0" t="s">
        <v>497</v>
      </c>
      <c r="I405" s="0" t="s">
        <v>21</v>
      </c>
      <c r="J405" s="0" t="s">
        <v>22</v>
      </c>
      <c r="K405" s="0" t="s">
        <v>155</v>
      </c>
      <c r="L405" s="0" t="str">
        <f aca="false">IFERROR(VLOOKUP(K405,'Supplier list'!B:C,2,0),"")</f>
        <v>บริษัท ก.เจริญฮาร์ดแวร์ จำกัด</v>
      </c>
      <c r="M405" s="1" t="n">
        <f aca="false">FALSE()</f>
        <v>0</v>
      </c>
      <c r="N405" s="2"/>
      <c r="O405" s="2" t="n">
        <v>1725</v>
      </c>
    </row>
    <row r="406" customFormat="false" ht="16.4" hidden="false" customHeight="false" outlineLevel="0" collapsed="false">
      <c r="A406" s="0" t="s">
        <v>15</v>
      </c>
      <c r="B406" s="0" t="s">
        <v>1407</v>
      </c>
      <c r="C406" s="0" t="n">
        <v>114004</v>
      </c>
      <c r="D406" s="0" t="n">
        <v>114004</v>
      </c>
      <c r="E406" s="0" t="s">
        <v>505</v>
      </c>
      <c r="F406" s="0" t="s">
        <v>18</v>
      </c>
      <c r="G406" s="7" t="s">
        <v>1408</v>
      </c>
      <c r="H406" s="0" t="s">
        <v>512</v>
      </c>
      <c r="I406" s="0" t="s">
        <v>21</v>
      </c>
      <c r="J406" s="0" t="s">
        <v>22</v>
      </c>
      <c r="L406" s="0" t="str">
        <f aca="false">IFERROR(VLOOKUP(K406,'Supplier list'!B:C,2,0),"")</f>
        <v/>
      </c>
      <c r="M406" s="1" t="n">
        <f aca="false">FALSE()</f>
        <v>0</v>
      </c>
      <c r="N406" s="2"/>
      <c r="O406" s="2" t="n">
        <v>100</v>
      </c>
    </row>
    <row r="407" customFormat="false" ht="16.4" hidden="false" customHeight="false" outlineLevel="0" collapsed="false">
      <c r="A407" s="0" t="s">
        <v>15</v>
      </c>
      <c r="B407" s="0" t="s">
        <v>1409</v>
      </c>
      <c r="C407" s="0" t="n">
        <v>114004</v>
      </c>
      <c r="D407" s="0" t="n">
        <v>114004</v>
      </c>
      <c r="E407" s="0" t="s">
        <v>505</v>
      </c>
      <c r="F407" s="0" t="s">
        <v>18</v>
      </c>
      <c r="G407" s="7" t="s">
        <v>1410</v>
      </c>
      <c r="H407" s="0" t="s">
        <v>529</v>
      </c>
      <c r="I407" s="0" t="s">
        <v>21</v>
      </c>
      <c r="J407" s="0" t="s">
        <v>22</v>
      </c>
      <c r="L407" s="0" t="str">
        <f aca="false">IFERROR(VLOOKUP(K407,'Supplier list'!B:C,2,0),"")</f>
        <v/>
      </c>
      <c r="M407" s="1" t="n">
        <f aca="false">FALSE()</f>
        <v>0</v>
      </c>
      <c r="N407" s="2"/>
      <c r="O407" s="2" t="n">
        <v>145</v>
      </c>
    </row>
    <row r="408" customFormat="false" ht="16.4" hidden="false" customHeight="false" outlineLevel="0" collapsed="false">
      <c r="A408" s="0" t="s">
        <v>15</v>
      </c>
      <c r="B408" s="0" t="s">
        <v>1411</v>
      </c>
      <c r="C408" s="0" t="n">
        <v>114004</v>
      </c>
      <c r="D408" s="0" t="n">
        <v>114004</v>
      </c>
      <c r="E408" s="0" t="s">
        <v>505</v>
      </c>
      <c r="F408" s="0" t="s">
        <v>18</v>
      </c>
      <c r="G408" s="7" t="s">
        <v>1412</v>
      </c>
      <c r="H408" s="0" t="s">
        <v>532</v>
      </c>
      <c r="I408" s="0" t="s">
        <v>21</v>
      </c>
      <c r="J408" s="0" t="s">
        <v>22</v>
      </c>
      <c r="L408" s="0" t="str">
        <f aca="false">IFERROR(VLOOKUP(K408,'Supplier list'!B:C,2,0),"")</f>
        <v/>
      </c>
      <c r="M408" s="1" t="n">
        <f aca="false">FALSE()</f>
        <v>0</v>
      </c>
      <c r="N408" s="2"/>
      <c r="O408" s="2" t="n">
        <v>83</v>
      </c>
    </row>
    <row r="409" customFormat="false" ht="16.4" hidden="false" customHeight="false" outlineLevel="0" collapsed="false">
      <c r="A409" s="0" t="s">
        <v>15</v>
      </c>
      <c r="B409" s="0" t="s">
        <v>1413</v>
      </c>
      <c r="C409" s="0" t="n">
        <v>114004</v>
      </c>
      <c r="D409" s="0" t="n">
        <v>114004</v>
      </c>
      <c r="E409" s="0" t="s">
        <v>139</v>
      </c>
      <c r="F409" s="0" t="s">
        <v>18</v>
      </c>
      <c r="G409" s="7" t="s">
        <v>1414</v>
      </c>
      <c r="H409" s="0" t="s">
        <v>1415</v>
      </c>
      <c r="I409" s="0" t="s">
        <v>21</v>
      </c>
      <c r="J409" s="0" t="s">
        <v>22</v>
      </c>
      <c r="L409" s="0" t="str">
        <f aca="false">IFERROR(VLOOKUP(K409,'Supplier list'!B:C,2,0),"")</f>
        <v/>
      </c>
      <c r="M409" s="1" t="n">
        <f aca="false">FALSE()</f>
        <v>0</v>
      </c>
      <c r="N409" s="2"/>
      <c r="O409" s="2" t="n">
        <v>289</v>
      </c>
    </row>
    <row r="410" customFormat="false" ht="14.9" hidden="false" customHeight="false" outlineLevel="0" collapsed="false">
      <c r="A410" s="0" t="s">
        <v>15</v>
      </c>
      <c r="B410" s="0" t="s">
        <v>1416</v>
      </c>
      <c r="C410" s="0" t="n">
        <v>114004</v>
      </c>
      <c r="D410" s="0" t="n">
        <v>114004</v>
      </c>
      <c r="E410" s="0" t="s">
        <v>1417</v>
      </c>
      <c r="F410" s="0" t="s">
        <v>18</v>
      </c>
      <c r="G410" s="7" t="s">
        <v>1418</v>
      </c>
      <c r="H410" s="0" t="s">
        <v>1419</v>
      </c>
      <c r="I410" s="0" t="s">
        <v>947</v>
      </c>
      <c r="J410" s="0" t="s">
        <v>948</v>
      </c>
      <c r="K410" s="0" t="s">
        <v>1420</v>
      </c>
      <c r="L410" s="0" t="str">
        <f aca="false">IFERROR(VLOOKUP(K410,'Supplier list'!B:C,2,0),"")</f>
        <v/>
      </c>
      <c r="M410" s="1" t="n">
        <f aca="false">FALSE()</f>
        <v>0</v>
      </c>
      <c r="N410" s="2"/>
      <c r="O410" s="2" t="n">
        <v>6100</v>
      </c>
    </row>
    <row r="411" customFormat="false" ht="16.4" hidden="false" customHeight="false" outlineLevel="0" collapsed="false">
      <c r="A411" s="0" t="s">
        <v>15</v>
      </c>
      <c r="B411" s="0" t="s">
        <v>1421</v>
      </c>
      <c r="C411" s="0" t="n">
        <v>114004</v>
      </c>
      <c r="D411" s="0" t="n">
        <v>114004</v>
      </c>
      <c r="E411" s="0" t="s">
        <v>139</v>
      </c>
      <c r="F411" s="0" t="s">
        <v>18</v>
      </c>
      <c r="G411" s="7" t="s">
        <v>1422</v>
      </c>
      <c r="H411" s="0" t="s">
        <v>1423</v>
      </c>
      <c r="I411" s="0" t="s">
        <v>947</v>
      </c>
      <c r="J411" s="0" t="s">
        <v>948</v>
      </c>
      <c r="L411" s="0" t="str">
        <f aca="false">IFERROR(VLOOKUP(K411,'Supplier list'!B:C,2,0),"")</f>
        <v/>
      </c>
      <c r="M411" s="1" t="n">
        <f aca="false">FALSE()</f>
        <v>0</v>
      </c>
      <c r="N411" s="2"/>
      <c r="O411" s="2" t="n">
        <v>289</v>
      </c>
    </row>
    <row r="412" customFormat="false" ht="16.4" hidden="false" customHeight="false" outlineLevel="0" collapsed="false">
      <c r="A412" s="0" t="s">
        <v>15</v>
      </c>
      <c r="B412" s="0" t="s">
        <v>1424</v>
      </c>
      <c r="C412" s="0" t="n">
        <v>114004</v>
      </c>
      <c r="D412" s="0" t="n">
        <v>114004</v>
      </c>
      <c r="E412" s="0" t="s">
        <v>139</v>
      </c>
      <c r="F412" s="0" t="s">
        <v>18</v>
      </c>
      <c r="G412" s="7" t="s">
        <v>1425</v>
      </c>
      <c r="H412" s="0" t="s">
        <v>1426</v>
      </c>
      <c r="I412" s="0" t="s">
        <v>947</v>
      </c>
      <c r="J412" s="0" t="s">
        <v>948</v>
      </c>
      <c r="L412" s="0" t="str">
        <f aca="false">IFERROR(VLOOKUP(K412,'Supplier list'!B:C,2,0),"")</f>
        <v/>
      </c>
      <c r="M412" s="1" t="n">
        <f aca="false">FALSE()</f>
        <v>0</v>
      </c>
      <c r="N412" s="2"/>
      <c r="O412" s="2" t="n">
        <v>349</v>
      </c>
    </row>
    <row r="413" customFormat="false" ht="16.4" hidden="false" customHeight="false" outlineLevel="0" collapsed="false">
      <c r="A413" s="0" t="s">
        <v>15</v>
      </c>
      <c r="B413" s="0" t="s">
        <v>1427</v>
      </c>
      <c r="C413" s="0" t="n">
        <v>114004</v>
      </c>
      <c r="D413" s="0" t="n">
        <v>114004</v>
      </c>
      <c r="E413" s="0" t="s">
        <v>139</v>
      </c>
      <c r="F413" s="0" t="s">
        <v>18</v>
      </c>
      <c r="G413" s="7" t="s">
        <v>1428</v>
      </c>
      <c r="H413" s="0" t="s">
        <v>1429</v>
      </c>
      <c r="I413" s="0" t="s">
        <v>947</v>
      </c>
      <c r="J413" s="0" t="s">
        <v>948</v>
      </c>
      <c r="L413" s="0" t="str">
        <f aca="false">IFERROR(VLOOKUP(K413,'Supplier list'!B:C,2,0),"")</f>
        <v/>
      </c>
      <c r="M413" s="1" t="n">
        <f aca="false">FALSE()</f>
        <v>0</v>
      </c>
      <c r="N413" s="2"/>
      <c r="O413" s="2" t="n">
        <v>349</v>
      </c>
    </row>
    <row r="414" customFormat="false" ht="16.4" hidden="false" customHeight="false" outlineLevel="0" collapsed="false">
      <c r="A414" s="0" t="s">
        <v>15</v>
      </c>
      <c r="B414" s="0" t="s">
        <v>1430</v>
      </c>
      <c r="C414" s="0" t="n">
        <v>114004</v>
      </c>
      <c r="D414" s="0" t="n">
        <v>114004</v>
      </c>
      <c r="E414" s="0" t="s">
        <v>1431</v>
      </c>
      <c r="F414" s="0" t="s">
        <v>18</v>
      </c>
      <c r="G414" s="7" t="s">
        <v>1432</v>
      </c>
      <c r="H414" s="0" t="s">
        <v>1433</v>
      </c>
      <c r="I414" s="0" t="s">
        <v>21</v>
      </c>
      <c r="J414" s="0" t="s">
        <v>22</v>
      </c>
      <c r="L414" s="0" t="str">
        <f aca="false">IFERROR(VLOOKUP(K414,'Supplier list'!B:C,2,0),"")</f>
        <v/>
      </c>
      <c r="M414" s="1" t="n">
        <f aca="false">FALSE()</f>
        <v>0</v>
      </c>
      <c r="N414" s="2"/>
      <c r="O414" s="2" t="n">
        <v>69</v>
      </c>
    </row>
    <row r="415" customFormat="false" ht="16.4" hidden="false" customHeight="false" outlineLevel="0" collapsed="false">
      <c r="A415" s="0" t="s">
        <v>15</v>
      </c>
      <c r="B415" s="0" t="s">
        <v>1434</v>
      </c>
      <c r="C415" s="0" t="n">
        <v>114004</v>
      </c>
      <c r="D415" s="0" t="n">
        <v>114004</v>
      </c>
      <c r="E415" s="0" t="s">
        <v>1435</v>
      </c>
      <c r="F415" s="0" t="s">
        <v>18</v>
      </c>
      <c r="G415" s="7" t="s">
        <v>1436</v>
      </c>
      <c r="H415" s="0" t="s">
        <v>1437</v>
      </c>
      <c r="I415" s="0" t="s">
        <v>1438</v>
      </c>
      <c r="J415" s="0" t="s">
        <v>1439</v>
      </c>
      <c r="K415" s="0" t="s">
        <v>1440</v>
      </c>
      <c r="L415" s="0" t="str">
        <f aca="false">IFERROR(VLOOKUP(K415,'Supplier list'!B:C,2,0),"")</f>
        <v>บริษัท โกรว์ แอนด์ โกลว์ จำกัด</v>
      </c>
      <c r="M415" s="1" t="n">
        <f aca="false">FALSE()</f>
        <v>0</v>
      </c>
      <c r="N415" s="2"/>
      <c r="O415" s="2" t="n">
        <v>45</v>
      </c>
    </row>
    <row r="416" customFormat="false" ht="16.4" hidden="false" customHeight="false" outlineLevel="0" collapsed="false">
      <c r="A416" s="0" t="s">
        <v>15</v>
      </c>
      <c r="B416" s="0" t="s">
        <v>1441</v>
      </c>
      <c r="C416" s="0" t="n">
        <v>114004</v>
      </c>
      <c r="D416" s="0" t="n">
        <v>114004</v>
      </c>
      <c r="E416" s="0" t="s">
        <v>1000</v>
      </c>
      <c r="F416" s="0" t="s">
        <v>18</v>
      </c>
      <c r="G416" s="7" t="s">
        <v>1442</v>
      </c>
      <c r="H416" s="0" t="s">
        <v>1443</v>
      </c>
      <c r="I416" s="0" t="s">
        <v>21</v>
      </c>
      <c r="J416" s="0" t="s">
        <v>22</v>
      </c>
      <c r="K416" s="0" t="s">
        <v>1444</v>
      </c>
      <c r="L416" s="0" t="str">
        <f aca="false">IFERROR(VLOOKUP(K416,'Supplier list'!B:C,2,0),"")</f>
        <v>บริษัท เจ เอส เมคคานิค จำกัด</v>
      </c>
      <c r="M416" s="1" t="n">
        <f aca="false">FALSE()</f>
        <v>0</v>
      </c>
      <c r="N416" s="2"/>
      <c r="O416" s="2" t="n">
        <v>915</v>
      </c>
    </row>
    <row r="417" customFormat="false" ht="16.4" hidden="false" customHeight="false" outlineLevel="0" collapsed="false">
      <c r="A417" s="0" t="s">
        <v>15</v>
      </c>
      <c r="B417" s="0" t="s">
        <v>1445</v>
      </c>
      <c r="C417" s="0" t="n">
        <v>114004</v>
      </c>
      <c r="D417" s="0" t="n">
        <v>114004</v>
      </c>
      <c r="E417" s="0" t="s">
        <v>1446</v>
      </c>
      <c r="F417" s="0" t="s">
        <v>18</v>
      </c>
      <c r="G417" s="7" t="s">
        <v>1447</v>
      </c>
      <c r="H417" s="0" t="s">
        <v>1448</v>
      </c>
      <c r="I417" s="0" t="s">
        <v>331</v>
      </c>
      <c r="J417" s="0" t="s">
        <v>332</v>
      </c>
      <c r="K417" s="0" t="s">
        <v>68</v>
      </c>
      <c r="L417" s="0" t="str">
        <f aca="false">IFERROR(VLOOKUP(K417,'Supplier list'!B:C,2,0),"")</f>
        <v>หจก. กรีน ดิสทริบิวชั่น</v>
      </c>
      <c r="M417" s="1" t="n">
        <f aca="false">FALSE()</f>
        <v>0</v>
      </c>
      <c r="N417" s="2"/>
      <c r="O417" s="2" t="n">
        <v>289</v>
      </c>
    </row>
    <row r="418" customFormat="false" ht="16.4" hidden="false" customHeight="false" outlineLevel="0" collapsed="false">
      <c r="A418" s="0" t="s">
        <v>15</v>
      </c>
      <c r="B418" s="0" t="s">
        <v>1449</v>
      </c>
      <c r="C418" s="0" t="n">
        <v>114004</v>
      </c>
      <c r="D418" s="0" t="n">
        <v>114004</v>
      </c>
      <c r="E418" s="0" t="s">
        <v>1450</v>
      </c>
      <c r="F418" s="0" t="s">
        <v>18</v>
      </c>
      <c r="G418" s="7" t="s">
        <v>1451</v>
      </c>
      <c r="H418" s="0" t="s">
        <v>1452</v>
      </c>
      <c r="I418" s="0" t="s">
        <v>21</v>
      </c>
      <c r="J418" s="0" t="s">
        <v>22</v>
      </c>
      <c r="K418" s="0" t="s">
        <v>68</v>
      </c>
      <c r="L418" s="0" t="str">
        <f aca="false">IFERROR(VLOOKUP(K418,'Supplier list'!B:C,2,0),"")</f>
        <v>หจก. กรีน ดิสทริบิวชั่น</v>
      </c>
      <c r="M418" s="1" t="n">
        <f aca="false">FALSE()</f>
        <v>0</v>
      </c>
      <c r="N418" s="2"/>
      <c r="O418" s="2" t="n">
        <v>120</v>
      </c>
    </row>
    <row r="419" customFormat="false" ht="16.4" hidden="false" customHeight="false" outlineLevel="0" collapsed="false">
      <c r="A419" s="0" t="s">
        <v>15</v>
      </c>
      <c r="B419" s="0" t="s">
        <v>1453</v>
      </c>
      <c r="C419" s="0" t="n">
        <v>114004</v>
      </c>
      <c r="D419" s="0" t="n">
        <v>114004</v>
      </c>
      <c r="E419" s="0" t="s">
        <v>1454</v>
      </c>
      <c r="F419" s="0" t="s">
        <v>18</v>
      </c>
      <c r="G419" s="7" t="s">
        <v>1455</v>
      </c>
      <c r="H419" s="0" t="s">
        <v>1456</v>
      </c>
      <c r="I419" s="0" t="s">
        <v>21</v>
      </c>
      <c r="J419" s="0" t="s">
        <v>22</v>
      </c>
      <c r="K419" s="0" t="s">
        <v>68</v>
      </c>
      <c r="L419" s="0" t="str">
        <f aca="false">IFERROR(VLOOKUP(K419,'Supplier list'!B:C,2,0),"")</f>
        <v>หจก. กรีน ดิสทริบิวชั่น</v>
      </c>
      <c r="M419" s="1" t="n">
        <f aca="false">FALSE()</f>
        <v>0</v>
      </c>
      <c r="N419" s="2"/>
      <c r="O419" s="2" t="n">
        <v>50</v>
      </c>
    </row>
    <row r="420" customFormat="false" ht="16.4" hidden="false" customHeight="false" outlineLevel="0" collapsed="false">
      <c r="A420" s="0" t="s">
        <v>15</v>
      </c>
      <c r="B420" s="0" t="s">
        <v>1457</v>
      </c>
      <c r="C420" s="0" t="n">
        <v>114004</v>
      </c>
      <c r="D420" s="0" t="n">
        <v>114004</v>
      </c>
      <c r="E420" s="0" t="s">
        <v>1458</v>
      </c>
      <c r="F420" s="0" t="s">
        <v>18</v>
      </c>
      <c r="G420" s="7" t="s">
        <v>1459</v>
      </c>
      <c r="H420" s="0" t="s">
        <v>1460</v>
      </c>
      <c r="I420" s="0" t="s">
        <v>149</v>
      </c>
      <c r="J420" s="0" t="s">
        <v>150</v>
      </c>
      <c r="L420" s="0" t="str">
        <f aca="false">IFERROR(VLOOKUP(K420,'Supplier list'!B:C,2,0),"")</f>
        <v/>
      </c>
      <c r="M420" s="1" t="n">
        <f aca="false">FALSE()</f>
        <v>0</v>
      </c>
      <c r="N420" s="2"/>
      <c r="O420" s="2" t="n">
        <v>0</v>
      </c>
    </row>
    <row r="421" customFormat="false" ht="16.4" hidden="false" customHeight="false" outlineLevel="0" collapsed="false">
      <c r="A421" s="0" t="s">
        <v>15</v>
      </c>
      <c r="B421" s="0" t="s">
        <v>1461</v>
      </c>
      <c r="C421" s="0" t="n">
        <v>114004</v>
      </c>
      <c r="D421" s="0" t="n">
        <v>114004</v>
      </c>
      <c r="E421" s="0" t="s">
        <v>1462</v>
      </c>
      <c r="F421" s="0" t="s">
        <v>18</v>
      </c>
      <c r="G421" s="7" t="s">
        <v>1463</v>
      </c>
      <c r="H421" s="0" t="s">
        <v>1464</v>
      </c>
      <c r="I421" s="0" t="s">
        <v>21</v>
      </c>
      <c r="J421" s="0" t="s">
        <v>22</v>
      </c>
      <c r="K421" s="0" t="s">
        <v>89</v>
      </c>
      <c r="L421" s="0" t="str">
        <f aca="false">IFERROR(VLOOKUP(K421,'Supplier list'!B:C,2,0),"")</f>
        <v>บริษัท เฮเฟเล่ (ประเทศไทย) จำกัด</v>
      </c>
      <c r="M421" s="1" t="n">
        <f aca="false">FALSE()</f>
        <v>0</v>
      </c>
      <c r="N421" s="2"/>
      <c r="O421" s="2" t="n">
        <v>3365</v>
      </c>
    </row>
    <row r="422" customFormat="false" ht="16.4" hidden="false" customHeight="false" outlineLevel="0" collapsed="false">
      <c r="A422" s="0" t="s">
        <v>15</v>
      </c>
      <c r="B422" s="0" t="s">
        <v>1465</v>
      </c>
      <c r="C422" s="0" t="n">
        <v>114004</v>
      </c>
      <c r="D422" s="0" t="n">
        <v>114004</v>
      </c>
      <c r="E422" s="0" t="s">
        <v>1466</v>
      </c>
      <c r="F422" s="0" t="s">
        <v>18</v>
      </c>
      <c r="G422" s="7" t="s">
        <v>1467</v>
      </c>
      <c r="H422" s="0" t="s">
        <v>1468</v>
      </c>
      <c r="I422" s="0" t="s">
        <v>21</v>
      </c>
      <c r="J422" s="0" t="s">
        <v>22</v>
      </c>
      <c r="K422" s="0" t="s">
        <v>89</v>
      </c>
      <c r="L422" s="0" t="str">
        <f aca="false">IFERROR(VLOOKUP(K422,'Supplier list'!B:C,2,0),"")</f>
        <v>บริษัท เฮเฟเล่ (ประเทศไทย) จำกัด</v>
      </c>
      <c r="M422" s="1" t="n">
        <f aca="false">FALSE()</f>
        <v>0</v>
      </c>
      <c r="N422" s="2"/>
      <c r="O422" s="2" t="n">
        <v>1500</v>
      </c>
    </row>
    <row r="423" customFormat="false" ht="16.4" hidden="false" customHeight="false" outlineLevel="0" collapsed="false">
      <c r="A423" s="0" t="s">
        <v>15</v>
      </c>
      <c r="B423" s="0" t="s">
        <v>1469</v>
      </c>
      <c r="C423" s="0" t="n">
        <v>114004</v>
      </c>
      <c r="D423" s="0" t="n">
        <v>114004</v>
      </c>
      <c r="E423" s="0" t="s">
        <v>756</v>
      </c>
      <c r="F423" s="0" t="s">
        <v>18</v>
      </c>
      <c r="G423" s="7" t="s">
        <v>1470</v>
      </c>
      <c r="H423" s="0" t="s">
        <v>1471</v>
      </c>
      <c r="I423" s="0" t="s">
        <v>21</v>
      </c>
      <c r="J423" s="0" t="s">
        <v>22</v>
      </c>
      <c r="L423" s="0" t="str">
        <f aca="false">IFERROR(VLOOKUP(K423,'Supplier list'!B:C,2,0),"")</f>
        <v/>
      </c>
      <c r="M423" s="1" t="n">
        <f aca="false">FALSE()</f>
        <v>0</v>
      </c>
      <c r="N423" s="2"/>
      <c r="O423" s="2" t="n">
        <v>7</v>
      </c>
    </row>
    <row r="424" customFormat="false" ht="16.4" hidden="false" customHeight="false" outlineLevel="0" collapsed="false">
      <c r="A424" s="0" t="s">
        <v>15</v>
      </c>
      <c r="B424" s="0" t="s">
        <v>1472</v>
      </c>
      <c r="C424" s="0" t="n">
        <v>114004</v>
      </c>
      <c r="D424" s="0" t="n">
        <v>114004</v>
      </c>
      <c r="E424" s="0" t="s">
        <v>621</v>
      </c>
      <c r="F424" s="0" t="s">
        <v>18</v>
      </c>
      <c r="G424" s="7" t="s">
        <v>1473</v>
      </c>
      <c r="H424" s="0" t="s">
        <v>1474</v>
      </c>
      <c r="I424" s="0" t="s">
        <v>21</v>
      </c>
      <c r="J424" s="0" t="s">
        <v>22</v>
      </c>
      <c r="L424" s="0" t="str">
        <f aca="false">IFERROR(VLOOKUP(K424,'Supplier list'!B:C,2,0),"")</f>
        <v/>
      </c>
      <c r="M424" s="1" t="n">
        <f aca="false">FALSE()</f>
        <v>0</v>
      </c>
      <c r="N424" s="2"/>
      <c r="O424" s="2" t="n">
        <v>0.3</v>
      </c>
    </row>
    <row r="425" customFormat="false" ht="16.4" hidden="false" customHeight="false" outlineLevel="0" collapsed="false">
      <c r="A425" s="0" t="s">
        <v>15</v>
      </c>
      <c r="B425" s="0" t="s">
        <v>1475</v>
      </c>
      <c r="C425" s="0" t="n">
        <v>114004</v>
      </c>
      <c r="D425" s="0" t="n">
        <v>114004</v>
      </c>
      <c r="E425" s="0" t="s">
        <v>87</v>
      </c>
      <c r="F425" s="0" t="s">
        <v>18</v>
      </c>
      <c r="G425" s="7" t="s">
        <v>1476</v>
      </c>
      <c r="H425" s="0" t="s">
        <v>1477</v>
      </c>
      <c r="I425" s="0" t="s">
        <v>102</v>
      </c>
      <c r="J425" s="0" t="s">
        <v>103</v>
      </c>
      <c r="K425" s="0" t="s">
        <v>352</v>
      </c>
      <c r="L425" s="0" t="str">
        <f aca="false">IFERROR(VLOOKUP(K425,'Supplier list'!B:C,2,0),"")</f>
        <v>บริษัท พีเอ็นพี อินเตอร์แพค</v>
      </c>
      <c r="M425" s="1" t="n">
        <f aca="false">FALSE()</f>
        <v>0</v>
      </c>
      <c r="N425" s="2"/>
      <c r="O425" s="2" t="n">
        <v>512</v>
      </c>
    </row>
    <row r="426" customFormat="false" ht="16.4" hidden="false" customHeight="false" outlineLevel="0" collapsed="false">
      <c r="A426" s="0" t="s">
        <v>15</v>
      </c>
      <c r="B426" s="0" t="s">
        <v>1478</v>
      </c>
      <c r="C426" s="0" t="n">
        <v>114004</v>
      </c>
      <c r="D426" s="0" t="n">
        <v>114004</v>
      </c>
      <c r="E426" s="0" t="s">
        <v>1479</v>
      </c>
      <c r="F426" s="0" t="s">
        <v>18</v>
      </c>
      <c r="G426" s="7" t="s">
        <v>1480</v>
      </c>
      <c r="H426" s="0" t="s">
        <v>1481</v>
      </c>
      <c r="I426" s="0" t="s">
        <v>21</v>
      </c>
      <c r="J426" s="0" t="s">
        <v>22</v>
      </c>
      <c r="L426" s="0" t="str">
        <f aca="false">IFERROR(VLOOKUP(K426,'Supplier list'!B:C,2,0),"")</f>
        <v/>
      </c>
      <c r="M426" s="1" t="n">
        <f aca="false">FALSE()</f>
        <v>0</v>
      </c>
      <c r="N426" s="2"/>
      <c r="O426" s="2" t="n">
        <v>168</v>
      </c>
    </row>
    <row r="427" customFormat="false" ht="16.4" hidden="false" customHeight="false" outlineLevel="0" collapsed="false">
      <c r="A427" s="0" t="s">
        <v>15</v>
      </c>
      <c r="B427" s="0" t="s">
        <v>1482</v>
      </c>
      <c r="C427" s="0" t="n">
        <v>114004</v>
      </c>
      <c r="D427" s="0" t="n">
        <v>114004</v>
      </c>
      <c r="E427" s="0" t="s">
        <v>1479</v>
      </c>
      <c r="F427" s="0" t="s">
        <v>18</v>
      </c>
      <c r="G427" s="7" t="s">
        <v>1483</v>
      </c>
      <c r="H427" s="0" t="s">
        <v>1484</v>
      </c>
      <c r="I427" s="0" t="s">
        <v>21</v>
      </c>
      <c r="J427" s="0" t="s">
        <v>22</v>
      </c>
      <c r="L427" s="0" t="str">
        <f aca="false">IFERROR(VLOOKUP(K427,'Supplier list'!B:C,2,0),"")</f>
        <v/>
      </c>
      <c r="M427" s="1" t="n">
        <f aca="false">FALSE()</f>
        <v>0</v>
      </c>
      <c r="N427" s="2"/>
      <c r="O427" s="2" t="n">
        <v>278</v>
      </c>
    </row>
    <row r="428" customFormat="false" ht="16.4" hidden="false" customHeight="false" outlineLevel="0" collapsed="false">
      <c r="A428" s="0" t="s">
        <v>15</v>
      </c>
      <c r="B428" s="0" t="s">
        <v>1485</v>
      </c>
      <c r="C428" s="0" t="n">
        <v>114004</v>
      </c>
      <c r="D428" s="0" t="n">
        <v>114004</v>
      </c>
      <c r="E428" s="0" t="s">
        <v>1331</v>
      </c>
      <c r="F428" s="0" t="s">
        <v>18</v>
      </c>
      <c r="G428" s="7" t="s">
        <v>1486</v>
      </c>
      <c r="H428" s="0" t="s">
        <v>1487</v>
      </c>
      <c r="I428" s="0" t="s">
        <v>149</v>
      </c>
      <c r="J428" s="0" t="s">
        <v>150</v>
      </c>
      <c r="L428" s="0" t="str">
        <f aca="false">IFERROR(VLOOKUP(K428,'Supplier list'!B:C,2,0),"")</f>
        <v/>
      </c>
      <c r="M428" s="1" t="n">
        <f aca="false">FALSE()</f>
        <v>0</v>
      </c>
      <c r="N428" s="2"/>
      <c r="O428" s="2" t="n">
        <v>417.3</v>
      </c>
    </row>
    <row r="429" customFormat="false" ht="16.4" hidden="false" customHeight="false" outlineLevel="0" collapsed="false">
      <c r="A429" s="0" t="s">
        <v>15</v>
      </c>
      <c r="B429" s="0" t="s">
        <v>1488</v>
      </c>
      <c r="C429" s="0" t="n">
        <v>114004</v>
      </c>
      <c r="D429" s="0" t="n">
        <v>114004</v>
      </c>
      <c r="E429" s="0" t="s">
        <v>17</v>
      </c>
      <c r="F429" s="0" t="s">
        <v>18</v>
      </c>
      <c r="G429" s="7" t="s">
        <v>1489</v>
      </c>
      <c r="H429" s="0" t="s">
        <v>1490</v>
      </c>
      <c r="I429" s="0" t="s">
        <v>248</v>
      </c>
      <c r="J429" s="0" t="s">
        <v>249</v>
      </c>
      <c r="L429" s="0" t="str">
        <f aca="false">IFERROR(VLOOKUP(K429,'Supplier list'!B:C,2,0),"")</f>
        <v/>
      </c>
      <c r="M429" s="1" t="n">
        <f aca="false">FALSE()</f>
        <v>0</v>
      </c>
      <c r="N429" s="2"/>
      <c r="O429" s="2" t="n">
        <v>63</v>
      </c>
    </row>
    <row r="430" customFormat="false" ht="16.4" hidden="false" customHeight="false" outlineLevel="0" collapsed="false">
      <c r="A430" s="0" t="s">
        <v>15</v>
      </c>
      <c r="B430" s="0" t="s">
        <v>1491</v>
      </c>
      <c r="C430" s="0" t="n">
        <v>114004</v>
      </c>
      <c r="D430" s="0" t="n">
        <v>114004</v>
      </c>
      <c r="E430" s="0" t="s">
        <v>294</v>
      </c>
      <c r="F430" s="0" t="s">
        <v>18</v>
      </c>
      <c r="G430" s="7" t="s">
        <v>1492</v>
      </c>
      <c r="H430" s="0" t="s">
        <v>1493</v>
      </c>
      <c r="I430" s="0" t="s">
        <v>21</v>
      </c>
      <c r="J430" s="0" t="s">
        <v>22</v>
      </c>
      <c r="K430" s="0" t="s">
        <v>352</v>
      </c>
      <c r="L430" s="0" t="str">
        <f aca="false">IFERROR(VLOOKUP(K430,'Supplier list'!B:C,2,0),"")</f>
        <v>บริษัท พีเอ็นพี อินเตอร์แพค</v>
      </c>
      <c r="M430" s="1" t="n">
        <f aca="false">FALSE()</f>
        <v>0</v>
      </c>
      <c r="N430" s="2"/>
      <c r="O430" s="2" t="n">
        <v>23</v>
      </c>
    </row>
    <row r="431" customFormat="false" ht="16.4" hidden="false" customHeight="false" outlineLevel="0" collapsed="false">
      <c r="A431" s="0" t="s">
        <v>15</v>
      </c>
      <c r="B431" s="0" t="s">
        <v>1494</v>
      </c>
      <c r="C431" s="0" t="n">
        <v>114004</v>
      </c>
      <c r="D431" s="0" t="n">
        <v>114004</v>
      </c>
      <c r="E431" s="0" t="s">
        <v>87</v>
      </c>
      <c r="F431" s="0" t="s">
        <v>18</v>
      </c>
      <c r="G431" s="7" t="s">
        <v>1495</v>
      </c>
      <c r="H431" s="0" t="s">
        <v>1496</v>
      </c>
      <c r="I431" s="0" t="s">
        <v>102</v>
      </c>
      <c r="J431" s="0" t="s">
        <v>103</v>
      </c>
      <c r="K431" s="0" t="s">
        <v>89</v>
      </c>
      <c r="L431" s="0" t="str">
        <f aca="false">IFERROR(VLOOKUP(K431,'Supplier list'!B:C,2,0),"")</f>
        <v>บริษัท เฮเฟเล่ (ประเทศไทย) จำกัด</v>
      </c>
      <c r="M431" s="1" t="n">
        <f aca="false">FALSE()</f>
        <v>0</v>
      </c>
      <c r="N431" s="2"/>
      <c r="O431" s="2" t="n">
        <v>1450</v>
      </c>
    </row>
    <row r="432" customFormat="false" ht="16.4" hidden="false" customHeight="false" outlineLevel="0" collapsed="false">
      <c r="A432" s="0" t="s">
        <v>15</v>
      </c>
      <c r="B432" s="0" t="s">
        <v>1497</v>
      </c>
      <c r="C432" s="0" t="n">
        <v>114004</v>
      </c>
      <c r="D432" s="0" t="n">
        <v>114004</v>
      </c>
      <c r="E432" s="0" t="s">
        <v>1026</v>
      </c>
      <c r="F432" s="0" t="s">
        <v>18</v>
      </c>
      <c r="G432" s="7" t="s">
        <v>1498</v>
      </c>
      <c r="H432" s="0" t="s">
        <v>1499</v>
      </c>
      <c r="I432" s="0" t="s">
        <v>1032</v>
      </c>
      <c r="J432" s="0" t="s">
        <v>1033</v>
      </c>
      <c r="K432" s="0" t="s">
        <v>1064</v>
      </c>
      <c r="L432" s="0" t="str">
        <f aca="false">IFERROR(VLOOKUP(K432,'Supplier list'!B:C,2,0),"")</f>
        <v>บริษัท เมกไกวส์ (ไทยแลนด์) จำกัด</v>
      </c>
      <c r="M432" s="1" t="n">
        <f aca="false">FALSE()</f>
        <v>0</v>
      </c>
      <c r="N432" s="2"/>
      <c r="O432" s="2" t="n">
        <v>2800</v>
      </c>
    </row>
    <row r="433" customFormat="false" ht="16.4" hidden="false" customHeight="false" outlineLevel="0" collapsed="false">
      <c r="A433" s="0" t="s">
        <v>15</v>
      </c>
      <c r="B433" s="0" t="s">
        <v>1500</v>
      </c>
      <c r="C433" s="0" t="n">
        <v>114004</v>
      </c>
      <c r="D433" s="0" t="n">
        <v>114004</v>
      </c>
      <c r="E433" s="0" t="s">
        <v>1501</v>
      </c>
      <c r="F433" s="0" t="s">
        <v>18</v>
      </c>
      <c r="G433" s="7" t="s">
        <v>1502</v>
      </c>
      <c r="H433" s="0" t="s">
        <v>1503</v>
      </c>
      <c r="I433" s="0" t="s">
        <v>21</v>
      </c>
      <c r="J433" s="0" t="s">
        <v>22</v>
      </c>
      <c r="K433" s="0" t="s">
        <v>89</v>
      </c>
      <c r="L433" s="0" t="str">
        <f aca="false">IFERROR(VLOOKUP(K433,'Supplier list'!B:C,2,0),"")</f>
        <v>บริษัท เฮเฟเล่ (ประเทศไทย) จำกัด</v>
      </c>
      <c r="M433" s="1" t="n">
        <f aca="false">FALSE()</f>
        <v>0</v>
      </c>
      <c r="N433" s="2"/>
      <c r="O433" s="2" t="n">
        <v>1588</v>
      </c>
    </row>
    <row r="434" customFormat="false" ht="16.4" hidden="false" customHeight="false" outlineLevel="0" collapsed="false">
      <c r="A434" s="0" t="s">
        <v>15</v>
      </c>
      <c r="B434" s="0" t="s">
        <v>1504</v>
      </c>
      <c r="C434" s="0" t="n">
        <v>114004</v>
      </c>
      <c r="D434" s="0" t="n">
        <v>114004</v>
      </c>
      <c r="E434" s="0" t="s">
        <v>1505</v>
      </c>
      <c r="F434" s="0" t="s">
        <v>18</v>
      </c>
      <c r="G434" s="7" t="s">
        <v>1506</v>
      </c>
      <c r="H434" s="0" t="s">
        <v>1507</v>
      </c>
      <c r="I434" s="0" t="s">
        <v>701</v>
      </c>
      <c r="J434" s="0" t="s">
        <v>22</v>
      </c>
      <c r="K434" s="0" t="s">
        <v>352</v>
      </c>
      <c r="L434" s="0" t="str">
        <f aca="false">IFERROR(VLOOKUP(K434,'Supplier list'!B:C,2,0),"")</f>
        <v>บริษัท พีเอ็นพี อินเตอร์แพค</v>
      </c>
      <c r="M434" s="1" t="n">
        <f aca="false">FALSE()</f>
        <v>0</v>
      </c>
      <c r="N434" s="2"/>
      <c r="O434" s="2" t="n">
        <v>15</v>
      </c>
    </row>
    <row r="435" customFormat="false" ht="16.4" hidden="false" customHeight="false" outlineLevel="0" collapsed="false">
      <c r="A435" s="0" t="s">
        <v>15</v>
      </c>
      <c r="B435" s="0" t="s">
        <v>1508</v>
      </c>
      <c r="C435" s="0" t="n">
        <v>114004</v>
      </c>
      <c r="D435" s="0" t="n">
        <v>114004</v>
      </c>
      <c r="E435" s="0" t="s">
        <v>659</v>
      </c>
      <c r="F435" s="0" t="s">
        <v>18</v>
      </c>
      <c r="G435" s="7" t="s">
        <v>1509</v>
      </c>
      <c r="H435" s="0" t="s">
        <v>1510</v>
      </c>
      <c r="I435" s="0" t="s">
        <v>701</v>
      </c>
      <c r="J435" s="0" t="s">
        <v>22</v>
      </c>
      <c r="K435" s="0" t="s">
        <v>1511</v>
      </c>
      <c r="L435" s="0" t="str">
        <f aca="false">IFERROR(VLOOKUP(K435,'Supplier list'!B:C,2,0),"")</f>
        <v/>
      </c>
      <c r="M435" s="1" t="n">
        <f aca="false">FALSE()</f>
        <v>0</v>
      </c>
      <c r="N435" s="2"/>
      <c r="O435" s="2" t="n">
        <v>180</v>
      </c>
    </row>
    <row r="436" customFormat="false" ht="16.4" hidden="false" customHeight="false" outlineLevel="0" collapsed="false">
      <c r="A436" s="0" t="s">
        <v>15</v>
      </c>
      <c r="B436" s="0" t="s">
        <v>1512</v>
      </c>
      <c r="C436" s="0" t="n">
        <v>114004</v>
      </c>
      <c r="D436" s="0" t="n">
        <v>114004</v>
      </c>
      <c r="E436" s="0" t="s">
        <v>1505</v>
      </c>
      <c r="F436" s="0" t="s">
        <v>18</v>
      </c>
      <c r="G436" s="7" t="s">
        <v>1513</v>
      </c>
      <c r="H436" s="0" t="s">
        <v>1514</v>
      </c>
      <c r="I436" s="0" t="s">
        <v>701</v>
      </c>
      <c r="J436" s="0" t="s">
        <v>22</v>
      </c>
      <c r="K436" s="0" t="s">
        <v>352</v>
      </c>
      <c r="L436" s="0" t="str">
        <f aca="false">IFERROR(VLOOKUP(K436,'Supplier list'!B:C,2,0),"")</f>
        <v>บริษัท พีเอ็นพี อินเตอร์แพค</v>
      </c>
      <c r="M436" s="1" t="n">
        <f aca="false">FALSE()</f>
        <v>0</v>
      </c>
      <c r="N436" s="2"/>
      <c r="O436" s="2" t="n">
        <v>18</v>
      </c>
    </row>
    <row r="437" customFormat="false" ht="16.4" hidden="false" customHeight="false" outlineLevel="0" collapsed="false">
      <c r="A437" s="0" t="s">
        <v>15</v>
      </c>
      <c r="B437" s="0" t="s">
        <v>1515</v>
      </c>
      <c r="C437" s="0" t="n">
        <v>114004</v>
      </c>
      <c r="D437" s="0" t="n">
        <v>114004</v>
      </c>
      <c r="E437" s="0" t="s">
        <v>659</v>
      </c>
      <c r="F437" s="0" t="s">
        <v>18</v>
      </c>
      <c r="G437" s="7" t="s">
        <v>1516</v>
      </c>
      <c r="H437" s="0" t="s">
        <v>1517</v>
      </c>
      <c r="I437" s="0" t="s">
        <v>701</v>
      </c>
      <c r="J437" s="0" t="s">
        <v>22</v>
      </c>
      <c r="K437" s="0" t="s">
        <v>352</v>
      </c>
      <c r="L437" s="0" t="str">
        <f aca="false">IFERROR(VLOOKUP(K437,'Supplier list'!B:C,2,0),"")</f>
        <v>บริษัท พีเอ็นพี อินเตอร์แพค</v>
      </c>
      <c r="M437" s="1" t="n">
        <f aca="false">FALSE()</f>
        <v>0</v>
      </c>
      <c r="N437" s="2"/>
      <c r="O437" s="2" t="n">
        <v>10.5</v>
      </c>
    </row>
    <row r="438" customFormat="false" ht="16.4" hidden="false" customHeight="false" outlineLevel="0" collapsed="false">
      <c r="A438" s="0" t="s">
        <v>15</v>
      </c>
      <c r="B438" s="0" t="s">
        <v>1518</v>
      </c>
      <c r="C438" s="0" t="n">
        <v>114004</v>
      </c>
      <c r="D438" s="0" t="n">
        <v>114004</v>
      </c>
      <c r="E438" s="0" t="s">
        <v>659</v>
      </c>
      <c r="F438" s="0" t="s">
        <v>18</v>
      </c>
      <c r="G438" s="7" t="s">
        <v>1519</v>
      </c>
      <c r="H438" s="0" t="s">
        <v>1520</v>
      </c>
      <c r="I438" s="0" t="s">
        <v>701</v>
      </c>
      <c r="J438" s="0" t="s">
        <v>22</v>
      </c>
      <c r="K438" s="0" t="s">
        <v>155</v>
      </c>
      <c r="L438" s="0" t="str">
        <f aca="false">IFERROR(VLOOKUP(K438,'Supplier list'!B:C,2,0),"")</f>
        <v>บริษัท ก.เจริญฮาร์ดแวร์ จำกัด</v>
      </c>
      <c r="M438" s="1" t="n">
        <f aca="false">FALSE()</f>
        <v>0</v>
      </c>
      <c r="N438" s="2"/>
      <c r="O438" s="2" t="n">
        <v>70</v>
      </c>
    </row>
    <row r="439" customFormat="false" ht="16.4" hidden="false" customHeight="false" outlineLevel="0" collapsed="false">
      <c r="A439" s="0" t="s">
        <v>15</v>
      </c>
      <c r="B439" s="0" t="s">
        <v>1521</v>
      </c>
      <c r="C439" s="0" t="n">
        <v>114004</v>
      </c>
      <c r="D439" s="0" t="n">
        <v>114004</v>
      </c>
      <c r="E439" s="0" t="s">
        <v>659</v>
      </c>
      <c r="F439" s="0" t="s">
        <v>18</v>
      </c>
      <c r="G439" s="7" t="s">
        <v>1522</v>
      </c>
      <c r="H439" s="0" t="s">
        <v>1523</v>
      </c>
      <c r="I439" s="0" t="s">
        <v>21</v>
      </c>
      <c r="J439" s="0" t="s">
        <v>22</v>
      </c>
      <c r="L439" s="0" t="str">
        <f aca="false">IFERROR(VLOOKUP(K439,'Supplier list'!B:C,2,0),"")</f>
        <v/>
      </c>
      <c r="M439" s="1" t="n">
        <f aca="false">FALSE()</f>
        <v>0</v>
      </c>
      <c r="N439" s="2"/>
      <c r="O439" s="2" t="n">
        <v>168</v>
      </c>
    </row>
    <row r="440" customFormat="false" ht="16.4" hidden="false" customHeight="false" outlineLevel="0" collapsed="false">
      <c r="A440" s="0" t="s">
        <v>15</v>
      </c>
      <c r="B440" s="0" t="s">
        <v>1524</v>
      </c>
      <c r="C440" s="0" t="n">
        <v>114004</v>
      </c>
      <c r="D440" s="0" t="n">
        <v>114004</v>
      </c>
      <c r="E440" s="0" t="s">
        <v>197</v>
      </c>
      <c r="F440" s="0" t="s">
        <v>18</v>
      </c>
      <c r="G440" s="7" t="s">
        <v>1525</v>
      </c>
      <c r="H440" s="0" t="s">
        <v>1526</v>
      </c>
      <c r="I440" s="0" t="s">
        <v>21</v>
      </c>
      <c r="J440" s="0" t="s">
        <v>22</v>
      </c>
      <c r="K440" s="0" t="s">
        <v>68</v>
      </c>
      <c r="L440" s="0" t="str">
        <f aca="false">IFERROR(VLOOKUP(K440,'Supplier list'!B:C,2,0),"")</f>
        <v>หจก. กรีน ดิสทริบิวชั่น</v>
      </c>
      <c r="M440" s="1" t="n">
        <f aca="false">FALSE()</f>
        <v>0</v>
      </c>
      <c r="N440" s="2"/>
      <c r="O440" s="2" t="n">
        <v>4.75</v>
      </c>
    </row>
    <row r="441" customFormat="false" ht="16.4" hidden="false" customHeight="false" outlineLevel="0" collapsed="false">
      <c r="A441" s="0" t="s">
        <v>15</v>
      </c>
      <c r="B441" s="0" t="s">
        <v>1527</v>
      </c>
      <c r="C441" s="0" t="n">
        <v>114004</v>
      </c>
      <c r="D441" s="0" t="n">
        <v>114004</v>
      </c>
      <c r="E441" s="0" t="s">
        <v>659</v>
      </c>
      <c r="F441" s="0" t="s">
        <v>18</v>
      </c>
      <c r="G441" s="7" t="s">
        <v>1528</v>
      </c>
      <c r="H441" s="0" t="s">
        <v>1529</v>
      </c>
      <c r="I441" s="0" t="s">
        <v>21</v>
      </c>
      <c r="J441" s="0" t="s">
        <v>22</v>
      </c>
      <c r="L441" s="0" t="str">
        <f aca="false">IFERROR(VLOOKUP(K441,'Supplier list'!B:C,2,0),"")</f>
        <v/>
      </c>
      <c r="M441" s="1" t="n">
        <f aca="false">FALSE()</f>
        <v>0</v>
      </c>
      <c r="N441" s="2"/>
      <c r="O441" s="2" t="n">
        <v>110</v>
      </c>
    </row>
    <row r="442" customFormat="false" ht="16.4" hidden="false" customHeight="false" outlineLevel="0" collapsed="false">
      <c r="A442" s="0" t="s">
        <v>15</v>
      </c>
      <c r="B442" s="0" t="s">
        <v>1530</v>
      </c>
      <c r="C442" s="0" t="n">
        <v>114004</v>
      </c>
      <c r="D442" s="0" t="n">
        <v>114004</v>
      </c>
      <c r="E442" s="0" t="s">
        <v>659</v>
      </c>
      <c r="F442" s="0" t="s">
        <v>18</v>
      </c>
      <c r="G442" s="7" t="s">
        <v>1531</v>
      </c>
      <c r="H442" s="0" t="s">
        <v>1532</v>
      </c>
      <c r="I442" s="0" t="s">
        <v>701</v>
      </c>
      <c r="J442" s="0" t="s">
        <v>22</v>
      </c>
      <c r="L442" s="0" t="str">
        <f aca="false">IFERROR(VLOOKUP(K442,'Supplier list'!B:C,2,0),"")</f>
        <v/>
      </c>
      <c r="M442" s="1" t="n">
        <f aca="false">FALSE()</f>
        <v>0</v>
      </c>
      <c r="N442" s="2"/>
      <c r="O442" s="2" t="n">
        <v>478</v>
      </c>
    </row>
    <row r="443" customFormat="false" ht="16.4" hidden="false" customHeight="false" outlineLevel="0" collapsed="false">
      <c r="A443" s="0" t="s">
        <v>15</v>
      </c>
      <c r="B443" s="0" t="s">
        <v>1533</v>
      </c>
      <c r="C443" s="0" t="n">
        <v>114004</v>
      </c>
      <c r="D443" s="0" t="n">
        <v>114004</v>
      </c>
      <c r="E443" s="0" t="s">
        <v>1505</v>
      </c>
      <c r="F443" s="0" t="s">
        <v>18</v>
      </c>
      <c r="G443" s="7" t="s">
        <v>1534</v>
      </c>
      <c r="H443" s="0" t="s">
        <v>1535</v>
      </c>
      <c r="I443" s="0" t="s">
        <v>701</v>
      </c>
      <c r="J443" s="0" t="s">
        <v>22</v>
      </c>
      <c r="L443" s="0" t="str">
        <f aca="false">IFERROR(VLOOKUP(K443,'Supplier list'!B:C,2,0),"")</f>
        <v/>
      </c>
      <c r="M443" s="1" t="n">
        <f aca="false">FALSE()</f>
        <v>0</v>
      </c>
      <c r="N443" s="2"/>
      <c r="O443" s="2" t="n">
        <v>72</v>
      </c>
    </row>
    <row r="444" customFormat="false" ht="16.4" hidden="false" customHeight="false" outlineLevel="0" collapsed="false">
      <c r="A444" s="0" t="s">
        <v>15</v>
      </c>
      <c r="B444" s="0" t="s">
        <v>1536</v>
      </c>
      <c r="C444" s="0" t="n">
        <v>114004</v>
      </c>
      <c r="D444" s="0" t="n">
        <v>114004</v>
      </c>
      <c r="E444" s="0" t="s">
        <v>756</v>
      </c>
      <c r="F444" s="0" t="s">
        <v>18</v>
      </c>
      <c r="G444" s="7" t="s">
        <v>1537</v>
      </c>
      <c r="H444" s="0" t="s">
        <v>1538</v>
      </c>
      <c r="I444" s="0" t="s">
        <v>21</v>
      </c>
      <c r="J444" s="0" t="s">
        <v>22</v>
      </c>
      <c r="L444" s="0" t="str">
        <f aca="false">IFERROR(VLOOKUP(K444,'Supplier list'!B:C,2,0),"")</f>
        <v/>
      </c>
      <c r="M444" s="1" t="n">
        <f aca="false">FALSE()</f>
        <v>0</v>
      </c>
      <c r="N444" s="2"/>
      <c r="O444" s="2" t="n">
        <v>7</v>
      </c>
    </row>
    <row r="445" customFormat="false" ht="16.4" hidden="false" customHeight="false" outlineLevel="0" collapsed="false">
      <c r="A445" s="0" t="s">
        <v>15</v>
      </c>
      <c r="B445" s="0" t="s">
        <v>1539</v>
      </c>
      <c r="C445" s="0" t="n">
        <v>114004</v>
      </c>
      <c r="D445" s="0" t="n">
        <v>114004</v>
      </c>
      <c r="E445" s="0" t="s">
        <v>659</v>
      </c>
      <c r="F445" s="0" t="s">
        <v>18</v>
      </c>
      <c r="G445" s="7" t="s">
        <v>1540</v>
      </c>
      <c r="H445" s="0" t="s">
        <v>1541</v>
      </c>
      <c r="I445" s="0" t="s">
        <v>701</v>
      </c>
      <c r="J445" s="0" t="s">
        <v>22</v>
      </c>
      <c r="K445" s="0" t="s">
        <v>110</v>
      </c>
      <c r="L445" s="0" t="str">
        <f aca="false">IFERROR(VLOOKUP(K445,'Supplier list'!B:C,2,0),"")</f>
        <v>บริษัท ที.พี.เค ไทยเมท แมชชีนทูลล์ จำกัด</v>
      </c>
      <c r="M445" s="1" t="n">
        <f aca="false">FALSE()</f>
        <v>0</v>
      </c>
      <c r="N445" s="2"/>
      <c r="O445" s="2" t="n">
        <v>168</v>
      </c>
    </row>
    <row r="446" customFormat="false" ht="16.4" hidden="false" customHeight="false" outlineLevel="0" collapsed="false">
      <c r="A446" s="0" t="s">
        <v>15</v>
      </c>
      <c r="B446" s="0" t="s">
        <v>1542</v>
      </c>
      <c r="C446" s="0" t="n">
        <v>114004</v>
      </c>
      <c r="D446" s="0" t="n">
        <v>114004</v>
      </c>
      <c r="E446" s="0" t="s">
        <v>1543</v>
      </c>
      <c r="F446" s="0" t="s">
        <v>18</v>
      </c>
      <c r="G446" s="7" t="s">
        <v>1544</v>
      </c>
      <c r="H446" s="0" t="s">
        <v>1543</v>
      </c>
      <c r="I446" s="0" t="s">
        <v>21</v>
      </c>
      <c r="J446" s="0" t="s">
        <v>22</v>
      </c>
      <c r="K446" s="0" t="s">
        <v>110</v>
      </c>
      <c r="L446" s="0" t="str">
        <f aca="false">IFERROR(VLOOKUP(K446,'Supplier list'!B:C,2,0),"")</f>
        <v>บริษัท ที.พี.เค ไทยเมท แมชชีนทูลล์ จำกัด</v>
      </c>
      <c r="M446" s="1" t="n">
        <f aca="false">FALSE()</f>
        <v>0</v>
      </c>
      <c r="N446" s="2"/>
      <c r="O446" s="2" t="n">
        <v>38</v>
      </c>
    </row>
    <row r="447" customFormat="false" ht="16.4" hidden="false" customHeight="false" outlineLevel="0" collapsed="false">
      <c r="A447" s="0" t="s">
        <v>15</v>
      </c>
      <c r="B447" s="0" t="s">
        <v>1545</v>
      </c>
      <c r="C447" s="0" t="n">
        <v>114004</v>
      </c>
      <c r="D447" s="0" t="n">
        <v>114004</v>
      </c>
      <c r="E447" s="0" t="s">
        <v>97</v>
      </c>
      <c r="F447" s="0" t="s">
        <v>18</v>
      </c>
      <c r="G447" s="7" t="s">
        <v>1546</v>
      </c>
      <c r="H447" s="0" t="s">
        <v>1547</v>
      </c>
      <c r="I447" s="0" t="s">
        <v>765</v>
      </c>
      <c r="J447" s="0" t="s">
        <v>22</v>
      </c>
      <c r="L447" s="0" t="str">
        <f aca="false">IFERROR(VLOOKUP(K447,'Supplier list'!B:C,2,0),"")</f>
        <v/>
      </c>
      <c r="M447" s="1" t="n">
        <f aca="false">FALSE()</f>
        <v>0</v>
      </c>
      <c r="N447" s="2"/>
      <c r="O447" s="2" t="n">
        <v>150</v>
      </c>
    </row>
    <row r="448" customFormat="false" ht="16.4" hidden="false" customHeight="false" outlineLevel="0" collapsed="false">
      <c r="A448" s="0" t="s">
        <v>15</v>
      </c>
      <c r="B448" s="0" t="s">
        <v>1548</v>
      </c>
      <c r="C448" s="0" t="n">
        <v>114004</v>
      </c>
      <c r="D448" s="0" t="n">
        <v>114004</v>
      </c>
      <c r="E448" s="0" t="s">
        <v>1014</v>
      </c>
      <c r="F448" s="0" t="s">
        <v>18</v>
      </c>
      <c r="G448" s="7" t="s">
        <v>1549</v>
      </c>
      <c r="H448" s="0" t="s">
        <v>1550</v>
      </c>
      <c r="I448" s="0" t="s">
        <v>21</v>
      </c>
      <c r="J448" s="0" t="s">
        <v>22</v>
      </c>
      <c r="K448" s="0" t="s">
        <v>110</v>
      </c>
      <c r="L448" s="0" t="str">
        <f aca="false">IFERROR(VLOOKUP(K448,'Supplier list'!B:C,2,0),"")</f>
        <v>บริษัท ที.พี.เค ไทยเมท แมชชีนทูลล์ จำกัด</v>
      </c>
      <c r="M448" s="1" t="n">
        <f aca="false">FALSE()</f>
        <v>0</v>
      </c>
      <c r="N448" s="2"/>
      <c r="O448" s="2" t="n">
        <v>20</v>
      </c>
    </row>
    <row r="449" customFormat="false" ht="16.4" hidden="false" customHeight="false" outlineLevel="0" collapsed="false">
      <c r="A449" s="0" t="s">
        <v>15</v>
      </c>
      <c r="B449" s="0" t="s">
        <v>1551</v>
      </c>
      <c r="C449" s="0" t="n">
        <v>114004</v>
      </c>
      <c r="D449" s="0" t="n">
        <v>114004</v>
      </c>
      <c r="E449" s="0" t="s">
        <v>1014</v>
      </c>
      <c r="F449" s="0" t="s">
        <v>18</v>
      </c>
      <c r="G449" s="7" t="s">
        <v>1552</v>
      </c>
      <c r="H449" s="0" t="s">
        <v>1553</v>
      </c>
      <c r="I449" s="0" t="s">
        <v>21</v>
      </c>
      <c r="J449" s="0" t="s">
        <v>22</v>
      </c>
      <c r="L449" s="0" t="str">
        <f aca="false">IFERROR(VLOOKUP(K449,'Supplier list'!B:C,2,0),"")</f>
        <v/>
      </c>
      <c r="M449" s="1" t="n">
        <f aca="false">FALSE()</f>
        <v>0</v>
      </c>
      <c r="N449" s="2"/>
      <c r="O449" s="2" t="n">
        <v>35</v>
      </c>
    </row>
    <row r="450" customFormat="false" ht="16.4" hidden="false" customHeight="false" outlineLevel="0" collapsed="false">
      <c r="A450" s="0" t="s">
        <v>15</v>
      </c>
      <c r="B450" s="0" t="s">
        <v>1554</v>
      </c>
      <c r="C450" s="0" t="n">
        <v>114004</v>
      </c>
      <c r="D450" s="0" t="n">
        <v>114004</v>
      </c>
      <c r="E450" s="0" t="s">
        <v>1014</v>
      </c>
      <c r="F450" s="0" t="s">
        <v>18</v>
      </c>
      <c r="G450" s="7" t="s">
        <v>1555</v>
      </c>
      <c r="H450" s="0" t="s">
        <v>1556</v>
      </c>
      <c r="I450" s="0" t="s">
        <v>21</v>
      </c>
      <c r="J450" s="0" t="s">
        <v>22</v>
      </c>
      <c r="K450" s="0" t="s">
        <v>68</v>
      </c>
      <c r="L450" s="0" t="str">
        <f aca="false">IFERROR(VLOOKUP(K450,'Supplier list'!B:C,2,0),"")</f>
        <v>หจก. กรีน ดิสทริบิวชั่น</v>
      </c>
      <c r="M450" s="1" t="n">
        <f aca="false">FALSE()</f>
        <v>0</v>
      </c>
      <c r="N450" s="2"/>
      <c r="O450" s="2" t="n">
        <v>48</v>
      </c>
    </row>
    <row r="451" customFormat="false" ht="16.4" hidden="false" customHeight="false" outlineLevel="0" collapsed="false">
      <c r="A451" s="0" t="s">
        <v>15</v>
      </c>
      <c r="B451" s="0" t="s">
        <v>1557</v>
      </c>
      <c r="C451" s="0" t="n">
        <v>114004</v>
      </c>
      <c r="D451" s="0" t="n">
        <v>114004</v>
      </c>
      <c r="E451" s="0" t="s">
        <v>1014</v>
      </c>
      <c r="F451" s="0" t="s">
        <v>18</v>
      </c>
      <c r="G451" s="7" t="s">
        <v>1558</v>
      </c>
      <c r="H451" s="0" t="s">
        <v>1559</v>
      </c>
      <c r="I451" s="0" t="s">
        <v>1032</v>
      </c>
      <c r="J451" s="0" t="s">
        <v>1033</v>
      </c>
      <c r="K451" s="0" t="s">
        <v>68</v>
      </c>
      <c r="L451" s="0" t="str">
        <f aca="false">IFERROR(VLOOKUP(K451,'Supplier list'!B:C,2,0),"")</f>
        <v>หจก. กรีน ดิสทริบิวชั่น</v>
      </c>
      <c r="M451" s="1" t="n">
        <f aca="false">FALSE()</f>
        <v>0</v>
      </c>
      <c r="N451" s="2"/>
      <c r="O451" s="2" t="n">
        <v>48</v>
      </c>
    </row>
    <row r="452" customFormat="false" ht="16.4" hidden="false" customHeight="false" outlineLevel="0" collapsed="false">
      <c r="A452" s="0" t="s">
        <v>15</v>
      </c>
      <c r="B452" s="0" t="s">
        <v>1560</v>
      </c>
      <c r="C452" s="0" t="n">
        <v>114004</v>
      </c>
      <c r="D452" s="0" t="n">
        <v>114004</v>
      </c>
      <c r="E452" s="0" t="s">
        <v>1014</v>
      </c>
      <c r="F452" s="0" t="s">
        <v>18</v>
      </c>
      <c r="G452" s="7" t="s">
        <v>1561</v>
      </c>
      <c r="H452" s="0" t="s">
        <v>1562</v>
      </c>
      <c r="I452" s="0" t="s">
        <v>21</v>
      </c>
      <c r="J452" s="0" t="s">
        <v>22</v>
      </c>
      <c r="K452" s="0" t="s">
        <v>68</v>
      </c>
      <c r="L452" s="0" t="str">
        <f aca="false">IFERROR(VLOOKUP(K452,'Supplier list'!B:C,2,0),"")</f>
        <v>หจก. กรีน ดิสทริบิวชั่น</v>
      </c>
      <c r="M452" s="1" t="n">
        <f aca="false">FALSE()</f>
        <v>0</v>
      </c>
      <c r="N452" s="2"/>
      <c r="O452" s="2" t="n">
        <v>48</v>
      </c>
    </row>
    <row r="453" customFormat="false" ht="16.4" hidden="false" customHeight="false" outlineLevel="0" collapsed="false">
      <c r="A453" s="0" t="s">
        <v>15</v>
      </c>
      <c r="B453" s="0" t="s">
        <v>1563</v>
      </c>
      <c r="C453" s="0" t="n">
        <v>114004</v>
      </c>
      <c r="D453" s="0" t="n">
        <v>114004</v>
      </c>
      <c r="E453" s="0" t="s">
        <v>1479</v>
      </c>
      <c r="F453" s="0" t="s">
        <v>18</v>
      </c>
      <c r="G453" s="7" t="s">
        <v>1564</v>
      </c>
      <c r="H453" s="0" t="s">
        <v>1565</v>
      </c>
      <c r="I453" s="0" t="s">
        <v>21</v>
      </c>
      <c r="J453" s="0" t="s">
        <v>22</v>
      </c>
      <c r="L453" s="0" t="str">
        <f aca="false">IFERROR(VLOOKUP(K453,'Supplier list'!B:C,2,0),"")</f>
        <v/>
      </c>
      <c r="M453" s="1" t="n">
        <f aca="false">FALSE()</f>
        <v>0</v>
      </c>
      <c r="N453" s="2"/>
      <c r="O453" s="2" t="n">
        <v>198</v>
      </c>
    </row>
    <row r="454" customFormat="false" ht="16.4" hidden="false" customHeight="false" outlineLevel="0" collapsed="false">
      <c r="A454" s="0" t="s">
        <v>15</v>
      </c>
      <c r="B454" s="0" t="s">
        <v>1566</v>
      </c>
      <c r="C454" s="0" t="n">
        <v>114004</v>
      </c>
      <c r="D454" s="0" t="n">
        <v>114004</v>
      </c>
      <c r="E454" s="0" t="s">
        <v>1479</v>
      </c>
      <c r="F454" s="0" t="s">
        <v>18</v>
      </c>
      <c r="G454" s="7" t="s">
        <v>1567</v>
      </c>
      <c r="H454" s="0" t="s">
        <v>1568</v>
      </c>
      <c r="I454" s="0" t="s">
        <v>21</v>
      </c>
      <c r="J454" s="0" t="s">
        <v>22</v>
      </c>
      <c r="L454" s="0" t="str">
        <f aca="false">IFERROR(VLOOKUP(K454,'Supplier list'!B:C,2,0),"")</f>
        <v/>
      </c>
      <c r="M454" s="1" t="n">
        <f aca="false">FALSE()</f>
        <v>0</v>
      </c>
      <c r="N454" s="2"/>
      <c r="O454" s="2" t="n">
        <v>228</v>
      </c>
    </row>
    <row r="455" customFormat="false" ht="16.4" hidden="false" customHeight="false" outlineLevel="0" collapsed="false">
      <c r="A455" s="0" t="s">
        <v>15</v>
      </c>
      <c r="B455" s="0" t="s">
        <v>1569</v>
      </c>
      <c r="C455" s="0" t="n">
        <v>114004</v>
      </c>
      <c r="D455" s="0" t="n">
        <v>114004</v>
      </c>
      <c r="E455" s="0" t="s">
        <v>1479</v>
      </c>
      <c r="F455" s="0" t="s">
        <v>18</v>
      </c>
      <c r="G455" s="7" t="s">
        <v>1570</v>
      </c>
      <c r="H455" s="0" t="s">
        <v>1571</v>
      </c>
      <c r="I455" s="0" t="s">
        <v>21</v>
      </c>
      <c r="J455" s="0" t="s">
        <v>22</v>
      </c>
      <c r="K455" s="0" t="s">
        <v>1572</v>
      </c>
      <c r="L455" s="0" t="str">
        <f aca="false">IFERROR(VLOOKUP(K455,'Supplier list'!B:C,2,0),"")</f>
        <v>บริษัท เอเชี่ยน ไซเอนติฟิค จำกัด</v>
      </c>
      <c r="M455" s="1" t="n">
        <f aca="false">FALSE()</f>
        <v>0</v>
      </c>
      <c r="N455" s="2"/>
      <c r="O455" s="2" t="n">
        <v>550</v>
      </c>
    </row>
    <row r="456" customFormat="false" ht="16.4" hidden="false" customHeight="false" outlineLevel="0" collapsed="false">
      <c r="A456" s="0" t="s">
        <v>15</v>
      </c>
      <c r="B456" s="0" t="s">
        <v>1573</v>
      </c>
      <c r="C456" s="0" t="n">
        <v>114004</v>
      </c>
      <c r="D456" s="0" t="n">
        <v>114004</v>
      </c>
      <c r="E456" s="0" t="s">
        <v>165</v>
      </c>
      <c r="F456" s="0" t="s">
        <v>18</v>
      </c>
      <c r="G456" s="7" t="s">
        <v>1574</v>
      </c>
      <c r="H456" s="0" t="s">
        <v>1575</v>
      </c>
      <c r="I456" s="0" t="s">
        <v>168</v>
      </c>
      <c r="J456" s="0" t="s">
        <v>169</v>
      </c>
      <c r="L456" s="0" t="str">
        <f aca="false">IFERROR(VLOOKUP(K456,'Supplier list'!B:C,2,0),"")</f>
        <v/>
      </c>
      <c r="M456" s="1" t="n">
        <f aca="false">FALSE()</f>
        <v>0</v>
      </c>
      <c r="N456" s="2"/>
      <c r="O456" s="2" t="n">
        <v>95</v>
      </c>
    </row>
    <row r="457" customFormat="false" ht="16.4" hidden="false" customHeight="false" outlineLevel="0" collapsed="false">
      <c r="A457" s="0" t="s">
        <v>15</v>
      </c>
      <c r="B457" s="0" t="s">
        <v>1576</v>
      </c>
      <c r="C457" s="0" t="n">
        <v>114004</v>
      </c>
      <c r="D457" s="0" t="n">
        <v>114004</v>
      </c>
      <c r="E457" s="0" t="s">
        <v>165</v>
      </c>
      <c r="F457" s="0" t="s">
        <v>18</v>
      </c>
      <c r="G457" s="7" t="s">
        <v>1577</v>
      </c>
      <c r="H457" s="0" t="s">
        <v>1578</v>
      </c>
      <c r="I457" s="0" t="s">
        <v>168</v>
      </c>
      <c r="J457" s="0" t="s">
        <v>169</v>
      </c>
      <c r="L457" s="0" t="str">
        <f aca="false">IFERROR(VLOOKUP(K457,'Supplier list'!B:C,2,0),"")</f>
        <v/>
      </c>
      <c r="M457" s="1" t="n">
        <f aca="false">FALSE()</f>
        <v>0</v>
      </c>
      <c r="N457" s="2"/>
      <c r="O457" s="2" t="n">
        <v>55</v>
      </c>
    </row>
    <row r="458" customFormat="false" ht="16.4" hidden="false" customHeight="false" outlineLevel="0" collapsed="false">
      <c r="A458" s="0" t="s">
        <v>15</v>
      </c>
      <c r="B458" s="0" t="s">
        <v>1579</v>
      </c>
      <c r="C458" s="0" t="n">
        <v>114004</v>
      </c>
      <c r="D458" s="0" t="n">
        <v>114004</v>
      </c>
      <c r="E458" s="0" t="s">
        <v>165</v>
      </c>
      <c r="F458" s="0" t="s">
        <v>18</v>
      </c>
      <c r="G458" s="7" t="s">
        <v>1580</v>
      </c>
      <c r="H458" s="0" t="s">
        <v>1581</v>
      </c>
      <c r="I458" s="0" t="s">
        <v>168</v>
      </c>
      <c r="J458" s="0" t="s">
        <v>169</v>
      </c>
      <c r="L458" s="0" t="str">
        <f aca="false">IFERROR(VLOOKUP(K458,'Supplier list'!B:C,2,0),"")</f>
        <v/>
      </c>
      <c r="M458" s="1" t="n">
        <f aca="false">FALSE()</f>
        <v>0</v>
      </c>
      <c r="N458" s="2"/>
      <c r="O458" s="2" t="n">
        <v>88</v>
      </c>
    </row>
    <row r="459" customFormat="false" ht="16.4" hidden="false" customHeight="false" outlineLevel="0" collapsed="false">
      <c r="A459" s="0" t="s">
        <v>15</v>
      </c>
      <c r="B459" s="0" t="s">
        <v>1582</v>
      </c>
      <c r="C459" s="0" t="n">
        <v>114004</v>
      </c>
      <c r="D459" s="0" t="n">
        <v>114004</v>
      </c>
      <c r="E459" s="0" t="s">
        <v>93</v>
      </c>
      <c r="F459" s="0" t="s">
        <v>18</v>
      </c>
      <c r="G459" s="7" t="s">
        <v>1583</v>
      </c>
      <c r="H459" s="0" t="s">
        <v>1584</v>
      </c>
      <c r="I459" s="0" t="s">
        <v>124</v>
      </c>
      <c r="J459" s="0" t="s">
        <v>125</v>
      </c>
      <c r="K459" s="0" t="s">
        <v>82</v>
      </c>
      <c r="L459" s="0" t="str">
        <f aca="false">IFERROR(VLOOKUP(K459,'Supplier list'!B:C,2,0),"")</f>
        <v>บริษัท เกรียงศิริพัฒนา (1995) จำกัด</v>
      </c>
      <c r="M459" s="1" t="n">
        <f aca="false">FALSE()</f>
        <v>0</v>
      </c>
      <c r="N459" s="2"/>
      <c r="O459" s="2" t="n">
        <v>80</v>
      </c>
    </row>
    <row r="460" customFormat="false" ht="16.4" hidden="false" customHeight="false" outlineLevel="0" collapsed="false">
      <c r="A460" s="0" t="s">
        <v>15</v>
      </c>
      <c r="B460" s="0" t="s">
        <v>1585</v>
      </c>
      <c r="C460" s="0" t="n">
        <v>114004</v>
      </c>
      <c r="D460" s="0" t="n">
        <v>114004</v>
      </c>
      <c r="E460" s="0" t="s">
        <v>97</v>
      </c>
      <c r="F460" s="0" t="s">
        <v>18</v>
      </c>
      <c r="G460" s="7" t="s">
        <v>1586</v>
      </c>
      <c r="H460" s="0" t="s">
        <v>1587</v>
      </c>
      <c r="I460" s="0" t="s">
        <v>21</v>
      </c>
      <c r="J460" s="0" t="s">
        <v>22</v>
      </c>
      <c r="L460" s="0" t="str">
        <f aca="false">IFERROR(VLOOKUP(K460,'Supplier list'!B:C,2,0),"")</f>
        <v/>
      </c>
      <c r="M460" s="1" t="n">
        <f aca="false">FALSE()</f>
        <v>0</v>
      </c>
      <c r="N460" s="2"/>
      <c r="O460" s="2" t="n">
        <v>173</v>
      </c>
    </row>
    <row r="461" customFormat="false" ht="16.4" hidden="false" customHeight="false" outlineLevel="0" collapsed="false">
      <c r="A461" s="0" t="s">
        <v>15</v>
      </c>
      <c r="B461" s="0" t="s">
        <v>1588</v>
      </c>
      <c r="C461" s="0" t="n">
        <v>114004</v>
      </c>
      <c r="D461" s="0" t="n">
        <v>114004</v>
      </c>
      <c r="E461" s="0" t="s">
        <v>197</v>
      </c>
      <c r="F461" s="0" t="s">
        <v>18</v>
      </c>
      <c r="G461" s="7" t="s">
        <v>1589</v>
      </c>
      <c r="H461" s="0" t="s">
        <v>1590</v>
      </c>
      <c r="I461" s="0" t="s">
        <v>21</v>
      </c>
      <c r="J461" s="0" t="s">
        <v>22</v>
      </c>
      <c r="L461" s="0" t="str">
        <f aca="false">IFERROR(VLOOKUP(K461,'Supplier list'!B:C,2,0),"")</f>
        <v/>
      </c>
      <c r="M461" s="1" t="n">
        <f aca="false">FALSE()</f>
        <v>0</v>
      </c>
      <c r="N461" s="2"/>
      <c r="O461" s="2" t="n">
        <v>549</v>
      </c>
    </row>
    <row r="462" customFormat="false" ht="16.4" hidden="false" customHeight="false" outlineLevel="0" collapsed="false">
      <c r="A462" s="0" t="s">
        <v>15</v>
      </c>
      <c r="B462" s="0" t="s">
        <v>1591</v>
      </c>
      <c r="C462" s="0" t="n">
        <v>114004</v>
      </c>
      <c r="D462" s="0" t="n">
        <v>114004</v>
      </c>
      <c r="E462" s="0" t="s">
        <v>659</v>
      </c>
      <c r="F462" s="0" t="s">
        <v>18</v>
      </c>
      <c r="G462" s="7" t="s">
        <v>1592</v>
      </c>
      <c r="H462" s="0" t="s">
        <v>830</v>
      </c>
      <c r="I462" s="0" t="s">
        <v>21</v>
      </c>
      <c r="J462" s="0" t="s">
        <v>22</v>
      </c>
      <c r="L462" s="0" t="str">
        <f aca="false">IFERROR(VLOOKUP(K462,'Supplier list'!B:C,2,0),"")</f>
        <v/>
      </c>
      <c r="M462" s="1" t="n">
        <f aca="false">FALSE()</f>
        <v>0</v>
      </c>
      <c r="N462" s="2"/>
      <c r="O462" s="2" t="n">
        <v>125</v>
      </c>
    </row>
    <row r="463" customFormat="false" ht="16.4" hidden="false" customHeight="false" outlineLevel="0" collapsed="false">
      <c r="A463" s="0" t="s">
        <v>15</v>
      </c>
      <c r="B463" s="0" t="s">
        <v>1593</v>
      </c>
      <c r="C463" s="0" t="n">
        <v>114004</v>
      </c>
      <c r="D463" s="0" t="n">
        <v>114004</v>
      </c>
      <c r="E463" s="0" t="s">
        <v>1479</v>
      </c>
      <c r="F463" s="0" t="s">
        <v>18</v>
      </c>
      <c r="G463" s="7" t="s">
        <v>1594</v>
      </c>
      <c r="H463" s="0" t="s">
        <v>1595</v>
      </c>
      <c r="I463" s="0" t="s">
        <v>21</v>
      </c>
      <c r="J463" s="0" t="s">
        <v>22</v>
      </c>
      <c r="L463" s="0" t="str">
        <f aca="false">IFERROR(VLOOKUP(K463,'Supplier list'!B:C,2,0),"")</f>
        <v/>
      </c>
      <c r="M463" s="1" t="n">
        <f aca="false">FALSE()</f>
        <v>0</v>
      </c>
      <c r="N463" s="2"/>
      <c r="O463" s="2" t="n">
        <v>196</v>
      </c>
    </row>
    <row r="464" customFormat="false" ht="16.4" hidden="false" customHeight="false" outlineLevel="0" collapsed="false">
      <c r="A464" s="0" t="s">
        <v>15</v>
      </c>
      <c r="B464" s="0" t="s">
        <v>1596</v>
      </c>
      <c r="C464" s="0" t="n">
        <v>114004</v>
      </c>
      <c r="D464" s="0" t="n">
        <v>114004</v>
      </c>
      <c r="E464" s="0" t="s">
        <v>1597</v>
      </c>
      <c r="F464" s="0" t="s">
        <v>18</v>
      </c>
      <c r="G464" s="7" t="s">
        <v>1598</v>
      </c>
      <c r="H464" s="0" t="s">
        <v>1599</v>
      </c>
      <c r="I464" s="0" t="s">
        <v>21</v>
      </c>
      <c r="J464" s="0" t="s">
        <v>22</v>
      </c>
      <c r="L464" s="0" t="str">
        <f aca="false">IFERROR(VLOOKUP(K464,'Supplier list'!B:C,2,0),"")</f>
        <v/>
      </c>
      <c r="M464" s="1" t="n">
        <f aca="false">FALSE()</f>
        <v>0</v>
      </c>
      <c r="N464" s="2"/>
      <c r="O464" s="2" t="n">
        <v>138</v>
      </c>
    </row>
    <row r="465" customFormat="false" ht="16.4" hidden="false" customHeight="false" outlineLevel="0" collapsed="false">
      <c r="A465" s="0" t="s">
        <v>15</v>
      </c>
      <c r="B465" s="0" t="s">
        <v>1600</v>
      </c>
      <c r="C465" s="0" t="n">
        <v>114001</v>
      </c>
      <c r="D465" s="0" t="n">
        <v>114001</v>
      </c>
      <c r="E465" s="0" t="s">
        <v>1601</v>
      </c>
      <c r="F465" s="0" t="s">
        <v>18</v>
      </c>
      <c r="G465" s="7" t="s">
        <v>1602</v>
      </c>
      <c r="H465" s="0" t="s">
        <v>1603</v>
      </c>
      <c r="I465" s="0" t="s">
        <v>21</v>
      </c>
      <c r="J465" s="0" t="s">
        <v>22</v>
      </c>
      <c r="L465" s="0" t="str">
        <f aca="false">IFERROR(VLOOKUP(K465,'Supplier list'!B:C,2,0),"")</f>
        <v/>
      </c>
      <c r="M465" s="1" t="n">
        <f aca="false">FALSE()</f>
        <v>0</v>
      </c>
      <c r="N465" s="2"/>
      <c r="O465" s="2" t="n">
        <v>0</v>
      </c>
    </row>
    <row r="466" customFormat="false" ht="16.4" hidden="false" customHeight="false" outlineLevel="0" collapsed="false">
      <c r="A466" s="0" t="s">
        <v>15</v>
      </c>
      <c r="B466" s="0" t="s">
        <v>1604</v>
      </c>
      <c r="C466" s="0" t="n">
        <v>114001</v>
      </c>
      <c r="D466" s="0" t="n">
        <v>114001</v>
      </c>
      <c r="E466" s="0" t="s">
        <v>1605</v>
      </c>
      <c r="F466" s="0" t="s">
        <v>18</v>
      </c>
      <c r="G466" s="7" t="s">
        <v>1606</v>
      </c>
      <c r="H466" s="0" t="s">
        <v>1607</v>
      </c>
      <c r="I466" s="0" t="s">
        <v>21</v>
      </c>
      <c r="J466" s="0" t="s">
        <v>22</v>
      </c>
      <c r="L466" s="0" t="str">
        <f aca="false">IFERROR(VLOOKUP(K466,'Supplier list'!B:C,2,0),"")</f>
        <v/>
      </c>
      <c r="M466" s="1" t="n">
        <f aca="false">FALSE()</f>
        <v>0</v>
      </c>
      <c r="N466" s="2"/>
      <c r="O466" s="2" t="n">
        <v>18</v>
      </c>
    </row>
    <row r="467" customFormat="false" ht="16.4" hidden="false" customHeight="false" outlineLevel="0" collapsed="false">
      <c r="A467" s="0" t="s">
        <v>15</v>
      </c>
      <c r="B467" s="0" t="s">
        <v>1608</v>
      </c>
      <c r="C467" s="0" t="n">
        <v>114001</v>
      </c>
      <c r="D467" s="0" t="n">
        <v>114001</v>
      </c>
      <c r="E467" s="0" t="s">
        <v>1454</v>
      </c>
      <c r="F467" s="0" t="s">
        <v>18</v>
      </c>
      <c r="G467" s="7" t="s">
        <v>1609</v>
      </c>
      <c r="H467" s="0" t="s">
        <v>1610</v>
      </c>
      <c r="I467" s="0" t="s">
        <v>21</v>
      </c>
      <c r="J467" s="0" t="s">
        <v>22</v>
      </c>
      <c r="K467" s="0" t="s">
        <v>787</v>
      </c>
      <c r="L467" s="0" t="str">
        <f aca="false">IFERROR(VLOOKUP(K467,'Supplier list'!B:C,2,0),"")</f>
        <v>บริษัท ฟิวเจอร์เทค อินเตอร์มาร์เก็ตติ้ง จำกัด</v>
      </c>
      <c r="M467" s="1" t="n">
        <f aca="false">FALSE()</f>
        <v>0</v>
      </c>
      <c r="N467" s="2"/>
      <c r="O467" s="2" t="n">
        <v>2.3</v>
      </c>
    </row>
    <row r="468" customFormat="false" ht="16.4" hidden="false" customHeight="false" outlineLevel="0" collapsed="false">
      <c r="A468" s="0" t="s">
        <v>15</v>
      </c>
      <c r="B468" s="0" t="s">
        <v>1611</v>
      </c>
      <c r="C468" s="0" t="n">
        <v>114001</v>
      </c>
      <c r="D468" s="0" t="n">
        <v>114001</v>
      </c>
      <c r="E468" s="0" t="s">
        <v>1612</v>
      </c>
      <c r="F468" s="0" t="s">
        <v>18</v>
      </c>
      <c r="G468" s="7" t="s">
        <v>1613</v>
      </c>
      <c r="H468" s="0" t="s">
        <v>1614</v>
      </c>
      <c r="I468" s="0" t="s">
        <v>21</v>
      </c>
      <c r="J468" s="0" t="s">
        <v>22</v>
      </c>
      <c r="L468" s="0" t="str">
        <f aca="false">IFERROR(VLOOKUP(K468,'Supplier list'!B:C,2,0),"")</f>
        <v/>
      </c>
      <c r="M468" s="1" t="n">
        <f aca="false">FALSE()</f>
        <v>0</v>
      </c>
      <c r="N468" s="2"/>
      <c r="O468" s="2" t="n">
        <v>57</v>
      </c>
    </row>
    <row r="469" customFormat="false" ht="16.4" hidden="false" customHeight="false" outlineLevel="0" collapsed="false">
      <c r="A469" s="0" t="s">
        <v>15</v>
      </c>
      <c r="B469" s="0" t="s">
        <v>1615</v>
      </c>
      <c r="C469" s="0" t="n">
        <v>114001</v>
      </c>
      <c r="D469" s="0" t="n">
        <v>114001</v>
      </c>
      <c r="E469" s="0" t="s">
        <v>1454</v>
      </c>
      <c r="F469" s="0" t="s">
        <v>18</v>
      </c>
      <c r="G469" s="7" t="s">
        <v>1616</v>
      </c>
      <c r="H469" s="0" t="s">
        <v>1617</v>
      </c>
      <c r="I469" s="0" t="s">
        <v>21</v>
      </c>
      <c r="J469" s="0" t="s">
        <v>22</v>
      </c>
      <c r="L469" s="0" t="str">
        <f aca="false">IFERROR(VLOOKUP(K469,'Supplier list'!B:C,2,0),"")</f>
        <v/>
      </c>
      <c r="M469" s="1" t="n">
        <f aca="false">FALSE()</f>
        <v>0</v>
      </c>
      <c r="N469" s="2"/>
      <c r="O469" s="2" t="n">
        <v>57</v>
      </c>
    </row>
    <row r="470" customFormat="false" ht="16.4" hidden="false" customHeight="false" outlineLevel="0" collapsed="false">
      <c r="A470" s="0" t="s">
        <v>15</v>
      </c>
      <c r="B470" s="0" t="s">
        <v>1618</v>
      </c>
      <c r="C470" s="0" t="n">
        <v>114001</v>
      </c>
      <c r="D470" s="0" t="n">
        <v>114001</v>
      </c>
      <c r="E470" s="0" t="s">
        <v>1605</v>
      </c>
      <c r="F470" s="0" t="s">
        <v>18</v>
      </c>
      <c r="G470" s="7" t="s">
        <v>1619</v>
      </c>
      <c r="H470" s="0" t="s">
        <v>1620</v>
      </c>
      <c r="I470" s="0" t="s">
        <v>124</v>
      </c>
      <c r="J470" s="0" t="s">
        <v>125</v>
      </c>
      <c r="K470" s="0" t="s">
        <v>89</v>
      </c>
      <c r="L470" s="0" t="str">
        <f aca="false">IFERROR(VLOOKUP(K470,'Supplier list'!B:C,2,0),"")</f>
        <v>บริษัท เฮเฟเล่ (ประเทศไทย) จำกัด</v>
      </c>
      <c r="M470" s="1" t="n">
        <f aca="false">FALSE()</f>
        <v>0</v>
      </c>
      <c r="N470" s="2"/>
      <c r="O470" s="2" t="n">
        <v>1795</v>
      </c>
    </row>
    <row r="471" customFormat="false" ht="16.4" hidden="false" customHeight="false" outlineLevel="0" collapsed="false">
      <c r="A471" s="0" t="s">
        <v>15</v>
      </c>
      <c r="B471" s="0" t="s">
        <v>1621</v>
      </c>
      <c r="C471" s="0" t="n">
        <v>114001</v>
      </c>
      <c r="D471" s="0" t="n">
        <v>114001</v>
      </c>
      <c r="E471" s="0" t="s">
        <v>1605</v>
      </c>
      <c r="F471" s="0" t="s">
        <v>18</v>
      </c>
      <c r="G471" s="7" t="s">
        <v>1622</v>
      </c>
      <c r="H471" s="0" t="s">
        <v>1623</v>
      </c>
      <c r="I471" s="0" t="s">
        <v>21</v>
      </c>
      <c r="J471" s="0" t="s">
        <v>22</v>
      </c>
      <c r="L471" s="0" t="str">
        <f aca="false">IFERROR(VLOOKUP(K471,'Supplier list'!B:C,2,0),"")</f>
        <v/>
      </c>
      <c r="M471" s="1" t="n">
        <f aca="false">FALSE()</f>
        <v>0</v>
      </c>
      <c r="N471" s="2"/>
      <c r="O471" s="2" t="n">
        <v>185</v>
      </c>
    </row>
    <row r="472" customFormat="false" ht="16.4" hidden="false" customHeight="false" outlineLevel="0" collapsed="false">
      <c r="A472" s="0" t="s">
        <v>15</v>
      </c>
      <c r="B472" s="0" t="s">
        <v>1624</v>
      </c>
      <c r="C472" s="0" t="n">
        <v>114001</v>
      </c>
      <c r="D472" s="0" t="n">
        <v>114001</v>
      </c>
      <c r="E472" s="0" t="s">
        <v>844</v>
      </c>
      <c r="F472" s="0" t="s">
        <v>18</v>
      </c>
      <c r="G472" s="7" t="s">
        <v>1625</v>
      </c>
      <c r="H472" s="0" t="s">
        <v>1626</v>
      </c>
      <c r="I472" s="0" t="s">
        <v>21</v>
      </c>
      <c r="J472" s="0" t="s">
        <v>22</v>
      </c>
      <c r="K472" s="0" t="s">
        <v>787</v>
      </c>
      <c r="L472" s="0" t="str">
        <f aca="false">IFERROR(VLOOKUP(K472,'Supplier list'!B:C,2,0),"")</f>
        <v>บริษัท ฟิวเจอร์เทค อินเตอร์มาร์เก็ตติ้ง จำกัด</v>
      </c>
      <c r="M472" s="1" t="n">
        <f aca="false">FALSE()</f>
        <v>0</v>
      </c>
      <c r="N472" s="2"/>
      <c r="O472" s="2" t="n">
        <v>0.9</v>
      </c>
    </row>
    <row r="473" customFormat="false" ht="16.4" hidden="false" customHeight="false" outlineLevel="0" collapsed="false">
      <c r="A473" s="0" t="s">
        <v>15</v>
      </c>
      <c r="B473" s="0" t="s">
        <v>1627</v>
      </c>
      <c r="C473" s="0" t="n">
        <v>114001</v>
      </c>
      <c r="D473" s="0" t="n">
        <v>114001</v>
      </c>
      <c r="E473" s="0" t="s">
        <v>1605</v>
      </c>
      <c r="F473" s="0" t="s">
        <v>18</v>
      </c>
      <c r="G473" s="7" t="s">
        <v>1628</v>
      </c>
      <c r="H473" s="0" t="s">
        <v>1629</v>
      </c>
      <c r="I473" s="0" t="s">
        <v>21</v>
      </c>
      <c r="J473" s="0" t="s">
        <v>22</v>
      </c>
      <c r="L473" s="0" t="str">
        <f aca="false">IFERROR(VLOOKUP(K473,'Supplier list'!B:C,2,0),"")</f>
        <v/>
      </c>
      <c r="M473" s="1" t="n">
        <f aca="false">FALSE()</f>
        <v>0</v>
      </c>
      <c r="N473" s="2"/>
      <c r="O473" s="2" t="n">
        <v>43</v>
      </c>
    </row>
    <row r="474" customFormat="false" ht="16.4" hidden="false" customHeight="false" outlineLevel="0" collapsed="false">
      <c r="A474" s="0" t="s">
        <v>15</v>
      </c>
      <c r="B474" s="0" t="s">
        <v>1630</v>
      </c>
      <c r="C474" s="0" t="n">
        <v>114001</v>
      </c>
      <c r="D474" s="0" t="n">
        <v>114001</v>
      </c>
      <c r="E474" s="0" t="s">
        <v>1605</v>
      </c>
      <c r="F474" s="0" t="s">
        <v>18</v>
      </c>
      <c r="G474" s="7" t="s">
        <v>1631</v>
      </c>
      <c r="H474" s="0" t="s">
        <v>1632</v>
      </c>
      <c r="I474" s="0" t="s">
        <v>21</v>
      </c>
      <c r="J474" s="0" t="s">
        <v>22</v>
      </c>
      <c r="L474" s="0" t="str">
        <f aca="false">IFERROR(VLOOKUP(K474,'Supplier list'!B:C,2,0),"")</f>
        <v/>
      </c>
      <c r="M474" s="1" t="n">
        <f aca="false">FALSE()</f>
        <v>0</v>
      </c>
      <c r="N474" s="2"/>
      <c r="O474" s="2" t="n">
        <v>25</v>
      </c>
    </row>
    <row r="475" customFormat="false" ht="16.4" hidden="false" customHeight="false" outlineLevel="0" collapsed="false">
      <c r="A475" s="0" t="s">
        <v>15</v>
      </c>
      <c r="B475" s="0" t="s">
        <v>1633</v>
      </c>
      <c r="C475" s="0" t="n">
        <v>114001</v>
      </c>
      <c r="D475" s="0" t="n">
        <v>114001</v>
      </c>
      <c r="E475" s="0" t="s">
        <v>1634</v>
      </c>
      <c r="F475" s="0" t="s">
        <v>18</v>
      </c>
      <c r="G475" s="7" t="s">
        <v>1635</v>
      </c>
      <c r="H475" s="0" t="s">
        <v>1636</v>
      </c>
      <c r="I475" s="0" t="s">
        <v>21</v>
      </c>
      <c r="J475" s="0" t="s">
        <v>22</v>
      </c>
      <c r="K475" s="0" t="s">
        <v>89</v>
      </c>
      <c r="L475" s="0" t="str">
        <f aca="false">IFERROR(VLOOKUP(K475,'Supplier list'!B:C,2,0),"")</f>
        <v>บริษัท เฮเฟเล่ (ประเทศไทย) จำกัด</v>
      </c>
      <c r="M475" s="1" t="n">
        <f aca="false">FALSE()</f>
        <v>0</v>
      </c>
      <c r="N475" s="2"/>
      <c r="O475" s="2" t="n">
        <v>1178</v>
      </c>
    </row>
    <row r="476" customFormat="false" ht="16.4" hidden="false" customHeight="false" outlineLevel="0" collapsed="false">
      <c r="A476" s="0" t="s">
        <v>15</v>
      </c>
      <c r="B476" s="0" t="s">
        <v>1637</v>
      </c>
      <c r="C476" s="0" t="n">
        <v>114001</v>
      </c>
      <c r="D476" s="0" t="n">
        <v>114001</v>
      </c>
      <c r="E476" s="0" t="s">
        <v>1605</v>
      </c>
      <c r="F476" s="0" t="s">
        <v>18</v>
      </c>
      <c r="G476" s="7" t="s">
        <v>1638</v>
      </c>
      <c r="H476" s="0" t="s">
        <v>1639</v>
      </c>
      <c r="I476" s="0" t="s">
        <v>21</v>
      </c>
      <c r="J476" s="0" t="s">
        <v>22</v>
      </c>
      <c r="K476" s="0" t="s">
        <v>787</v>
      </c>
      <c r="L476" s="0" t="str">
        <f aca="false">IFERROR(VLOOKUP(K476,'Supplier list'!B:C,2,0),"")</f>
        <v>บริษัท ฟิวเจอร์เทค อินเตอร์มาร์เก็ตติ้ง จำกัด</v>
      </c>
      <c r="M476" s="1" t="n">
        <f aca="false">FALSE()</f>
        <v>0</v>
      </c>
      <c r="N476" s="2"/>
      <c r="O476" s="2" t="n">
        <v>2.25</v>
      </c>
    </row>
    <row r="477" customFormat="false" ht="16.4" hidden="false" customHeight="false" outlineLevel="0" collapsed="false">
      <c r="A477" s="0" t="s">
        <v>15</v>
      </c>
      <c r="B477" s="0" t="s">
        <v>1640</v>
      </c>
      <c r="C477" s="0" t="n">
        <v>114001</v>
      </c>
      <c r="D477" s="0" t="n">
        <v>114001</v>
      </c>
      <c r="E477" s="0" t="s">
        <v>940</v>
      </c>
      <c r="F477" s="0" t="s">
        <v>18</v>
      </c>
      <c r="G477" s="7" t="s">
        <v>1641</v>
      </c>
      <c r="H477" s="0" t="s">
        <v>1642</v>
      </c>
      <c r="I477" s="0" t="s">
        <v>21</v>
      </c>
      <c r="J477" s="0" t="s">
        <v>22</v>
      </c>
      <c r="K477" s="0" t="s">
        <v>787</v>
      </c>
      <c r="L477" s="0" t="str">
        <f aca="false">IFERROR(VLOOKUP(K477,'Supplier list'!B:C,2,0),"")</f>
        <v>บริษัท ฟิวเจอร์เทค อินเตอร์มาร์เก็ตติ้ง จำกัด</v>
      </c>
      <c r="M477" s="1" t="n">
        <f aca="false">FALSE()</f>
        <v>0</v>
      </c>
      <c r="N477" s="2"/>
      <c r="O477" s="2" t="n">
        <v>0.21</v>
      </c>
    </row>
    <row r="478" customFormat="false" ht="16.4" hidden="false" customHeight="false" outlineLevel="0" collapsed="false">
      <c r="A478" s="0" t="s">
        <v>15</v>
      </c>
      <c r="B478" s="0" t="s">
        <v>1643</v>
      </c>
      <c r="C478" s="0" t="n">
        <v>114001</v>
      </c>
      <c r="D478" s="0" t="n">
        <v>114001</v>
      </c>
      <c r="E478" s="0" t="s">
        <v>940</v>
      </c>
      <c r="F478" s="0" t="s">
        <v>18</v>
      </c>
      <c r="G478" s="7" t="s">
        <v>1644</v>
      </c>
      <c r="H478" s="0" t="s">
        <v>1645</v>
      </c>
      <c r="I478" s="0" t="s">
        <v>21</v>
      </c>
      <c r="J478" s="0" t="s">
        <v>22</v>
      </c>
      <c r="K478" s="0" t="s">
        <v>787</v>
      </c>
      <c r="L478" s="0" t="str">
        <f aca="false">IFERROR(VLOOKUP(K478,'Supplier list'!B:C,2,0),"")</f>
        <v>บริษัท ฟิวเจอร์เทค อินเตอร์มาร์เก็ตติ้ง จำกัด</v>
      </c>
      <c r="M478" s="1" t="n">
        <f aca="false">FALSE()</f>
        <v>0</v>
      </c>
      <c r="N478" s="2"/>
      <c r="O478" s="2" t="n">
        <v>25</v>
      </c>
    </row>
    <row r="479" customFormat="false" ht="16.4" hidden="false" customHeight="false" outlineLevel="0" collapsed="false">
      <c r="A479" s="0" t="s">
        <v>15</v>
      </c>
      <c r="B479" s="0" t="s">
        <v>1646</v>
      </c>
      <c r="C479" s="0" t="n">
        <v>114001</v>
      </c>
      <c r="D479" s="0" t="n">
        <v>114001</v>
      </c>
      <c r="E479" s="0" t="s">
        <v>940</v>
      </c>
      <c r="F479" s="0" t="s">
        <v>18</v>
      </c>
      <c r="G479" s="7" t="s">
        <v>1647</v>
      </c>
      <c r="H479" s="0" t="s">
        <v>1648</v>
      </c>
      <c r="I479" s="0" t="s">
        <v>21</v>
      </c>
      <c r="J479" s="0" t="s">
        <v>22</v>
      </c>
      <c r="K479" s="0" t="s">
        <v>787</v>
      </c>
      <c r="L479" s="0" t="str">
        <f aca="false">IFERROR(VLOOKUP(K479,'Supplier list'!B:C,2,0),"")</f>
        <v>บริษัท ฟิวเจอร์เทค อินเตอร์มาร์เก็ตติ้ง จำกัด</v>
      </c>
      <c r="M479" s="1" t="n">
        <f aca="false">FALSE()</f>
        <v>0</v>
      </c>
      <c r="N479" s="2"/>
      <c r="O479" s="2" t="n">
        <v>0.21</v>
      </c>
    </row>
    <row r="480" customFormat="false" ht="16.4" hidden="false" customHeight="false" outlineLevel="0" collapsed="false">
      <c r="A480" s="0" t="s">
        <v>15</v>
      </c>
      <c r="B480" s="0" t="s">
        <v>1649</v>
      </c>
      <c r="C480" s="0" t="n">
        <v>114001</v>
      </c>
      <c r="D480" s="0" t="n">
        <v>114001</v>
      </c>
      <c r="E480" s="0" t="s">
        <v>940</v>
      </c>
      <c r="F480" s="0" t="s">
        <v>18</v>
      </c>
      <c r="G480" s="7" t="s">
        <v>1650</v>
      </c>
      <c r="H480" s="0" t="s">
        <v>1651</v>
      </c>
      <c r="I480" s="0" t="s">
        <v>21</v>
      </c>
      <c r="J480" s="0" t="s">
        <v>22</v>
      </c>
      <c r="K480" s="0" t="s">
        <v>787</v>
      </c>
      <c r="L480" s="0" t="str">
        <f aca="false">IFERROR(VLOOKUP(K480,'Supplier list'!B:C,2,0),"")</f>
        <v>บริษัท ฟิวเจอร์เทค อินเตอร์มาร์เก็ตติ้ง จำกัด</v>
      </c>
      <c r="M480" s="1" t="n">
        <f aca="false">FALSE()</f>
        <v>0</v>
      </c>
      <c r="N480" s="2"/>
      <c r="O480" s="2" t="n">
        <v>0.21</v>
      </c>
    </row>
    <row r="481" customFormat="false" ht="16.4" hidden="false" customHeight="false" outlineLevel="0" collapsed="false">
      <c r="A481" s="0" t="s">
        <v>15</v>
      </c>
      <c r="B481" s="0" t="s">
        <v>1652</v>
      </c>
      <c r="C481" s="0" t="n">
        <v>114001</v>
      </c>
      <c r="D481" s="0" t="n">
        <v>114001</v>
      </c>
      <c r="E481" s="0" t="s">
        <v>1653</v>
      </c>
      <c r="F481" s="0" t="s">
        <v>18</v>
      </c>
      <c r="G481" s="7" t="s">
        <v>1654</v>
      </c>
      <c r="H481" s="0" t="s">
        <v>1655</v>
      </c>
      <c r="I481" s="0" t="s">
        <v>21</v>
      </c>
      <c r="J481" s="0" t="s">
        <v>22</v>
      </c>
      <c r="L481" s="0" t="str">
        <f aca="false">IFERROR(VLOOKUP(K481,'Supplier list'!B:C,2,0),"")</f>
        <v/>
      </c>
      <c r="M481" s="1" t="n">
        <f aca="false">FALSE()</f>
        <v>0</v>
      </c>
      <c r="N481" s="2"/>
      <c r="O481" s="2" t="n">
        <v>0</v>
      </c>
    </row>
    <row r="482" customFormat="false" ht="16.4" hidden="false" customHeight="false" outlineLevel="0" collapsed="false">
      <c r="A482" s="0" t="s">
        <v>15</v>
      </c>
      <c r="B482" s="0" t="s">
        <v>1656</v>
      </c>
      <c r="C482" s="0" t="n">
        <v>114001</v>
      </c>
      <c r="D482" s="0" t="n">
        <v>114001</v>
      </c>
      <c r="E482" s="0" t="s">
        <v>1653</v>
      </c>
      <c r="F482" s="0" t="s">
        <v>18</v>
      </c>
      <c r="G482" s="7" t="s">
        <v>1657</v>
      </c>
      <c r="H482" s="0" t="s">
        <v>1658</v>
      </c>
      <c r="I482" s="0" t="s">
        <v>21</v>
      </c>
      <c r="J482" s="0" t="s">
        <v>22</v>
      </c>
      <c r="L482" s="0" t="str">
        <f aca="false">IFERROR(VLOOKUP(K482,'Supplier list'!B:C,2,0),"")</f>
        <v/>
      </c>
      <c r="M482" s="1" t="n">
        <f aca="false">FALSE()</f>
        <v>0</v>
      </c>
      <c r="N482" s="2"/>
      <c r="O482" s="2" t="n">
        <v>0</v>
      </c>
    </row>
    <row r="483" customFormat="false" ht="16.4" hidden="false" customHeight="false" outlineLevel="0" collapsed="false">
      <c r="A483" s="0" t="s">
        <v>15</v>
      </c>
      <c r="B483" s="0" t="s">
        <v>1659</v>
      </c>
      <c r="C483" s="0" t="n">
        <v>114001</v>
      </c>
      <c r="D483" s="0" t="n">
        <v>114001</v>
      </c>
      <c r="E483" s="0" t="s">
        <v>1605</v>
      </c>
      <c r="F483" s="0" t="s">
        <v>18</v>
      </c>
      <c r="G483" s="7" t="s">
        <v>1660</v>
      </c>
      <c r="H483" s="0" t="s">
        <v>1661</v>
      </c>
      <c r="I483" s="0" t="s">
        <v>21</v>
      </c>
      <c r="J483" s="0" t="s">
        <v>22</v>
      </c>
      <c r="K483" s="0" t="s">
        <v>787</v>
      </c>
      <c r="L483" s="0" t="str">
        <f aca="false">IFERROR(VLOOKUP(K483,'Supplier list'!B:C,2,0),"")</f>
        <v>บริษัท ฟิวเจอร์เทค อินเตอร์มาร์เก็ตติ้ง จำกัด</v>
      </c>
      <c r="M483" s="1" t="n">
        <f aca="false">FALSE()</f>
        <v>0</v>
      </c>
      <c r="N483" s="2"/>
      <c r="O483" s="2" t="n">
        <v>100</v>
      </c>
    </row>
    <row r="484" customFormat="false" ht="16.4" hidden="false" customHeight="false" outlineLevel="0" collapsed="false">
      <c r="A484" s="0" t="s">
        <v>15</v>
      </c>
      <c r="B484" s="0" t="s">
        <v>1662</v>
      </c>
      <c r="C484" s="0" t="n">
        <v>114001</v>
      </c>
      <c r="D484" s="0" t="n">
        <v>114001</v>
      </c>
      <c r="E484" s="0" t="s">
        <v>1605</v>
      </c>
      <c r="F484" s="0" t="s">
        <v>18</v>
      </c>
      <c r="G484" s="7" t="s">
        <v>1663</v>
      </c>
      <c r="H484" s="0" t="s">
        <v>1664</v>
      </c>
      <c r="I484" s="0" t="s">
        <v>21</v>
      </c>
      <c r="J484" s="0" t="s">
        <v>22</v>
      </c>
      <c r="K484" s="0" t="s">
        <v>787</v>
      </c>
      <c r="L484" s="0" t="str">
        <f aca="false">IFERROR(VLOOKUP(K484,'Supplier list'!B:C,2,0),"")</f>
        <v>บริษัท ฟิวเจอร์เทค อินเตอร์มาร์เก็ตติ้ง จำกัด</v>
      </c>
      <c r="M484" s="1" t="n">
        <f aca="false">FALSE()</f>
        <v>0</v>
      </c>
      <c r="N484" s="2"/>
      <c r="O484" s="2" t="n">
        <v>100</v>
      </c>
    </row>
    <row r="485" customFormat="false" ht="16.4" hidden="false" customHeight="false" outlineLevel="0" collapsed="false">
      <c r="A485" s="0" t="s">
        <v>15</v>
      </c>
      <c r="B485" s="0" t="s">
        <v>1665</v>
      </c>
      <c r="C485" s="0" t="n">
        <v>114001</v>
      </c>
      <c r="D485" s="0" t="n">
        <v>114001</v>
      </c>
      <c r="E485" s="0" t="s">
        <v>1605</v>
      </c>
      <c r="F485" s="0" t="s">
        <v>18</v>
      </c>
      <c r="G485" s="7" t="s">
        <v>1666</v>
      </c>
      <c r="H485" s="0" t="s">
        <v>1667</v>
      </c>
      <c r="I485" s="0" t="s">
        <v>21</v>
      </c>
      <c r="J485" s="0" t="s">
        <v>22</v>
      </c>
      <c r="K485" s="0" t="s">
        <v>89</v>
      </c>
      <c r="L485" s="0" t="str">
        <f aca="false">IFERROR(VLOOKUP(K485,'Supplier list'!B:C,2,0),"")</f>
        <v>บริษัท เฮเฟเล่ (ประเทศไทย) จำกัด</v>
      </c>
      <c r="M485" s="1" t="n">
        <f aca="false">FALSE()</f>
        <v>0</v>
      </c>
      <c r="N485" s="2"/>
      <c r="O485" s="2" t="n">
        <v>1</v>
      </c>
    </row>
    <row r="486" customFormat="false" ht="16.4" hidden="false" customHeight="false" outlineLevel="0" collapsed="false">
      <c r="A486" s="0" t="s">
        <v>15</v>
      </c>
      <c r="B486" s="0" t="s">
        <v>1668</v>
      </c>
      <c r="C486" s="0" t="n">
        <v>114001</v>
      </c>
      <c r="D486" s="0" t="n">
        <v>114001</v>
      </c>
      <c r="E486" s="0" t="s">
        <v>1605</v>
      </c>
      <c r="F486" s="0" t="s">
        <v>18</v>
      </c>
      <c r="G486" s="7" t="s">
        <v>1669</v>
      </c>
      <c r="H486" s="0" t="s">
        <v>1670</v>
      </c>
      <c r="I486" s="0" t="s">
        <v>21</v>
      </c>
      <c r="J486" s="0" t="s">
        <v>22</v>
      </c>
      <c r="K486" s="0" t="s">
        <v>89</v>
      </c>
      <c r="L486" s="0" t="str">
        <f aca="false">IFERROR(VLOOKUP(K486,'Supplier list'!B:C,2,0),"")</f>
        <v>บริษัท เฮเฟเล่ (ประเทศไทย) จำกัด</v>
      </c>
      <c r="M486" s="1" t="n">
        <f aca="false">FALSE()</f>
        <v>0</v>
      </c>
      <c r="N486" s="2"/>
      <c r="O486" s="2" t="n">
        <v>1</v>
      </c>
    </row>
    <row r="487" customFormat="false" ht="16.4" hidden="false" customHeight="false" outlineLevel="0" collapsed="false">
      <c r="A487" s="0" t="s">
        <v>15</v>
      </c>
      <c r="B487" s="0" t="s">
        <v>1671</v>
      </c>
      <c r="C487" s="0" t="n">
        <v>114001</v>
      </c>
      <c r="D487" s="0" t="n">
        <v>114001</v>
      </c>
      <c r="E487" s="0" t="s">
        <v>965</v>
      </c>
      <c r="F487" s="0" t="s">
        <v>18</v>
      </c>
      <c r="G487" s="7" t="s">
        <v>1672</v>
      </c>
      <c r="H487" s="0" t="s">
        <v>1673</v>
      </c>
      <c r="I487" s="0" t="s">
        <v>124</v>
      </c>
      <c r="J487" s="0" t="s">
        <v>125</v>
      </c>
      <c r="L487" s="0" t="str">
        <f aca="false">IFERROR(VLOOKUP(K487,'Supplier list'!B:C,2,0),"")</f>
        <v/>
      </c>
      <c r="M487" s="1" t="n">
        <f aca="false">FALSE()</f>
        <v>0</v>
      </c>
      <c r="N487" s="2"/>
      <c r="O487" s="2" t="n">
        <v>450</v>
      </c>
    </row>
    <row r="488" customFormat="false" ht="16.4" hidden="false" customHeight="false" outlineLevel="0" collapsed="false">
      <c r="A488" s="0" t="s">
        <v>15</v>
      </c>
      <c r="B488" s="0" t="s">
        <v>1674</v>
      </c>
      <c r="C488" s="0" t="n">
        <v>114001</v>
      </c>
      <c r="D488" s="0" t="n">
        <v>114001</v>
      </c>
      <c r="E488" s="0" t="s">
        <v>965</v>
      </c>
      <c r="F488" s="0" t="s">
        <v>18</v>
      </c>
      <c r="G488" s="7" t="s">
        <v>1675</v>
      </c>
      <c r="H488" s="0" t="s">
        <v>1676</v>
      </c>
      <c r="I488" s="0" t="s">
        <v>124</v>
      </c>
      <c r="J488" s="0" t="s">
        <v>125</v>
      </c>
      <c r="L488" s="0" t="str">
        <f aca="false">IFERROR(VLOOKUP(K488,'Supplier list'!B:C,2,0),"")</f>
        <v/>
      </c>
      <c r="M488" s="1" t="n">
        <f aca="false">FALSE()</f>
        <v>0</v>
      </c>
      <c r="N488" s="2"/>
      <c r="O488" s="2" t="n">
        <v>45</v>
      </c>
    </row>
    <row r="489" customFormat="false" ht="16.4" hidden="false" customHeight="false" outlineLevel="0" collapsed="false">
      <c r="A489" s="0" t="s">
        <v>15</v>
      </c>
      <c r="B489" s="0" t="s">
        <v>1677</v>
      </c>
      <c r="C489" s="0" t="n">
        <v>114001</v>
      </c>
      <c r="D489" s="0" t="n">
        <v>114001</v>
      </c>
      <c r="E489" s="0" t="s">
        <v>139</v>
      </c>
      <c r="F489" s="0" t="s">
        <v>18</v>
      </c>
      <c r="G489" s="7" t="s">
        <v>1678</v>
      </c>
      <c r="H489" s="0" t="s">
        <v>1679</v>
      </c>
      <c r="I489" s="0" t="s">
        <v>21</v>
      </c>
      <c r="J489" s="0" t="s">
        <v>22</v>
      </c>
      <c r="L489" s="0" t="str">
        <f aca="false">IFERROR(VLOOKUP(K489,'Supplier list'!B:C,2,0),"")</f>
        <v/>
      </c>
      <c r="M489" s="1" t="n">
        <f aca="false">FALSE()</f>
        <v>0</v>
      </c>
      <c r="N489" s="2"/>
      <c r="O489" s="2" t="n">
        <v>208</v>
      </c>
    </row>
    <row r="490" customFormat="false" ht="16.4" hidden="false" customHeight="false" outlineLevel="0" collapsed="false">
      <c r="A490" s="0" t="s">
        <v>15</v>
      </c>
      <c r="B490" s="0" t="s">
        <v>1680</v>
      </c>
      <c r="C490" s="0" t="n">
        <v>114001</v>
      </c>
      <c r="D490" s="0" t="n">
        <v>114001</v>
      </c>
      <c r="E490" s="0" t="s">
        <v>1605</v>
      </c>
      <c r="F490" s="0" t="s">
        <v>18</v>
      </c>
      <c r="G490" s="7" t="s">
        <v>1681</v>
      </c>
      <c r="H490" s="0" t="s">
        <v>1682</v>
      </c>
      <c r="I490" s="0" t="s">
        <v>21</v>
      </c>
      <c r="J490" s="0" t="s">
        <v>22</v>
      </c>
      <c r="K490" s="0" t="s">
        <v>89</v>
      </c>
      <c r="L490" s="0" t="str">
        <f aca="false">IFERROR(VLOOKUP(K490,'Supplier list'!B:C,2,0),"")</f>
        <v>บริษัท เฮเฟเล่ (ประเทศไทย) จำกัด</v>
      </c>
      <c r="M490" s="1" t="n">
        <f aca="false">FALSE()</f>
        <v>0</v>
      </c>
      <c r="N490" s="2"/>
      <c r="O490" s="2" t="n">
        <v>103</v>
      </c>
    </row>
    <row r="491" customFormat="false" ht="16.4" hidden="false" customHeight="false" outlineLevel="0" collapsed="false">
      <c r="A491" s="0" t="s">
        <v>15</v>
      </c>
      <c r="B491" s="0" t="s">
        <v>1683</v>
      </c>
      <c r="C491" s="0" t="n">
        <v>114001</v>
      </c>
      <c r="D491" s="0" t="n">
        <v>114001</v>
      </c>
      <c r="E491" s="0" t="s">
        <v>1684</v>
      </c>
      <c r="F491" s="0" t="s">
        <v>18</v>
      </c>
      <c r="G491" s="7" t="s">
        <v>1685</v>
      </c>
      <c r="H491" s="0" t="s">
        <v>1686</v>
      </c>
      <c r="I491" s="0" t="s">
        <v>248</v>
      </c>
      <c r="J491" s="0" t="s">
        <v>249</v>
      </c>
      <c r="K491" s="0" t="s">
        <v>89</v>
      </c>
      <c r="L491" s="0" t="str">
        <f aca="false">IFERROR(VLOOKUP(K491,'Supplier list'!B:C,2,0),"")</f>
        <v>บริษัท เฮเฟเล่ (ประเทศไทย) จำกัด</v>
      </c>
      <c r="M491" s="1" t="n">
        <f aca="false">FALSE()</f>
        <v>0</v>
      </c>
      <c r="N491" s="2"/>
      <c r="O491" s="2" t="n">
        <v>3477</v>
      </c>
    </row>
    <row r="492" customFormat="false" ht="16.4" hidden="false" customHeight="false" outlineLevel="0" collapsed="false">
      <c r="A492" s="0" t="s">
        <v>15</v>
      </c>
      <c r="B492" s="0" t="s">
        <v>1687</v>
      </c>
      <c r="C492" s="0" t="n">
        <v>114001</v>
      </c>
      <c r="D492" s="0" t="n">
        <v>114001</v>
      </c>
      <c r="E492" s="0" t="s">
        <v>1605</v>
      </c>
      <c r="F492" s="0" t="s">
        <v>18</v>
      </c>
      <c r="G492" s="7" t="s">
        <v>1688</v>
      </c>
      <c r="H492" s="0" t="s">
        <v>1689</v>
      </c>
      <c r="I492" s="0" t="s">
        <v>21</v>
      </c>
      <c r="J492" s="0" t="s">
        <v>22</v>
      </c>
      <c r="L492" s="0" t="str">
        <f aca="false">IFERROR(VLOOKUP(K492,'Supplier list'!B:C,2,0),"")</f>
        <v/>
      </c>
      <c r="M492" s="1" t="n">
        <f aca="false">FALSE()</f>
        <v>0</v>
      </c>
      <c r="N492" s="2"/>
      <c r="O492" s="2" t="n">
        <v>7990</v>
      </c>
    </row>
    <row r="493" customFormat="false" ht="16.4" hidden="false" customHeight="false" outlineLevel="0" collapsed="false">
      <c r="A493" s="0" t="s">
        <v>15</v>
      </c>
      <c r="B493" s="0" t="s">
        <v>1690</v>
      </c>
      <c r="C493" s="0" t="n">
        <v>114001</v>
      </c>
      <c r="D493" s="0" t="n">
        <v>114001</v>
      </c>
      <c r="E493" s="0" t="s">
        <v>1605</v>
      </c>
      <c r="F493" s="0" t="s">
        <v>18</v>
      </c>
      <c r="G493" s="7" t="s">
        <v>1691</v>
      </c>
      <c r="H493" s="0" t="s">
        <v>1692</v>
      </c>
      <c r="I493" s="0" t="s">
        <v>21</v>
      </c>
      <c r="J493" s="0" t="s">
        <v>22</v>
      </c>
      <c r="L493" s="0" t="str">
        <f aca="false">IFERROR(VLOOKUP(K493,'Supplier list'!B:C,2,0),"")</f>
        <v/>
      </c>
      <c r="M493" s="1" t="n">
        <f aca="false">FALSE()</f>
        <v>0</v>
      </c>
      <c r="N493" s="2"/>
      <c r="O493" s="2" t="n">
        <v>138</v>
      </c>
    </row>
    <row r="494" customFormat="false" ht="16.4" hidden="false" customHeight="false" outlineLevel="0" collapsed="false">
      <c r="A494" s="0" t="s">
        <v>15</v>
      </c>
      <c r="B494" s="0" t="s">
        <v>1693</v>
      </c>
      <c r="C494" s="0" t="n">
        <v>114001</v>
      </c>
      <c r="D494" s="0" t="n">
        <v>114001</v>
      </c>
      <c r="E494" s="0" t="s">
        <v>1605</v>
      </c>
      <c r="F494" s="0" t="s">
        <v>18</v>
      </c>
      <c r="G494" s="7" t="s">
        <v>1694</v>
      </c>
      <c r="H494" s="0" t="s">
        <v>1695</v>
      </c>
      <c r="I494" s="0" t="s">
        <v>1696</v>
      </c>
      <c r="J494" s="0" t="s">
        <v>1697</v>
      </c>
      <c r="K494" s="0" t="s">
        <v>56</v>
      </c>
      <c r="L494" s="0" t="str">
        <f aca="false">IFERROR(VLOOKUP(K494,'Supplier list'!B:C,2,0),"")</f>
        <v>CO.,LTD QINGDAO NEW LIBERTY INT'L TRADING CO.LTD.</v>
      </c>
      <c r="M494" s="1" t="n">
        <f aca="false">FALSE()</f>
        <v>0</v>
      </c>
      <c r="N494" s="2"/>
      <c r="O494" s="2" t="n">
        <v>63</v>
      </c>
    </row>
    <row r="495" customFormat="false" ht="16.4" hidden="false" customHeight="false" outlineLevel="0" collapsed="false">
      <c r="A495" s="0" t="s">
        <v>15</v>
      </c>
      <c r="B495" s="0" t="s">
        <v>1698</v>
      </c>
      <c r="C495" s="0" t="n">
        <v>114001</v>
      </c>
      <c r="D495" s="0" t="n">
        <v>114001</v>
      </c>
      <c r="E495" s="0" t="s">
        <v>1684</v>
      </c>
      <c r="F495" s="0" t="s">
        <v>18</v>
      </c>
      <c r="G495" s="7" t="s">
        <v>1699</v>
      </c>
      <c r="H495" s="0" t="s">
        <v>1700</v>
      </c>
      <c r="I495" s="0" t="s">
        <v>396</v>
      </c>
      <c r="J495" s="0" t="s">
        <v>397</v>
      </c>
      <c r="L495" s="0" t="str">
        <f aca="false">IFERROR(VLOOKUP(K495,'Supplier list'!B:C,2,0),"")</f>
        <v/>
      </c>
      <c r="M495" s="1" t="n">
        <f aca="false">FALSE()</f>
        <v>0</v>
      </c>
      <c r="N495" s="2"/>
      <c r="O495" s="2" t="n">
        <v>637</v>
      </c>
    </row>
    <row r="496" customFormat="false" ht="16.4" hidden="false" customHeight="false" outlineLevel="0" collapsed="false">
      <c r="A496" s="0" t="s">
        <v>15</v>
      </c>
      <c r="B496" s="0" t="s">
        <v>1701</v>
      </c>
      <c r="C496" s="0" t="n">
        <v>114001</v>
      </c>
      <c r="D496" s="0" t="n">
        <v>114001</v>
      </c>
      <c r="E496" s="0" t="s">
        <v>1684</v>
      </c>
      <c r="F496" s="0" t="s">
        <v>18</v>
      </c>
      <c r="G496" s="7" t="s">
        <v>1702</v>
      </c>
      <c r="H496" s="0" t="s">
        <v>1703</v>
      </c>
      <c r="I496" s="0" t="s">
        <v>396</v>
      </c>
      <c r="J496" s="0" t="s">
        <v>397</v>
      </c>
      <c r="K496" s="0" t="s">
        <v>89</v>
      </c>
      <c r="L496" s="0" t="str">
        <f aca="false">IFERROR(VLOOKUP(K496,'Supplier list'!B:C,2,0),"")</f>
        <v>บริษัท เฮเฟเล่ (ประเทศไทย) จำกัด</v>
      </c>
      <c r="M496" s="1" t="n">
        <f aca="false">FALSE()</f>
        <v>0</v>
      </c>
      <c r="N496" s="2"/>
      <c r="O496" s="2" t="n">
        <v>6309</v>
      </c>
    </row>
    <row r="497" customFormat="false" ht="16.4" hidden="false" customHeight="false" outlineLevel="0" collapsed="false">
      <c r="A497" s="0" t="s">
        <v>15</v>
      </c>
      <c r="B497" s="0" t="s">
        <v>1704</v>
      </c>
      <c r="C497" s="0" t="n">
        <v>114001</v>
      </c>
      <c r="D497" s="0" t="n">
        <v>114001</v>
      </c>
      <c r="E497" s="0" t="s">
        <v>1684</v>
      </c>
      <c r="F497" s="0" t="s">
        <v>18</v>
      </c>
      <c r="G497" s="7" t="s">
        <v>1705</v>
      </c>
      <c r="H497" s="0" t="s">
        <v>1706</v>
      </c>
      <c r="I497" s="0" t="s">
        <v>396</v>
      </c>
      <c r="J497" s="0" t="s">
        <v>397</v>
      </c>
      <c r="K497" s="0" t="s">
        <v>89</v>
      </c>
      <c r="L497" s="0" t="str">
        <f aca="false">IFERROR(VLOOKUP(K497,'Supplier list'!B:C,2,0),"")</f>
        <v>บริษัท เฮเฟเล่ (ประเทศไทย) จำกัด</v>
      </c>
      <c r="M497" s="1" t="n">
        <f aca="false">FALSE()</f>
        <v>0</v>
      </c>
      <c r="N497" s="2"/>
      <c r="O497" s="2" t="n">
        <v>6309</v>
      </c>
    </row>
    <row r="498" customFormat="false" ht="16.4" hidden="false" customHeight="false" outlineLevel="0" collapsed="false">
      <c r="A498" s="0" t="s">
        <v>15</v>
      </c>
      <c r="B498" s="0" t="s">
        <v>1707</v>
      </c>
      <c r="C498" s="0" t="n">
        <v>114001</v>
      </c>
      <c r="D498" s="0" t="n">
        <v>114001</v>
      </c>
      <c r="E498" s="0" t="s">
        <v>1653</v>
      </c>
      <c r="F498" s="0" t="s">
        <v>18</v>
      </c>
      <c r="G498" s="7" t="s">
        <v>1708</v>
      </c>
      <c r="H498" s="0" t="s">
        <v>1709</v>
      </c>
      <c r="I498" s="0" t="s">
        <v>142</v>
      </c>
      <c r="J498" s="0" t="s">
        <v>143</v>
      </c>
      <c r="L498" s="0" t="str">
        <f aca="false">IFERROR(VLOOKUP(K498,'Supplier list'!B:C,2,0),"")</f>
        <v/>
      </c>
      <c r="M498" s="1" t="n">
        <f aca="false">FALSE()</f>
        <v>0</v>
      </c>
      <c r="N498" s="2"/>
      <c r="O498" s="2" t="n">
        <v>189</v>
      </c>
    </row>
    <row r="499" customFormat="false" ht="16.4" hidden="false" customHeight="false" outlineLevel="0" collapsed="false">
      <c r="A499" s="0" t="s">
        <v>15</v>
      </c>
      <c r="B499" s="0" t="s">
        <v>1710</v>
      </c>
      <c r="C499" s="0" t="n">
        <v>114001</v>
      </c>
      <c r="D499" s="0" t="n">
        <v>114001</v>
      </c>
      <c r="E499" s="0" t="s">
        <v>1653</v>
      </c>
      <c r="F499" s="0" t="s">
        <v>18</v>
      </c>
      <c r="G499" s="7" t="s">
        <v>1711</v>
      </c>
      <c r="H499" s="0" t="s">
        <v>1712</v>
      </c>
      <c r="I499" s="0" t="s">
        <v>142</v>
      </c>
      <c r="J499" s="0" t="s">
        <v>143</v>
      </c>
      <c r="L499" s="0" t="str">
        <f aca="false">IFERROR(VLOOKUP(K499,'Supplier list'!B:C,2,0),"")</f>
        <v/>
      </c>
      <c r="M499" s="1" t="n">
        <f aca="false">FALSE()</f>
        <v>0</v>
      </c>
      <c r="N499" s="2"/>
      <c r="O499" s="2" t="n">
        <v>299</v>
      </c>
    </row>
    <row r="500" customFormat="false" ht="16.4" hidden="false" customHeight="false" outlineLevel="0" collapsed="false">
      <c r="A500" s="0" t="s">
        <v>15</v>
      </c>
      <c r="B500" s="0" t="s">
        <v>1713</v>
      </c>
      <c r="C500" s="0" t="n">
        <v>114001</v>
      </c>
      <c r="D500" s="0" t="n">
        <v>114001</v>
      </c>
      <c r="E500" s="0" t="s">
        <v>1653</v>
      </c>
      <c r="F500" s="0" t="s">
        <v>18</v>
      </c>
      <c r="G500" s="7" t="s">
        <v>1714</v>
      </c>
      <c r="H500" s="0" t="s">
        <v>1715</v>
      </c>
      <c r="I500" s="0" t="s">
        <v>142</v>
      </c>
      <c r="J500" s="0" t="s">
        <v>143</v>
      </c>
      <c r="L500" s="0" t="str">
        <f aca="false">IFERROR(VLOOKUP(K500,'Supplier list'!B:C,2,0),"")</f>
        <v/>
      </c>
      <c r="M500" s="1" t="n">
        <f aca="false">FALSE()</f>
        <v>0</v>
      </c>
      <c r="N500" s="2"/>
      <c r="O500" s="2" t="n">
        <v>400</v>
      </c>
    </row>
    <row r="501" customFormat="false" ht="16.4" hidden="false" customHeight="false" outlineLevel="0" collapsed="false">
      <c r="A501" s="0" t="s">
        <v>15</v>
      </c>
      <c r="B501" s="0" t="s">
        <v>1716</v>
      </c>
      <c r="C501" s="0" t="n">
        <v>114001</v>
      </c>
      <c r="D501" s="0" t="n">
        <v>114001</v>
      </c>
      <c r="E501" s="0" t="s">
        <v>1605</v>
      </c>
      <c r="F501" s="0" t="s">
        <v>18</v>
      </c>
      <c r="G501" s="7" t="s">
        <v>1717</v>
      </c>
      <c r="H501" s="0" t="s">
        <v>1718</v>
      </c>
      <c r="I501" s="0" t="s">
        <v>124</v>
      </c>
      <c r="J501" s="0" t="s">
        <v>125</v>
      </c>
      <c r="K501" s="0" t="s">
        <v>89</v>
      </c>
      <c r="L501" s="0" t="str">
        <f aca="false">IFERROR(VLOOKUP(K501,'Supplier list'!B:C,2,0),"")</f>
        <v>บริษัท เฮเฟเล่ (ประเทศไทย) จำกัด</v>
      </c>
      <c r="M501" s="1" t="n">
        <f aca="false">FALSE()</f>
        <v>0</v>
      </c>
      <c r="N501" s="2"/>
      <c r="O501" s="2" t="n">
        <v>4215</v>
      </c>
    </row>
    <row r="502" customFormat="false" ht="16.4" hidden="false" customHeight="false" outlineLevel="0" collapsed="false">
      <c r="A502" s="0" t="s">
        <v>15</v>
      </c>
      <c r="B502" s="0" t="s">
        <v>1719</v>
      </c>
      <c r="C502" s="0" t="n">
        <v>114001</v>
      </c>
      <c r="D502" s="0" t="n">
        <v>114001</v>
      </c>
      <c r="E502" s="0" t="s">
        <v>1605</v>
      </c>
      <c r="F502" s="0" t="s">
        <v>18</v>
      </c>
      <c r="G502" s="7" t="s">
        <v>1720</v>
      </c>
      <c r="H502" s="0" t="s">
        <v>1721</v>
      </c>
      <c r="I502" s="0" t="s">
        <v>124</v>
      </c>
      <c r="J502" s="0" t="s">
        <v>125</v>
      </c>
      <c r="L502" s="0" t="str">
        <f aca="false">IFERROR(VLOOKUP(K502,'Supplier list'!B:C,2,0),"")</f>
        <v/>
      </c>
      <c r="M502" s="1" t="n">
        <f aca="false">FALSE()</f>
        <v>0</v>
      </c>
      <c r="N502" s="2"/>
      <c r="O502" s="2" t="n">
        <v>2870</v>
      </c>
    </row>
    <row r="503" customFormat="false" ht="16.4" hidden="false" customHeight="false" outlineLevel="0" collapsed="false">
      <c r="A503" s="0" t="s">
        <v>15</v>
      </c>
      <c r="B503" s="0" t="s">
        <v>1722</v>
      </c>
      <c r="C503" s="0" t="n">
        <v>114001</v>
      </c>
      <c r="D503" s="0" t="n">
        <v>114001</v>
      </c>
      <c r="E503" s="0" t="s">
        <v>961</v>
      </c>
      <c r="F503" s="0" t="s">
        <v>18</v>
      </c>
      <c r="G503" s="7" t="s">
        <v>1723</v>
      </c>
      <c r="H503" s="0" t="s">
        <v>1724</v>
      </c>
      <c r="I503" s="0" t="s">
        <v>21</v>
      </c>
      <c r="J503" s="0" t="s">
        <v>22</v>
      </c>
      <c r="K503" s="0" t="s">
        <v>1725</v>
      </c>
      <c r="L503" s="0" t="str">
        <f aca="false">IFERROR(VLOOKUP(K503,'Supplier list'!B:C,2,0),"")</f>
        <v>บริษัท พรีซิชั่นไลน์ จำกัด</v>
      </c>
      <c r="M503" s="1" t="n">
        <f aca="false">FALSE()</f>
        <v>0</v>
      </c>
      <c r="N503" s="2"/>
      <c r="O503" s="2" t="n">
        <v>16</v>
      </c>
    </row>
    <row r="504" customFormat="false" ht="16.4" hidden="false" customHeight="false" outlineLevel="0" collapsed="false">
      <c r="A504" s="0" t="s">
        <v>15</v>
      </c>
      <c r="B504" s="0" t="s">
        <v>1726</v>
      </c>
      <c r="C504" s="0" t="n">
        <v>114001</v>
      </c>
      <c r="D504" s="0" t="n">
        <v>114001</v>
      </c>
      <c r="E504" s="0" t="s">
        <v>1727</v>
      </c>
      <c r="F504" s="0" t="s">
        <v>18</v>
      </c>
      <c r="G504" s="7" t="s">
        <v>1728</v>
      </c>
      <c r="H504" s="0" t="s">
        <v>1729</v>
      </c>
      <c r="I504" s="0" t="s">
        <v>701</v>
      </c>
      <c r="J504" s="0" t="s">
        <v>22</v>
      </c>
      <c r="K504" s="0" t="s">
        <v>787</v>
      </c>
      <c r="L504" s="0" t="str">
        <f aca="false">IFERROR(VLOOKUP(K504,'Supplier list'!B:C,2,0),"")</f>
        <v>บริษัท ฟิวเจอร์เทค อินเตอร์มาร์เก็ตติ้ง จำกัด</v>
      </c>
      <c r="M504" s="1" t="n">
        <f aca="false">FALSE()</f>
        <v>0</v>
      </c>
      <c r="N504" s="2"/>
      <c r="O504" s="2" t="n">
        <v>245</v>
      </c>
    </row>
    <row r="505" customFormat="false" ht="16.4" hidden="false" customHeight="false" outlineLevel="0" collapsed="false">
      <c r="A505" s="0" t="s">
        <v>15</v>
      </c>
      <c r="B505" s="0" t="s">
        <v>1730</v>
      </c>
      <c r="C505" s="0" t="n">
        <v>114001</v>
      </c>
      <c r="D505" s="0" t="n">
        <v>114001</v>
      </c>
      <c r="E505" s="0" t="s">
        <v>1727</v>
      </c>
      <c r="F505" s="0" t="s">
        <v>18</v>
      </c>
      <c r="G505" s="7" t="s">
        <v>1731</v>
      </c>
      <c r="H505" s="0" t="s">
        <v>1732</v>
      </c>
      <c r="I505" s="0" t="s">
        <v>701</v>
      </c>
      <c r="J505" s="0" t="s">
        <v>22</v>
      </c>
      <c r="K505" s="0" t="s">
        <v>787</v>
      </c>
      <c r="L505" s="0" t="str">
        <f aca="false">IFERROR(VLOOKUP(K505,'Supplier list'!B:C,2,0),"")</f>
        <v>บริษัท ฟิวเจอร์เทค อินเตอร์มาร์เก็ตติ้ง จำกัด</v>
      </c>
      <c r="M505" s="1" t="n">
        <f aca="false">FALSE()</f>
        <v>0</v>
      </c>
      <c r="N505" s="2"/>
      <c r="O505" s="2" t="n">
        <v>265</v>
      </c>
    </row>
    <row r="506" customFormat="false" ht="16.4" hidden="false" customHeight="false" outlineLevel="0" collapsed="false">
      <c r="A506" s="0" t="s">
        <v>15</v>
      </c>
      <c r="B506" s="0" t="s">
        <v>1733</v>
      </c>
      <c r="C506" s="0" t="n">
        <v>114001</v>
      </c>
      <c r="D506" s="0" t="n">
        <v>114001</v>
      </c>
      <c r="E506" s="0" t="s">
        <v>1734</v>
      </c>
      <c r="F506" s="0" t="s">
        <v>18</v>
      </c>
      <c r="G506" s="7" t="s">
        <v>1735</v>
      </c>
      <c r="H506" s="0" t="s">
        <v>1736</v>
      </c>
      <c r="I506" s="0" t="s">
        <v>21</v>
      </c>
      <c r="J506" s="0" t="s">
        <v>22</v>
      </c>
      <c r="K506" s="0" t="s">
        <v>89</v>
      </c>
      <c r="L506" s="0" t="str">
        <f aca="false">IFERROR(VLOOKUP(K506,'Supplier list'!B:C,2,0),"")</f>
        <v>บริษัท เฮเฟเล่ (ประเทศไทย) จำกัด</v>
      </c>
      <c r="M506" s="1" t="n">
        <f aca="false">FALSE()</f>
        <v>0</v>
      </c>
      <c r="N506" s="2"/>
      <c r="O506" s="2" t="n">
        <v>115</v>
      </c>
    </row>
    <row r="507" customFormat="false" ht="16.4" hidden="false" customHeight="false" outlineLevel="0" collapsed="false">
      <c r="A507" s="0" t="s">
        <v>15</v>
      </c>
      <c r="B507" s="0" t="s">
        <v>1737</v>
      </c>
      <c r="C507" s="0" t="n">
        <v>114001</v>
      </c>
      <c r="D507" s="0" t="n">
        <v>114001</v>
      </c>
      <c r="E507" s="0" t="s">
        <v>1727</v>
      </c>
      <c r="F507" s="0" t="s">
        <v>18</v>
      </c>
      <c r="G507" s="7" t="s">
        <v>1738</v>
      </c>
      <c r="H507" s="0" t="s">
        <v>1739</v>
      </c>
      <c r="I507" s="0" t="s">
        <v>701</v>
      </c>
      <c r="J507" s="0" t="s">
        <v>22</v>
      </c>
      <c r="K507" s="0" t="s">
        <v>787</v>
      </c>
      <c r="L507" s="0" t="str">
        <f aca="false">IFERROR(VLOOKUP(K507,'Supplier list'!B:C,2,0),"")</f>
        <v>บริษัท ฟิวเจอร์เทค อินเตอร์มาร์เก็ตติ้ง จำกัด</v>
      </c>
      <c r="M507" s="1" t="n">
        <f aca="false">TRUE()</f>
        <v>1</v>
      </c>
      <c r="N507" s="2" t="n">
        <v>890</v>
      </c>
      <c r="O507" s="2" t="n">
        <v>358</v>
      </c>
    </row>
    <row r="508" customFormat="false" ht="16.4" hidden="false" customHeight="false" outlineLevel="0" collapsed="false">
      <c r="A508" s="0" t="s">
        <v>15</v>
      </c>
      <c r="B508" s="0" t="s">
        <v>1741</v>
      </c>
      <c r="C508" s="0" t="n">
        <v>114001</v>
      </c>
      <c r="D508" s="0" t="n">
        <v>114001</v>
      </c>
      <c r="E508" s="0" t="s">
        <v>1727</v>
      </c>
      <c r="F508" s="0" t="s">
        <v>18</v>
      </c>
      <c r="G508" s="7" t="s">
        <v>1742</v>
      </c>
      <c r="H508" s="0" t="s">
        <v>1743</v>
      </c>
      <c r="I508" s="0" t="s">
        <v>701</v>
      </c>
      <c r="J508" s="0" t="s">
        <v>22</v>
      </c>
      <c r="K508" s="0" t="s">
        <v>787</v>
      </c>
      <c r="L508" s="0" t="str">
        <f aca="false">IFERROR(VLOOKUP(K508,'Supplier list'!B:C,2,0),"")</f>
        <v>บริษัท ฟิวเจอร์เทค อินเตอร์มาร์เก็ตติ้ง จำกัด</v>
      </c>
      <c r="M508" s="1" t="n">
        <f aca="false">TRUE()</f>
        <v>1</v>
      </c>
      <c r="N508" s="2" t="n">
        <v>690</v>
      </c>
      <c r="O508" s="2" t="n">
        <v>260</v>
      </c>
    </row>
    <row r="509" customFormat="false" ht="16.4" hidden="false" customHeight="false" outlineLevel="0" collapsed="false">
      <c r="A509" s="0" t="s">
        <v>15</v>
      </c>
      <c r="B509" s="0" t="s">
        <v>1744</v>
      </c>
      <c r="C509" s="0" t="n">
        <v>114001</v>
      </c>
      <c r="D509" s="0" t="n">
        <v>114001</v>
      </c>
      <c r="E509" s="0" t="s">
        <v>1727</v>
      </c>
      <c r="F509" s="0" t="s">
        <v>18</v>
      </c>
      <c r="G509" s="7" t="s">
        <v>1745</v>
      </c>
      <c r="H509" s="0" t="s">
        <v>1746</v>
      </c>
      <c r="I509" s="0" t="s">
        <v>701</v>
      </c>
      <c r="J509" s="0" t="s">
        <v>22</v>
      </c>
      <c r="K509" s="0" t="s">
        <v>787</v>
      </c>
      <c r="L509" s="0" t="str">
        <f aca="false">IFERROR(VLOOKUP(K509,'Supplier list'!B:C,2,0),"")</f>
        <v>บริษัท ฟิวเจอร์เทค อินเตอร์มาร์เก็ตติ้ง จำกัด</v>
      </c>
      <c r="M509" s="1" t="n">
        <f aca="false">TRUE()</f>
        <v>1</v>
      </c>
      <c r="N509" s="2" t="n">
        <v>990</v>
      </c>
      <c r="O509" s="2" t="n">
        <v>423</v>
      </c>
    </row>
    <row r="510" customFormat="false" ht="16.4" hidden="false" customHeight="false" outlineLevel="0" collapsed="false">
      <c r="A510" s="0" t="s">
        <v>15</v>
      </c>
      <c r="B510" s="0" t="s">
        <v>1747</v>
      </c>
      <c r="C510" s="0" t="n">
        <v>114001</v>
      </c>
      <c r="D510" s="0" t="n">
        <v>114001</v>
      </c>
      <c r="E510" s="0" t="s">
        <v>1653</v>
      </c>
      <c r="F510" s="0" t="s">
        <v>18</v>
      </c>
      <c r="G510" s="7" t="s">
        <v>1748</v>
      </c>
      <c r="H510" s="0" t="s">
        <v>1749</v>
      </c>
      <c r="I510" s="0" t="s">
        <v>21</v>
      </c>
      <c r="J510" s="0" t="s">
        <v>22</v>
      </c>
      <c r="L510" s="0" t="str">
        <f aca="false">IFERROR(VLOOKUP(K510,'Supplier list'!B:C,2,0),"")</f>
        <v/>
      </c>
      <c r="M510" s="1" t="n">
        <f aca="false">FALSE()</f>
        <v>0</v>
      </c>
      <c r="N510" s="2"/>
      <c r="O510" s="2" t="n">
        <v>460</v>
      </c>
    </row>
    <row r="511" customFormat="false" ht="16.4" hidden="false" customHeight="false" outlineLevel="0" collapsed="false">
      <c r="A511" s="0" t="s">
        <v>15</v>
      </c>
      <c r="B511" s="0" t="s">
        <v>1750</v>
      </c>
      <c r="C511" s="0" t="n">
        <v>114001</v>
      </c>
      <c r="D511" s="0" t="n">
        <v>114001</v>
      </c>
      <c r="E511" s="0" t="s">
        <v>1653</v>
      </c>
      <c r="F511" s="0" t="s">
        <v>18</v>
      </c>
      <c r="G511" s="7" t="s">
        <v>1751</v>
      </c>
      <c r="H511" s="0" t="s">
        <v>1752</v>
      </c>
      <c r="I511" s="0" t="s">
        <v>21</v>
      </c>
      <c r="J511" s="0" t="s">
        <v>22</v>
      </c>
      <c r="K511" s="0" t="s">
        <v>1753</v>
      </c>
      <c r="L511" s="0" t="str">
        <f aca="false">IFERROR(VLOOKUP(K511,'Supplier list'!B:C,2,0),"")</f>
        <v>บริษัท ไอ.โอ.ดีไซน์ แอนด์ โฮม จำกัด</v>
      </c>
      <c r="M511" s="1" t="n">
        <f aca="false">FALSE()</f>
        <v>0</v>
      </c>
      <c r="N511" s="2"/>
      <c r="O511" s="2" t="n">
        <v>560</v>
      </c>
    </row>
    <row r="512" customFormat="false" ht="16.4" hidden="false" customHeight="false" outlineLevel="0" collapsed="false">
      <c r="A512" s="0" t="s">
        <v>15</v>
      </c>
      <c r="B512" s="0" t="s">
        <v>1754</v>
      </c>
      <c r="C512" s="0" t="n">
        <v>114001</v>
      </c>
      <c r="D512" s="0" t="n">
        <v>114001</v>
      </c>
      <c r="E512" s="0" t="s">
        <v>1653</v>
      </c>
      <c r="F512" s="0" t="s">
        <v>18</v>
      </c>
      <c r="G512" s="7" t="s">
        <v>1755</v>
      </c>
      <c r="H512" s="0" t="s">
        <v>1756</v>
      </c>
      <c r="I512" s="0" t="s">
        <v>21</v>
      </c>
      <c r="J512" s="0" t="s">
        <v>22</v>
      </c>
      <c r="K512" s="0" t="s">
        <v>1753</v>
      </c>
      <c r="L512" s="0" t="str">
        <f aca="false">IFERROR(VLOOKUP(K512,'Supplier list'!B:C,2,0),"")</f>
        <v>บริษัท ไอ.โอ.ดีไซน์ แอนด์ โฮม จำกัด</v>
      </c>
      <c r="M512" s="1" t="n">
        <f aca="false">FALSE()</f>
        <v>0</v>
      </c>
      <c r="N512" s="2"/>
      <c r="O512" s="2" t="n">
        <v>620</v>
      </c>
    </row>
    <row r="513" customFormat="false" ht="16.4" hidden="false" customHeight="false" outlineLevel="0" collapsed="false">
      <c r="A513" s="0" t="s">
        <v>15</v>
      </c>
      <c r="B513" s="0" t="s">
        <v>1757</v>
      </c>
      <c r="C513" s="0" t="n">
        <v>114001</v>
      </c>
      <c r="D513" s="0" t="n">
        <v>114001</v>
      </c>
      <c r="E513" s="0" t="s">
        <v>1605</v>
      </c>
      <c r="F513" s="0" t="s">
        <v>18</v>
      </c>
      <c r="G513" s="7" t="s">
        <v>1758</v>
      </c>
      <c r="H513" s="0" t="s">
        <v>1759</v>
      </c>
      <c r="I513" s="0" t="s">
        <v>21</v>
      </c>
      <c r="J513" s="0" t="s">
        <v>22</v>
      </c>
      <c r="K513" s="0" t="s">
        <v>89</v>
      </c>
      <c r="L513" s="0" t="str">
        <f aca="false">IFERROR(VLOOKUP(K513,'Supplier list'!B:C,2,0),"")</f>
        <v>บริษัท เฮเฟเล่ (ประเทศไทย) จำกัด</v>
      </c>
      <c r="M513" s="1" t="n">
        <f aca="false">FALSE()</f>
        <v>0</v>
      </c>
      <c r="N513" s="2"/>
      <c r="O513" s="2" t="n">
        <v>991</v>
      </c>
    </row>
    <row r="514" customFormat="false" ht="16.4" hidden="false" customHeight="false" outlineLevel="0" collapsed="false">
      <c r="A514" s="0" t="s">
        <v>15</v>
      </c>
      <c r="B514" s="0" t="s">
        <v>1760</v>
      </c>
      <c r="C514" s="0" t="n">
        <v>114001</v>
      </c>
      <c r="D514" s="0" t="n">
        <v>114001</v>
      </c>
      <c r="E514" s="0" t="s">
        <v>1605</v>
      </c>
      <c r="F514" s="0" t="s">
        <v>18</v>
      </c>
      <c r="G514" s="7" t="s">
        <v>1761</v>
      </c>
      <c r="H514" s="0" t="s">
        <v>1762</v>
      </c>
      <c r="I514" s="0" t="s">
        <v>21</v>
      </c>
      <c r="J514" s="0" t="s">
        <v>22</v>
      </c>
      <c r="K514" s="0" t="s">
        <v>89</v>
      </c>
      <c r="L514" s="0" t="str">
        <f aca="false">IFERROR(VLOOKUP(K514,'Supplier list'!B:C,2,0),"")</f>
        <v>บริษัท เฮเฟเล่ (ประเทศไทย) จำกัด</v>
      </c>
      <c r="M514" s="1" t="n">
        <f aca="false">FALSE()</f>
        <v>0</v>
      </c>
      <c r="N514" s="2"/>
      <c r="O514" s="2" t="n">
        <v>3</v>
      </c>
    </row>
    <row r="515" customFormat="false" ht="16.4" hidden="false" customHeight="false" outlineLevel="0" collapsed="false">
      <c r="A515" s="0" t="s">
        <v>15</v>
      </c>
      <c r="B515" s="0" t="s">
        <v>1763</v>
      </c>
      <c r="C515" s="0" t="n">
        <v>114001</v>
      </c>
      <c r="D515" s="0" t="n">
        <v>114001</v>
      </c>
      <c r="E515" s="0" t="s">
        <v>1764</v>
      </c>
      <c r="F515" s="0" t="s">
        <v>18</v>
      </c>
      <c r="G515" s="7" t="s">
        <v>1765</v>
      </c>
      <c r="H515" s="0" t="s">
        <v>1766</v>
      </c>
      <c r="I515" s="0" t="s">
        <v>21</v>
      </c>
      <c r="J515" s="0" t="s">
        <v>22</v>
      </c>
      <c r="K515" s="0" t="s">
        <v>89</v>
      </c>
      <c r="L515" s="0" t="str">
        <f aca="false">IFERROR(VLOOKUP(K515,'Supplier list'!B:C,2,0),"")</f>
        <v>บริษัท เฮเฟเล่ (ประเทศไทย) จำกัด</v>
      </c>
      <c r="M515" s="1" t="n">
        <f aca="false">FALSE()</f>
        <v>0</v>
      </c>
      <c r="N515" s="2"/>
      <c r="O515" s="2" t="n">
        <v>599</v>
      </c>
    </row>
    <row r="516" customFormat="false" ht="16.4" hidden="false" customHeight="false" outlineLevel="0" collapsed="false">
      <c r="A516" s="0" t="s">
        <v>15</v>
      </c>
      <c r="B516" s="0" t="s">
        <v>1767</v>
      </c>
      <c r="C516" s="0" t="n">
        <v>114001</v>
      </c>
      <c r="D516" s="0" t="n">
        <v>114001</v>
      </c>
      <c r="E516" s="0" t="s">
        <v>1605</v>
      </c>
      <c r="F516" s="0" t="s">
        <v>18</v>
      </c>
      <c r="G516" s="7" t="s">
        <v>1768</v>
      </c>
      <c r="H516" s="0" t="s">
        <v>1769</v>
      </c>
      <c r="I516" s="0" t="s">
        <v>21</v>
      </c>
      <c r="J516" s="0" t="s">
        <v>22</v>
      </c>
      <c r="K516" s="0" t="s">
        <v>89</v>
      </c>
      <c r="L516" s="0" t="str">
        <f aca="false">IFERROR(VLOOKUP(K516,'Supplier list'!B:C,2,0),"")</f>
        <v>บริษัท เฮเฟเล่ (ประเทศไทย) จำกัด</v>
      </c>
      <c r="M516" s="1" t="n">
        <f aca="false">FALSE()</f>
        <v>0</v>
      </c>
      <c r="N516" s="2"/>
      <c r="O516" s="2" t="n">
        <v>1150</v>
      </c>
    </row>
    <row r="517" customFormat="false" ht="16.4" hidden="false" customHeight="false" outlineLevel="0" collapsed="false">
      <c r="A517" s="0" t="s">
        <v>15</v>
      </c>
      <c r="B517" s="0" t="s">
        <v>1770</v>
      </c>
      <c r="C517" s="0" t="n">
        <v>114001</v>
      </c>
      <c r="D517" s="0" t="n">
        <v>114001</v>
      </c>
      <c r="E517" s="0" t="s">
        <v>197</v>
      </c>
      <c r="F517" s="0" t="s">
        <v>18</v>
      </c>
      <c r="G517" s="7" t="s">
        <v>1771</v>
      </c>
      <c r="H517" s="0" t="s">
        <v>1772</v>
      </c>
      <c r="I517" s="0" t="s">
        <v>21</v>
      </c>
      <c r="J517" s="0" t="s">
        <v>22</v>
      </c>
      <c r="K517" s="0" t="s">
        <v>68</v>
      </c>
      <c r="L517" s="0" t="str">
        <f aca="false">IFERROR(VLOOKUP(K517,'Supplier list'!B:C,2,0),"")</f>
        <v>หจก. กรีน ดิสทริบิวชั่น</v>
      </c>
      <c r="M517" s="1" t="n">
        <f aca="false">TRUE()</f>
        <v>1</v>
      </c>
      <c r="N517" s="2" t="n">
        <v>8500</v>
      </c>
      <c r="O517" s="2" t="n">
        <v>70</v>
      </c>
    </row>
    <row r="518" customFormat="false" ht="16.4" hidden="false" customHeight="false" outlineLevel="0" collapsed="false">
      <c r="A518" s="0" t="s">
        <v>15</v>
      </c>
      <c r="B518" s="0" t="s">
        <v>1773</v>
      </c>
      <c r="C518" s="0" t="n">
        <v>114001</v>
      </c>
      <c r="D518" s="0" t="n">
        <v>114001</v>
      </c>
      <c r="E518" s="0" t="s">
        <v>121</v>
      </c>
      <c r="F518" s="0" t="s">
        <v>18</v>
      </c>
      <c r="G518" s="7" t="s">
        <v>1774</v>
      </c>
      <c r="H518" s="0" t="s">
        <v>1775</v>
      </c>
      <c r="I518" s="0" t="s">
        <v>142</v>
      </c>
      <c r="J518" s="0" t="s">
        <v>143</v>
      </c>
      <c r="K518" s="0" t="s">
        <v>75</v>
      </c>
      <c r="L518" s="0" t="str">
        <f aca="false">IFERROR(VLOOKUP(K518,'Supplier list'!B:C,2,0),"")</f>
        <v/>
      </c>
      <c r="M518" s="1" t="n">
        <f aca="false">FALSE()</f>
        <v>0</v>
      </c>
      <c r="N518" s="2"/>
      <c r="O518" s="2" t="n">
        <v>280</v>
      </c>
    </row>
    <row r="519" customFormat="false" ht="16.4" hidden="false" customHeight="false" outlineLevel="0" collapsed="false">
      <c r="A519" s="0" t="s">
        <v>15</v>
      </c>
      <c r="B519" s="0" t="s">
        <v>1776</v>
      </c>
      <c r="C519" s="0" t="n">
        <v>114001</v>
      </c>
      <c r="D519" s="0" t="n">
        <v>114001</v>
      </c>
      <c r="E519" s="0" t="s">
        <v>581</v>
      </c>
      <c r="F519" s="0" t="s">
        <v>18</v>
      </c>
      <c r="G519" s="7" t="s">
        <v>1777</v>
      </c>
      <c r="H519" s="0" t="s">
        <v>1778</v>
      </c>
      <c r="I519" s="0" t="s">
        <v>21</v>
      </c>
      <c r="J519" s="0" t="s">
        <v>22</v>
      </c>
      <c r="K519" s="0" t="s">
        <v>68</v>
      </c>
      <c r="L519" s="0" t="str">
        <f aca="false">IFERROR(VLOOKUP(K519,'Supplier list'!B:C,2,0),"")</f>
        <v>หจก. กรีน ดิสทริบิวชั่น</v>
      </c>
      <c r="M519" s="1" t="n">
        <f aca="false">FALSE()</f>
        <v>0</v>
      </c>
      <c r="N519" s="2"/>
      <c r="O519" s="2" t="n">
        <v>15</v>
      </c>
    </row>
    <row r="520" customFormat="false" ht="16.4" hidden="false" customHeight="false" outlineLevel="0" collapsed="false">
      <c r="A520" s="0" t="s">
        <v>15</v>
      </c>
      <c r="B520" s="0" t="s">
        <v>1779</v>
      </c>
      <c r="C520" s="0" t="n">
        <v>114001</v>
      </c>
      <c r="D520" s="0" t="n">
        <v>114001</v>
      </c>
      <c r="E520" s="0" t="s">
        <v>874</v>
      </c>
      <c r="F520" s="0" t="s">
        <v>18</v>
      </c>
      <c r="G520" s="7" t="s">
        <v>1780</v>
      </c>
      <c r="H520" s="0" t="s">
        <v>1781</v>
      </c>
      <c r="I520" s="0" t="s">
        <v>21</v>
      </c>
      <c r="J520" s="0" t="s">
        <v>22</v>
      </c>
      <c r="K520" s="0" t="s">
        <v>68</v>
      </c>
      <c r="L520" s="0" t="str">
        <f aca="false">IFERROR(VLOOKUP(K520,'Supplier list'!B:C,2,0),"")</f>
        <v>หจก. กรีน ดิสทริบิวชั่น</v>
      </c>
      <c r="M520" s="1" t="n">
        <f aca="false">FALSE()</f>
        <v>0</v>
      </c>
      <c r="N520" s="2"/>
      <c r="O520" s="2" t="n">
        <v>70</v>
      </c>
    </row>
    <row r="521" customFormat="false" ht="16.4" hidden="false" customHeight="false" outlineLevel="0" collapsed="false">
      <c r="A521" s="0" t="s">
        <v>15</v>
      </c>
      <c r="B521" s="0" t="s">
        <v>1782</v>
      </c>
      <c r="C521" s="0" t="n">
        <v>114001</v>
      </c>
      <c r="D521" s="0" t="n">
        <v>114001</v>
      </c>
      <c r="E521" s="0" t="s">
        <v>1605</v>
      </c>
      <c r="F521" s="0" t="s">
        <v>18</v>
      </c>
      <c r="G521" s="7" t="s">
        <v>1783</v>
      </c>
      <c r="H521" s="0" t="s">
        <v>1784</v>
      </c>
      <c r="I521" s="0" t="s">
        <v>21</v>
      </c>
      <c r="J521" s="0" t="s">
        <v>22</v>
      </c>
      <c r="K521" s="0" t="s">
        <v>89</v>
      </c>
      <c r="L521" s="0" t="str">
        <f aca="false">IFERROR(VLOOKUP(K521,'Supplier list'!B:C,2,0),"")</f>
        <v>บริษัท เฮเฟเล่ (ประเทศไทย) จำกัด</v>
      </c>
      <c r="M521" s="1" t="n">
        <f aca="false">FALSE()</f>
        <v>0</v>
      </c>
      <c r="N521" s="2"/>
      <c r="O521" s="2" t="n">
        <v>38</v>
      </c>
    </row>
    <row r="522" customFormat="false" ht="16.4" hidden="false" customHeight="false" outlineLevel="0" collapsed="false">
      <c r="A522" s="0" t="s">
        <v>15</v>
      </c>
      <c r="B522" s="0" t="s">
        <v>1785</v>
      </c>
      <c r="C522" s="0" t="n">
        <v>114001</v>
      </c>
      <c r="D522" s="0" t="n">
        <v>114001</v>
      </c>
      <c r="E522" s="0" t="s">
        <v>1605</v>
      </c>
      <c r="F522" s="0" t="s">
        <v>18</v>
      </c>
      <c r="G522" s="7" t="s">
        <v>1786</v>
      </c>
      <c r="H522" s="0" t="s">
        <v>1787</v>
      </c>
      <c r="I522" s="0" t="s">
        <v>21</v>
      </c>
      <c r="J522" s="0" t="s">
        <v>22</v>
      </c>
      <c r="L522" s="0" t="str">
        <f aca="false">IFERROR(VLOOKUP(K522,'Supplier list'!B:C,2,0),"")</f>
        <v/>
      </c>
      <c r="M522" s="1" t="n">
        <f aca="false">FALSE()</f>
        <v>0</v>
      </c>
      <c r="N522" s="2"/>
      <c r="O522" s="2" t="n">
        <v>25</v>
      </c>
    </row>
    <row r="523" customFormat="false" ht="16.4" hidden="false" customHeight="false" outlineLevel="0" collapsed="false">
      <c r="A523" s="0" t="s">
        <v>15</v>
      </c>
      <c r="B523" s="0" t="s">
        <v>1788</v>
      </c>
      <c r="C523" s="0" t="n">
        <v>114001</v>
      </c>
      <c r="D523" s="0" t="n">
        <v>114001</v>
      </c>
      <c r="E523" s="0" t="s">
        <v>1605</v>
      </c>
      <c r="F523" s="0" t="s">
        <v>18</v>
      </c>
      <c r="G523" s="7" t="s">
        <v>1789</v>
      </c>
      <c r="H523" s="0" t="s">
        <v>1790</v>
      </c>
      <c r="I523" s="0" t="s">
        <v>21</v>
      </c>
      <c r="J523" s="0" t="s">
        <v>22</v>
      </c>
      <c r="K523" s="0" t="s">
        <v>1753</v>
      </c>
      <c r="L523" s="0" t="str">
        <f aca="false">IFERROR(VLOOKUP(K523,'Supplier list'!B:C,2,0),"")</f>
        <v>บริษัท ไอ.โอ.ดีไซน์ แอนด์ โฮม จำกัด</v>
      </c>
      <c r="M523" s="1" t="n">
        <f aca="false">FALSE()</f>
        <v>0</v>
      </c>
      <c r="N523" s="2"/>
      <c r="O523" s="2" t="n">
        <v>288</v>
      </c>
    </row>
    <row r="524" customFormat="false" ht="16.4" hidden="false" customHeight="false" outlineLevel="0" collapsed="false">
      <c r="A524" s="0" t="s">
        <v>15</v>
      </c>
      <c r="B524" s="0" t="s">
        <v>1791</v>
      </c>
      <c r="C524" s="0" t="n">
        <v>114001</v>
      </c>
      <c r="D524" s="0" t="n">
        <v>114001</v>
      </c>
      <c r="E524" s="0" t="s">
        <v>1605</v>
      </c>
      <c r="F524" s="0" t="s">
        <v>18</v>
      </c>
      <c r="G524" s="7" t="s">
        <v>1792</v>
      </c>
      <c r="H524" s="0" t="s">
        <v>1793</v>
      </c>
      <c r="I524" s="0" t="s">
        <v>21</v>
      </c>
      <c r="J524" s="0" t="s">
        <v>22</v>
      </c>
      <c r="K524" s="0" t="s">
        <v>1753</v>
      </c>
      <c r="L524" s="0" t="str">
        <f aca="false">IFERROR(VLOOKUP(K524,'Supplier list'!B:C,2,0),"")</f>
        <v>บริษัท ไอ.โอ.ดีไซน์ แอนด์ โฮม จำกัด</v>
      </c>
      <c r="M524" s="1" t="n">
        <f aca="false">FALSE()</f>
        <v>0</v>
      </c>
      <c r="N524" s="2"/>
      <c r="O524" s="2" t="n">
        <v>25</v>
      </c>
    </row>
    <row r="525" customFormat="false" ht="16.4" hidden="false" customHeight="false" outlineLevel="0" collapsed="false">
      <c r="A525" s="0" t="s">
        <v>15</v>
      </c>
      <c r="B525" s="0" t="s">
        <v>1794</v>
      </c>
      <c r="C525" s="0" t="n">
        <v>114001</v>
      </c>
      <c r="D525" s="0" t="n">
        <v>114001</v>
      </c>
      <c r="E525" s="0" t="s">
        <v>1605</v>
      </c>
      <c r="F525" s="0" t="s">
        <v>18</v>
      </c>
      <c r="G525" s="7" t="s">
        <v>1795</v>
      </c>
      <c r="H525" s="0" t="s">
        <v>1796</v>
      </c>
      <c r="I525" s="0" t="s">
        <v>21</v>
      </c>
      <c r="J525" s="0" t="s">
        <v>22</v>
      </c>
      <c r="K525" s="0" t="s">
        <v>787</v>
      </c>
      <c r="L525" s="0" t="str">
        <f aca="false">IFERROR(VLOOKUP(K525,'Supplier list'!B:C,2,0),"")</f>
        <v>บริษัท ฟิวเจอร์เทค อินเตอร์มาร์เก็ตติ้ง จำกัด</v>
      </c>
      <c r="M525" s="1" t="n">
        <f aca="false">FALSE()</f>
        <v>0</v>
      </c>
      <c r="N525" s="2"/>
      <c r="O525" s="2" t="n">
        <v>22</v>
      </c>
    </row>
    <row r="526" customFormat="false" ht="16.4" hidden="false" customHeight="false" outlineLevel="0" collapsed="false">
      <c r="A526" s="0" t="s">
        <v>15</v>
      </c>
      <c r="B526" s="0" t="s">
        <v>1797</v>
      </c>
      <c r="C526" s="0" t="n">
        <v>114001</v>
      </c>
      <c r="D526" s="0" t="n">
        <v>114001</v>
      </c>
      <c r="E526" s="0" t="s">
        <v>1605</v>
      </c>
      <c r="F526" s="0" t="s">
        <v>18</v>
      </c>
      <c r="G526" s="7" t="s">
        <v>1798</v>
      </c>
      <c r="H526" s="0" t="s">
        <v>1799</v>
      </c>
      <c r="I526" s="0" t="s">
        <v>21</v>
      </c>
      <c r="J526" s="0" t="s">
        <v>22</v>
      </c>
      <c r="K526" s="0" t="s">
        <v>1753</v>
      </c>
      <c r="L526" s="0" t="str">
        <f aca="false">IFERROR(VLOOKUP(K526,'Supplier list'!B:C,2,0),"")</f>
        <v>บริษัท ไอ.โอ.ดีไซน์ แอนด์ โฮม จำกัด</v>
      </c>
      <c r="M526" s="1" t="n">
        <f aca="false">FALSE()</f>
        <v>0</v>
      </c>
      <c r="N526" s="2"/>
      <c r="O526" s="2" t="n">
        <v>6</v>
      </c>
    </row>
    <row r="527" customFormat="false" ht="16.4" hidden="false" customHeight="false" outlineLevel="0" collapsed="false">
      <c r="A527" s="0" t="s">
        <v>15</v>
      </c>
      <c r="B527" s="0" t="s">
        <v>1800</v>
      </c>
      <c r="C527" s="0" t="n">
        <v>114001</v>
      </c>
      <c r="D527" s="0" t="n">
        <v>114001</v>
      </c>
      <c r="E527" s="0" t="s">
        <v>1605</v>
      </c>
      <c r="F527" s="0" t="s">
        <v>18</v>
      </c>
      <c r="G527" s="7" t="s">
        <v>1801</v>
      </c>
      <c r="H527" s="0" t="s">
        <v>1802</v>
      </c>
      <c r="I527" s="0" t="s">
        <v>21</v>
      </c>
      <c r="J527" s="0" t="s">
        <v>22</v>
      </c>
      <c r="K527" s="0" t="s">
        <v>1753</v>
      </c>
      <c r="L527" s="0" t="str">
        <f aca="false">IFERROR(VLOOKUP(K527,'Supplier list'!B:C,2,0),"")</f>
        <v>บริษัท ไอ.โอ.ดีไซน์ แอนด์ โฮม จำกัด</v>
      </c>
      <c r="M527" s="1" t="n">
        <f aca="false">FALSE()</f>
        <v>0</v>
      </c>
      <c r="N527" s="2"/>
      <c r="O527" s="2" t="n">
        <v>0</v>
      </c>
    </row>
    <row r="528" customFormat="false" ht="16.4" hidden="false" customHeight="false" outlineLevel="0" collapsed="false">
      <c r="A528" s="0" t="s">
        <v>15</v>
      </c>
      <c r="B528" s="0" t="s">
        <v>1803</v>
      </c>
      <c r="C528" s="0" t="n">
        <v>114001</v>
      </c>
      <c r="D528" s="0" t="n">
        <v>114001</v>
      </c>
      <c r="E528" s="0" t="s">
        <v>1804</v>
      </c>
      <c r="F528" s="0" t="s">
        <v>18</v>
      </c>
      <c r="G528" s="7" t="s">
        <v>1805</v>
      </c>
      <c r="H528" s="0" t="s">
        <v>1806</v>
      </c>
      <c r="I528" s="0" t="s">
        <v>701</v>
      </c>
      <c r="J528" s="0" t="s">
        <v>22</v>
      </c>
      <c r="K528" s="0" t="s">
        <v>787</v>
      </c>
      <c r="L528" s="0" t="str">
        <f aca="false">IFERROR(VLOOKUP(K528,'Supplier list'!B:C,2,0),"")</f>
        <v>บริษัท ฟิวเจอร์เทค อินเตอร์มาร์เก็ตติ้ง จำกัด</v>
      </c>
      <c r="M528" s="1" t="n">
        <f aca="false">FALSE()</f>
        <v>0</v>
      </c>
      <c r="N528" s="2"/>
      <c r="O528" s="2" t="n">
        <v>700</v>
      </c>
    </row>
    <row r="529" customFormat="false" ht="16.4" hidden="false" customHeight="false" outlineLevel="0" collapsed="false">
      <c r="A529" s="0" t="s">
        <v>15</v>
      </c>
      <c r="B529" s="0" t="s">
        <v>1807</v>
      </c>
      <c r="C529" s="0" t="n">
        <v>114001</v>
      </c>
      <c r="D529" s="0" t="n">
        <v>114001</v>
      </c>
      <c r="E529" s="0" t="s">
        <v>1605</v>
      </c>
      <c r="F529" s="0" t="s">
        <v>18</v>
      </c>
      <c r="G529" s="7" t="s">
        <v>1808</v>
      </c>
      <c r="H529" s="0" t="s">
        <v>1809</v>
      </c>
      <c r="I529" s="0" t="s">
        <v>21</v>
      </c>
      <c r="J529" s="0" t="s">
        <v>22</v>
      </c>
      <c r="L529" s="0" t="str">
        <f aca="false">IFERROR(VLOOKUP(K529,'Supplier list'!B:C,2,0),"")</f>
        <v/>
      </c>
      <c r="M529" s="1" t="n">
        <f aca="false">FALSE()</f>
        <v>0</v>
      </c>
      <c r="N529" s="2"/>
      <c r="O529" s="2" t="n">
        <v>41</v>
      </c>
    </row>
    <row r="530" customFormat="false" ht="16.4" hidden="false" customHeight="false" outlineLevel="0" collapsed="false">
      <c r="A530" s="0" t="s">
        <v>15</v>
      </c>
      <c r="B530" s="0" t="s">
        <v>1810</v>
      </c>
      <c r="C530" s="0" t="n">
        <v>114001</v>
      </c>
      <c r="D530" s="0" t="n">
        <v>114001</v>
      </c>
      <c r="E530" s="0" t="s">
        <v>1811</v>
      </c>
      <c r="F530" s="0" t="s">
        <v>18</v>
      </c>
      <c r="G530" s="7" t="s">
        <v>1812</v>
      </c>
      <c r="H530" s="0" t="s">
        <v>1813</v>
      </c>
      <c r="I530" s="0" t="s">
        <v>21</v>
      </c>
      <c r="J530" s="0" t="s">
        <v>22</v>
      </c>
      <c r="K530" s="0" t="s">
        <v>68</v>
      </c>
      <c r="L530" s="0" t="str">
        <f aca="false">IFERROR(VLOOKUP(K530,'Supplier list'!B:C,2,0),"")</f>
        <v>หจก. กรีน ดิสทริบิวชั่น</v>
      </c>
      <c r="M530" s="1" t="n">
        <f aca="false">FALSE()</f>
        <v>0</v>
      </c>
      <c r="N530" s="2"/>
      <c r="O530" s="2" t="n">
        <v>50</v>
      </c>
    </row>
    <row r="531" customFormat="false" ht="16.4" hidden="false" customHeight="false" outlineLevel="0" collapsed="false">
      <c r="A531" s="0" t="s">
        <v>15</v>
      </c>
      <c r="B531" s="0" t="s">
        <v>1814</v>
      </c>
      <c r="C531" s="0" t="n">
        <v>114001</v>
      </c>
      <c r="D531" s="0" t="n">
        <v>114001</v>
      </c>
      <c r="E531" s="0" t="s">
        <v>1815</v>
      </c>
      <c r="F531" s="0" t="s">
        <v>18</v>
      </c>
      <c r="G531" s="7" t="s">
        <v>1816</v>
      </c>
      <c r="H531" s="0" t="s">
        <v>1817</v>
      </c>
      <c r="I531" s="0" t="s">
        <v>124</v>
      </c>
      <c r="J531" s="0" t="s">
        <v>125</v>
      </c>
      <c r="L531" s="0" t="str">
        <f aca="false">IFERROR(VLOOKUP(K531,'Supplier list'!B:C,2,0),"")</f>
        <v/>
      </c>
      <c r="M531" s="1" t="n">
        <f aca="false">FALSE()</f>
        <v>0</v>
      </c>
      <c r="N531" s="2"/>
      <c r="O531" s="2" t="n">
        <v>208</v>
      </c>
    </row>
    <row r="532" customFormat="false" ht="16.4" hidden="false" customHeight="false" outlineLevel="0" collapsed="false">
      <c r="A532" s="0" t="s">
        <v>15</v>
      </c>
      <c r="B532" s="0" t="s">
        <v>1818</v>
      </c>
      <c r="C532" s="0" t="n">
        <v>114001</v>
      </c>
      <c r="D532" s="0" t="n">
        <v>114001</v>
      </c>
      <c r="E532" s="0" t="s">
        <v>127</v>
      </c>
      <c r="F532" s="0" t="s">
        <v>18</v>
      </c>
      <c r="G532" s="7" t="s">
        <v>1819</v>
      </c>
      <c r="H532" s="0" t="s">
        <v>1820</v>
      </c>
      <c r="I532" s="0" t="s">
        <v>21</v>
      </c>
      <c r="J532" s="0" t="s">
        <v>22</v>
      </c>
      <c r="L532" s="0" t="str">
        <f aca="false">IFERROR(VLOOKUP(K532,'Supplier list'!B:C,2,0),"")</f>
        <v/>
      </c>
      <c r="M532" s="1" t="n">
        <f aca="false">FALSE()</f>
        <v>0</v>
      </c>
      <c r="N532" s="2"/>
      <c r="O532" s="2" t="n">
        <v>9</v>
      </c>
    </row>
    <row r="533" customFormat="false" ht="16.4" hidden="false" customHeight="false" outlineLevel="0" collapsed="false">
      <c r="A533" s="0" t="s">
        <v>15</v>
      </c>
      <c r="B533" s="0" t="s">
        <v>1821</v>
      </c>
      <c r="C533" s="0" t="n">
        <v>114001</v>
      </c>
      <c r="D533" s="0" t="n">
        <v>114001</v>
      </c>
      <c r="E533" s="0" t="s">
        <v>127</v>
      </c>
      <c r="F533" s="0" t="s">
        <v>18</v>
      </c>
      <c r="G533" s="7" t="s">
        <v>1822</v>
      </c>
      <c r="H533" s="0" t="s">
        <v>1823</v>
      </c>
      <c r="I533" s="0" t="s">
        <v>21</v>
      </c>
      <c r="J533" s="0" t="s">
        <v>22</v>
      </c>
      <c r="K533" s="0" t="s">
        <v>68</v>
      </c>
      <c r="L533" s="0" t="str">
        <f aca="false">IFERROR(VLOOKUP(K533,'Supplier list'!B:C,2,0),"")</f>
        <v>หจก. กรีน ดิสทริบิวชั่น</v>
      </c>
      <c r="M533" s="1" t="n">
        <f aca="false">FALSE()</f>
        <v>0</v>
      </c>
      <c r="N533" s="2"/>
      <c r="O533" s="2" t="n">
        <v>24</v>
      </c>
    </row>
    <row r="534" customFormat="false" ht="16.4" hidden="false" customHeight="false" outlineLevel="0" collapsed="false">
      <c r="A534" s="0" t="s">
        <v>15</v>
      </c>
      <c r="B534" s="0" t="s">
        <v>1824</v>
      </c>
      <c r="C534" s="0" t="n">
        <v>114001</v>
      </c>
      <c r="D534" s="0" t="n">
        <v>114001</v>
      </c>
      <c r="E534" s="0" t="s">
        <v>127</v>
      </c>
      <c r="F534" s="0" t="s">
        <v>18</v>
      </c>
      <c r="G534" s="7" t="s">
        <v>1825</v>
      </c>
      <c r="H534" s="0" t="s">
        <v>1826</v>
      </c>
      <c r="I534" s="0" t="s">
        <v>21</v>
      </c>
      <c r="J534" s="0" t="s">
        <v>22</v>
      </c>
      <c r="L534" s="0" t="str">
        <f aca="false">IFERROR(VLOOKUP(K534,'Supplier list'!B:C,2,0),"")</f>
        <v/>
      </c>
      <c r="M534" s="1" t="n">
        <f aca="false">FALSE()</f>
        <v>0</v>
      </c>
      <c r="N534" s="2"/>
      <c r="O534" s="2" t="n">
        <v>13</v>
      </c>
    </row>
    <row r="535" customFormat="false" ht="16.4" hidden="false" customHeight="false" outlineLevel="0" collapsed="false">
      <c r="A535" s="0" t="s">
        <v>15</v>
      </c>
      <c r="B535" s="0" t="s">
        <v>1827</v>
      </c>
      <c r="C535" s="0" t="n">
        <v>114001</v>
      </c>
      <c r="D535" s="0" t="n">
        <v>114001</v>
      </c>
      <c r="E535" s="0" t="s">
        <v>127</v>
      </c>
      <c r="F535" s="0" t="s">
        <v>18</v>
      </c>
      <c r="G535" s="7" t="s">
        <v>1828</v>
      </c>
      <c r="H535" s="0" t="s">
        <v>1829</v>
      </c>
      <c r="I535" s="0" t="s">
        <v>21</v>
      </c>
      <c r="J535" s="0" t="s">
        <v>22</v>
      </c>
      <c r="L535" s="0" t="str">
        <f aca="false">IFERROR(VLOOKUP(K535,'Supplier list'!B:C,2,0),"")</f>
        <v/>
      </c>
      <c r="M535" s="1" t="n">
        <f aca="false">FALSE()</f>
        <v>0</v>
      </c>
      <c r="N535" s="2"/>
      <c r="O535" s="2" t="n">
        <v>13.5</v>
      </c>
    </row>
    <row r="536" customFormat="false" ht="16.4" hidden="false" customHeight="false" outlineLevel="0" collapsed="false">
      <c r="A536" s="0" t="s">
        <v>15</v>
      </c>
      <c r="B536" s="0" t="s">
        <v>1830</v>
      </c>
      <c r="C536" s="0" t="n">
        <v>114001</v>
      </c>
      <c r="D536" s="0" t="n">
        <v>114001</v>
      </c>
      <c r="E536" s="0" t="s">
        <v>127</v>
      </c>
      <c r="F536" s="0" t="s">
        <v>18</v>
      </c>
      <c r="G536" s="7" t="s">
        <v>1831</v>
      </c>
      <c r="H536" s="0" t="s">
        <v>1832</v>
      </c>
      <c r="I536" s="0" t="s">
        <v>21</v>
      </c>
      <c r="J536" s="0" t="s">
        <v>22</v>
      </c>
      <c r="K536" s="0" t="s">
        <v>82</v>
      </c>
      <c r="L536" s="0" t="str">
        <f aca="false">IFERROR(VLOOKUP(K536,'Supplier list'!B:C,2,0),"")</f>
        <v>บริษัท เกรียงศิริพัฒนา (1995) จำกัด</v>
      </c>
      <c r="M536" s="1" t="n">
        <f aca="false">FALSE()</f>
        <v>0</v>
      </c>
      <c r="N536" s="2"/>
      <c r="O536" s="2" t="n">
        <v>6</v>
      </c>
    </row>
    <row r="537" customFormat="false" ht="41.75" hidden="false" customHeight="false" outlineLevel="0" collapsed="false">
      <c r="A537" s="0" t="s">
        <v>15</v>
      </c>
      <c r="B537" s="0" t="s">
        <v>1833</v>
      </c>
      <c r="C537" s="0" t="n">
        <v>114001</v>
      </c>
      <c r="D537" s="0" t="n">
        <v>114001</v>
      </c>
      <c r="E537" s="0" t="s">
        <v>127</v>
      </c>
      <c r="F537" s="0" t="s">
        <v>18</v>
      </c>
      <c r="G537" s="7" t="s">
        <v>1834</v>
      </c>
      <c r="H537" s="0" t="s">
        <v>1835</v>
      </c>
      <c r="I537" s="0" t="s">
        <v>21</v>
      </c>
      <c r="J537" s="0" t="s">
        <v>22</v>
      </c>
      <c r="K537" s="6" t="s">
        <v>192</v>
      </c>
      <c r="L537" s="0" t="str">
        <f aca="false">IFERROR(VLOOKUP(K537,'Supplier list'!B:C,2,0),"")</f>
        <v/>
      </c>
      <c r="M537" s="1" t="n">
        <f aca="false">FALSE()</f>
        <v>0</v>
      </c>
      <c r="N537" s="2"/>
      <c r="O537" s="2" t="n">
        <v>18</v>
      </c>
    </row>
    <row r="538" customFormat="false" ht="16.4" hidden="false" customHeight="false" outlineLevel="0" collapsed="false">
      <c r="A538" s="0" t="s">
        <v>15</v>
      </c>
      <c r="B538" s="0" t="s">
        <v>1836</v>
      </c>
      <c r="C538" s="0" t="n">
        <v>114001</v>
      </c>
      <c r="D538" s="0" t="n">
        <v>114001</v>
      </c>
      <c r="E538" s="0" t="s">
        <v>1815</v>
      </c>
      <c r="F538" s="0" t="s">
        <v>18</v>
      </c>
      <c r="G538" s="7" t="s">
        <v>1837</v>
      </c>
      <c r="H538" s="0" t="s">
        <v>1838</v>
      </c>
      <c r="I538" s="0" t="s">
        <v>124</v>
      </c>
      <c r="J538" s="0" t="s">
        <v>125</v>
      </c>
      <c r="L538" s="0" t="str">
        <f aca="false">IFERROR(VLOOKUP(K538,'Supplier list'!B:C,2,0),"")</f>
        <v/>
      </c>
      <c r="M538" s="1" t="n">
        <f aca="false">FALSE()</f>
        <v>0</v>
      </c>
      <c r="N538" s="2"/>
      <c r="O538" s="2" t="n">
        <v>0</v>
      </c>
    </row>
    <row r="539" customFormat="false" ht="16.4" hidden="false" customHeight="false" outlineLevel="0" collapsed="false">
      <c r="A539" s="0" t="s">
        <v>15</v>
      </c>
      <c r="B539" s="0" t="s">
        <v>1839</v>
      </c>
      <c r="C539" s="0" t="n">
        <v>114001</v>
      </c>
      <c r="D539" s="0" t="n">
        <v>114001</v>
      </c>
      <c r="E539" s="0" t="s">
        <v>1815</v>
      </c>
      <c r="F539" s="0" t="s">
        <v>18</v>
      </c>
      <c r="G539" s="7" t="s">
        <v>1840</v>
      </c>
      <c r="H539" s="0" t="s">
        <v>1841</v>
      </c>
      <c r="I539" s="0" t="s">
        <v>124</v>
      </c>
      <c r="J539" s="0" t="s">
        <v>125</v>
      </c>
      <c r="L539" s="0" t="str">
        <f aca="false">IFERROR(VLOOKUP(K539,'Supplier list'!B:C,2,0),"")</f>
        <v/>
      </c>
      <c r="M539" s="1" t="n">
        <f aca="false">FALSE()</f>
        <v>0</v>
      </c>
      <c r="N539" s="2"/>
      <c r="O539" s="2" t="n">
        <v>0</v>
      </c>
    </row>
    <row r="540" customFormat="false" ht="16.4" hidden="false" customHeight="false" outlineLevel="0" collapsed="false">
      <c r="A540" s="0" t="s">
        <v>15</v>
      </c>
      <c r="B540" s="0" t="s">
        <v>1842</v>
      </c>
      <c r="C540" s="0" t="n">
        <v>114001</v>
      </c>
      <c r="D540" s="0" t="n">
        <v>114001</v>
      </c>
      <c r="E540" s="0" t="s">
        <v>1815</v>
      </c>
      <c r="F540" s="0" t="s">
        <v>18</v>
      </c>
      <c r="G540" s="7" t="s">
        <v>1843</v>
      </c>
      <c r="H540" s="0" t="s">
        <v>1844</v>
      </c>
      <c r="I540" s="0" t="s">
        <v>124</v>
      </c>
      <c r="J540" s="0" t="s">
        <v>125</v>
      </c>
      <c r="K540" s="0" t="s">
        <v>89</v>
      </c>
      <c r="L540" s="0" t="str">
        <f aca="false">IFERROR(VLOOKUP(K540,'Supplier list'!B:C,2,0),"")</f>
        <v>บริษัท เฮเฟเล่ (ประเทศไทย) จำกัด</v>
      </c>
      <c r="M540" s="1" t="n">
        <f aca="false">FALSE()</f>
        <v>0</v>
      </c>
      <c r="N540" s="2"/>
      <c r="O540" s="2" t="n">
        <v>1655</v>
      </c>
    </row>
    <row r="541" customFormat="false" ht="16.4" hidden="false" customHeight="false" outlineLevel="0" collapsed="false">
      <c r="A541" s="0" t="s">
        <v>15</v>
      </c>
      <c r="B541" s="0" t="s">
        <v>1845</v>
      </c>
      <c r="C541" s="0" t="n">
        <v>114001</v>
      </c>
      <c r="D541" s="0" t="n">
        <v>114001</v>
      </c>
      <c r="E541" s="0" t="s">
        <v>1605</v>
      </c>
      <c r="F541" s="0" t="s">
        <v>18</v>
      </c>
      <c r="G541" s="7" t="s">
        <v>1846</v>
      </c>
      <c r="H541" s="0" t="s">
        <v>1847</v>
      </c>
      <c r="I541" s="0" t="s">
        <v>168</v>
      </c>
      <c r="J541" s="0" t="s">
        <v>169</v>
      </c>
      <c r="K541" s="0" t="s">
        <v>787</v>
      </c>
      <c r="L541" s="0" t="str">
        <f aca="false">IFERROR(VLOOKUP(K541,'Supplier list'!B:C,2,0),"")</f>
        <v>บริษัท ฟิวเจอร์เทค อินเตอร์มาร์เก็ตติ้ง จำกัด</v>
      </c>
      <c r="M541" s="1" t="n">
        <f aca="false">FALSE()</f>
        <v>0</v>
      </c>
      <c r="N541" s="2"/>
      <c r="O541" s="2" t="n">
        <v>2480</v>
      </c>
    </row>
    <row r="542" customFormat="false" ht="16.4" hidden="false" customHeight="false" outlineLevel="0" collapsed="false">
      <c r="A542" s="0" t="s">
        <v>15</v>
      </c>
      <c r="B542" s="0" t="s">
        <v>1848</v>
      </c>
      <c r="C542" s="0" t="n">
        <v>114001</v>
      </c>
      <c r="D542" s="0" t="n">
        <v>114001</v>
      </c>
      <c r="E542" s="0" t="s">
        <v>1605</v>
      </c>
      <c r="F542" s="0" t="s">
        <v>18</v>
      </c>
      <c r="G542" s="7" t="s">
        <v>1849</v>
      </c>
      <c r="H542" s="0" t="s">
        <v>1850</v>
      </c>
      <c r="I542" s="0" t="s">
        <v>168</v>
      </c>
      <c r="J542" s="0" t="s">
        <v>169</v>
      </c>
      <c r="L542" s="0" t="str">
        <f aca="false">IFERROR(VLOOKUP(K542,'Supplier list'!B:C,2,0),"")</f>
        <v/>
      </c>
      <c r="M542" s="1" t="n">
        <f aca="false">FALSE()</f>
        <v>0</v>
      </c>
      <c r="N542" s="2"/>
      <c r="O542" s="2" t="n">
        <v>359</v>
      </c>
    </row>
    <row r="543" customFormat="false" ht="16.4" hidden="false" customHeight="false" outlineLevel="0" collapsed="false">
      <c r="A543" s="0" t="s">
        <v>15</v>
      </c>
      <c r="B543" s="0" t="s">
        <v>1851</v>
      </c>
      <c r="C543" s="0" t="n">
        <v>114001</v>
      </c>
      <c r="D543" s="0" t="n">
        <v>114001</v>
      </c>
      <c r="E543" s="0" t="s">
        <v>1815</v>
      </c>
      <c r="F543" s="0" t="s">
        <v>18</v>
      </c>
      <c r="G543" s="7" t="s">
        <v>1852</v>
      </c>
      <c r="H543" s="0" t="s">
        <v>1853</v>
      </c>
      <c r="I543" s="0" t="s">
        <v>124</v>
      </c>
      <c r="J543" s="0" t="s">
        <v>125</v>
      </c>
      <c r="K543" s="0" t="s">
        <v>89</v>
      </c>
      <c r="L543" s="0" t="str">
        <f aca="false">IFERROR(VLOOKUP(K543,'Supplier list'!B:C,2,0),"")</f>
        <v>บริษัท เฮเฟเล่ (ประเทศไทย) จำกัด</v>
      </c>
      <c r="M543" s="1" t="n">
        <f aca="false">FALSE()</f>
        <v>0</v>
      </c>
      <c r="N543" s="2"/>
      <c r="O543" s="2" t="n">
        <v>1075</v>
      </c>
    </row>
    <row r="544" customFormat="false" ht="16.4" hidden="false" customHeight="false" outlineLevel="0" collapsed="false">
      <c r="A544" s="0" t="s">
        <v>15</v>
      </c>
      <c r="B544" s="0" t="s">
        <v>1854</v>
      </c>
      <c r="C544" s="0" t="n">
        <v>114001</v>
      </c>
      <c r="D544" s="0" t="n">
        <v>114001</v>
      </c>
      <c r="E544" s="0" t="s">
        <v>961</v>
      </c>
      <c r="F544" s="0" t="s">
        <v>18</v>
      </c>
      <c r="G544" s="7" t="s">
        <v>1855</v>
      </c>
      <c r="H544" s="0" t="s">
        <v>1856</v>
      </c>
      <c r="I544" s="0" t="s">
        <v>21</v>
      </c>
      <c r="J544" s="0" t="s">
        <v>22</v>
      </c>
      <c r="L544" s="0" t="str">
        <f aca="false">IFERROR(VLOOKUP(K544,'Supplier list'!B:C,2,0),"")</f>
        <v/>
      </c>
      <c r="M544" s="1" t="n">
        <f aca="false">FALSE()</f>
        <v>0</v>
      </c>
      <c r="N544" s="2"/>
      <c r="O544" s="2" t="n">
        <v>198</v>
      </c>
    </row>
    <row r="545" customFormat="false" ht="16.4" hidden="false" customHeight="false" outlineLevel="0" collapsed="false">
      <c r="A545" s="0" t="s">
        <v>15</v>
      </c>
      <c r="B545" s="0" t="s">
        <v>1857</v>
      </c>
      <c r="C545" s="0" t="n">
        <v>114001</v>
      </c>
      <c r="D545" s="0" t="n">
        <v>114001</v>
      </c>
      <c r="E545" s="0" t="s">
        <v>961</v>
      </c>
      <c r="F545" s="0" t="s">
        <v>18</v>
      </c>
      <c r="G545" s="7" t="s">
        <v>1858</v>
      </c>
      <c r="H545" s="0" t="s">
        <v>1859</v>
      </c>
      <c r="I545" s="0" t="s">
        <v>124</v>
      </c>
      <c r="J545" s="0" t="s">
        <v>125</v>
      </c>
      <c r="L545" s="0" t="str">
        <f aca="false">IFERROR(VLOOKUP(K545,'Supplier list'!B:C,2,0),"")</f>
        <v/>
      </c>
      <c r="M545" s="1" t="n">
        <f aca="false">FALSE()</f>
        <v>0</v>
      </c>
      <c r="N545" s="2"/>
      <c r="O545" s="2" t="n">
        <v>0</v>
      </c>
    </row>
    <row r="546" customFormat="false" ht="16.4" hidden="false" customHeight="false" outlineLevel="0" collapsed="false">
      <c r="A546" s="0" t="s">
        <v>15</v>
      </c>
      <c r="B546" s="0" t="s">
        <v>1860</v>
      </c>
      <c r="C546" s="0" t="n">
        <v>114001</v>
      </c>
      <c r="D546" s="0" t="n">
        <v>114001</v>
      </c>
      <c r="E546" s="0" t="s">
        <v>961</v>
      </c>
      <c r="F546" s="0" t="s">
        <v>18</v>
      </c>
      <c r="G546" s="7" t="s">
        <v>1861</v>
      </c>
      <c r="H546" s="0" t="s">
        <v>1862</v>
      </c>
      <c r="I546" s="0" t="s">
        <v>124</v>
      </c>
      <c r="J546" s="0" t="s">
        <v>125</v>
      </c>
      <c r="L546" s="0" t="str">
        <f aca="false">IFERROR(VLOOKUP(K546,'Supplier list'!B:C,2,0),"")</f>
        <v/>
      </c>
      <c r="M546" s="1" t="n">
        <f aca="false">FALSE()</f>
        <v>0</v>
      </c>
      <c r="N546" s="2"/>
      <c r="O546" s="2" t="n">
        <v>0</v>
      </c>
    </row>
    <row r="547" customFormat="false" ht="16.4" hidden="false" customHeight="false" outlineLevel="0" collapsed="false">
      <c r="A547" s="0" t="s">
        <v>15</v>
      </c>
      <c r="B547" s="0" t="s">
        <v>1863</v>
      </c>
      <c r="C547" s="0" t="n">
        <v>114001</v>
      </c>
      <c r="D547" s="0" t="n">
        <v>114001</v>
      </c>
      <c r="E547" s="0" t="s">
        <v>961</v>
      </c>
      <c r="F547" s="0" t="s">
        <v>18</v>
      </c>
      <c r="G547" s="7" t="s">
        <v>1864</v>
      </c>
      <c r="H547" s="0" t="s">
        <v>1865</v>
      </c>
      <c r="I547" s="0" t="s">
        <v>21</v>
      </c>
      <c r="J547" s="0" t="s">
        <v>22</v>
      </c>
      <c r="K547" s="0" t="s">
        <v>1725</v>
      </c>
      <c r="L547" s="0" t="str">
        <f aca="false">IFERROR(VLOOKUP(K547,'Supplier list'!B:C,2,0),"")</f>
        <v>บริษัท พรีซิชั่นไลน์ จำกัด</v>
      </c>
      <c r="M547" s="1" t="n">
        <f aca="false">FALSE()</f>
        <v>0</v>
      </c>
      <c r="N547" s="2"/>
      <c r="O547" s="2" t="n">
        <v>259</v>
      </c>
    </row>
    <row r="548" customFormat="false" ht="16.4" hidden="false" customHeight="false" outlineLevel="0" collapsed="false">
      <c r="A548" s="0" t="s">
        <v>15</v>
      </c>
      <c r="B548" s="0" t="s">
        <v>1866</v>
      </c>
      <c r="C548" s="0" t="n">
        <v>114001</v>
      </c>
      <c r="D548" s="0" t="n">
        <v>114001</v>
      </c>
      <c r="E548" s="0" t="s">
        <v>961</v>
      </c>
      <c r="F548" s="0" t="s">
        <v>18</v>
      </c>
      <c r="G548" s="7" t="s">
        <v>1867</v>
      </c>
      <c r="H548" s="0" t="s">
        <v>1868</v>
      </c>
      <c r="I548" s="0" t="s">
        <v>124</v>
      </c>
      <c r="J548" s="0" t="s">
        <v>125</v>
      </c>
      <c r="K548" s="0" t="s">
        <v>1725</v>
      </c>
      <c r="L548" s="0" t="str">
        <f aca="false">IFERROR(VLOOKUP(K548,'Supplier list'!B:C,2,0),"")</f>
        <v>บริษัท พรีซิชั่นไลน์ จำกัด</v>
      </c>
      <c r="M548" s="1" t="n">
        <f aca="false">FALSE()</f>
        <v>0</v>
      </c>
      <c r="N548" s="2"/>
      <c r="O548" s="2" t="n">
        <v>263</v>
      </c>
    </row>
    <row r="549" customFormat="false" ht="16.4" hidden="false" customHeight="false" outlineLevel="0" collapsed="false">
      <c r="A549" s="0" t="s">
        <v>15</v>
      </c>
      <c r="B549" s="0" t="s">
        <v>1869</v>
      </c>
      <c r="C549" s="0" t="n">
        <v>114001</v>
      </c>
      <c r="D549" s="0" t="n">
        <v>114001</v>
      </c>
      <c r="E549" s="0" t="s">
        <v>1815</v>
      </c>
      <c r="F549" s="0" t="s">
        <v>18</v>
      </c>
      <c r="G549" s="7" t="s">
        <v>1870</v>
      </c>
      <c r="H549" s="0" t="s">
        <v>1871</v>
      </c>
      <c r="I549" s="0" t="s">
        <v>124</v>
      </c>
      <c r="J549" s="0" t="s">
        <v>125</v>
      </c>
      <c r="K549" s="0" t="s">
        <v>89</v>
      </c>
      <c r="L549" s="0" t="str">
        <f aca="false">IFERROR(VLOOKUP(K549,'Supplier list'!B:C,2,0),"")</f>
        <v>บริษัท เฮเฟเล่ (ประเทศไทย) จำกัด</v>
      </c>
      <c r="M549" s="1" t="n">
        <f aca="false">FALSE()</f>
        <v>0</v>
      </c>
      <c r="N549" s="2"/>
      <c r="O549" s="2" t="n">
        <v>1019</v>
      </c>
    </row>
    <row r="550" customFormat="false" ht="16.4" hidden="false" customHeight="false" outlineLevel="0" collapsed="false">
      <c r="A550" s="0" t="s">
        <v>15</v>
      </c>
      <c r="B550" s="0" t="s">
        <v>1872</v>
      </c>
      <c r="C550" s="0" t="n">
        <v>114001</v>
      </c>
      <c r="D550" s="0" t="n">
        <v>114001</v>
      </c>
      <c r="E550" s="0" t="s">
        <v>1815</v>
      </c>
      <c r="F550" s="0" t="s">
        <v>18</v>
      </c>
      <c r="G550" s="7" t="s">
        <v>1873</v>
      </c>
      <c r="H550" s="0" t="s">
        <v>1874</v>
      </c>
      <c r="I550" s="0" t="s">
        <v>124</v>
      </c>
      <c r="J550" s="0" t="s">
        <v>125</v>
      </c>
      <c r="K550" s="0" t="s">
        <v>1725</v>
      </c>
      <c r="L550" s="0" t="str">
        <f aca="false">IFERROR(VLOOKUP(K550,'Supplier list'!B:C,2,0),"")</f>
        <v>บริษัท พรีซิชั่นไลน์ จำกัด</v>
      </c>
      <c r="M550" s="1" t="n">
        <f aca="false">FALSE()</f>
        <v>0</v>
      </c>
      <c r="N550" s="2"/>
      <c r="O550" s="2" t="n">
        <v>1780</v>
      </c>
    </row>
    <row r="551" customFormat="false" ht="16.4" hidden="false" customHeight="false" outlineLevel="0" collapsed="false">
      <c r="A551" s="0" t="s">
        <v>15</v>
      </c>
      <c r="B551" s="0" t="s">
        <v>1875</v>
      </c>
      <c r="C551" s="0" t="n">
        <v>114001</v>
      </c>
      <c r="D551" s="0" t="n">
        <v>114001</v>
      </c>
      <c r="E551" s="0" t="s">
        <v>1605</v>
      </c>
      <c r="F551" s="0" t="s">
        <v>18</v>
      </c>
      <c r="G551" s="7" t="s">
        <v>1876</v>
      </c>
      <c r="H551" s="0" t="s">
        <v>1877</v>
      </c>
      <c r="I551" s="0" t="s">
        <v>124</v>
      </c>
      <c r="J551" s="0" t="s">
        <v>125</v>
      </c>
      <c r="K551" s="0" t="s">
        <v>89</v>
      </c>
      <c r="L551" s="0" t="str">
        <f aca="false">IFERROR(VLOOKUP(K551,'Supplier list'!B:C,2,0),"")</f>
        <v>บริษัท เฮเฟเล่ (ประเทศไทย) จำกัด</v>
      </c>
      <c r="M551" s="1" t="n">
        <f aca="false">FALSE()</f>
        <v>0</v>
      </c>
      <c r="N551" s="2"/>
      <c r="O551" s="2" t="n">
        <v>5514</v>
      </c>
    </row>
    <row r="552" customFormat="false" ht="16.4" hidden="false" customHeight="false" outlineLevel="0" collapsed="false">
      <c r="A552" s="0" t="s">
        <v>15</v>
      </c>
      <c r="B552" s="0" t="s">
        <v>1878</v>
      </c>
      <c r="C552" s="0" t="n">
        <v>114001</v>
      </c>
      <c r="D552" s="0" t="n">
        <v>114001</v>
      </c>
      <c r="E552" s="0" t="s">
        <v>127</v>
      </c>
      <c r="F552" s="0" t="s">
        <v>18</v>
      </c>
      <c r="G552" s="7" t="s">
        <v>1879</v>
      </c>
      <c r="H552" s="0" t="s">
        <v>1880</v>
      </c>
      <c r="I552" s="0" t="s">
        <v>124</v>
      </c>
      <c r="J552" s="0" t="s">
        <v>125</v>
      </c>
      <c r="K552" s="0" t="s">
        <v>1725</v>
      </c>
      <c r="L552" s="0" t="str">
        <f aca="false">IFERROR(VLOOKUP(K552,'Supplier list'!B:C,2,0),"")</f>
        <v>บริษัท พรีซิชั่นไลน์ จำกัด</v>
      </c>
      <c r="M552" s="1" t="n">
        <f aca="false">FALSE()</f>
        <v>0</v>
      </c>
      <c r="N552" s="2"/>
      <c r="O552" s="2" t="n">
        <v>2725</v>
      </c>
    </row>
    <row r="553" customFormat="false" ht="16.4" hidden="false" customHeight="false" outlineLevel="0" collapsed="false">
      <c r="A553" s="0" t="s">
        <v>15</v>
      </c>
      <c r="B553" s="0" t="s">
        <v>1881</v>
      </c>
      <c r="C553" s="0" t="n">
        <v>114001</v>
      </c>
      <c r="D553" s="0" t="n">
        <v>114001</v>
      </c>
      <c r="E553" s="0" t="s">
        <v>1605</v>
      </c>
      <c r="F553" s="0" t="s">
        <v>18</v>
      </c>
      <c r="G553" s="7" t="s">
        <v>1882</v>
      </c>
      <c r="H553" s="0" t="s">
        <v>1883</v>
      </c>
      <c r="I553" s="0" t="s">
        <v>168</v>
      </c>
      <c r="J553" s="0" t="s">
        <v>169</v>
      </c>
      <c r="K553" s="0" t="s">
        <v>1725</v>
      </c>
      <c r="L553" s="0" t="str">
        <f aca="false">IFERROR(VLOOKUP(K553,'Supplier list'!B:C,2,0),"")</f>
        <v>บริษัท พรีซิชั่นไลน์ จำกัด</v>
      </c>
      <c r="M553" s="1" t="n">
        <f aca="false">FALSE()</f>
        <v>0</v>
      </c>
      <c r="N553" s="2"/>
      <c r="O553" s="2" t="n">
        <v>550</v>
      </c>
    </row>
    <row r="554" customFormat="false" ht="16.4" hidden="false" customHeight="false" outlineLevel="0" collapsed="false">
      <c r="A554" s="0" t="s">
        <v>15</v>
      </c>
      <c r="B554" s="0" t="s">
        <v>1884</v>
      </c>
      <c r="C554" s="0" t="n">
        <v>114001</v>
      </c>
      <c r="D554" s="0" t="n">
        <v>114001</v>
      </c>
      <c r="E554" s="0" t="s">
        <v>1815</v>
      </c>
      <c r="F554" s="0" t="s">
        <v>18</v>
      </c>
      <c r="G554" s="7" t="s">
        <v>1885</v>
      </c>
      <c r="H554" s="0" t="s">
        <v>1886</v>
      </c>
      <c r="I554" s="0" t="s">
        <v>21</v>
      </c>
      <c r="J554" s="0" t="s">
        <v>22</v>
      </c>
      <c r="L554" s="0" t="str">
        <f aca="false">IFERROR(VLOOKUP(K554,'Supplier list'!B:C,2,0),"")</f>
        <v/>
      </c>
      <c r="M554" s="1" t="n">
        <f aca="false">FALSE()</f>
        <v>0</v>
      </c>
      <c r="N554" s="2"/>
      <c r="O554" s="2" t="n">
        <v>25</v>
      </c>
    </row>
    <row r="555" customFormat="false" ht="16.4" hidden="false" customHeight="false" outlineLevel="0" collapsed="false">
      <c r="A555" s="0" t="s">
        <v>15</v>
      </c>
      <c r="B555" s="0" t="s">
        <v>1887</v>
      </c>
      <c r="C555" s="0" t="n">
        <v>114001</v>
      </c>
      <c r="D555" s="0" t="n">
        <v>114001</v>
      </c>
      <c r="E555" s="0" t="s">
        <v>1815</v>
      </c>
      <c r="F555" s="0" t="s">
        <v>18</v>
      </c>
      <c r="G555" s="7" t="s">
        <v>1888</v>
      </c>
      <c r="H555" s="0" t="s">
        <v>1889</v>
      </c>
      <c r="I555" s="0" t="s">
        <v>21</v>
      </c>
      <c r="J555" s="0" t="s">
        <v>22</v>
      </c>
      <c r="L555" s="0" t="str">
        <f aca="false">IFERROR(VLOOKUP(K555,'Supplier list'!B:C,2,0),"")</f>
        <v/>
      </c>
      <c r="M555" s="1" t="n">
        <f aca="false">FALSE()</f>
        <v>0</v>
      </c>
      <c r="N555" s="2"/>
      <c r="O555" s="2" t="n">
        <v>25</v>
      </c>
    </row>
    <row r="556" customFormat="false" ht="16.4" hidden="false" customHeight="false" outlineLevel="0" collapsed="false">
      <c r="A556" s="0" t="s">
        <v>15</v>
      </c>
      <c r="B556" s="0" t="s">
        <v>1890</v>
      </c>
      <c r="C556" s="0" t="n">
        <v>114001</v>
      </c>
      <c r="D556" s="0" t="n">
        <v>114001</v>
      </c>
      <c r="E556" s="0" t="s">
        <v>1891</v>
      </c>
      <c r="F556" s="0" t="s">
        <v>18</v>
      </c>
      <c r="G556" s="7" t="s">
        <v>1892</v>
      </c>
      <c r="H556" s="0" t="s">
        <v>1893</v>
      </c>
      <c r="I556" s="0" t="s">
        <v>21</v>
      </c>
      <c r="J556" s="0" t="s">
        <v>22</v>
      </c>
      <c r="L556" s="0" t="str">
        <f aca="false">IFERROR(VLOOKUP(K556,'Supplier list'!B:C,2,0),"")</f>
        <v/>
      </c>
      <c r="M556" s="1" t="n">
        <f aca="false">FALSE()</f>
        <v>0</v>
      </c>
      <c r="N556" s="2"/>
      <c r="O556" s="2" t="n">
        <v>0</v>
      </c>
    </row>
    <row r="557" customFormat="false" ht="16.4" hidden="false" customHeight="false" outlineLevel="0" collapsed="false">
      <c r="A557" s="0" t="s">
        <v>15</v>
      </c>
      <c r="B557" s="0" t="s">
        <v>1894</v>
      </c>
      <c r="C557" s="0" t="n">
        <v>114001</v>
      </c>
      <c r="D557" s="0" t="n">
        <v>114001</v>
      </c>
      <c r="E557" s="0" t="s">
        <v>1891</v>
      </c>
      <c r="F557" s="0" t="s">
        <v>18</v>
      </c>
      <c r="G557" s="7" t="s">
        <v>1895</v>
      </c>
      <c r="H557" s="0" t="s">
        <v>1896</v>
      </c>
      <c r="I557" s="0" t="s">
        <v>21</v>
      </c>
      <c r="J557" s="0" t="s">
        <v>22</v>
      </c>
      <c r="L557" s="0" t="str">
        <f aca="false">IFERROR(VLOOKUP(K557,'Supplier list'!B:C,2,0),"")</f>
        <v/>
      </c>
      <c r="M557" s="1" t="n">
        <f aca="false">FALSE()</f>
        <v>0</v>
      </c>
      <c r="N557" s="2"/>
      <c r="O557" s="2" t="n">
        <v>0</v>
      </c>
    </row>
    <row r="558" customFormat="false" ht="16.4" hidden="false" customHeight="false" outlineLevel="0" collapsed="false">
      <c r="A558" s="0" t="s">
        <v>15</v>
      </c>
      <c r="B558" s="0" t="s">
        <v>1897</v>
      </c>
      <c r="C558" s="0" t="n">
        <v>114001</v>
      </c>
      <c r="D558" s="0" t="n">
        <v>114001</v>
      </c>
      <c r="E558" s="0" t="s">
        <v>1815</v>
      </c>
      <c r="F558" s="0" t="s">
        <v>18</v>
      </c>
      <c r="G558" s="7" t="s">
        <v>1898</v>
      </c>
      <c r="H558" s="0" t="s">
        <v>1899</v>
      </c>
      <c r="I558" s="0" t="s">
        <v>124</v>
      </c>
      <c r="J558" s="0" t="s">
        <v>125</v>
      </c>
      <c r="K558" s="0" t="s">
        <v>1725</v>
      </c>
      <c r="L558" s="0" t="str">
        <f aca="false">IFERROR(VLOOKUP(K558,'Supplier list'!B:C,2,0),"")</f>
        <v>บริษัท พรีซิชั่นไลน์ จำกัด</v>
      </c>
      <c r="M558" s="1" t="n">
        <f aca="false">FALSE()</f>
        <v>0</v>
      </c>
      <c r="N558" s="2"/>
      <c r="O558" s="2" t="n">
        <v>2410</v>
      </c>
    </row>
    <row r="559" customFormat="false" ht="16.4" hidden="false" customHeight="false" outlineLevel="0" collapsed="false">
      <c r="A559" s="0" t="s">
        <v>15</v>
      </c>
      <c r="B559" s="0" t="s">
        <v>1900</v>
      </c>
      <c r="C559" s="0" t="n">
        <v>114001</v>
      </c>
      <c r="D559" s="0" t="n">
        <v>114001</v>
      </c>
      <c r="E559" s="0" t="s">
        <v>1815</v>
      </c>
      <c r="F559" s="0" t="s">
        <v>18</v>
      </c>
      <c r="G559" s="7" t="s">
        <v>1901</v>
      </c>
      <c r="H559" s="0" t="s">
        <v>1902</v>
      </c>
      <c r="I559" s="0" t="s">
        <v>124</v>
      </c>
      <c r="J559" s="0" t="s">
        <v>125</v>
      </c>
      <c r="K559" s="0" t="s">
        <v>1725</v>
      </c>
      <c r="L559" s="0" t="str">
        <f aca="false">IFERROR(VLOOKUP(K559,'Supplier list'!B:C,2,0),"")</f>
        <v>บริษัท พรีซิชั่นไลน์ จำกัด</v>
      </c>
      <c r="M559" s="1" t="n">
        <f aca="false">FALSE()</f>
        <v>0</v>
      </c>
      <c r="N559" s="2"/>
      <c r="O559" s="2" t="n">
        <v>1780</v>
      </c>
    </row>
    <row r="560" customFormat="false" ht="16.4" hidden="false" customHeight="false" outlineLevel="0" collapsed="false">
      <c r="A560" s="0" t="s">
        <v>15</v>
      </c>
      <c r="B560" s="0" t="s">
        <v>1903</v>
      </c>
      <c r="C560" s="0" t="n">
        <v>114001</v>
      </c>
      <c r="D560" s="0" t="n">
        <v>114001</v>
      </c>
      <c r="E560" s="0" t="s">
        <v>1815</v>
      </c>
      <c r="F560" s="0" t="s">
        <v>18</v>
      </c>
      <c r="G560" s="7" t="s">
        <v>1904</v>
      </c>
      <c r="H560" s="0" t="s">
        <v>1905</v>
      </c>
      <c r="I560" s="0" t="s">
        <v>124</v>
      </c>
      <c r="J560" s="0" t="s">
        <v>125</v>
      </c>
      <c r="K560" s="0" t="s">
        <v>1725</v>
      </c>
      <c r="L560" s="0" t="str">
        <f aca="false">IFERROR(VLOOKUP(K560,'Supplier list'!B:C,2,0),"")</f>
        <v>บริษัท พรีซิชั่นไลน์ จำกัด</v>
      </c>
      <c r="M560" s="1" t="n">
        <f aca="false">FALSE()</f>
        <v>0</v>
      </c>
      <c r="N560" s="2"/>
      <c r="O560" s="2" t="n">
        <v>2410</v>
      </c>
    </row>
    <row r="561" customFormat="false" ht="16.4" hidden="false" customHeight="false" outlineLevel="0" collapsed="false">
      <c r="A561" s="0" t="s">
        <v>15</v>
      </c>
      <c r="B561" s="0" t="s">
        <v>1906</v>
      </c>
      <c r="C561" s="0" t="n">
        <v>114001</v>
      </c>
      <c r="D561" s="0" t="n">
        <v>114001</v>
      </c>
      <c r="E561" s="0" t="s">
        <v>1764</v>
      </c>
      <c r="F561" s="0" t="s">
        <v>18</v>
      </c>
      <c r="G561" s="7" t="s">
        <v>1907</v>
      </c>
      <c r="H561" s="0" t="s">
        <v>1908</v>
      </c>
      <c r="I561" s="0" t="s">
        <v>168</v>
      </c>
      <c r="J561" s="0" t="s">
        <v>169</v>
      </c>
      <c r="L561" s="0" t="str">
        <f aca="false">IFERROR(VLOOKUP(K561,'Supplier list'!B:C,2,0),"")</f>
        <v/>
      </c>
      <c r="M561" s="1" t="n">
        <f aca="false">FALSE()</f>
        <v>0</v>
      </c>
      <c r="N561" s="2"/>
      <c r="O561" s="2" t="n">
        <v>0</v>
      </c>
    </row>
    <row r="562" customFormat="false" ht="16.4" hidden="false" customHeight="false" outlineLevel="0" collapsed="false">
      <c r="A562" s="0" t="s">
        <v>15</v>
      </c>
      <c r="B562" s="0" t="s">
        <v>1909</v>
      </c>
      <c r="C562" s="0" t="n">
        <v>114001</v>
      </c>
      <c r="D562" s="0" t="n">
        <v>114001</v>
      </c>
      <c r="E562" s="0" t="s">
        <v>1764</v>
      </c>
      <c r="F562" s="0" t="s">
        <v>18</v>
      </c>
      <c r="G562" s="7" t="s">
        <v>1910</v>
      </c>
      <c r="H562" s="0" t="s">
        <v>1911</v>
      </c>
      <c r="I562" s="0" t="s">
        <v>168</v>
      </c>
      <c r="J562" s="0" t="s">
        <v>169</v>
      </c>
      <c r="L562" s="0" t="str">
        <f aca="false">IFERROR(VLOOKUP(K562,'Supplier list'!B:C,2,0),"")</f>
        <v/>
      </c>
      <c r="M562" s="1" t="n">
        <f aca="false">FALSE()</f>
        <v>0</v>
      </c>
      <c r="N562" s="2"/>
      <c r="O562" s="2" t="n">
        <v>0</v>
      </c>
    </row>
    <row r="563" customFormat="false" ht="16.4" hidden="false" customHeight="false" outlineLevel="0" collapsed="false">
      <c r="A563" s="0" t="s">
        <v>15</v>
      </c>
      <c r="B563" s="0" t="s">
        <v>1912</v>
      </c>
      <c r="C563" s="0" t="n">
        <v>114001</v>
      </c>
      <c r="D563" s="0" t="n">
        <v>114001</v>
      </c>
      <c r="E563" s="0" t="s">
        <v>1764</v>
      </c>
      <c r="F563" s="0" t="s">
        <v>18</v>
      </c>
      <c r="G563" s="7" t="s">
        <v>1913</v>
      </c>
      <c r="H563" s="0" t="s">
        <v>1914</v>
      </c>
      <c r="I563" s="0" t="s">
        <v>168</v>
      </c>
      <c r="J563" s="0" t="s">
        <v>169</v>
      </c>
      <c r="L563" s="0" t="str">
        <f aca="false">IFERROR(VLOOKUP(K563,'Supplier list'!B:C,2,0),"")</f>
        <v/>
      </c>
      <c r="M563" s="1" t="n">
        <f aca="false">FALSE()</f>
        <v>0</v>
      </c>
      <c r="N563" s="2"/>
      <c r="O563" s="2" t="n">
        <v>0</v>
      </c>
    </row>
    <row r="564" customFormat="false" ht="16.4" hidden="false" customHeight="false" outlineLevel="0" collapsed="false">
      <c r="A564" s="0" t="s">
        <v>15</v>
      </c>
      <c r="B564" s="0" t="s">
        <v>1915</v>
      </c>
      <c r="C564" s="0" t="n">
        <v>114001</v>
      </c>
      <c r="D564" s="0" t="n">
        <v>114001</v>
      </c>
      <c r="E564" s="0" t="s">
        <v>1764</v>
      </c>
      <c r="F564" s="0" t="s">
        <v>18</v>
      </c>
      <c r="G564" s="7" t="s">
        <v>1916</v>
      </c>
      <c r="H564" s="0" t="s">
        <v>1917</v>
      </c>
      <c r="I564" s="0" t="s">
        <v>168</v>
      </c>
      <c r="J564" s="0" t="s">
        <v>169</v>
      </c>
      <c r="L564" s="0" t="str">
        <f aca="false">IFERROR(VLOOKUP(K564,'Supplier list'!B:C,2,0),"")</f>
        <v/>
      </c>
      <c r="M564" s="1" t="n">
        <f aca="false">FALSE()</f>
        <v>0</v>
      </c>
      <c r="N564" s="2"/>
      <c r="O564" s="2" t="n">
        <v>0</v>
      </c>
    </row>
    <row r="565" customFormat="false" ht="16.4" hidden="false" customHeight="false" outlineLevel="0" collapsed="false">
      <c r="A565" s="0" t="s">
        <v>15</v>
      </c>
      <c r="B565" s="0" t="s">
        <v>1918</v>
      </c>
      <c r="C565" s="0" t="n">
        <v>114001</v>
      </c>
      <c r="D565" s="0" t="n">
        <v>114001</v>
      </c>
      <c r="E565" s="0" t="s">
        <v>1764</v>
      </c>
      <c r="F565" s="0" t="s">
        <v>18</v>
      </c>
      <c r="G565" s="7" t="s">
        <v>1919</v>
      </c>
      <c r="H565" s="0" t="s">
        <v>1920</v>
      </c>
      <c r="I565" s="0" t="s">
        <v>168</v>
      </c>
      <c r="J565" s="0" t="s">
        <v>169</v>
      </c>
      <c r="L565" s="0" t="str">
        <f aca="false">IFERROR(VLOOKUP(K565,'Supplier list'!B:C,2,0),"")</f>
        <v/>
      </c>
      <c r="M565" s="1" t="n">
        <f aca="false">FALSE()</f>
        <v>0</v>
      </c>
      <c r="N565" s="2"/>
      <c r="O565" s="2" t="n">
        <v>0</v>
      </c>
    </row>
    <row r="566" customFormat="false" ht="16.4" hidden="false" customHeight="false" outlineLevel="0" collapsed="false">
      <c r="A566" s="0" t="s">
        <v>15</v>
      </c>
      <c r="B566" s="0" t="s">
        <v>1921</v>
      </c>
      <c r="C566" s="0" t="n">
        <v>114001</v>
      </c>
      <c r="D566" s="0" t="n">
        <v>114001</v>
      </c>
      <c r="E566" s="0" t="s">
        <v>1764</v>
      </c>
      <c r="F566" s="0" t="s">
        <v>18</v>
      </c>
      <c r="G566" s="7" t="s">
        <v>1922</v>
      </c>
      <c r="H566" s="0" t="s">
        <v>1923</v>
      </c>
      <c r="I566" s="0" t="s">
        <v>168</v>
      </c>
      <c r="J566" s="0" t="s">
        <v>169</v>
      </c>
      <c r="L566" s="0" t="str">
        <f aca="false">IFERROR(VLOOKUP(K566,'Supplier list'!B:C,2,0),"")</f>
        <v/>
      </c>
      <c r="M566" s="1" t="n">
        <f aca="false">FALSE()</f>
        <v>0</v>
      </c>
      <c r="N566" s="2"/>
      <c r="O566" s="2" t="n">
        <v>0</v>
      </c>
    </row>
    <row r="567" customFormat="false" ht="16.4" hidden="false" customHeight="false" outlineLevel="0" collapsed="false">
      <c r="A567" s="0" t="s">
        <v>15</v>
      </c>
      <c r="B567" s="0" t="s">
        <v>1924</v>
      </c>
      <c r="C567" s="0" t="n">
        <v>114001</v>
      </c>
      <c r="D567" s="0" t="n">
        <v>114001</v>
      </c>
      <c r="E567" s="0" t="s">
        <v>1764</v>
      </c>
      <c r="F567" s="0" t="s">
        <v>18</v>
      </c>
      <c r="G567" s="7" t="s">
        <v>1925</v>
      </c>
      <c r="H567" s="0" t="s">
        <v>1926</v>
      </c>
      <c r="I567" s="0" t="s">
        <v>168</v>
      </c>
      <c r="J567" s="0" t="s">
        <v>169</v>
      </c>
      <c r="L567" s="0" t="str">
        <f aca="false">IFERROR(VLOOKUP(K567,'Supplier list'!B:C,2,0),"")</f>
        <v/>
      </c>
      <c r="M567" s="1" t="n">
        <f aca="false">FALSE()</f>
        <v>0</v>
      </c>
      <c r="N567" s="2"/>
      <c r="O567" s="2" t="n">
        <v>0</v>
      </c>
    </row>
    <row r="568" customFormat="false" ht="16.4" hidden="false" customHeight="false" outlineLevel="0" collapsed="false">
      <c r="A568" s="0" t="s">
        <v>15</v>
      </c>
      <c r="B568" s="0" t="s">
        <v>1927</v>
      </c>
      <c r="C568" s="0" t="n">
        <v>114001</v>
      </c>
      <c r="D568" s="0" t="n">
        <v>114001</v>
      </c>
      <c r="E568" s="0" t="s">
        <v>1764</v>
      </c>
      <c r="F568" s="0" t="s">
        <v>18</v>
      </c>
      <c r="G568" s="7" t="s">
        <v>1928</v>
      </c>
      <c r="H568" s="0" t="s">
        <v>1929</v>
      </c>
      <c r="I568" s="0" t="s">
        <v>168</v>
      </c>
      <c r="J568" s="0" t="s">
        <v>169</v>
      </c>
      <c r="L568" s="0" t="str">
        <f aca="false">IFERROR(VLOOKUP(K568,'Supplier list'!B:C,2,0),"")</f>
        <v/>
      </c>
      <c r="M568" s="1" t="n">
        <f aca="false">FALSE()</f>
        <v>0</v>
      </c>
      <c r="N568" s="2"/>
      <c r="O568" s="2" t="n">
        <v>0</v>
      </c>
    </row>
    <row r="569" customFormat="false" ht="16.4" hidden="false" customHeight="false" outlineLevel="0" collapsed="false">
      <c r="A569" s="0" t="s">
        <v>15</v>
      </c>
      <c r="B569" s="0" t="s">
        <v>1930</v>
      </c>
      <c r="C569" s="0" t="n">
        <v>114001</v>
      </c>
      <c r="D569" s="0" t="n">
        <v>114001</v>
      </c>
      <c r="E569" s="0" t="s">
        <v>1764</v>
      </c>
      <c r="F569" s="0" t="s">
        <v>18</v>
      </c>
      <c r="G569" s="7" t="s">
        <v>1931</v>
      </c>
      <c r="H569" s="0" t="s">
        <v>1932</v>
      </c>
      <c r="I569" s="0" t="s">
        <v>168</v>
      </c>
      <c r="J569" s="0" t="s">
        <v>169</v>
      </c>
      <c r="L569" s="0" t="str">
        <f aca="false">IFERROR(VLOOKUP(K569,'Supplier list'!B:C,2,0),"")</f>
        <v/>
      </c>
      <c r="M569" s="1" t="n">
        <f aca="false">FALSE()</f>
        <v>0</v>
      </c>
      <c r="N569" s="2"/>
      <c r="O569" s="2" t="n">
        <v>0</v>
      </c>
    </row>
    <row r="570" customFormat="false" ht="16.4" hidden="false" customHeight="false" outlineLevel="0" collapsed="false">
      <c r="A570" s="0" t="s">
        <v>15</v>
      </c>
      <c r="B570" s="0" t="s">
        <v>1933</v>
      </c>
      <c r="C570" s="0" t="n">
        <v>114001</v>
      </c>
      <c r="D570" s="0" t="n">
        <v>114001</v>
      </c>
      <c r="E570" s="0" t="s">
        <v>1764</v>
      </c>
      <c r="F570" s="0" t="s">
        <v>18</v>
      </c>
      <c r="G570" s="7" t="s">
        <v>1934</v>
      </c>
      <c r="H570" s="0" t="s">
        <v>1935</v>
      </c>
      <c r="I570" s="0" t="s">
        <v>168</v>
      </c>
      <c r="J570" s="0" t="s">
        <v>169</v>
      </c>
      <c r="L570" s="0" t="str">
        <f aca="false">IFERROR(VLOOKUP(K570,'Supplier list'!B:C,2,0),"")</f>
        <v/>
      </c>
      <c r="M570" s="1" t="n">
        <f aca="false">FALSE()</f>
        <v>0</v>
      </c>
      <c r="N570" s="2"/>
      <c r="O570" s="2" t="n">
        <v>0</v>
      </c>
    </row>
    <row r="571" customFormat="false" ht="16.4" hidden="false" customHeight="false" outlineLevel="0" collapsed="false">
      <c r="A571" s="0" t="s">
        <v>15</v>
      </c>
      <c r="B571" s="0" t="s">
        <v>1936</v>
      </c>
      <c r="C571" s="0" t="n">
        <v>114001</v>
      </c>
      <c r="D571" s="0" t="n">
        <v>114001</v>
      </c>
      <c r="E571" s="0" t="s">
        <v>1764</v>
      </c>
      <c r="F571" s="0" t="s">
        <v>18</v>
      </c>
      <c r="G571" s="7" t="s">
        <v>1937</v>
      </c>
      <c r="H571" s="0" t="s">
        <v>1938</v>
      </c>
      <c r="I571" s="0" t="s">
        <v>168</v>
      </c>
      <c r="J571" s="0" t="s">
        <v>169</v>
      </c>
      <c r="L571" s="0" t="str">
        <f aca="false">IFERROR(VLOOKUP(K571,'Supplier list'!B:C,2,0),"")</f>
        <v/>
      </c>
      <c r="M571" s="1" t="n">
        <f aca="false">FALSE()</f>
        <v>0</v>
      </c>
      <c r="N571" s="2"/>
      <c r="O571" s="2" t="n">
        <v>0</v>
      </c>
    </row>
    <row r="572" customFormat="false" ht="16.4" hidden="false" customHeight="false" outlineLevel="0" collapsed="false">
      <c r="A572" s="0" t="s">
        <v>15</v>
      </c>
      <c r="B572" s="0" t="s">
        <v>1939</v>
      </c>
      <c r="C572" s="0" t="n">
        <v>114001</v>
      </c>
      <c r="D572" s="0" t="n">
        <v>114001</v>
      </c>
      <c r="E572" s="0" t="s">
        <v>1764</v>
      </c>
      <c r="F572" s="0" t="s">
        <v>18</v>
      </c>
      <c r="G572" s="7" t="s">
        <v>1940</v>
      </c>
      <c r="H572" s="0" t="s">
        <v>1941</v>
      </c>
      <c r="I572" s="0" t="s">
        <v>168</v>
      </c>
      <c r="J572" s="0" t="s">
        <v>169</v>
      </c>
      <c r="L572" s="0" t="str">
        <f aca="false">IFERROR(VLOOKUP(K572,'Supplier list'!B:C,2,0),"")</f>
        <v/>
      </c>
      <c r="M572" s="1" t="n">
        <f aca="false">FALSE()</f>
        <v>0</v>
      </c>
      <c r="N572" s="2"/>
      <c r="O572" s="2" t="n">
        <v>0</v>
      </c>
    </row>
    <row r="573" customFormat="false" ht="16.4" hidden="false" customHeight="false" outlineLevel="0" collapsed="false">
      <c r="A573" s="0" t="s">
        <v>15</v>
      </c>
      <c r="B573" s="0" t="s">
        <v>1942</v>
      </c>
      <c r="C573" s="0" t="n">
        <v>114001</v>
      </c>
      <c r="D573" s="0" t="n">
        <v>114001</v>
      </c>
      <c r="E573" s="0" t="s">
        <v>1764</v>
      </c>
      <c r="F573" s="0" t="s">
        <v>18</v>
      </c>
      <c r="G573" s="7" t="s">
        <v>1943</v>
      </c>
      <c r="H573" s="0" t="s">
        <v>1944</v>
      </c>
      <c r="I573" s="0" t="s">
        <v>168</v>
      </c>
      <c r="J573" s="0" t="s">
        <v>169</v>
      </c>
      <c r="L573" s="0" t="str">
        <f aca="false">IFERROR(VLOOKUP(K573,'Supplier list'!B:C,2,0),"")</f>
        <v/>
      </c>
      <c r="M573" s="1" t="n">
        <f aca="false">FALSE()</f>
        <v>0</v>
      </c>
      <c r="N573" s="2"/>
      <c r="O573" s="2" t="n">
        <v>0</v>
      </c>
    </row>
    <row r="574" customFormat="false" ht="16.4" hidden="false" customHeight="false" outlineLevel="0" collapsed="false">
      <c r="A574" s="0" t="s">
        <v>15</v>
      </c>
      <c r="B574" s="0" t="s">
        <v>1945</v>
      </c>
      <c r="C574" s="0" t="n">
        <v>114001</v>
      </c>
      <c r="D574" s="0" t="n">
        <v>114001</v>
      </c>
      <c r="E574" s="0" t="s">
        <v>1764</v>
      </c>
      <c r="F574" s="0" t="s">
        <v>18</v>
      </c>
      <c r="G574" s="7" t="s">
        <v>1946</v>
      </c>
      <c r="H574" s="0" t="s">
        <v>1947</v>
      </c>
      <c r="I574" s="0" t="s">
        <v>168</v>
      </c>
      <c r="J574" s="0" t="s">
        <v>169</v>
      </c>
      <c r="L574" s="0" t="str">
        <f aca="false">IFERROR(VLOOKUP(K574,'Supplier list'!B:C,2,0),"")</f>
        <v/>
      </c>
      <c r="M574" s="1" t="n">
        <f aca="false">FALSE()</f>
        <v>0</v>
      </c>
      <c r="N574" s="2"/>
      <c r="O574" s="2" t="n">
        <v>0</v>
      </c>
    </row>
    <row r="575" customFormat="false" ht="16.4" hidden="false" customHeight="false" outlineLevel="0" collapsed="false">
      <c r="A575" s="0" t="s">
        <v>15</v>
      </c>
      <c r="B575" s="0" t="s">
        <v>1948</v>
      </c>
      <c r="C575" s="0" t="n">
        <v>114001</v>
      </c>
      <c r="D575" s="0" t="n">
        <v>114001</v>
      </c>
      <c r="E575" s="0" t="s">
        <v>1764</v>
      </c>
      <c r="F575" s="0" t="s">
        <v>18</v>
      </c>
      <c r="G575" s="7" t="s">
        <v>1949</v>
      </c>
      <c r="H575" s="0" t="s">
        <v>1950</v>
      </c>
      <c r="I575" s="0" t="s">
        <v>168</v>
      </c>
      <c r="J575" s="0" t="s">
        <v>169</v>
      </c>
      <c r="L575" s="0" t="str">
        <f aca="false">IFERROR(VLOOKUP(K575,'Supplier list'!B:C,2,0),"")</f>
        <v/>
      </c>
      <c r="M575" s="1" t="n">
        <f aca="false">FALSE()</f>
        <v>0</v>
      </c>
      <c r="N575" s="2"/>
      <c r="O575" s="2" t="n">
        <v>0</v>
      </c>
    </row>
    <row r="576" customFormat="false" ht="16.4" hidden="false" customHeight="false" outlineLevel="0" collapsed="false">
      <c r="A576" s="0" t="s">
        <v>15</v>
      </c>
      <c r="B576" s="0" t="s">
        <v>1951</v>
      </c>
      <c r="C576" s="0" t="n">
        <v>114001</v>
      </c>
      <c r="D576" s="0" t="n">
        <v>114001</v>
      </c>
      <c r="E576" s="0" t="s">
        <v>1764</v>
      </c>
      <c r="F576" s="0" t="s">
        <v>18</v>
      </c>
      <c r="G576" s="7" t="s">
        <v>1952</v>
      </c>
      <c r="H576" s="0" t="s">
        <v>1953</v>
      </c>
      <c r="I576" s="0" t="s">
        <v>168</v>
      </c>
      <c r="J576" s="0" t="s">
        <v>169</v>
      </c>
      <c r="L576" s="0" t="str">
        <f aca="false">IFERROR(VLOOKUP(K576,'Supplier list'!B:C,2,0),"")</f>
        <v/>
      </c>
      <c r="M576" s="1" t="n">
        <f aca="false">FALSE()</f>
        <v>0</v>
      </c>
      <c r="N576" s="2"/>
      <c r="O576" s="2" t="n">
        <v>0</v>
      </c>
    </row>
    <row r="577" customFormat="false" ht="16.4" hidden="false" customHeight="false" outlineLevel="0" collapsed="false">
      <c r="A577" s="0" t="s">
        <v>15</v>
      </c>
      <c r="B577" s="0" t="s">
        <v>1954</v>
      </c>
      <c r="C577" s="0" t="n">
        <v>114001</v>
      </c>
      <c r="D577" s="0" t="n">
        <v>114001</v>
      </c>
      <c r="E577" s="0" t="s">
        <v>1764</v>
      </c>
      <c r="F577" s="0" t="s">
        <v>18</v>
      </c>
      <c r="G577" s="7" t="s">
        <v>1955</v>
      </c>
      <c r="H577" s="0" t="s">
        <v>1956</v>
      </c>
      <c r="I577" s="0" t="s">
        <v>168</v>
      </c>
      <c r="J577" s="0" t="s">
        <v>169</v>
      </c>
      <c r="L577" s="0" t="str">
        <f aca="false">IFERROR(VLOOKUP(K577,'Supplier list'!B:C,2,0),"")</f>
        <v/>
      </c>
      <c r="M577" s="1" t="n">
        <f aca="false">FALSE()</f>
        <v>0</v>
      </c>
      <c r="N577" s="2"/>
      <c r="O577" s="2" t="n">
        <v>0</v>
      </c>
    </row>
    <row r="578" customFormat="false" ht="16.4" hidden="false" customHeight="false" outlineLevel="0" collapsed="false">
      <c r="A578" s="0" t="s">
        <v>15</v>
      </c>
      <c r="B578" s="0" t="s">
        <v>1957</v>
      </c>
      <c r="C578" s="0" t="n">
        <v>114001</v>
      </c>
      <c r="D578" s="0" t="n">
        <v>114001</v>
      </c>
      <c r="E578" s="0" t="s">
        <v>1764</v>
      </c>
      <c r="F578" s="0" t="s">
        <v>18</v>
      </c>
      <c r="G578" s="7" t="s">
        <v>1958</v>
      </c>
      <c r="H578" s="0" t="s">
        <v>1959</v>
      </c>
      <c r="I578" s="0" t="s">
        <v>168</v>
      </c>
      <c r="J578" s="0" t="s">
        <v>169</v>
      </c>
      <c r="L578" s="0" t="str">
        <f aca="false">IFERROR(VLOOKUP(K578,'Supplier list'!B:C,2,0),"")</f>
        <v/>
      </c>
      <c r="M578" s="1" t="n">
        <f aca="false">FALSE()</f>
        <v>0</v>
      </c>
      <c r="N578" s="2"/>
      <c r="O578" s="2" t="n">
        <v>0</v>
      </c>
    </row>
    <row r="579" customFormat="false" ht="16.4" hidden="false" customHeight="false" outlineLevel="0" collapsed="false">
      <c r="A579" s="0" t="s">
        <v>15</v>
      </c>
      <c r="B579" s="0" t="s">
        <v>1960</v>
      </c>
      <c r="C579" s="0" t="n">
        <v>114001</v>
      </c>
      <c r="D579" s="0" t="n">
        <v>114001</v>
      </c>
      <c r="E579" s="0" t="s">
        <v>1815</v>
      </c>
      <c r="F579" s="0" t="s">
        <v>18</v>
      </c>
      <c r="G579" s="7" t="s">
        <v>1961</v>
      </c>
      <c r="H579" s="0" t="s">
        <v>1962</v>
      </c>
      <c r="I579" s="0" t="s">
        <v>124</v>
      </c>
      <c r="J579" s="0" t="s">
        <v>125</v>
      </c>
      <c r="L579" s="0" t="str">
        <f aca="false">IFERROR(VLOOKUP(K579,'Supplier list'!B:C,2,0),"")</f>
        <v/>
      </c>
      <c r="M579" s="1" t="n">
        <f aca="false">FALSE()</f>
        <v>0</v>
      </c>
      <c r="N579" s="2"/>
      <c r="O579" s="2" t="n">
        <v>440</v>
      </c>
    </row>
    <row r="580" customFormat="false" ht="16.4" hidden="false" customHeight="false" outlineLevel="0" collapsed="false">
      <c r="A580" s="0" t="s">
        <v>15</v>
      </c>
      <c r="B580" s="0" t="s">
        <v>1963</v>
      </c>
      <c r="C580" s="0" t="n">
        <v>114001</v>
      </c>
      <c r="D580" s="0" t="n">
        <v>114001</v>
      </c>
      <c r="E580" s="0" t="s">
        <v>1454</v>
      </c>
      <c r="F580" s="0" t="s">
        <v>18</v>
      </c>
      <c r="G580" s="7" t="s">
        <v>1964</v>
      </c>
      <c r="H580" s="0" t="s">
        <v>1965</v>
      </c>
      <c r="I580" s="0" t="s">
        <v>21</v>
      </c>
      <c r="J580" s="0" t="s">
        <v>22</v>
      </c>
      <c r="L580" s="0" t="str">
        <f aca="false">IFERROR(VLOOKUP(K580,'Supplier list'!B:C,2,0),"")</f>
        <v/>
      </c>
      <c r="M580" s="1" t="n">
        <f aca="false">FALSE()</f>
        <v>0</v>
      </c>
      <c r="N580" s="2"/>
      <c r="O580" s="2" t="n">
        <v>108</v>
      </c>
    </row>
    <row r="581" customFormat="false" ht="16.4" hidden="false" customHeight="false" outlineLevel="0" collapsed="false">
      <c r="A581" s="0" t="s">
        <v>15</v>
      </c>
      <c r="B581" s="0" t="s">
        <v>1966</v>
      </c>
      <c r="C581" s="0" t="n">
        <v>114001</v>
      </c>
      <c r="D581" s="0" t="n">
        <v>114001</v>
      </c>
      <c r="E581" s="0" t="s">
        <v>1454</v>
      </c>
      <c r="F581" s="0" t="s">
        <v>18</v>
      </c>
      <c r="G581" s="7" t="s">
        <v>1967</v>
      </c>
      <c r="H581" s="0" t="s">
        <v>1968</v>
      </c>
      <c r="I581" s="0" t="s">
        <v>21</v>
      </c>
      <c r="J581" s="0" t="s">
        <v>22</v>
      </c>
      <c r="L581" s="0" t="str">
        <f aca="false">IFERROR(VLOOKUP(K581,'Supplier list'!B:C,2,0),"")</f>
        <v/>
      </c>
      <c r="M581" s="1" t="n">
        <f aca="false">FALSE()</f>
        <v>0</v>
      </c>
      <c r="N581" s="2"/>
      <c r="O581" s="2" t="n">
        <v>0</v>
      </c>
    </row>
    <row r="582" customFormat="false" ht="16.4" hidden="false" customHeight="false" outlineLevel="0" collapsed="false">
      <c r="A582" s="0" t="s">
        <v>15</v>
      </c>
      <c r="B582" s="0" t="s">
        <v>1969</v>
      </c>
      <c r="C582" s="0" t="n">
        <v>114001</v>
      </c>
      <c r="D582" s="0" t="n">
        <v>114001</v>
      </c>
      <c r="E582" s="0" t="s">
        <v>1970</v>
      </c>
      <c r="F582" s="0" t="s">
        <v>18</v>
      </c>
      <c r="G582" s="7" t="s">
        <v>1971</v>
      </c>
      <c r="H582" s="0" t="s">
        <v>1972</v>
      </c>
      <c r="I582" s="0" t="s">
        <v>21</v>
      </c>
      <c r="J582" s="0" t="s">
        <v>22</v>
      </c>
      <c r="L582" s="0" t="str">
        <f aca="false">IFERROR(VLOOKUP(K582,'Supplier list'!B:C,2,0),"")</f>
        <v/>
      </c>
      <c r="M582" s="1" t="n">
        <f aca="false">FALSE()</f>
        <v>0</v>
      </c>
      <c r="N582" s="2"/>
      <c r="O582" s="2" t="n">
        <v>0</v>
      </c>
    </row>
    <row r="583" customFormat="false" ht="16.4" hidden="false" customHeight="false" outlineLevel="0" collapsed="false">
      <c r="A583" s="0" t="s">
        <v>15</v>
      </c>
      <c r="B583" s="0" t="s">
        <v>1973</v>
      </c>
      <c r="C583" s="0" t="n">
        <v>114001</v>
      </c>
      <c r="D583" s="0" t="n">
        <v>114001</v>
      </c>
      <c r="E583" s="0" t="s">
        <v>1970</v>
      </c>
      <c r="F583" s="0" t="s">
        <v>18</v>
      </c>
      <c r="G583" s="7" t="s">
        <v>1974</v>
      </c>
      <c r="H583" s="0" t="s">
        <v>1975</v>
      </c>
      <c r="I583" s="0" t="s">
        <v>21</v>
      </c>
      <c r="J583" s="0" t="s">
        <v>22</v>
      </c>
      <c r="L583" s="0" t="str">
        <f aca="false">IFERROR(VLOOKUP(K583,'Supplier list'!B:C,2,0),"")</f>
        <v/>
      </c>
      <c r="M583" s="1" t="n">
        <f aca="false">FALSE()</f>
        <v>0</v>
      </c>
      <c r="N583" s="2"/>
      <c r="O583" s="2" t="n">
        <v>0</v>
      </c>
    </row>
    <row r="584" customFormat="false" ht="16.4" hidden="false" customHeight="false" outlineLevel="0" collapsed="false">
      <c r="A584" s="0" t="s">
        <v>15</v>
      </c>
      <c r="B584" s="0" t="s">
        <v>1976</v>
      </c>
      <c r="C584" s="0" t="n">
        <v>114001</v>
      </c>
      <c r="D584" s="0" t="n">
        <v>114001</v>
      </c>
      <c r="E584" s="0" t="s">
        <v>1970</v>
      </c>
      <c r="F584" s="0" t="s">
        <v>18</v>
      </c>
      <c r="G584" s="7" t="s">
        <v>1977</v>
      </c>
      <c r="H584" s="0" t="s">
        <v>1978</v>
      </c>
      <c r="I584" s="0" t="s">
        <v>21</v>
      </c>
      <c r="J584" s="0" t="s">
        <v>22</v>
      </c>
      <c r="L584" s="0" t="str">
        <f aca="false">IFERROR(VLOOKUP(K584,'Supplier list'!B:C,2,0),"")</f>
        <v/>
      </c>
      <c r="M584" s="1" t="n">
        <f aca="false">FALSE()</f>
        <v>0</v>
      </c>
      <c r="N584" s="2"/>
      <c r="O584" s="2" t="n">
        <v>0</v>
      </c>
    </row>
    <row r="585" customFormat="false" ht="16.4" hidden="false" customHeight="false" outlineLevel="0" collapsed="false">
      <c r="A585" s="0" t="s">
        <v>15</v>
      </c>
      <c r="B585" s="0" t="s">
        <v>1979</v>
      </c>
      <c r="C585" s="0" t="n">
        <v>114001</v>
      </c>
      <c r="D585" s="0" t="n">
        <v>114001</v>
      </c>
      <c r="E585" s="0" t="s">
        <v>1970</v>
      </c>
      <c r="F585" s="0" t="s">
        <v>18</v>
      </c>
      <c r="G585" s="7" t="s">
        <v>1980</v>
      </c>
      <c r="H585" s="0" t="s">
        <v>1981</v>
      </c>
      <c r="I585" s="0" t="s">
        <v>21</v>
      </c>
      <c r="J585" s="0" t="s">
        <v>22</v>
      </c>
      <c r="L585" s="0" t="str">
        <f aca="false">IFERROR(VLOOKUP(K585,'Supplier list'!B:C,2,0),"")</f>
        <v/>
      </c>
      <c r="M585" s="1" t="n">
        <f aca="false">FALSE()</f>
        <v>0</v>
      </c>
      <c r="N585" s="2"/>
      <c r="O585" s="2" t="n">
        <v>0</v>
      </c>
    </row>
    <row r="586" customFormat="false" ht="16.4" hidden="false" customHeight="false" outlineLevel="0" collapsed="false">
      <c r="A586" s="0" t="s">
        <v>15</v>
      </c>
      <c r="B586" s="0" t="s">
        <v>1982</v>
      </c>
      <c r="C586" s="0" t="n">
        <v>114001</v>
      </c>
      <c r="D586" s="0" t="n">
        <v>114001</v>
      </c>
      <c r="E586" s="0" t="s">
        <v>1970</v>
      </c>
      <c r="F586" s="0" t="s">
        <v>18</v>
      </c>
      <c r="G586" s="7" t="s">
        <v>1983</v>
      </c>
      <c r="H586" s="0" t="s">
        <v>1984</v>
      </c>
      <c r="I586" s="0" t="s">
        <v>21</v>
      </c>
      <c r="J586" s="0" t="s">
        <v>22</v>
      </c>
      <c r="L586" s="0" t="str">
        <f aca="false">IFERROR(VLOOKUP(K586,'Supplier list'!B:C,2,0),"")</f>
        <v/>
      </c>
      <c r="M586" s="1" t="n">
        <f aca="false">FALSE()</f>
        <v>0</v>
      </c>
      <c r="N586" s="2"/>
      <c r="O586" s="2" t="n">
        <v>0</v>
      </c>
    </row>
    <row r="587" customFormat="false" ht="16.4" hidden="false" customHeight="false" outlineLevel="0" collapsed="false">
      <c r="A587" s="0" t="s">
        <v>15</v>
      </c>
      <c r="B587" s="0" t="s">
        <v>1985</v>
      </c>
      <c r="C587" s="0" t="n">
        <v>114001</v>
      </c>
      <c r="D587" s="0" t="n">
        <v>114001</v>
      </c>
      <c r="E587" s="0" t="s">
        <v>1970</v>
      </c>
      <c r="F587" s="0" t="s">
        <v>18</v>
      </c>
      <c r="G587" s="7" t="s">
        <v>1986</v>
      </c>
      <c r="H587" s="0" t="s">
        <v>1987</v>
      </c>
      <c r="I587" s="0" t="s">
        <v>21</v>
      </c>
      <c r="J587" s="0" t="s">
        <v>22</v>
      </c>
      <c r="L587" s="0" t="str">
        <f aca="false">IFERROR(VLOOKUP(K587,'Supplier list'!B:C,2,0),"")</f>
        <v/>
      </c>
      <c r="M587" s="1" t="n">
        <f aca="false">FALSE()</f>
        <v>0</v>
      </c>
      <c r="N587" s="2"/>
      <c r="O587" s="2" t="n">
        <v>0</v>
      </c>
    </row>
    <row r="588" customFormat="false" ht="16.4" hidden="false" customHeight="false" outlineLevel="0" collapsed="false">
      <c r="A588" s="0" t="s">
        <v>15</v>
      </c>
      <c r="B588" s="0" t="s">
        <v>1988</v>
      </c>
      <c r="C588" s="0" t="n">
        <v>114001</v>
      </c>
      <c r="D588" s="0" t="n">
        <v>114001</v>
      </c>
      <c r="E588" s="0" t="s">
        <v>1970</v>
      </c>
      <c r="F588" s="0" t="s">
        <v>18</v>
      </c>
      <c r="G588" s="7" t="s">
        <v>1989</v>
      </c>
      <c r="H588" s="0" t="s">
        <v>1990</v>
      </c>
      <c r="I588" s="0" t="s">
        <v>21</v>
      </c>
      <c r="J588" s="0" t="s">
        <v>22</v>
      </c>
      <c r="L588" s="0" t="str">
        <f aca="false">IFERROR(VLOOKUP(K588,'Supplier list'!B:C,2,0),"")</f>
        <v/>
      </c>
      <c r="M588" s="1" t="n">
        <f aca="false">FALSE()</f>
        <v>0</v>
      </c>
      <c r="N588" s="2"/>
      <c r="O588" s="2" t="n">
        <v>0</v>
      </c>
    </row>
    <row r="589" customFormat="false" ht="16.4" hidden="false" customHeight="false" outlineLevel="0" collapsed="false">
      <c r="A589" s="0" t="s">
        <v>15</v>
      </c>
      <c r="B589" s="0" t="s">
        <v>1991</v>
      </c>
      <c r="C589" s="0" t="n">
        <v>114001</v>
      </c>
      <c r="D589" s="0" t="n">
        <v>114001</v>
      </c>
      <c r="E589" s="0" t="s">
        <v>1970</v>
      </c>
      <c r="F589" s="0" t="s">
        <v>18</v>
      </c>
      <c r="G589" s="7" t="s">
        <v>1992</v>
      </c>
      <c r="H589" s="0" t="s">
        <v>1993</v>
      </c>
      <c r="I589" s="0" t="s">
        <v>21</v>
      </c>
      <c r="J589" s="0" t="s">
        <v>22</v>
      </c>
      <c r="L589" s="0" t="str">
        <f aca="false">IFERROR(VLOOKUP(K589,'Supplier list'!B:C,2,0),"")</f>
        <v/>
      </c>
      <c r="M589" s="1" t="n">
        <f aca="false">FALSE()</f>
        <v>0</v>
      </c>
      <c r="N589" s="2"/>
      <c r="O589" s="2" t="n">
        <v>0</v>
      </c>
    </row>
    <row r="590" customFormat="false" ht="16.4" hidden="false" customHeight="false" outlineLevel="0" collapsed="false">
      <c r="A590" s="0" t="s">
        <v>15</v>
      </c>
      <c r="B590" s="0" t="s">
        <v>1994</v>
      </c>
      <c r="C590" s="0" t="n">
        <v>114001</v>
      </c>
      <c r="D590" s="0" t="n">
        <v>114001</v>
      </c>
      <c r="E590" s="0" t="s">
        <v>1815</v>
      </c>
      <c r="F590" s="0" t="s">
        <v>18</v>
      </c>
      <c r="G590" s="7" t="s">
        <v>1995</v>
      </c>
      <c r="H590" s="0" t="s">
        <v>1996</v>
      </c>
      <c r="I590" s="0" t="s">
        <v>124</v>
      </c>
      <c r="J590" s="0" t="s">
        <v>125</v>
      </c>
      <c r="K590" s="0" t="s">
        <v>89</v>
      </c>
      <c r="L590" s="0" t="str">
        <f aca="false">IFERROR(VLOOKUP(K590,'Supplier list'!B:C,2,0),"")</f>
        <v>บริษัท เฮเฟเล่ (ประเทศไทย) จำกัด</v>
      </c>
      <c r="M590" s="1" t="n">
        <f aca="false">FALSE()</f>
        <v>0</v>
      </c>
      <c r="N590" s="2"/>
      <c r="O590" s="2" t="n">
        <v>1748</v>
      </c>
    </row>
    <row r="591" customFormat="false" ht="16.4" hidden="false" customHeight="false" outlineLevel="0" collapsed="false">
      <c r="A591" s="0" t="s">
        <v>15</v>
      </c>
      <c r="B591" s="0" t="s">
        <v>1997</v>
      </c>
      <c r="C591" s="0" t="n">
        <v>114001</v>
      </c>
      <c r="D591" s="0" t="n">
        <v>114001</v>
      </c>
      <c r="E591" s="0" t="s">
        <v>1764</v>
      </c>
      <c r="F591" s="0" t="s">
        <v>18</v>
      </c>
      <c r="G591" s="7" t="s">
        <v>1998</v>
      </c>
      <c r="H591" s="0" t="s">
        <v>1999</v>
      </c>
      <c r="I591" s="0" t="s">
        <v>21</v>
      </c>
      <c r="J591" s="0" t="s">
        <v>22</v>
      </c>
      <c r="L591" s="0" t="str">
        <f aca="false">IFERROR(VLOOKUP(K591,'Supplier list'!B:C,2,0),"")</f>
        <v/>
      </c>
      <c r="M591" s="1" t="n">
        <f aca="false">FALSE()</f>
        <v>0</v>
      </c>
      <c r="N591" s="2"/>
      <c r="O591" s="2" t="n">
        <v>0</v>
      </c>
    </row>
    <row r="592" customFormat="false" ht="16.4" hidden="false" customHeight="false" outlineLevel="0" collapsed="false">
      <c r="A592" s="0" t="s">
        <v>15</v>
      </c>
      <c r="B592" s="0" t="s">
        <v>2000</v>
      </c>
      <c r="C592" s="0" t="n">
        <v>114001</v>
      </c>
      <c r="D592" s="0" t="n">
        <v>114001</v>
      </c>
      <c r="E592" s="0" t="s">
        <v>1764</v>
      </c>
      <c r="F592" s="0" t="s">
        <v>18</v>
      </c>
      <c r="G592" s="7" t="s">
        <v>2001</v>
      </c>
      <c r="H592" s="0" t="s">
        <v>2002</v>
      </c>
      <c r="I592" s="0" t="s">
        <v>21</v>
      </c>
      <c r="J592" s="0" t="s">
        <v>22</v>
      </c>
      <c r="L592" s="0" t="str">
        <f aca="false">IFERROR(VLOOKUP(K592,'Supplier list'!B:C,2,0),"")</f>
        <v/>
      </c>
      <c r="M592" s="1" t="n">
        <f aca="false">FALSE()</f>
        <v>0</v>
      </c>
      <c r="N592" s="2"/>
      <c r="O592" s="2" t="n">
        <v>0</v>
      </c>
    </row>
    <row r="593" customFormat="false" ht="16.4" hidden="false" customHeight="false" outlineLevel="0" collapsed="false">
      <c r="A593" s="0" t="s">
        <v>15</v>
      </c>
      <c r="B593" s="0" t="s">
        <v>2003</v>
      </c>
      <c r="C593" s="0" t="n">
        <v>114001</v>
      </c>
      <c r="D593" s="0" t="n">
        <v>114001</v>
      </c>
      <c r="E593" s="0" t="s">
        <v>1764</v>
      </c>
      <c r="F593" s="0" t="s">
        <v>18</v>
      </c>
      <c r="G593" s="7" t="s">
        <v>2004</v>
      </c>
      <c r="H593" s="0" t="s">
        <v>2005</v>
      </c>
      <c r="I593" s="0" t="s">
        <v>21</v>
      </c>
      <c r="J593" s="0" t="s">
        <v>22</v>
      </c>
      <c r="K593" s="0" t="s">
        <v>2006</v>
      </c>
      <c r="L593" s="0" t="str">
        <f aca="false">IFERROR(VLOOKUP(K593,'Supplier list'!B:C,2,0),"")</f>
        <v>บริษัท หวาเลี่ยง เซรามิค ฮาร์ดแวร์ แฟคทอรี่ จำกัด</v>
      </c>
      <c r="M593" s="1" t="n">
        <f aca="false">FALSE()</f>
        <v>0</v>
      </c>
      <c r="N593" s="2"/>
      <c r="O593" s="2" t="n">
        <v>0</v>
      </c>
    </row>
    <row r="594" customFormat="false" ht="16.4" hidden="false" customHeight="false" outlineLevel="0" collapsed="false">
      <c r="A594" s="0" t="s">
        <v>15</v>
      </c>
      <c r="B594" s="0" t="s">
        <v>2007</v>
      </c>
      <c r="C594" s="0" t="n">
        <v>114001</v>
      </c>
      <c r="D594" s="0" t="n">
        <v>114001</v>
      </c>
      <c r="E594" s="0" t="s">
        <v>1764</v>
      </c>
      <c r="F594" s="0" t="s">
        <v>18</v>
      </c>
      <c r="G594" s="7" t="s">
        <v>2008</v>
      </c>
      <c r="H594" s="0" t="s">
        <v>2009</v>
      </c>
      <c r="I594" s="0" t="s">
        <v>21</v>
      </c>
      <c r="J594" s="0" t="s">
        <v>22</v>
      </c>
      <c r="L594" s="0" t="str">
        <f aca="false">IFERROR(VLOOKUP(K594,'Supplier list'!B:C,2,0),"")</f>
        <v/>
      </c>
      <c r="M594" s="1" t="n">
        <f aca="false">FALSE()</f>
        <v>0</v>
      </c>
      <c r="N594" s="2"/>
      <c r="O594" s="2" t="n">
        <v>0</v>
      </c>
    </row>
    <row r="595" customFormat="false" ht="16.4" hidden="false" customHeight="false" outlineLevel="0" collapsed="false">
      <c r="A595" s="0" t="s">
        <v>15</v>
      </c>
      <c r="B595" s="0" t="s">
        <v>2010</v>
      </c>
      <c r="C595" s="0" t="n">
        <v>114001</v>
      </c>
      <c r="D595" s="0" t="n">
        <v>114001</v>
      </c>
      <c r="E595" s="0" t="s">
        <v>1764</v>
      </c>
      <c r="F595" s="0" t="s">
        <v>18</v>
      </c>
      <c r="G595" s="7" t="s">
        <v>2011</v>
      </c>
      <c r="H595" s="0" t="s">
        <v>2012</v>
      </c>
      <c r="I595" s="0" t="s">
        <v>21</v>
      </c>
      <c r="J595" s="0" t="s">
        <v>22</v>
      </c>
      <c r="L595" s="0" t="str">
        <f aca="false">IFERROR(VLOOKUP(K595,'Supplier list'!B:C,2,0),"")</f>
        <v/>
      </c>
      <c r="M595" s="1" t="n">
        <f aca="false">FALSE()</f>
        <v>0</v>
      </c>
      <c r="N595" s="2"/>
      <c r="O595" s="2" t="n">
        <v>0</v>
      </c>
    </row>
    <row r="596" customFormat="false" ht="16.4" hidden="false" customHeight="false" outlineLevel="0" collapsed="false">
      <c r="A596" s="0" t="s">
        <v>15</v>
      </c>
      <c r="B596" s="0" t="s">
        <v>2013</v>
      </c>
      <c r="C596" s="0" t="n">
        <v>114001</v>
      </c>
      <c r="D596" s="0" t="n">
        <v>114001</v>
      </c>
      <c r="E596" s="0" t="s">
        <v>1815</v>
      </c>
      <c r="F596" s="0" t="s">
        <v>18</v>
      </c>
      <c r="G596" s="7" t="s">
        <v>2014</v>
      </c>
      <c r="H596" s="0" t="s">
        <v>2015</v>
      </c>
      <c r="I596" s="0" t="s">
        <v>124</v>
      </c>
      <c r="J596" s="0" t="s">
        <v>125</v>
      </c>
      <c r="K596" s="0" t="s">
        <v>89</v>
      </c>
      <c r="L596" s="0" t="str">
        <f aca="false">IFERROR(VLOOKUP(K596,'Supplier list'!B:C,2,0),"")</f>
        <v>บริษัท เฮเฟเล่ (ประเทศไทย) จำกัด</v>
      </c>
      <c r="M596" s="1" t="n">
        <f aca="false">FALSE()</f>
        <v>0</v>
      </c>
      <c r="N596" s="2"/>
      <c r="O596" s="2" t="n">
        <v>1421</v>
      </c>
    </row>
    <row r="597" customFormat="false" ht="16.4" hidden="false" customHeight="false" outlineLevel="0" collapsed="false">
      <c r="A597" s="0" t="s">
        <v>15</v>
      </c>
      <c r="B597" s="0" t="s">
        <v>2016</v>
      </c>
      <c r="C597" s="0" t="n">
        <v>114001</v>
      </c>
      <c r="D597" s="0" t="n">
        <v>114001</v>
      </c>
      <c r="E597" s="0" t="s">
        <v>1815</v>
      </c>
      <c r="F597" s="0" t="s">
        <v>18</v>
      </c>
      <c r="G597" s="7" t="s">
        <v>2017</v>
      </c>
      <c r="H597" s="0" t="s">
        <v>2018</v>
      </c>
      <c r="I597" s="0" t="s">
        <v>124</v>
      </c>
      <c r="J597" s="0" t="s">
        <v>125</v>
      </c>
      <c r="K597" s="0" t="s">
        <v>89</v>
      </c>
      <c r="L597" s="0" t="str">
        <f aca="false">IFERROR(VLOOKUP(K597,'Supplier list'!B:C,2,0),"")</f>
        <v>บริษัท เฮเฟเล่ (ประเทศไทย) จำกัด</v>
      </c>
      <c r="M597" s="1" t="n">
        <f aca="false">FALSE()</f>
        <v>0</v>
      </c>
      <c r="N597" s="2"/>
      <c r="O597" s="2" t="n">
        <v>1701</v>
      </c>
    </row>
    <row r="598" customFormat="false" ht="16.4" hidden="false" customHeight="false" outlineLevel="0" collapsed="false">
      <c r="A598" s="0" t="s">
        <v>15</v>
      </c>
      <c r="B598" s="0" t="s">
        <v>2019</v>
      </c>
      <c r="C598" s="0" t="n">
        <v>114001</v>
      </c>
      <c r="D598" s="0" t="n">
        <v>114001</v>
      </c>
      <c r="E598" s="0" t="s">
        <v>1764</v>
      </c>
      <c r="F598" s="0" t="s">
        <v>18</v>
      </c>
      <c r="G598" s="7" t="s">
        <v>2020</v>
      </c>
      <c r="H598" s="0" t="s">
        <v>2021</v>
      </c>
      <c r="I598" s="0" t="s">
        <v>21</v>
      </c>
      <c r="J598" s="0" t="s">
        <v>22</v>
      </c>
      <c r="L598" s="0" t="str">
        <f aca="false">IFERROR(VLOOKUP(K598,'Supplier list'!B:C,2,0),"")</f>
        <v/>
      </c>
      <c r="M598" s="1" t="n">
        <f aca="false">FALSE()</f>
        <v>0</v>
      </c>
      <c r="N598" s="2"/>
      <c r="O598" s="2" t="n">
        <v>6.5</v>
      </c>
    </row>
    <row r="599" customFormat="false" ht="16.4" hidden="false" customHeight="false" outlineLevel="0" collapsed="false">
      <c r="A599" s="0" t="s">
        <v>15</v>
      </c>
      <c r="B599" s="0" t="s">
        <v>2022</v>
      </c>
      <c r="C599" s="0" t="n">
        <v>114001</v>
      </c>
      <c r="D599" s="0" t="n">
        <v>114001</v>
      </c>
      <c r="E599" s="0" t="s">
        <v>1764</v>
      </c>
      <c r="F599" s="0" t="s">
        <v>18</v>
      </c>
      <c r="G599" s="7" t="s">
        <v>2023</v>
      </c>
      <c r="H599" s="0" t="s">
        <v>2024</v>
      </c>
      <c r="I599" s="0" t="s">
        <v>21</v>
      </c>
      <c r="J599" s="0" t="s">
        <v>22</v>
      </c>
      <c r="L599" s="0" t="str">
        <f aca="false">IFERROR(VLOOKUP(K599,'Supplier list'!B:C,2,0),"")</f>
        <v/>
      </c>
      <c r="M599" s="1" t="n">
        <f aca="false">FALSE()</f>
        <v>0</v>
      </c>
      <c r="N599" s="2"/>
      <c r="O599" s="2" t="n">
        <v>6.5</v>
      </c>
    </row>
    <row r="600" customFormat="false" ht="16.4" hidden="false" customHeight="false" outlineLevel="0" collapsed="false">
      <c r="A600" s="0" t="s">
        <v>15</v>
      </c>
      <c r="B600" s="0" t="s">
        <v>2025</v>
      </c>
      <c r="C600" s="0" t="n">
        <v>114001</v>
      </c>
      <c r="D600" s="0" t="n">
        <v>114001</v>
      </c>
      <c r="E600" s="0" t="s">
        <v>1764</v>
      </c>
      <c r="F600" s="0" t="s">
        <v>18</v>
      </c>
      <c r="G600" s="7" t="s">
        <v>2026</v>
      </c>
      <c r="H600" s="0" t="s">
        <v>2027</v>
      </c>
      <c r="I600" s="0" t="s">
        <v>21</v>
      </c>
      <c r="J600" s="0" t="s">
        <v>22</v>
      </c>
      <c r="L600" s="0" t="str">
        <f aca="false">IFERROR(VLOOKUP(K600,'Supplier list'!B:C,2,0),"")</f>
        <v/>
      </c>
      <c r="M600" s="1" t="n">
        <f aca="false">FALSE()</f>
        <v>0</v>
      </c>
      <c r="N600" s="2"/>
      <c r="O600" s="2" t="n">
        <v>6.5</v>
      </c>
    </row>
    <row r="601" customFormat="false" ht="16.4" hidden="false" customHeight="false" outlineLevel="0" collapsed="false">
      <c r="A601" s="0" t="s">
        <v>15</v>
      </c>
      <c r="B601" s="0" t="s">
        <v>2028</v>
      </c>
      <c r="C601" s="0" t="n">
        <v>114001</v>
      </c>
      <c r="D601" s="0" t="n">
        <v>114001</v>
      </c>
      <c r="E601" s="0" t="s">
        <v>1815</v>
      </c>
      <c r="F601" s="0" t="s">
        <v>18</v>
      </c>
      <c r="G601" s="7" t="s">
        <v>2029</v>
      </c>
      <c r="H601" s="0" t="s">
        <v>2030</v>
      </c>
      <c r="I601" s="0" t="s">
        <v>124</v>
      </c>
      <c r="J601" s="0" t="s">
        <v>125</v>
      </c>
      <c r="K601" s="0" t="s">
        <v>89</v>
      </c>
      <c r="L601" s="0" t="str">
        <f aca="false">IFERROR(VLOOKUP(K601,'Supplier list'!B:C,2,0),"")</f>
        <v>บริษัท เฮเฟเล่ (ประเทศไทย) จำกัด</v>
      </c>
      <c r="M601" s="1" t="n">
        <f aca="false">FALSE()</f>
        <v>0</v>
      </c>
      <c r="N601" s="2"/>
      <c r="O601" s="2" t="n">
        <v>1701</v>
      </c>
    </row>
    <row r="602" customFormat="false" ht="16.4" hidden="false" customHeight="false" outlineLevel="0" collapsed="false">
      <c r="A602" s="0" t="s">
        <v>15</v>
      </c>
      <c r="B602" s="0" t="s">
        <v>2031</v>
      </c>
      <c r="C602" s="0" t="n">
        <v>114001</v>
      </c>
      <c r="D602" s="0" t="n">
        <v>114001</v>
      </c>
      <c r="E602" s="0" t="s">
        <v>1727</v>
      </c>
      <c r="F602" s="0" t="s">
        <v>18</v>
      </c>
      <c r="G602" s="7" t="s">
        <v>2032</v>
      </c>
      <c r="H602" s="0" t="s">
        <v>2033</v>
      </c>
      <c r="I602" s="0" t="s">
        <v>124</v>
      </c>
      <c r="J602" s="0" t="s">
        <v>125</v>
      </c>
      <c r="K602" s="0" t="s">
        <v>787</v>
      </c>
      <c r="L602" s="0" t="str">
        <f aca="false">IFERROR(VLOOKUP(K602,'Supplier list'!B:C,2,0),"")</f>
        <v>บริษัท ฟิวเจอร์เทค อินเตอร์มาร์เก็ตติ้ง จำกัด</v>
      </c>
      <c r="M602" s="1" t="n">
        <f aca="false">FALSE()</f>
        <v>0</v>
      </c>
      <c r="N602" s="2"/>
      <c r="O602" s="2" t="n">
        <v>315</v>
      </c>
    </row>
    <row r="603" customFormat="false" ht="16.4" hidden="false" customHeight="false" outlineLevel="0" collapsed="false">
      <c r="A603" s="0" t="s">
        <v>15</v>
      </c>
      <c r="B603" s="0" t="s">
        <v>2034</v>
      </c>
      <c r="C603" s="0" t="n">
        <v>114001</v>
      </c>
      <c r="D603" s="0" t="n">
        <v>114001</v>
      </c>
      <c r="E603" s="0" t="s">
        <v>2035</v>
      </c>
      <c r="F603" s="0" t="s">
        <v>18</v>
      </c>
      <c r="G603" s="7" t="s">
        <v>2036</v>
      </c>
      <c r="H603" s="0" t="s">
        <v>2037</v>
      </c>
      <c r="I603" s="0" t="s">
        <v>124</v>
      </c>
      <c r="J603" s="0" t="s">
        <v>125</v>
      </c>
      <c r="L603" s="0" t="str">
        <f aca="false">IFERROR(VLOOKUP(K603,'Supplier list'!B:C,2,0),"")</f>
        <v/>
      </c>
      <c r="M603" s="1" t="n">
        <f aca="false">FALSE()</f>
        <v>0</v>
      </c>
      <c r="N603" s="2"/>
      <c r="O603" s="2" t="n">
        <v>0</v>
      </c>
    </row>
    <row r="604" customFormat="false" ht="16.4" hidden="false" customHeight="false" outlineLevel="0" collapsed="false">
      <c r="A604" s="0" t="s">
        <v>15</v>
      </c>
      <c r="B604" s="0" t="s">
        <v>2038</v>
      </c>
      <c r="C604" s="0" t="n">
        <v>114001</v>
      </c>
      <c r="D604" s="0" t="n">
        <v>114001</v>
      </c>
      <c r="E604" s="0" t="s">
        <v>2035</v>
      </c>
      <c r="F604" s="0" t="s">
        <v>18</v>
      </c>
      <c r="G604" s="7" t="s">
        <v>2039</v>
      </c>
      <c r="H604" s="0" t="s">
        <v>2040</v>
      </c>
      <c r="I604" s="0" t="s">
        <v>21</v>
      </c>
      <c r="J604" s="0" t="s">
        <v>22</v>
      </c>
      <c r="L604" s="0" t="str">
        <f aca="false">IFERROR(VLOOKUP(K604,'Supplier list'!B:C,2,0),"")</f>
        <v/>
      </c>
      <c r="M604" s="1" t="n">
        <f aca="false">FALSE()</f>
        <v>0</v>
      </c>
      <c r="N604" s="2"/>
      <c r="O604" s="2" t="n">
        <v>0</v>
      </c>
    </row>
    <row r="605" customFormat="false" ht="16.4" hidden="false" customHeight="false" outlineLevel="0" collapsed="false">
      <c r="A605" s="0" t="s">
        <v>15</v>
      </c>
      <c r="B605" s="0" t="s">
        <v>2041</v>
      </c>
      <c r="C605" s="0" t="n">
        <v>114001</v>
      </c>
      <c r="D605" s="0" t="n">
        <v>114001</v>
      </c>
      <c r="E605" s="0" t="s">
        <v>2035</v>
      </c>
      <c r="F605" s="0" t="s">
        <v>18</v>
      </c>
      <c r="G605" s="7" t="s">
        <v>2042</v>
      </c>
      <c r="H605" s="0" t="s">
        <v>2043</v>
      </c>
      <c r="I605" s="0" t="s">
        <v>124</v>
      </c>
      <c r="J605" s="0" t="s">
        <v>125</v>
      </c>
      <c r="L605" s="0" t="str">
        <f aca="false">IFERROR(VLOOKUP(K605,'Supplier list'!B:C,2,0),"")</f>
        <v/>
      </c>
      <c r="M605" s="1" t="n">
        <f aca="false">FALSE()</f>
        <v>0</v>
      </c>
      <c r="N605" s="2"/>
      <c r="O605" s="2" t="n">
        <v>0</v>
      </c>
    </row>
    <row r="606" customFormat="false" ht="16.4" hidden="false" customHeight="false" outlineLevel="0" collapsed="false">
      <c r="A606" s="0" t="s">
        <v>15</v>
      </c>
      <c r="B606" s="0" t="s">
        <v>2044</v>
      </c>
      <c r="C606" s="0" t="n">
        <v>114001</v>
      </c>
      <c r="D606" s="0" t="n">
        <v>114001</v>
      </c>
      <c r="E606" s="0" t="s">
        <v>2035</v>
      </c>
      <c r="F606" s="0" t="s">
        <v>18</v>
      </c>
      <c r="G606" s="7" t="s">
        <v>2045</v>
      </c>
      <c r="H606" s="0" t="s">
        <v>2046</v>
      </c>
      <c r="I606" s="0" t="s">
        <v>124</v>
      </c>
      <c r="J606" s="0" t="s">
        <v>125</v>
      </c>
      <c r="L606" s="0" t="str">
        <f aca="false">IFERROR(VLOOKUP(K606,'Supplier list'!B:C,2,0),"")</f>
        <v/>
      </c>
      <c r="M606" s="1" t="n">
        <f aca="false">FALSE()</f>
        <v>0</v>
      </c>
      <c r="N606" s="2"/>
      <c r="O606" s="2" t="n">
        <v>0</v>
      </c>
    </row>
    <row r="607" customFormat="false" ht="16.4" hidden="false" customHeight="false" outlineLevel="0" collapsed="false">
      <c r="A607" s="0" t="s">
        <v>15</v>
      </c>
      <c r="B607" s="0" t="s">
        <v>2047</v>
      </c>
      <c r="C607" s="0" t="n">
        <v>114001</v>
      </c>
      <c r="D607" s="0" t="n">
        <v>114001</v>
      </c>
      <c r="E607" s="0" t="s">
        <v>2048</v>
      </c>
      <c r="F607" s="0" t="s">
        <v>18</v>
      </c>
      <c r="G607" s="7" t="s">
        <v>2049</v>
      </c>
      <c r="H607" s="0" t="s">
        <v>2050</v>
      </c>
      <c r="I607" s="0" t="s">
        <v>21</v>
      </c>
      <c r="J607" s="0" t="s">
        <v>22</v>
      </c>
      <c r="K607" s="0" t="s">
        <v>2051</v>
      </c>
      <c r="L607" s="0" t="str">
        <f aca="false">IFERROR(VLOOKUP(K607,'Supplier list'!B:C,2,0),"")</f>
        <v>บริษัท ฉิ้นฮง เอ็นเตอร์ไพรส์ จำกัด</v>
      </c>
      <c r="M607" s="1" t="n">
        <f aca="false">FALSE()</f>
        <v>0</v>
      </c>
      <c r="N607" s="2"/>
      <c r="O607" s="2" t="n">
        <v>0</v>
      </c>
    </row>
    <row r="608" customFormat="false" ht="16.4" hidden="false" customHeight="false" outlineLevel="0" collapsed="false">
      <c r="A608" s="0" t="s">
        <v>15</v>
      </c>
      <c r="B608" s="0" t="s">
        <v>2052</v>
      </c>
      <c r="C608" s="0" t="n">
        <v>114001</v>
      </c>
      <c r="D608" s="0" t="n">
        <v>114001</v>
      </c>
      <c r="E608" s="0" t="s">
        <v>1605</v>
      </c>
      <c r="F608" s="0" t="s">
        <v>18</v>
      </c>
      <c r="G608" s="7" t="s">
        <v>2053</v>
      </c>
      <c r="H608" s="0" t="s">
        <v>2054</v>
      </c>
      <c r="I608" s="0" t="s">
        <v>21</v>
      </c>
      <c r="J608" s="0" t="s">
        <v>22</v>
      </c>
      <c r="K608" s="0" t="s">
        <v>89</v>
      </c>
      <c r="L608" s="0" t="str">
        <f aca="false">IFERROR(VLOOKUP(K608,'Supplier list'!B:C,2,0),"")</f>
        <v>บริษัท เฮเฟเล่ (ประเทศไทย) จำกัด</v>
      </c>
      <c r="M608" s="1" t="n">
        <f aca="false">FALSE()</f>
        <v>0</v>
      </c>
      <c r="N608" s="2"/>
      <c r="O608" s="2" t="n">
        <v>85</v>
      </c>
    </row>
    <row r="609" customFormat="false" ht="16.4" hidden="false" customHeight="false" outlineLevel="0" collapsed="false">
      <c r="A609" s="0" t="s">
        <v>15</v>
      </c>
      <c r="B609" s="0" t="s">
        <v>2055</v>
      </c>
      <c r="C609" s="0" t="n">
        <v>114001</v>
      </c>
      <c r="D609" s="0" t="n">
        <v>114001</v>
      </c>
      <c r="E609" s="0" t="s">
        <v>2056</v>
      </c>
      <c r="F609" s="0" t="s">
        <v>18</v>
      </c>
      <c r="G609" s="7" t="s">
        <v>2057</v>
      </c>
      <c r="H609" s="0" t="s">
        <v>2058</v>
      </c>
      <c r="I609" s="0" t="s">
        <v>21</v>
      </c>
      <c r="J609" s="0" t="s">
        <v>22</v>
      </c>
      <c r="K609" s="0" t="s">
        <v>787</v>
      </c>
      <c r="L609" s="0" t="str">
        <f aca="false">IFERROR(VLOOKUP(K609,'Supplier list'!B:C,2,0),"")</f>
        <v>บริษัท ฟิวเจอร์เทค อินเตอร์มาร์เก็ตติ้ง จำกัด</v>
      </c>
      <c r="M609" s="1" t="n">
        <f aca="false">FALSE()</f>
        <v>0</v>
      </c>
      <c r="N609" s="2"/>
      <c r="O609" s="2" t="n">
        <v>56</v>
      </c>
    </row>
    <row r="610" customFormat="false" ht="16.4" hidden="false" customHeight="false" outlineLevel="0" collapsed="false">
      <c r="A610" s="0" t="s">
        <v>15</v>
      </c>
      <c r="B610" s="0" t="s">
        <v>2059</v>
      </c>
      <c r="C610" s="0" t="n">
        <v>114001</v>
      </c>
      <c r="D610" s="0" t="n">
        <v>114001</v>
      </c>
      <c r="E610" s="0" t="s">
        <v>2056</v>
      </c>
      <c r="F610" s="0" t="s">
        <v>18</v>
      </c>
      <c r="G610" s="7" t="s">
        <v>2060</v>
      </c>
      <c r="H610" s="0" t="s">
        <v>2061</v>
      </c>
      <c r="I610" s="0" t="s">
        <v>21</v>
      </c>
      <c r="J610" s="0" t="s">
        <v>22</v>
      </c>
      <c r="K610" s="0" t="s">
        <v>787</v>
      </c>
      <c r="L610" s="0" t="str">
        <f aca="false">IFERROR(VLOOKUP(K610,'Supplier list'!B:C,2,0),"")</f>
        <v>บริษัท ฟิวเจอร์เทค อินเตอร์มาร์เก็ตติ้ง จำกัด</v>
      </c>
      <c r="M610" s="1" t="n">
        <f aca="false">FALSE()</f>
        <v>0</v>
      </c>
      <c r="N610" s="2"/>
      <c r="O610" s="2" t="n">
        <v>42</v>
      </c>
    </row>
    <row r="611" customFormat="false" ht="16.4" hidden="false" customHeight="false" outlineLevel="0" collapsed="false">
      <c r="A611" s="0" t="s">
        <v>15</v>
      </c>
      <c r="B611" s="0" t="s">
        <v>2062</v>
      </c>
      <c r="C611" s="0" t="n">
        <v>114001</v>
      </c>
      <c r="D611" s="0" t="n">
        <v>114001</v>
      </c>
      <c r="E611" s="0" t="s">
        <v>1605</v>
      </c>
      <c r="F611" s="0" t="s">
        <v>18</v>
      </c>
      <c r="G611" s="7" t="s">
        <v>2063</v>
      </c>
      <c r="H611" s="0" t="s">
        <v>2064</v>
      </c>
      <c r="I611" s="0" t="s">
        <v>21</v>
      </c>
      <c r="J611" s="0" t="s">
        <v>22</v>
      </c>
      <c r="K611" s="0" t="s">
        <v>2065</v>
      </c>
      <c r="L611" s="0" t="str">
        <f aca="false">IFERROR(VLOOKUP(K611,'Supplier list'!B:C,2,0),"")</f>
        <v>บริษัท บลู อินเตอร์เนชั่นแนล จำกัด</v>
      </c>
      <c r="M611" s="1" t="n">
        <f aca="false">TRUE()</f>
        <v>1</v>
      </c>
      <c r="N611" s="2" t="n">
        <v>590</v>
      </c>
      <c r="O611" s="2" t="n">
        <v>201</v>
      </c>
    </row>
    <row r="612" customFormat="false" ht="16.4" hidden="false" customHeight="false" outlineLevel="0" collapsed="false">
      <c r="A612" s="0" t="s">
        <v>15</v>
      </c>
      <c r="B612" s="0" t="s">
        <v>2066</v>
      </c>
      <c r="C612" s="0" t="n">
        <v>114001</v>
      </c>
      <c r="D612" s="0" t="n">
        <v>114001</v>
      </c>
      <c r="E612" s="0" t="s">
        <v>1605</v>
      </c>
      <c r="F612" s="0" t="s">
        <v>18</v>
      </c>
      <c r="G612" s="7" t="s">
        <v>2067</v>
      </c>
      <c r="H612" s="0" t="s">
        <v>2068</v>
      </c>
      <c r="I612" s="0" t="s">
        <v>21</v>
      </c>
      <c r="J612" s="0" t="s">
        <v>22</v>
      </c>
      <c r="K612" s="0" t="s">
        <v>89</v>
      </c>
      <c r="L612" s="0" t="str">
        <f aca="false">IFERROR(VLOOKUP(K612,'Supplier list'!B:C,2,0),"")</f>
        <v>บริษัท เฮเฟเล่ (ประเทศไทย) จำกัด</v>
      </c>
      <c r="M612" s="1" t="n">
        <f aca="false">FALSE()</f>
        <v>0</v>
      </c>
      <c r="N612" s="2"/>
      <c r="O612" s="2" t="n">
        <v>281</v>
      </c>
    </row>
    <row r="613" customFormat="false" ht="16.4" hidden="false" customHeight="false" outlineLevel="0" collapsed="false">
      <c r="A613" s="0" t="s">
        <v>15</v>
      </c>
      <c r="B613" s="0" t="s">
        <v>2069</v>
      </c>
      <c r="C613" s="0" t="n">
        <v>114001</v>
      </c>
      <c r="D613" s="0" t="n">
        <v>114001</v>
      </c>
      <c r="E613" s="0" t="s">
        <v>2048</v>
      </c>
      <c r="F613" s="0" t="s">
        <v>18</v>
      </c>
      <c r="G613" s="7" t="s">
        <v>2070</v>
      </c>
      <c r="H613" s="0" t="s">
        <v>2071</v>
      </c>
      <c r="I613" s="0" t="s">
        <v>21</v>
      </c>
      <c r="J613" s="0" t="s">
        <v>22</v>
      </c>
      <c r="K613" s="0" t="s">
        <v>2051</v>
      </c>
      <c r="L613" s="0" t="str">
        <f aca="false">IFERROR(VLOOKUP(K613,'Supplier list'!B:C,2,0),"")</f>
        <v>บริษัท ฉิ้นฮง เอ็นเตอร์ไพรส์ จำกัด</v>
      </c>
      <c r="M613" s="1" t="n">
        <f aca="false">FALSE()</f>
        <v>0</v>
      </c>
      <c r="N613" s="2"/>
      <c r="O613" s="2" t="n">
        <v>0</v>
      </c>
    </row>
    <row r="614" customFormat="false" ht="16.4" hidden="false" customHeight="false" outlineLevel="0" collapsed="false">
      <c r="A614" s="0" t="s">
        <v>15</v>
      </c>
      <c r="B614" s="0" t="s">
        <v>2072</v>
      </c>
      <c r="C614" s="0" t="n">
        <v>114001</v>
      </c>
      <c r="D614" s="0" t="n">
        <v>114001</v>
      </c>
      <c r="E614" s="0" t="s">
        <v>1811</v>
      </c>
      <c r="F614" s="0" t="s">
        <v>18</v>
      </c>
      <c r="G614" s="7" t="s">
        <v>2073</v>
      </c>
      <c r="H614" s="0" t="s">
        <v>2074</v>
      </c>
      <c r="I614" s="0" t="s">
        <v>21</v>
      </c>
      <c r="J614" s="0" t="s">
        <v>22</v>
      </c>
      <c r="L614" s="0" t="str">
        <f aca="false">IFERROR(VLOOKUP(K614,'Supplier list'!B:C,2,0),"")</f>
        <v/>
      </c>
      <c r="M614" s="1" t="n">
        <f aca="false">FALSE()</f>
        <v>0</v>
      </c>
      <c r="N614" s="2"/>
      <c r="O614" s="2" t="n">
        <v>130</v>
      </c>
    </row>
    <row r="615" customFormat="false" ht="16.4" hidden="false" customHeight="false" outlineLevel="0" collapsed="false">
      <c r="A615" s="0" t="s">
        <v>15</v>
      </c>
      <c r="B615" s="0" t="s">
        <v>2075</v>
      </c>
      <c r="C615" s="0" t="n">
        <v>114001</v>
      </c>
      <c r="D615" s="0" t="n">
        <v>114001</v>
      </c>
      <c r="E615" s="0" t="s">
        <v>1815</v>
      </c>
      <c r="F615" s="0" t="s">
        <v>18</v>
      </c>
      <c r="G615" s="7" t="s">
        <v>2076</v>
      </c>
      <c r="H615" s="0" t="s">
        <v>2077</v>
      </c>
      <c r="I615" s="0" t="s">
        <v>21</v>
      </c>
      <c r="J615" s="0" t="s">
        <v>22</v>
      </c>
      <c r="K615" s="0" t="s">
        <v>89</v>
      </c>
      <c r="L615" s="0" t="str">
        <f aca="false">IFERROR(VLOOKUP(K615,'Supplier list'!B:C,2,0),"")</f>
        <v>บริษัท เฮเฟเล่ (ประเทศไทย) จำกัด</v>
      </c>
      <c r="M615" s="1" t="n">
        <f aca="false">TRUE()</f>
        <v>1</v>
      </c>
      <c r="N615" s="2" t="n">
        <v>2200</v>
      </c>
      <c r="O615" s="2" t="n">
        <v>520</v>
      </c>
    </row>
    <row r="616" customFormat="false" ht="16.4" hidden="false" customHeight="false" outlineLevel="0" collapsed="false">
      <c r="A616" s="0" t="s">
        <v>15</v>
      </c>
      <c r="B616" s="0" t="s">
        <v>2078</v>
      </c>
      <c r="C616" s="0" t="n">
        <v>114001</v>
      </c>
      <c r="D616" s="0" t="n">
        <v>114001</v>
      </c>
      <c r="E616" s="0" t="s">
        <v>1605</v>
      </c>
      <c r="F616" s="0" t="s">
        <v>18</v>
      </c>
      <c r="G616" s="7" t="s">
        <v>2079</v>
      </c>
      <c r="H616" s="0" t="s">
        <v>2080</v>
      </c>
      <c r="I616" s="0" t="s">
        <v>21</v>
      </c>
      <c r="J616" s="0" t="s">
        <v>22</v>
      </c>
      <c r="L616" s="0" t="str">
        <f aca="false">IFERROR(VLOOKUP(K616,'Supplier list'!B:C,2,0),"")</f>
        <v/>
      </c>
      <c r="M616" s="1" t="n">
        <f aca="false">FALSE()</f>
        <v>0</v>
      </c>
      <c r="N616" s="2"/>
      <c r="O616" s="2" t="n">
        <v>19</v>
      </c>
    </row>
    <row r="617" customFormat="false" ht="16.4" hidden="false" customHeight="false" outlineLevel="0" collapsed="false">
      <c r="A617" s="0" t="s">
        <v>15</v>
      </c>
      <c r="B617" s="0" t="s">
        <v>2081</v>
      </c>
      <c r="C617" s="0" t="n">
        <v>114001</v>
      </c>
      <c r="D617" s="0" t="n">
        <v>114001</v>
      </c>
      <c r="E617" s="0" t="s">
        <v>1605</v>
      </c>
      <c r="F617" s="0" t="s">
        <v>18</v>
      </c>
      <c r="G617" s="7" t="s">
        <v>2082</v>
      </c>
      <c r="H617" s="0" t="s">
        <v>2083</v>
      </c>
      <c r="I617" s="0" t="s">
        <v>21</v>
      </c>
      <c r="J617" s="0" t="s">
        <v>22</v>
      </c>
      <c r="K617" s="0" t="s">
        <v>787</v>
      </c>
      <c r="L617" s="0" t="str">
        <f aca="false">IFERROR(VLOOKUP(K617,'Supplier list'!B:C,2,0),"")</f>
        <v>บริษัท ฟิวเจอร์เทค อินเตอร์มาร์เก็ตติ้ง จำกัด</v>
      </c>
      <c r="M617" s="1" t="n">
        <f aca="false">FALSE()</f>
        <v>0</v>
      </c>
      <c r="N617" s="2"/>
      <c r="O617" s="2" t="n">
        <v>6</v>
      </c>
    </row>
    <row r="618" customFormat="false" ht="16.4" hidden="false" customHeight="false" outlineLevel="0" collapsed="false">
      <c r="A618" s="0" t="s">
        <v>15</v>
      </c>
      <c r="B618" s="0" t="s">
        <v>2084</v>
      </c>
      <c r="C618" s="0" t="n">
        <v>114001</v>
      </c>
      <c r="D618" s="0" t="n">
        <v>114001</v>
      </c>
      <c r="E618" s="0" t="s">
        <v>2085</v>
      </c>
      <c r="F618" s="0" t="s">
        <v>18</v>
      </c>
      <c r="G618" s="7" t="s">
        <v>2086</v>
      </c>
      <c r="H618" s="0" t="s">
        <v>2087</v>
      </c>
      <c r="I618" s="0" t="s">
        <v>21</v>
      </c>
      <c r="J618" s="0" t="s">
        <v>22</v>
      </c>
      <c r="K618" s="0" t="s">
        <v>89</v>
      </c>
      <c r="L618" s="0" t="str">
        <f aca="false">IFERROR(VLOOKUP(K618,'Supplier list'!B:C,2,0),"")</f>
        <v>บริษัท เฮเฟเล่ (ประเทศไทย) จำกัด</v>
      </c>
      <c r="M618" s="1" t="n">
        <f aca="false">FALSE()</f>
        <v>0</v>
      </c>
      <c r="N618" s="2"/>
      <c r="O618" s="2" t="n">
        <v>22</v>
      </c>
    </row>
    <row r="619" customFormat="false" ht="16.4" hidden="false" customHeight="false" outlineLevel="0" collapsed="false">
      <c r="A619" s="0" t="s">
        <v>15</v>
      </c>
      <c r="B619" s="0" t="s">
        <v>2088</v>
      </c>
      <c r="C619" s="0" t="n">
        <v>114001</v>
      </c>
      <c r="D619" s="0" t="n">
        <v>114001</v>
      </c>
      <c r="E619" s="0" t="s">
        <v>2085</v>
      </c>
      <c r="F619" s="0" t="s">
        <v>18</v>
      </c>
      <c r="G619" s="7" t="s">
        <v>2089</v>
      </c>
      <c r="H619" s="0" t="s">
        <v>2090</v>
      </c>
      <c r="I619" s="0" t="s">
        <v>21</v>
      </c>
      <c r="J619" s="0" t="s">
        <v>22</v>
      </c>
      <c r="K619" s="0" t="s">
        <v>89</v>
      </c>
      <c r="L619" s="0" t="str">
        <f aca="false">IFERROR(VLOOKUP(K619,'Supplier list'!B:C,2,0),"")</f>
        <v>บริษัท เฮเฟเล่ (ประเทศไทย) จำกัด</v>
      </c>
      <c r="M619" s="1" t="n">
        <f aca="false">FALSE()</f>
        <v>0</v>
      </c>
      <c r="N619" s="2"/>
      <c r="O619" s="2" t="n">
        <v>57</v>
      </c>
    </row>
    <row r="620" customFormat="false" ht="16.4" hidden="false" customHeight="false" outlineLevel="0" collapsed="false">
      <c r="A620" s="0" t="s">
        <v>15</v>
      </c>
      <c r="B620" s="0" t="s">
        <v>2091</v>
      </c>
      <c r="C620" s="0" t="n">
        <v>114001</v>
      </c>
      <c r="D620" s="0" t="n">
        <v>114001</v>
      </c>
      <c r="E620" s="0" t="s">
        <v>965</v>
      </c>
      <c r="F620" s="0" t="s">
        <v>18</v>
      </c>
      <c r="G620" s="7" t="s">
        <v>2092</v>
      </c>
      <c r="H620" s="0" t="s">
        <v>2093</v>
      </c>
      <c r="I620" s="0" t="s">
        <v>21</v>
      </c>
      <c r="J620" s="0" t="s">
        <v>22</v>
      </c>
      <c r="K620" s="0" t="s">
        <v>1725</v>
      </c>
      <c r="L620" s="0" t="str">
        <f aca="false">IFERROR(VLOOKUP(K620,'Supplier list'!B:C,2,0),"")</f>
        <v>บริษัท พรีซิชั่นไลน์ จำกัด</v>
      </c>
      <c r="M620" s="1" t="n">
        <f aca="false">FALSE()</f>
        <v>0</v>
      </c>
      <c r="N620" s="2"/>
      <c r="O620" s="2" t="n">
        <v>6</v>
      </c>
    </row>
    <row r="621" customFormat="false" ht="16.4" hidden="false" customHeight="false" outlineLevel="0" collapsed="false">
      <c r="A621" s="0" t="s">
        <v>15</v>
      </c>
      <c r="B621" s="0" t="s">
        <v>2094</v>
      </c>
      <c r="C621" s="0" t="n">
        <v>114001</v>
      </c>
      <c r="D621" s="0" t="n">
        <v>114001</v>
      </c>
      <c r="E621" s="0" t="s">
        <v>965</v>
      </c>
      <c r="F621" s="0" t="s">
        <v>18</v>
      </c>
      <c r="G621" s="7" t="s">
        <v>2095</v>
      </c>
      <c r="H621" s="0" t="s">
        <v>2096</v>
      </c>
      <c r="I621" s="0" t="s">
        <v>21</v>
      </c>
      <c r="J621" s="0" t="s">
        <v>22</v>
      </c>
      <c r="K621" s="0" t="s">
        <v>1725</v>
      </c>
      <c r="L621" s="0" t="str">
        <f aca="false">IFERROR(VLOOKUP(K621,'Supplier list'!B:C,2,0),"")</f>
        <v>บริษัท พรีซิชั่นไลน์ จำกัด</v>
      </c>
      <c r="M621" s="1" t="n">
        <f aca="false">FALSE()</f>
        <v>0</v>
      </c>
      <c r="N621" s="2"/>
      <c r="O621" s="2" t="n">
        <v>6</v>
      </c>
    </row>
    <row r="622" customFormat="false" ht="16.4" hidden="false" customHeight="false" outlineLevel="0" collapsed="false">
      <c r="A622" s="0" t="s">
        <v>15</v>
      </c>
      <c r="B622" s="0" t="s">
        <v>2097</v>
      </c>
      <c r="C622" s="0" t="n">
        <v>114001</v>
      </c>
      <c r="D622" s="0" t="n">
        <v>114001</v>
      </c>
      <c r="E622" s="0" t="s">
        <v>1764</v>
      </c>
      <c r="F622" s="0" t="s">
        <v>18</v>
      </c>
      <c r="G622" s="7" t="s">
        <v>2098</v>
      </c>
      <c r="H622" s="0" t="s">
        <v>2099</v>
      </c>
      <c r="I622" s="0" t="s">
        <v>21</v>
      </c>
      <c r="J622" s="0" t="s">
        <v>22</v>
      </c>
      <c r="K622" s="0" t="s">
        <v>89</v>
      </c>
      <c r="L622" s="0" t="str">
        <f aca="false">IFERROR(VLOOKUP(K622,'Supplier list'!B:C,2,0),"")</f>
        <v>บริษัท เฮเฟเล่ (ประเทศไทย) จำกัด</v>
      </c>
      <c r="M622" s="1" t="n">
        <f aca="false">FALSE()</f>
        <v>0</v>
      </c>
      <c r="N622" s="2"/>
      <c r="O622" s="2" t="n">
        <v>206</v>
      </c>
    </row>
    <row r="623" customFormat="false" ht="16.4" hidden="false" customHeight="false" outlineLevel="0" collapsed="false">
      <c r="A623" s="0" t="s">
        <v>15</v>
      </c>
      <c r="B623" s="0" t="s">
        <v>2100</v>
      </c>
      <c r="C623" s="0" t="n">
        <v>114001</v>
      </c>
      <c r="D623" s="0" t="n">
        <v>114001</v>
      </c>
      <c r="E623" s="0" t="s">
        <v>1764</v>
      </c>
      <c r="F623" s="0" t="s">
        <v>18</v>
      </c>
      <c r="G623" s="7" t="s">
        <v>2101</v>
      </c>
      <c r="H623" s="0" t="s">
        <v>2102</v>
      </c>
      <c r="I623" s="0" t="s">
        <v>21</v>
      </c>
      <c r="J623" s="0" t="s">
        <v>22</v>
      </c>
      <c r="K623" s="0" t="s">
        <v>89</v>
      </c>
      <c r="L623" s="0" t="str">
        <f aca="false">IFERROR(VLOOKUP(K623,'Supplier list'!B:C,2,0),"")</f>
        <v>บริษัท เฮเฟเล่ (ประเทศไทย) จำกัด</v>
      </c>
      <c r="M623" s="1" t="n">
        <f aca="false">FALSE()</f>
        <v>0</v>
      </c>
      <c r="N623" s="2"/>
      <c r="O623" s="2" t="n">
        <v>318</v>
      </c>
    </row>
    <row r="624" customFormat="false" ht="16.4" hidden="false" customHeight="false" outlineLevel="0" collapsed="false">
      <c r="A624" s="0" t="s">
        <v>15</v>
      </c>
      <c r="B624" s="0" t="s">
        <v>2103</v>
      </c>
      <c r="C624" s="0" t="n">
        <v>114001</v>
      </c>
      <c r="D624" s="0" t="n">
        <v>114001</v>
      </c>
      <c r="E624" s="0" t="s">
        <v>2085</v>
      </c>
      <c r="F624" s="0" t="s">
        <v>18</v>
      </c>
      <c r="G624" s="7" t="s">
        <v>2104</v>
      </c>
      <c r="H624" s="0" t="s">
        <v>2105</v>
      </c>
      <c r="I624" s="0" t="s">
        <v>124</v>
      </c>
      <c r="J624" s="0" t="s">
        <v>125</v>
      </c>
      <c r="K624" s="0" t="s">
        <v>89</v>
      </c>
      <c r="L624" s="0" t="str">
        <f aca="false">IFERROR(VLOOKUP(K624,'Supplier list'!B:C,2,0),"")</f>
        <v>บริษัท เฮเฟเล่ (ประเทศไทย) จำกัด</v>
      </c>
      <c r="M624" s="1" t="n">
        <f aca="false">FALSE()</f>
        <v>0</v>
      </c>
      <c r="N624" s="2"/>
      <c r="O624" s="2" t="n">
        <v>38</v>
      </c>
    </row>
    <row r="625" customFormat="false" ht="16.4" hidden="false" customHeight="false" outlineLevel="0" collapsed="false">
      <c r="A625" s="0" t="s">
        <v>15</v>
      </c>
      <c r="B625" s="0" t="s">
        <v>2106</v>
      </c>
      <c r="C625" s="0" t="n">
        <v>114001</v>
      </c>
      <c r="D625" s="0" t="n">
        <v>114001</v>
      </c>
      <c r="E625" s="0" t="s">
        <v>1764</v>
      </c>
      <c r="F625" s="0" t="s">
        <v>18</v>
      </c>
      <c r="G625" s="7" t="s">
        <v>2107</v>
      </c>
      <c r="H625" s="0" t="s">
        <v>2108</v>
      </c>
      <c r="I625" s="0" t="s">
        <v>21</v>
      </c>
      <c r="J625" s="0" t="s">
        <v>22</v>
      </c>
      <c r="K625" s="0" t="s">
        <v>89</v>
      </c>
      <c r="L625" s="0" t="str">
        <f aca="false">IFERROR(VLOOKUP(K625,'Supplier list'!B:C,2,0),"")</f>
        <v>บริษัท เฮเฟเล่ (ประเทศไทย) จำกัด</v>
      </c>
      <c r="M625" s="1" t="n">
        <f aca="false">FALSE()</f>
        <v>0</v>
      </c>
      <c r="N625" s="2"/>
      <c r="O625" s="2" t="n">
        <v>514</v>
      </c>
    </row>
    <row r="626" customFormat="false" ht="16.4" hidden="false" customHeight="false" outlineLevel="0" collapsed="false">
      <c r="A626" s="0" t="s">
        <v>15</v>
      </c>
      <c r="B626" s="0" t="s">
        <v>2109</v>
      </c>
      <c r="C626" s="0" t="n">
        <v>114001</v>
      </c>
      <c r="D626" s="0" t="n">
        <v>114001</v>
      </c>
      <c r="E626" s="0" t="s">
        <v>1653</v>
      </c>
      <c r="F626" s="0" t="s">
        <v>18</v>
      </c>
      <c r="G626" s="7" t="s">
        <v>2110</v>
      </c>
      <c r="H626" s="0" t="s">
        <v>2111</v>
      </c>
      <c r="I626" s="0" t="s">
        <v>21</v>
      </c>
      <c r="J626" s="0" t="s">
        <v>22</v>
      </c>
      <c r="K626" s="0" t="s">
        <v>89</v>
      </c>
      <c r="L626" s="0" t="str">
        <f aca="false">IFERROR(VLOOKUP(K626,'Supplier list'!B:C,2,0),"")</f>
        <v>บริษัท เฮเฟเล่ (ประเทศไทย) จำกัด</v>
      </c>
      <c r="M626" s="1" t="n">
        <f aca="false">FALSE()</f>
        <v>0</v>
      </c>
      <c r="N626" s="2"/>
      <c r="O626" s="2" t="n">
        <v>2804</v>
      </c>
    </row>
    <row r="627" customFormat="false" ht="16.4" hidden="false" customHeight="false" outlineLevel="0" collapsed="false">
      <c r="A627" s="0" t="s">
        <v>15</v>
      </c>
      <c r="B627" s="0" t="s">
        <v>2112</v>
      </c>
      <c r="C627" s="0" t="n">
        <v>114001</v>
      </c>
      <c r="D627" s="0" t="n">
        <v>114001</v>
      </c>
      <c r="E627" s="0" t="s">
        <v>1804</v>
      </c>
      <c r="F627" s="0" t="s">
        <v>18</v>
      </c>
      <c r="G627" s="7" t="s">
        <v>2113</v>
      </c>
      <c r="H627" s="0" t="s">
        <v>2114</v>
      </c>
      <c r="I627" s="0" t="s">
        <v>21</v>
      </c>
      <c r="J627" s="0" t="s">
        <v>22</v>
      </c>
      <c r="K627" s="0" t="s">
        <v>89</v>
      </c>
      <c r="L627" s="0" t="str">
        <f aca="false">IFERROR(VLOOKUP(K627,'Supplier list'!B:C,2,0),"")</f>
        <v>บริษัท เฮเฟเล่ (ประเทศไทย) จำกัด</v>
      </c>
      <c r="M627" s="1" t="n">
        <f aca="false">FALSE()</f>
        <v>0</v>
      </c>
      <c r="N627" s="2"/>
      <c r="O627" s="2" t="n">
        <v>2599</v>
      </c>
    </row>
    <row r="628" customFormat="false" ht="16.4" hidden="false" customHeight="false" outlineLevel="0" collapsed="false">
      <c r="A628" s="0" t="s">
        <v>15</v>
      </c>
      <c r="B628" s="0" t="s">
        <v>2115</v>
      </c>
      <c r="C628" s="0" t="n">
        <v>114001</v>
      </c>
      <c r="D628" s="0" t="n">
        <v>114001</v>
      </c>
      <c r="E628" s="0" t="s">
        <v>1653</v>
      </c>
      <c r="F628" s="0" t="s">
        <v>18</v>
      </c>
      <c r="G628" s="7" t="s">
        <v>2116</v>
      </c>
      <c r="H628" s="0" t="s">
        <v>2117</v>
      </c>
      <c r="I628" s="0" t="s">
        <v>21</v>
      </c>
      <c r="J628" s="0" t="s">
        <v>22</v>
      </c>
      <c r="K628" s="0" t="s">
        <v>89</v>
      </c>
      <c r="L628" s="0" t="str">
        <f aca="false">IFERROR(VLOOKUP(K628,'Supplier list'!B:C,2,0),"")</f>
        <v>บริษัท เฮเฟเล่ (ประเทศไทย) จำกัด</v>
      </c>
      <c r="M628" s="1" t="n">
        <f aca="false">FALSE()</f>
        <v>0</v>
      </c>
      <c r="N628" s="2"/>
      <c r="O628" s="2" t="n">
        <v>15701</v>
      </c>
    </row>
    <row r="629" customFormat="false" ht="16.4" hidden="false" customHeight="false" outlineLevel="0" collapsed="false">
      <c r="A629" s="0" t="s">
        <v>15</v>
      </c>
      <c r="B629" s="0" t="s">
        <v>2118</v>
      </c>
      <c r="C629" s="0" t="n">
        <v>114001</v>
      </c>
      <c r="D629" s="0" t="n">
        <v>114001</v>
      </c>
      <c r="E629" s="0" t="s">
        <v>1653</v>
      </c>
      <c r="F629" s="0" t="s">
        <v>18</v>
      </c>
      <c r="G629" s="7" t="s">
        <v>2119</v>
      </c>
      <c r="H629" s="0" t="s">
        <v>2120</v>
      </c>
      <c r="I629" s="0" t="s">
        <v>124</v>
      </c>
      <c r="J629" s="0" t="s">
        <v>125</v>
      </c>
      <c r="K629" s="0" t="s">
        <v>89</v>
      </c>
      <c r="L629" s="0" t="str">
        <f aca="false">IFERROR(VLOOKUP(K629,'Supplier list'!B:C,2,0),"")</f>
        <v>บริษัท เฮเฟเล่ (ประเทศไทย) จำกัด</v>
      </c>
      <c r="M629" s="1" t="n">
        <f aca="false">FALSE()</f>
        <v>0</v>
      </c>
      <c r="N629" s="2"/>
      <c r="O629" s="2" t="n">
        <v>93</v>
      </c>
    </row>
    <row r="630" customFormat="false" ht="16.4" hidden="false" customHeight="false" outlineLevel="0" collapsed="false">
      <c r="A630" s="0" t="s">
        <v>15</v>
      </c>
      <c r="B630" s="0" t="s">
        <v>2121</v>
      </c>
      <c r="C630" s="0" t="n">
        <v>114001</v>
      </c>
      <c r="D630" s="0" t="n">
        <v>114001</v>
      </c>
      <c r="E630" s="0" t="s">
        <v>1653</v>
      </c>
      <c r="F630" s="0" t="s">
        <v>18</v>
      </c>
      <c r="G630" s="7" t="s">
        <v>2122</v>
      </c>
      <c r="H630" s="0" t="s">
        <v>2123</v>
      </c>
      <c r="I630" s="0" t="s">
        <v>124</v>
      </c>
      <c r="J630" s="0" t="s">
        <v>125</v>
      </c>
      <c r="K630" s="0" t="s">
        <v>89</v>
      </c>
      <c r="L630" s="0" t="str">
        <f aca="false">IFERROR(VLOOKUP(K630,'Supplier list'!B:C,2,0),"")</f>
        <v>บริษัท เฮเฟเล่ (ประเทศไทย) จำกัด</v>
      </c>
      <c r="M630" s="1" t="n">
        <f aca="false">FALSE()</f>
        <v>0</v>
      </c>
      <c r="N630" s="2"/>
      <c r="O630" s="2" t="n">
        <v>2533</v>
      </c>
    </row>
    <row r="631" customFormat="false" ht="16.4" hidden="false" customHeight="false" outlineLevel="0" collapsed="false">
      <c r="A631" s="0" t="s">
        <v>15</v>
      </c>
      <c r="B631" s="0" t="s">
        <v>2124</v>
      </c>
      <c r="C631" s="0" t="n">
        <v>114001</v>
      </c>
      <c r="D631" s="0" t="n">
        <v>114001</v>
      </c>
      <c r="E631" s="0" t="s">
        <v>1653</v>
      </c>
      <c r="F631" s="0" t="s">
        <v>18</v>
      </c>
      <c r="G631" s="7" t="s">
        <v>2125</v>
      </c>
      <c r="H631" s="0" t="s">
        <v>2126</v>
      </c>
      <c r="I631" s="0" t="s">
        <v>124</v>
      </c>
      <c r="J631" s="0" t="s">
        <v>125</v>
      </c>
      <c r="K631" s="0" t="s">
        <v>89</v>
      </c>
      <c r="L631" s="0" t="str">
        <f aca="false">IFERROR(VLOOKUP(K631,'Supplier list'!B:C,2,0),"")</f>
        <v>บริษัท เฮเฟเล่ (ประเทศไทย) จำกัด</v>
      </c>
      <c r="M631" s="1" t="n">
        <f aca="false">FALSE()</f>
        <v>0</v>
      </c>
      <c r="N631" s="2"/>
      <c r="O631" s="2" t="n">
        <v>271</v>
      </c>
    </row>
    <row r="632" customFormat="false" ht="16.4" hidden="false" customHeight="false" outlineLevel="0" collapsed="false">
      <c r="A632" s="0" t="s">
        <v>15</v>
      </c>
      <c r="B632" s="0" t="s">
        <v>2127</v>
      </c>
      <c r="C632" s="0" t="n">
        <v>114001</v>
      </c>
      <c r="D632" s="0" t="n">
        <v>114001</v>
      </c>
      <c r="E632" s="0" t="s">
        <v>121</v>
      </c>
      <c r="F632" s="0" t="s">
        <v>18</v>
      </c>
      <c r="G632" s="7" t="s">
        <v>2128</v>
      </c>
      <c r="H632" s="0" t="s">
        <v>2129</v>
      </c>
      <c r="I632" s="0" t="s">
        <v>142</v>
      </c>
      <c r="J632" s="0" t="s">
        <v>143</v>
      </c>
      <c r="K632" s="0" t="s">
        <v>75</v>
      </c>
      <c r="L632" s="0" t="str">
        <f aca="false">IFERROR(VLOOKUP(K632,'Supplier list'!B:C,2,0),"")</f>
        <v/>
      </c>
      <c r="M632" s="1" t="n">
        <f aca="false">FALSE()</f>
        <v>0</v>
      </c>
      <c r="N632" s="2"/>
      <c r="O632" s="2" t="n">
        <v>200</v>
      </c>
    </row>
    <row r="633" customFormat="false" ht="16.4" hidden="false" customHeight="false" outlineLevel="0" collapsed="false">
      <c r="A633" s="0" t="s">
        <v>15</v>
      </c>
      <c r="B633" s="0" t="s">
        <v>2130</v>
      </c>
      <c r="C633" s="0" t="n">
        <v>114001</v>
      </c>
      <c r="D633" s="0" t="n">
        <v>114001</v>
      </c>
      <c r="E633" s="0" t="s">
        <v>1653</v>
      </c>
      <c r="F633" s="0" t="s">
        <v>18</v>
      </c>
      <c r="G633" s="7" t="s">
        <v>2131</v>
      </c>
      <c r="H633" s="0" t="s">
        <v>2132</v>
      </c>
      <c r="I633" s="0" t="s">
        <v>124</v>
      </c>
      <c r="J633" s="0" t="s">
        <v>125</v>
      </c>
      <c r="K633" s="0" t="s">
        <v>89</v>
      </c>
      <c r="L633" s="0" t="str">
        <f aca="false">IFERROR(VLOOKUP(K633,'Supplier list'!B:C,2,0),"")</f>
        <v>บริษัท เฮเฟเล่ (ประเทศไทย) จำกัด</v>
      </c>
      <c r="M633" s="1" t="n">
        <f aca="false">FALSE()</f>
        <v>0</v>
      </c>
      <c r="N633" s="2"/>
      <c r="O633" s="2" t="n">
        <v>1178</v>
      </c>
    </row>
    <row r="634" customFormat="false" ht="16.4" hidden="false" customHeight="false" outlineLevel="0" collapsed="false">
      <c r="A634" s="0" t="s">
        <v>15</v>
      </c>
      <c r="B634" s="0" t="s">
        <v>2133</v>
      </c>
      <c r="C634" s="0" t="n">
        <v>114001</v>
      </c>
      <c r="D634" s="0" t="n">
        <v>114001</v>
      </c>
      <c r="E634" s="0" t="s">
        <v>874</v>
      </c>
      <c r="F634" s="0" t="s">
        <v>18</v>
      </c>
      <c r="G634" s="7" t="s">
        <v>2134</v>
      </c>
      <c r="H634" s="0" t="s">
        <v>2135</v>
      </c>
      <c r="I634" s="0" t="s">
        <v>21</v>
      </c>
      <c r="J634" s="0" t="s">
        <v>22</v>
      </c>
      <c r="K634" s="0" t="s">
        <v>68</v>
      </c>
      <c r="L634" s="0" t="str">
        <f aca="false">IFERROR(VLOOKUP(K634,'Supplier list'!B:C,2,0),"")</f>
        <v>หจก. กรีน ดิสทริบิวชั่น</v>
      </c>
      <c r="M634" s="1" t="n">
        <f aca="false">FALSE()</f>
        <v>0</v>
      </c>
      <c r="N634" s="2"/>
      <c r="O634" s="2" t="n">
        <v>92</v>
      </c>
    </row>
    <row r="635" customFormat="false" ht="16.4" hidden="false" customHeight="false" outlineLevel="0" collapsed="false">
      <c r="A635" s="0" t="s">
        <v>15</v>
      </c>
      <c r="B635" s="0" t="s">
        <v>2136</v>
      </c>
      <c r="C635" s="0" t="n">
        <v>114001</v>
      </c>
      <c r="D635" s="0" t="n">
        <v>114001</v>
      </c>
      <c r="E635" s="0" t="s">
        <v>1653</v>
      </c>
      <c r="F635" s="0" t="s">
        <v>18</v>
      </c>
      <c r="G635" s="7" t="s">
        <v>2137</v>
      </c>
      <c r="H635" s="0" t="s">
        <v>2138</v>
      </c>
      <c r="I635" s="0" t="s">
        <v>124</v>
      </c>
      <c r="J635" s="0" t="s">
        <v>125</v>
      </c>
      <c r="K635" s="0" t="s">
        <v>89</v>
      </c>
      <c r="L635" s="0" t="str">
        <f aca="false">IFERROR(VLOOKUP(K635,'Supplier list'!B:C,2,0),"")</f>
        <v>บริษัท เฮเฟเล่ (ประเทศไทย) จำกัด</v>
      </c>
      <c r="M635" s="1" t="n">
        <f aca="false">FALSE()</f>
        <v>0</v>
      </c>
      <c r="N635" s="2"/>
      <c r="O635" s="2" t="n">
        <v>1000</v>
      </c>
    </row>
    <row r="636" customFormat="false" ht="16.4" hidden="false" customHeight="false" outlineLevel="0" collapsed="false">
      <c r="A636" s="0" t="s">
        <v>15</v>
      </c>
      <c r="B636" s="0" t="s">
        <v>2139</v>
      </c>
      <c r="C636" s="0" t="n">
        <v>114001</v>
      </c>
      <c r="D636" s="0" t="n">
        <v>114001</v>
      </c>
      <c r="E636" s="0" t="s">
        <v>1815</v>
      </c>
      <c r="F636" s="0" t="s">
        <v>18</v>
      </c>
      <c r="G636" s="7" t="s">
        <v>2140</v>
      </c>
      <c r="H636" s="0" t="s">
        <v>2141</v>
      </c>
      <c r="I636" s="0" t="s">
        <v>124</v>
      </c>
      <c r="J636" s="0" t="s">
        <v>125</v>
      </c>
      <c r="K636" s="0" t="s">
        <v>89</v>
      </c>
      <c r="L636" s="0" t="str">
        <f aca="false">IFERROR(VLOOKUP(K636,'Supplier list'!B:C,2,0),"")</f>
        <v>บริษัท เฮเฟเล่ (ประเทศไทย) จำกัด</v>
      </c>
      <c r="M636" s="1" t="n">
        <f aca="false">FALSE()</f>
        <v>0</v>
      </c>
      <c r="N636" s="2"/>
      <c r="O636" s="2" t="n">
        <v>571</v>
      </c>
    </row>
    <row r="637" customFormat="false" ht="16.4" hidden="false" customHeight="false" outlineLevel="0" collapsed="false">
      <c r="A637" s="0" t="s">
        <v>15</v>
      </c>
      <c r="B637" s="0" t="s">
        <v>2142</v>
      </c>
      <c r="C637" s="0" t="n">
        <v>114001</v>
      </c>
      <c r="D637" s="0" t="n">
        <v>114001</v>
      </c>
      <c r="E637" s="0" t="s">
        <v>1653</v>
      </c>
      <c r="F637" s="0" t="s">
        <v>18</v>
      </c>
      <c r="G637" s="7" t="s">
        <v>2143</v>
      </c>
      <c r="H637" s="0" t="s">
        <v>2144</v>
      </c>
      <c r="I637" s="0" t="s">
        <v>124</v>
      </c>
      <c r="J637" s="0" t="s">
        <v>125</v>
      </c>
      <c r="K637" s="0" t="s">
        <v>89</v>
      </c>
      <c r="L637" s="0" t="str">
        <f aca="false">IFERROR(VLOOKUP(K637,'Supplier list'!B:C,2,0),"")</f>
        <v>บริษัท เฮเฟเล่ (ประเทศไทย) จำกัด</v>
      </c>
      <c r="M637" s="1" t="n">
        <f aca="false">FALSE()</f>
        <v>0</v>
      </c>
      <c r="N637" s="2"/>
      <c r="O637" s="2" t="n">
        <v>1066</v>
      </c>
    </row>
    <row r="638" customFormat="false" ht="16.4" hidden="false" customHeight="false" outlineLevel="0" collapsed="false">
      <c r="A638" s="0" t="s">
        <v>15</v>
      </c>
      <c r="B638" s="0" t="s">
        <v>2145</v>
      </c>
      <c r="C638" s="0" t="n">
        <v>114001</v>
      </c>
      <c r="D638" s="0" t="n">
        <v>114001</v>
      </c>
      <c r="E638" s="0" t="s">
        <v>1653</v>
      </c>
      <c r="F638" s="0" t="s">
        <v>18</v>
      </c>
      <c r="G638" s="7" t="s">
        <v>2146</v>
      </c>
      <c r="H638" s="0" t="s">
        <v>2147</v>
      </c>
      <c r="I638" s="0" t="s">
        <v>124</v>
      </c>
      <c r="J638" s="0" t="s">
        <v>125</v>
      </c>
      <c r="K638" s="0" t="s">
        <v>89</v>
      </c>
      <c r="L638" s="0" t="str">
        <f aca="false">IFERROR(VLOOKUP(K638,'Supplier list'!B:C,2,0),"")</f>
        <v>บริษัท เฮเฟเล่ (ประเทศไทย) จำกัด</v>
      </c>
      <c r="M638" s="1" t="n">
        <f aca="false">FALSE()</f>
        <v>0</v>
      </c>
      <c r="N638" s="2"/>
      <c r="O638" s="2" t="n">
        <v>337</v>
      </c>
    </row>
    <row r="639" customFormat="false" ht="16.4" hidden="false" customHeight="false" outlineLevel="0" collapsed="false">
      <c r="A639" s="0" t="s">
        <v>15</v>
      </c>
      <c r="B639" s="0" t="s">
        <v>2148</v>
      </c>
      <c r="C639" s="0" t="n">
        <v>114001</v>
      </c>
      <c r="D639" s="0" t="n">
        <v>114001</v>
      </c>
      <c r="E639" s="0" t="s">
        <v>1653</v>
      </c>
      <c r="F639" s="0" t="s">
        <v>18</v>
      </c>
      <c r="G639" s="7" t="s">
        <v>2149</v>
      </c>
      <c r="H639" s="0" t="s">
        <v>2150</v>
      </c>
      <c r="I639" s="0" t="s">
        <v>124</v>
      </c>
      <c r="J639" s="0" t="s">
        <v>125</v>
      </c>
      <c r="K639" s="0" t="s">
        <v>89</v>
      </c>
      <c r="L639" s="0" t="str">
        <f aca="false">IFERROR(VLOOKUP(K639,'Supplier list'!B:C,2,0),"")</f>
        <v>บริษัท เฮเฟเล่ (ประเทศไทย) จำกัด</v>
      </c>
      <c r="M639" s="1" t="n">
        <f aca="false">FALSE()</f>
        <v>0</v>
      </c>
      <c r="N639" s="2"/>
      <c r="O639" s="2" t="n">
        <v>430</v>
      </c>
    </row>
    <row r="640" customFormat="false" ht="16.4" hidden="false" customHeight="false" outlineLevel="0" collapsed="false">
      <c r="A640" s="0" t="s">
        <v>15</v>
      </c>
      <c r="B640" s="0" t="s">
        <v>2151</v>
      </c>
      <c r="C640" s="0" t="n">
        <v>114001</v>
      </c>
      <c r="D640" s="0" t="n">
        <v>114001</v>
      </c>
      <c r="E640" s="0" t="s">
        <v>127</v>
      </c>
      <c r="F640" s="0" t="s">
        <v>18</v>
      </c>
      <c r="G640" s="7" t="s">
        <v>2152</v>
      </c>
      <c r="H640" s="0" t="s">
        <v>2153</v>
      </c>
      <c r="I640" s="0" t="s">
        <v>21</v>
      </c>
      <c r="J640" s="0" t="s">
        <v>22</v>
      </c>
      <c r="L640" s="0" t="str">
        <f aca="false">IFERROR(VLOOKUP(K640,'Supplier list'!B:C,2,0),"")</f>
        <v/>
      </c>
      <c r="M640" s="1" t="n">
        <f aca="false">FALSE()</f>
        <v>0</v>
      </c>
      <c r="N640" s="2"/>
      <c r="O640" s="2" t="n">
        <v>6</v>
      </c>
    </row>
    <row r="641" customFormat="false" ht="16.4" hidden="false" customHeight="false" outlineLevel="0" collapsed="false">
      <c r="A641" s="0" t="s">
        <v>15</v>
      </c>
      <c r="B641" s="0" t="s">
        <v>2154</v>
      </c>
      <c r="C641" s="0" t="n">
        <v>114001</v>
      </c>
      <c r="D641" s="0" t="n">
        <v>114001</v>
      </c>
      <c r="E641" s="0" t="s">
        <v>1653</v>
      </c>
      <c r="F641" s="0" t="s">
        <v>18</v>
      </c>
      <c r="G641" s="7" t="s">
        <v>2155</v>
      </c>
      <c r="H641" s="0" t="s">
        <v>2156</v>
      </c>
      <c r="I641" s="0" t="s">
        <v>124</v>
      </c>
      <c r="J641" s="0" t="s">
        <v>125</v>
      </c>
      <c r="K641" s="0" t="s">
        <v>89</v>
      </c>
      <c r="L641" s="0" t="str">
        <f aca="false">IFERROR(VLOOKUP(K641,'Supplier list'!B:C,2,0),"")</f>
        <v>บริษัท เฮเฟเล่ (ประเทศไทย) จำกัด</v>
      </c>
      <c r="M641" s="1" t="n">
        <f aca="false">FALSE()</f>
        <v>0</v>
      </c>
      <c r="N641" s="2"/>
      <c r="O641" s="2" t="n">
        <v>6440</v>
      </c>
    </row>
    <row r="642" customFormat="false" ht="16.4" hidden="false" customHeight="false" outlineLevel="0" collapsed="false">
      <c r="A642" s="0" t="s">
        <v>15</v>
      </c>
      <c r="B642" s="0" t="s">
        <v>2157</v>
      </c>
      <c r="C642" s="0" t="n">
        <v>114001</v>
      </c>
      <c r="D642" s="0" t="n">
        <v>114001</v>
      </c>
      <c r="E642" s="0" t="s">
        <v>1653</v>
      </c>
      <c r="F642" s="0" t="s">
        <v>18</v>
      </c>
      <c r="G642" s="7" t="s">
        <v>2158</v>
      </c>
      <c r="H642" s="0" t="s">
        <v>2159</v>
      </c>
      <c r="I642" s="0" t="s">
        <v>124</v>
      </c>
      <c r="J642" s="0" t="s">
        <v>125</v>
      </c>
      <c r="K642" s="0" t="s">
        <v>89</v>
      </c>
      <c r="L642" s="0" t="str">
        <f aca="false">IFERROR(VLOOKUP(K642,'Supplier list'!B:C,2,0),"")</f>
        <v>บริษัท เฮเฟเล่ (ประเทศไทย) จำกัด</v>
      </c>
      <c r="M642" s="1" t="n">
        <f aca="false">FALSE()</f>
        <v>0</v>
      </c>
      <c r="N642" s="2"/>
      <c r="O642" s="2" t="n">
        <v>5489</v>
      </c>
    </row>
    <row r="643" customFormat="false" ht="16.4" hidden="false" customHeight="false" outlineLevel="0" collapsed="false">
      <c r="A643" s="0" t="s">
        <v>15</v>
      </c>
      <c r="B643" s="0" t="s">
        <v>2160</v>
      </c>
      <c r="C643" s="0" t="n">
        <v>114001</v>
      </c>
      <c r="D643" s="0" t="n">
        <v>114001</v>
      </c>
      <c r="E643" s="0" t="s">
        <v>1653</v>
      </c>
      <c r="F643" s="0" t="s">
        <v>18</v>
      </c>
      <c r="G643" s="7" t="s">
        <v>2161</v>
      </c>
      <c r="H643" s="0" t="s">
        <v>2162</v>
      </c>
      <c r="I643" s="0" t="s">
        <v>124</v>
      </c>
      <c r="J643" s="0" t="s">
        <v>125</v>
      </c>
      <c r="K643" s="0" t="s">
        <v>89</v>
      </c>
      <c r="L643" s="0" t="str">
        <f aca="false">IFERROR(VLOOKUP(K643,'Supplier list'!B:C,2,0),"")</f>
        <v>บริษัท เฮเฟเล่ (ประเทศไทย) จำกัด</v>
      </c>
      <c r="M643" s="1" t="n">
        <f aca="false">FALSE()</f>
        <v>0</v>
      </c>
      <c r="N643" s="2"/>
      <c r="O643" s="2" t="n">
        <v>589</v>
      </c>
    </row>
    <row r="644" customFormat="false" ht="16.4" hidden="false" customHeight="false" outlineLevel="0" collapsed="false">
      <c r="A644" s="0" t="s">
        <v>15</v>
      </c>
      <c r="B644" s="0" t="s">
        <v>2163</v>
      </c>
      <c r="C644" s="0" t="n">
        <v>114001</v>
      </c>
      <c r="D644" s="0" t="n">
        <v>114001</v>
      </c>
      <c r="E644" s="0" t="s">
        <v>961</v>
      </c>
      <c r="F644" s="0" t="s">
        <v>18</v>
      </c>
      <c r="G644" s="7" t="s">
        <v>2164</v>
      </c>
      <c r="H644" s="0" t="s">
        <v>2165</v>
      </c>
      <c r="I644" s="0" t="s">
        <v>124</v>
      </c>
      <c r="J644" s="0" t="s">
        <v>125</v>
      </c>
      <c r="L644" s="0" t="str">
        <f aca="false">IFERROR(VLOOKUP(K644,'Supplier list'!B:C,2,0),"")</f>
        <v/>
      </c>
      <c r="M644" s="1" t="n">
        <f aca="false">FALSE()</f>
        <v>0</v>
      </c>
      <c r="N644" s="2"/>
      <c r="O644" s="2" t="n">
        <v>289</v>
      </c>
    </row>
    <row r="645" customFormat="false" ht="16.4" hidden="false" customHeight="false" outlineLevel="0" collapsed="false">
      <c r="A645" s="0" t="s">
        <v>15</v>
      </c>
      <c r="B645" s="0" t="s">
        <v>2166</v>
      </c>
      <c r="C645" s="0" t="n">
        <v>114001</v>
      </c>
      <c r="D645" s="0" t="n">
        <v>114001</v>
      </c>
      <c r="E645" s="0" t="s">
        <v>2167</v>
      </c>
      <c r="F645" s="0" t="s">
        <v>18</v>
      </c>
      <c r="G645" s="7" t="s">
        <v>2168</v>
      </c>
      <c r="H645" s="0" t="s">
        <v>2169</v>
      </c>
      <c r="I645" s="0" t="s">
        <v>21</v>
      </c>
      <c r="J645" s="0" t="s">
        <v>22</v>
      </c>
      <c r="K645" s="0" t="s">
        <v>89</v>
      </c>
      <c r="L645" s="0" t="str">
        <f aca="false">IFERROR(VLOOKUP(K645,'Supplier list'!B:C,2,0),"")</f>
        <v>บริษัท เฮเฟเล่ (ประเทศไทย) จำกัด</v>
      </c>
      <c r="M645" s="1" t="n">
        <f aca="false">FALSE()</f>
        <v>0</v>
      </c>
      <c r="N645" s="2"/>
      <c r="O645" s="2" t="n">
        <v>636</v>
      </c>
    </row>
    <row r="646" customFormat="false" ht="16.4" hidden="false" customHeight="false" outlineLevel="0" collapsed="false">
      <c r="A646" s="0" t="s">
        <v>15</v>
      </c>
      <c r="B646" s="0" t="s">
        <v>2170</v>
      </c>
      <c r="C646" s="0" t="n">
        <v>114001</v>
      </c>
      <c r="D646" s="0" t="n">
        <v>114001</v>
      </c>
      <c r="E646" s="0" t="s">
        <v>2171</v>
      </c>
      <c r="F646" s="0" t="s">
        <v>18</v>
      </c>
      <c r="G646" s="7" t="s">
        <v>2172</v>
      </c>
      <c r="H646" s="0" t="s">
        <v>2173</v>
      </c>
      <c r="I646" s="0" t="s">
        <v>124</v>
      </c>
      <c r="J646" s="0" t="s">
        <v>125</v>
      </c>
      <c r="K646" s="0" t="s">
        <v>89</v>
      </c>
      <c r="L646" s="0" t="str">
        <f aca="false">IFERROR(VLOOKUP(K646,'Supplier list'!B:C,2,0),"")</f>
        <v>บริษัท เฮเฟเล่ (ประเทศไทย) จำกัด</v>
      </c>
      <c r="M646" s="1" t="n">
        <f aca="false">FALSE()</f>
        <v>0</v>
      </c>
      <c r="N646" s="2"/>
      <c r="O646" s="2" t="n">
        <v>150</v>
      </c>
    </row>
    <row r="647" customFormat="false" ht="16.4" hidden="false" customHeight="false" outlineLevel="0" collapsed="false">
      <c r="A647" s="0" t="s">
        <v>15</v>
      </c>
      <c r="B647" s="0" t="s">
        <v>2174</v>
      </c>
      <c r="C647" s="0" t="n">
        <v>114001</v>
      </c>
      <c r="D647" s="0" t="n">
        <v>114001</v>
      </c>
      <c r="E647" s="0" t="s">
        <v>2167</v>
      </c>
      <c r="F647" s="0" t="s">
        <v>18</v>
      </c>
      <c r="G647" s="7" t="s">
        <v>2175</v>
      </c>
      <c r="H647" s="0" t="s">
        <v>2176</v>
      </c>
      <c r="I647" s="0" t="s">
        <v>168</v>
      </c>
      <c r="J647" s="0" t="s">
        <v>169</v>
      </c>
      <c r="K647" s="0" t="s">
        <v>89</v>
      </c>
      <c r="L647" s="0" t="str">
        <f aca="false">IFERROR(VLOOKUP(K647,'Supplier list'!B:C,2,0),"")</f>
        <v>บริษัท เฮเฟเล่ (ประเทศไทย) จำกัด</v>
      </c>
      <c r="M647" s="1" t="n">
        <f aca="false">FALSE()</f>
        <v>0</v>
      </c>
      <c r="N647" s="2"/>
      <c r="O647" s="2" t="n">
        <v>200</v>
      </c>
    </row>
    <row r="648" customFormat="false" ht="16.4" hidden="false" customHeight="false" outlineLevel="0" collapsed="false">
      <c r="A648" s="0" t="s">
        <v>15</v>
      </c>
      <c r="B648" s="0" t="s">
        <v>2177</v>
      </c>
      <c r="C648" s="0" t="n">
        <v>114001</v>
      </c>
      <c r="D648" s="0" t="n">
        <v>114001</v>
      </c>
      <c r="E648" s="0" t="s">
        <v>2178</v>
      </c>
      <c r="F648" s="0" t="s">
        <v>18</v>
      </c>
      <c r="G648" s="7" t="s">
        <v>2179</v>
      </c>
      <c r="H648" s="0" t="s">
        <v>2180</v>
      </c>
      <c r="I648" s="0" t="s">
        <v>21</v>
      </c>
      <c r="J648" s="0" t="s">
        <v>22</v>
      </c>
      <c r="K648" s="0" t="s">
        <v>89</v>
      </c>
      <c r="L648" s="0" t="str">
        <f aca="false">IFERROR(VLOOKUP(K648,'Supplier list'!B:C,2,0),"")</f>
        <v>บริษัท เฮเฟเล่ (ประเทศไทย) จำกัด</v>
      </c>
      <c r="M648" s="1" t="n">
        <f aca="false">FALSE()</f>
        <v>0</v>
      </c>
      <c r="N648" s="2"/>
      <c r="O648" s="2" t="n">
        <v>271</v>
      </c>
    </row>
    <row r="649" customFormat="false" ht="16.4" hidden="false" customHeight="false" outlineLevel="0" collapsed="false">
      <c r="A649" s="0" t="s">
        <v>15</v>
      </c>
      <c r="B649" s="0" t="s">
        <v>2181</v>
      </c>
      <c r="C649" s="0" t="n">
        <v>114001</v>
      </c>
      <c r="D649" s="0" t="n">
        <v>114001</v>
      </c>
      <c r="E649" s="0" t="s">
        <v>1734</v>
      </c>
      <c r="F649" s="0" t="s">
        <v>18</v>
      </c>
      <c r="G649" s="7" t="s">
        <v>2182</v>
      </c>
      <c r="H649" s="0" t="s">
        <v>2183</v>
      </c>
      <c r="I649" s="0" t="s">
        <v>124</v>
      </c>
      <c r="J649" s="0" t="s">
        <v>125</v>
      </c>
      <c r="K649" s="0" t="s">
        <v>89</v>
      </c>
      <c r="L649" s="0" t="str">
        <f aca="false">IFERROR(VLOOKUP(K649,'Supplier list'!B:C,2,0),"")</f>
        <v>บริษัท เฮเฟเล่ (ประเทศไทย) จำกัด</v>
      </c>
      <c r="M649" s="1" t="n">
        <f aca="false">FALSE()</f>
        <v>0</v>
      </c>
      <c r="N649" s="2"/>
      <c r="O649" s="2" t="n">
        <v>112.5</v>
      </c>
    </row>
    <row r="650" customFormat="false" ht="16.4" hidden="false" customHeight="false" outlineLevel="0" collapsed="false">
      <c r="A650" s="0" t="s">
        <v>15</v>
      </c>
      <c r="B650" s="0" t="s">
        <v>2184</v>
      </c>
      <c r="C650" s="0" t="n">
        <v>114001</v>
      </c>
      <c r="D650" s="0" t="n">
        <v>114001</v>
      </c>
      <c r="E650" s="0" t="s">
        <v>2185</v>
      </c>
      <c r="F650" s="0" t="s">
        <v>18</v>
      </c>
      <c r="G650" s="7" t="s">
        <v>2186</v>
      </c>
      <c r="H650" s="0" t="s">
        <v>2187</v>
      </c>
      <c r="I650" s="0" t="s">
        <v>168</v>
      </c>
      <c r="J650" s="0" t="s">
        <v>169</v>
      </c>
      <c r="K650" s="0" t="s">
        <v>89</v>
      </c>
      <c r="L650" s="0" t="str">
        <f aca="false">IFERROR(VLOOKUP(K650,'Supplier list'!B:C,2,0),"")</f>
        <v>บริษัท เฮเฟเล่ (ประเทศไทย) จำกัด</v>
      </c>
      <c r="M650" s="1" t="n">
        <f aca="false">FALSE()</f>
        <v>0</v>
      </c>
      <c r="N650" s="2"/>
      <c r="O650" s="2" t="n">
        <v>515</v>
      </c>
    </row>
    <row r="651" customFormat="false" ht="16.4" hidden="false" customHeight="false" outlineLevel="0" collapsed="false">
      <c r="A651" s="0" t="s">
        <v>15</v>
      </c>
      <c r="B651" s="0" t="s">
        <v>2188</v>
      </c>
      <c r="C651" s="0" t="n">
        <v>114001</v>
      </c>
      <c r="D651" s="0" t="n">
        <v>114001</v>
      </c>
      <c r="E651" s="0" t="s">
        <v>1684</v>
      </c>
      <c r="F651" s="0" t="s">
        <v>18</v>
      </c>
      <c r="G651" s="7" t="s">
        <v>2189</v>
      </c>
      <c r="H651" s="0" t="s">
        <v>2190</v>
      </c>
      <c r="I651" s="0" t="s">
        <v>21</v>
      </c>
      <c r="J651" s="0" t="s">
        <v>22</v>
      </c>
      <c r="K651" s="0" t="s">
        <v>89</v>
      </c>
      <c r="L651" s="0" t="str">
        <f aca="false">IFERROR(VLOOKUP(K651,'Supplier list'!B:C,2,0),"")</f>
        <v>บริษัท เฮเฟเล่ (ประเทศไทย) จำกัด</v>
      </c>
      <c r="M651" s="1" t="n">
        <f aca="false">FALSE()</f>
        <v>0</v>
      </c>
      <c r="N651" s="2"/>
      <c r="O651" s="2" t="n">
        <v>110</v>
      </c>
    </row>
  </sheetData>
  <conditionalFormatting sqref="G1:G651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6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9.04296875" defaultRowHeight="13.8" zeroHeight="false" outlineLevelRow="0" outlineLevelCol="0"/>
  <cols>
    <col collapsed="false" customWidth="true" hidden="false" outlineLevel="0" max="2" min="2" style="0" width="12.57"/>
    <col collapsed="false" customWidth="true" hidden="false" outlineLevel="0" max="4" min="4" style="0" width="7.06"/>
    <col collapsed="false" customWidth="true" hidden="false" outlineLevel="0" max="14" min="14" style="0" width="12.49"/>
  </cols>
  <sheetData>
    <row r="1" customFormat="false" ht="14.9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9216</v>
      </c>
      <c r="N1" s="5" t="s">
        <v>13</v>
      </c>
      <c r="O1" s="3" t="s">
        <v>14</v>
      </c>
    </row>
    <row r="2" customFormat="false" ht="16.4" hidden="false" customHeight="false" outlineLevel="0" collapsed="false">
      <c r="A2" s="0" t="s">
        <v>15</v>
      </c>
      <c r="B2" s="0" t="s">
        <v>2191</v>
      </c>
      <c r="C2" s="0" t="n">
        <v>114001</v>
      </c>
      <c r="D2" s="0" t="n">
        <v>114001</v>
      </c>
      <c r="E2" s="0" t="s">
        <v>1634</v>
      </c>
      <c r="F2" s="0" t="s">
        <v>18</v>
      </c>
      <c r="G2" s="7" t="s">
        <v>2192</v>
      </c>
      <c r="H2" s="0" t="s">
        <v>2193</v>
      </c>
      <c r="I2" s="0" t="s">
        <v>21</v>
      </c>
      <c r="J2" s="0" t="s">
        <v>22</v>
      </c>
      <c r="K2" s="0" t="s">
        <v>89</v>
      </c>
      <c r="L2" s="0" t="str">
        <f aca="false">IFERROR(VLOOKUP(K2,'Supplier list'!B:C,2,0),"")</f>
        <v>บริษัท เฮเฟเล่ (ประเทศไทย) จำกัด</v>
      </c>
      <c r="M2" s="1" t="n">
        <f aca="false">TRUE()</f>
        <v>1</v>
      </c>
      <c r="N2" s="2" t="n">
        <v>2500</v>
      </c>
      <c r="O2" s="2" t="n">
        <v>1421</v>
      </c>
    </row>
    <row r="3" customFormat="false" ht="16.4" hidden="false" customHeight="false" outlineLevel="0" collapsed="false">
      <c r="A3" s="0" t="s">
        <v>15</v>
      </c>
      <c r="B3" s="0" t="s">
        <v>2194</v>
      </c>
      <c r="C3" s="0" t="n">
        <v>114001</v>
      </c>
      <c r="D3" s="0" t="n">
        <v>114001</v>
      </c>
      <c r="E3" s="0" t="s">
        <v>2195</v>
      </c>
      <c r="F3" s="0" t="s">
        <v>18</v>
      </c>
      <c r="G3" s="7" t="s">
        <v>2196</v>
      </c>
      <c r="H3" s="0" t="s">
        <v>2197</v>
      </c>
      <c r="I3" s="0" t="s">
        <v>168</v>
      </c>
      <c r="J3" s="0" t="s">
        <v>169</v>
      </c>
      <c r="L3" s="0" t="str">
        <f aca="false">IFERROR(VLOOKUP(K3,'Supplier list'!B:C,2,0),"")</f>
        <v/>
      </c>
      <c r="M3" s="1" t="n">
        <f aca="false">FALSE()</f>
        <v>0</v>
      </c>
      <c r="N3" s="2"/>
      <c r="O3" s="2" t="n">
        <v>988</v>
      </c>
    </row>
    <row r="4" customFormat="false" ht="16.4" hidden="false" customHeight="false" outlineLevel="0" collapsed="false">
      <c r="A4" s="0" t="s">
        <v>15</v>
      </c>
      <c r="B4" s="0" t="s">
        <v>2198</v>
      </c>
      <c r="C4" s="0" t="n">
        <v>114001</v>
      </c>
      <c r="D4" s="0" t="n">
        <v>114001</v>
      </c>
      <c r="E4" s="0" t="s">
        <v>2195</v>
      </c>
      <c r="F4" s="0" t="s">
        <v>18</v>
      </c>
      <c r="G4" s="7" t="s">
        <v>2199</v>
      </c>
      <c r="H4" s="0" t="s">
        <v>2200</v>
      </c>
      <c r="I4" s="0" t="s">
        <v>168</v>
      </c>
      <c r="J4" s="0" t="s">
        <v>169</v>
      </c>
      <c r="L4" s="0" t="str">
        <f aca="false">IFERROR(VLOOKUP(K4,'Supplier list'!B:C,2,0),"")</f>
        <v/>
      </c>
      <c r="M4" s="1" t="n">
        <f aca="false">FALSE()</f>
        <v>0</v>
      </c>
      <c r="N4" s="2"/>
      <c r="O4" s="2" t="n">
        <v>830</v>
      </c>
    </row>
    <row r="5" customFormat="false" ht="16.4" hidden="false" customHeight="false" outlineLevel="0" collapsed="false">
      <c r="A5" s="0" t="s">
        <v>15</v>
      </c>
      <c r="B5" s="0" t="s">
        <v>2201</v>
      </c>
      <c r="C5" s="0" t="n">
        <v>114001</v>
      </c>
      <c r="D5" s="0" t="n">
        <v>114001</v>
      </c>
      <c r="E5" s="0" t="s">
        <v>2195</v>
      </c>
      <c r="F5" s="0" t="s">
        <v>18</v>
      </c>
      <c r="G5" s="7" t="s">
        <v>2202</v>
      </c>
      <c r="H5" s="0" t="s">
        <v>2203</v>
      </c>
      <c r="I5" s="0" t="s">
        <v>168</v>
      </c>
      <c r="J5" s="0" t="s">
        <v>169</v>
      </c>
      <c r="L5" s="0" t="str">
        <f aca="false">IFERROR(VLOOKUP(K5,'Supplier list'!B:C,2,0),"")</f>
        <v/>
      </c>
      <c r="M5" s="1" t="n">
        <f aca="false">FALSE()</f>
        <v>0</v>
      </c>
      <c r="N5" s="2"/>
      <c r="O5" s="2" t="n">
        <v>1590</v>
      </c>
    </row>
    <row r="6" customFormat="false" ht="16.4" hidden="false" customHeight="false" outlineLevel="0" collapsed="false">
      <c r="A6" s="0" t="s">
        <v>15</v>
      </c>
      <c r="B6" s="0" t="s">
        <v>2204</v>
      </c>
      <c r="C6" s="0" t="n">
        <v>114001</v>
      </c>
      <c r="D6" s="0" t="n">
        <v>114001</v>
      </c>
      <c r="E6" s="0" t="s">
        <v>1970</v>
      </c>
      <c r="F6" s="0" t="s">
        <v>18</v>
      </c>
      <c r="G6" s="7" t="s">
        <v>2205</v>
      </c>
      <c r="H6" s="0" t="s">
        <v>2206</v>
      </c>
      <c r="I6" s="0" t="s">
        <v>21</v>
      </c>
      <c r="J6" s="0" t="s">
        <v>22</v>
      </c>
      <c r="L6" s="0" t="str">
        <f aca="false">IFERROR(VLOOKUP(K6,'Supplier list'!B:C,2,0),"")</f>
        <v/>
      </c>
      <c r="M6" s="1" t="n">
        <f aca="false">FALSE()</f>
        <v>0</v>
      </c>
      <c r="N6" s="2"/>
      <c r="O6" s="2" t="n">
        <v>0</v>
      </c>
    </row>
    <row r="7" customFormat="false" ht="16.4" hidden="false" customHeight="false" outlineLevel="0" collapsed="false">
      <c r="A7" s="0" t="s">
        <v>15</v>
      </c>
      <c r="B7" s="0" t="s">
        <v>2207</v>
      </c>
      <c r="C7" s="0" t="n">
        <v>114001</v>
      </c>
      <c r="D7" s="0" t="n">
        <v>114001</v>
      </c>
      <c r="E7" s="0" t="s">
        <v>2208</v>
      </c>
      <c r="F7" s="0" t="s">
        <v>18</v>
      </c>
      <c r="G7" s="7" t="s">
        <v>2209</v>
      </c>
      <c r="H7" s="0" t="s">
        <v>2210</v>
      </c>
      <c r="I7" s="0" t="s">
        <v>21</v>
      </c>
      <c r="J7" s="0" t="s">
        <v>22</v>
      </c>
      <c r="L7" s="0" t="str">
        <f aca="false">IFERROR(VLOOKUP(K7,'Supplier list'!B:C,2,0),"")</f>
        <v/>
      </c>
      <c r="M7" s="1" t="n">
        <f aca="false">FALSE()</f>
        <v>0</v>
      </c>
      <c r="N7" s="2"/>
      <c r="O7" s="2" t="n">
        <v>6</v>
      </c>
    </row>
    <row r="8" customFormat="false" ht="16.4" hidden="false" customHeight="false" outlineLevel="0" collapsed="false">
      <c r="A8" s="0" t="s">
        <v>15</v>
      </c>
      <c r="B8" s="0" t="s">
        <v>2211</v>
      </c>
      <c r="C8" s="0" t="n">
        <v>114001</v>
      </c>
      <c r="D8" s="0" t="n">
        <v>114001</v>
      </c>
      <c r="E8" s="0" t="s">
        <v>2208</v>
      </c>
      <c r="F8" s="0" t="s">
        <v>18</v>
      </c>
      <c r="G8" s="7" t="s">
        <v>2212</v>
      </c>
      <c r="H8" s="0" t="s">
        <v>2213</v>
      </c>
      <c r="I8" s="0" t="s">
        <v>21</v>
      </c>
      <c r="J8" s="0" t="s">
        <v>22</v>
      </c>
      <c r="L8" s="0" t="str">
        <f aca="false">IFERROR(VLOOKUP(K8,'Supplier list'!B:C,2,0),"")</f>
        <v/>
      </c>
      <c r="M8" s="1" t="n">
        <f aca="false">FALSE()</f>
        <v>0</v>
      </c>
      <c r="N8" s="2"/>
      <c r="O8" s="2" t="n">
        <v>10</v>
      </c>
    </row>
    <row r="9" customFormat="false" ht="16.4" hidden="false" customHeight="false" outlineLevel="0" collapsed="false">
      <c r="A9" s="0" t="s">
        <v>15</v>
      </c>
      <c r="B9" s="0" t="s">
        <v>2214</v>
      </c>
      <c r="C9" s="0" t="n">
        <v>114001</v>
      </c>
      <c r="D9" s="0" t="n">
        <v>114001</v>
      </c>
      <c r="E9" s="0" t="s">
        <v>2208</v>
      </c>
      <c r="F9" s="0" t="s">
        <v>18</v>
      </c>
      <c r="G9" s="7" t="s">
        <v>2215</v>
      </c>
      <c r="H9" s="0" t="s">
        <v>2216</v>
      </c>
      <c r="I9" s="0" t="s">
        <v>21</v>
      </c>
      <c r="J9" s="0" t="s">
        <v>22</v>
      </c>
      <c r="L9" s="0" t="str">
        <f aca="false">IFERROR(VLOOKUP(K9,'Supplier list'!B:C,2,0),"")</f>
        <v/>
      </c>
      <c r="M9" s="1" t="n">
        <f aca="false">FALSE()</f>
        <v>0</v>
      </c>
      <c r="N9" s="2"/>
      <c r="O9" s="2" t="n">
        <v>15</v>
      </c>
    </row>
    <row r="10" customFormat="false" ht="16.4" hidden="false" customHeight="false" outlineLevel="0" collapsed="false">
      <c r="A10" s="0" t="s">
        <v>15</v>
      </c>
      <c r="B10" s="0" t="s">
        <v>2217</v>
      </c>
      <c r="C10" s="0" t="n">
        <v>114001</v>
      </c>
      <c r="D10" s="0" t="n">
        <v>114001</v>
      </c>
      <c r="E10" s="0" t="s">
        <v>127</v>
      </c>
      <c r="F10" s="0" t="s">
        <v>18</v>
      </c>
      <c r="G10" s="7" t="s">
        <v>2218</v>
      </c>
      <c r="H10" s="0" t="s">
        <v>2219</v>
      </c>
      <c r="I10" s="0" t="s">
        <v>21</v>
      </c>
      <c r="J10" s="0" t="s">
        <v>22</v>
      </c>
      <c r="K10" s="0" t="s">
        <v>82</v>
      </c>
      <c r="L10" s="0" t="str">
        <f aca="false">IFERROR(VLOOKUP(K10,'Supplier list'!B:C,2,0),"")</f>
        <v>บริษัท เกรียงศิริพัฒนา (1995) จำกัด</v>
      </c>
      <c r="M10" s="1" t="n">
        <f aca="false">FALSE()</f>
        <v>0</v>
      </c>
      <c r="N10" s="2"/>
      <c r="O10" s="2" t="n">
        <v>12</v>
      </c>
    </row>
    <row r="11" customFormat="false" ht="16.4" hidden="false" customHeight="false" outlineLevel="0" collapsed="false">
      <c r="A11" s="0" t="s">
        <v>15</v>
      </c>
      <c r="B11" s="0" t="s">
        <v>2220</v>
      </c>
      <c r="C11" s="0" t="n">
        <v>114001</v>
      </c>
      <c r="D11" s="0" t="n">
        <v>114001</v>
      </c>
      <c r="E11" s="0" t="s">
        <v>127</v>
      </c>
      <c r="F11" s="0" t="s">
        <v>18</v>
      </c>
      <c r="G11" s="7" t="s">
        <v>2221</v>
      </c>
      <c r="H11" s="0" t="s">
        <v>2222</v>
      </c>
      <c r="I11" s="0" t="s">
        <v>21</v>
      </c>
      <c r="J11" s="0" t="s">
        <v>22</v>
      </c>
      <c r="K11" s="0" t="s">
        <v>82</v>
      </c>
      <c r="L11" s="0" t="str">
        <f aca="false">IFERROR(VLOOKUP(K11,'Supplier list'!B:C,2,0),"")</f>
        <v>บริษัท เกรียงศิริพัฒนา (1995) จำกัด</v>
      </c>
      <c r="M11" s="1" t="n">
        <f aca="false">FALSE()</f>
        <v>0</v>
      </c>
      <c r="N11" s="2"/>
      <c r="O11" s="2" t="n">
        <v>10</v>
      </c>
    </row>
    <row r="12" customFormat="false" ht="16.4" hidden="false" customHeight="false" outlineLevel="0" collapsed="false">
      <c r="A12" s="0" t="s">
        <v>15</v>
      </c>
      <c r="B12" s="0" t="s">
        <v>2223</v>
      </c>
      <c r="C12" s="0" t="n">
        <v>114001</v>
      </c>
      <c r="D12" s="0" t="n">
        <v>114001</v>
      </c>
      <c r="E12" s="0" t="s">
        <v>127</v>
      </c>
      <c r="F12" s="0" t="s">
        <v>18</v>
      </c>
      <c r="G12" s="7" t="s">
        <v>2224</v>
      </c>
      <c r="H12" s="0" t="s">
        <v>2225</v>
      </c>
      <c r="I12" s="0" t="s">
        <v>21</v>
      </c>
      <c r="J12" s="0" t="s">
        <v>22</v>
      </c>
      <c r="L12" s="0" t="str">
        <f aca="false">IFERROR(VLOOKUP(K12,'Supplier list'!B:C,2,0),"")</f>
        <v/>
      </c>
      <c r="M12" s="1" t="n">
        <f aca="false">FALSE()</f>
        <v>0</v>
      </c>
      <c r="N12" s="2"/>
      <c r="O12" s="2" t="n">
        <v>62</v>
      </c>
    </row>
    <row r="13" customFormat="false" ht="16.4" hidden="false" customHeight="false" outlineLevel="0" collapsed="false">
      <c r="A13" s="0" t="s">
        <v>15</v>
      </c>
      <c r="B13" s="0" t="s">
        <v>2226</v>
      </c>
      <c r="C13" s="0" t="n">
        <v>114001</v>
      </c>
      <c r="D13" s="0" t="n">
        <v>114001</v>
      </c>
      <c r="E13" s="0" t="s">
        <v>2195</v>
      </c>
      <c r="F13" s="0" t="s">
        <v>18</v>
      </c>
      <c r="G13" s="7" t="s">
        <v>2227</v>
      </c>
      <c r="H13" s="0" t="s">
        <v>2228</v>
      </c>
      <c r="I13" s="0" t="s">
        <v>168</v>
      </c>
      <c r="J13" s="0" t="s">
        <v>169</v>
      </c>
      <c r="L13" s="0" t="str">
        <f aca="false">IFERROR(VLOOKUP(K13,'Supplier list'!B:C,2,0),"")</f>
        <v/>
      </c>
      <c r="M13" s="1" t="n">
        <f aca="false">FALSE()</f>
        <v>0</v>
      </c>
      <c r="N13" s="2"/>
      <c r="O13" s="2" t="n">
        <v>990</v>
      </c>
    </row>
    <row r="14" customFormat="false" ht="16.4" hidden="false" customHeight="false" outlineLevel="0" collapsed="false">
      <c r="A14" s="0" t="s">
        <v>15</v>
      </c>
      <c r="B14" s="0" t="s">
        <v>2229</v>
      </c>
      <c r="C14" s="0" t="n">
        <v>114001</v>
      </c>
      <c r="D14" s="0" t="n">
        <v>114001</v>
      </c>
      <c r="E14" s="0" t="s">
        <v>127</v>
      </c>
      <c r="F14" s="0" t="s">
        <v>18</v>
      </c>
      <c r="G14" s="7" t="s">
        <v>2230</v>
      </c>
      <c r="H14" s="0" t="s">
        <v>2231</v>
      </c>
      <c r="I14" s="0" t="s">
        <v>21</v>
      </c>
      <c r="J14" s="0" t="s">
        <v>22</v>
      </c>
      <c r="L14" s="0" t="str">
        <f aca="false">IFERROR(VLOOKUP(K14,'Supplier list'!B:C,2,0),"")</f>
        <v/>
      </c>
      <c r="M14" s="1" t="n">
        <f aca="false">FALSE()</f>
        <v>0</v>
      </c>
      <c r="N14" s="2"/>
      <c r="O14" s="2" t="n">
        <v>9.5</v>
      </c>
    </row>
    <row r="15" customFormat="false" ht="16.4" hidden="false" customHeight="false" outlineLevel="0" collapsed="false">
      <c r="A15" s="0" t="s">
        <v>15</v>
      </c>
      <c r="B15" s="0" t="s">
        <v>2232</v>
      </c>
      <c r="C15" s="0" t="n">
        <v>114001</v>
      </c>
      <c r="D15" s="0" t="n">
        <v>114001</v>
      </c>
      <c r="E15" s="0" t="s">
        <v>121</v>
      </c>
      <c r="F15" s="0" t="s">
        <v>18</v>
      </c>
      <c r="G15" s="7" t="s">
        <v>2233</v>
      </c>
      <c r="H15" s="0" t="s">
        <v>2234</v>
      </c>
      <c r="I15" s="0" t="s">
        <v>142</v>
      </c>
      <c r="J15" s="0" t="s">
        <v>143</v>
      </c>
      <c r="K15" s="0" t="s">
        <v>82</v>
      </c>
      <c r="L15" s="0" t="str">
        <f aca="false">IFERROR(VLOOKUP(K15,'Supplier list'!B:C,2,0),"")</f>
        <v>บริษัท เกรียงศิริพัฒนา (1995) จำกัด</v>
      </c>
      <c r="M15" s="1" t="n">
        <f aca="false">FALSE()</f>
        <v>0</v>
      </c>
      <c r="N15" s="2"/>
      <c r="O15" s="2" t="n">
        <v>340</v>
      </c>
    </row>
    <row r="16" customFormat="false" ht="16.4" hidden="false" customHeight="false" outlineLevel="0" collapsed="false">
      <c r="A16" s="0" t="s">
        <v>15</v>
      </c>
      <c r="B16" s="0" t="s">
        <v>2235</v>
      </c>
      <c r="C16" s="0" t="n">
        <v>114001</v>
      </c>
      <c r="D16" s="0" t="n">
        <v>114001</v>
      </c>
      <c r="E16" s="0" t="s">
        <v>127</v>
      </c>
      <c r="F16" s="0" t="s">
        <v>18</v>
      </c>
      <c r="G16" s="7" t="s">
        <v>2236</v>
      </c>
      <c r="H16" s="0" t="s">
        <v>2237</v>
      </c>
      <c r="I16" s="0" t="s">
        <v>21</v>
      </c>
      <c r="J16" s="0" t="s">
        <v>22</v>
      </c>
      <c r="L16" s="0" t="str">
        <f aca="false">IFERROR(VLOOKUP(K16,'Supplier list'!B:C,2,0),"")</f>
        <v/>
      </c>
      <c r="M16" s="1" t="n">
        <f aca="false">FALSE()</f>
        <v>0</v>
      </c>
      <c r="N16" s="2"/>
      <c r="O16" s="2" t="n">
        <v>20</v>
      </c>
    </row>
    <row r="17" customFormat="false" ht="16.4" hidden="false" customHeight="false" outlineLevel="0" collapsed="false">
      <c r="A17" s="0" t="s">
        <v>15</v>
      </c>
      <c r="B17" s="0" t="s">
        <v>2238</v>
      </c>
      <c r="C17" s="0" t="n">
        <v>114001</v>
      </c>
      <c r="D17" s="0" t="n">
        <v>114001</v>
      </c>
      <c r="E17" s="0" t="s">
        <v>1764</v>
      </c>
      <c r="F17" s="0" t="s">
        <v>18</v>
      </c>
      <c r="G17" s="7" t="s">
        <v>2239</v>
      </c>
      <c r="H17" s="0" t="s">
        <v>2240</v>
      </c>
      <c r="I17" s="0" t="s">
        <v>21</v>
      </c>
      <c r="J17" s="0" t="s">
        <v>22</v>
      </c>
      <c r="K17" s="0" t="s">
        <v>787</v>
      </c>
      <c r="L17" s="0" t="str">
        <f aca="false">IFERROR(VLOOKUP(K17,'Supplier list'!B:C,2,0),"")</f>
        <v>บริษัท ฟิวเจอร์เทค อินเตอร์มาร์เก็ตติ้ง จำกัด</v>
      </c>
      <c r="M17" s="1" t="n">
        <f aca="false">FALSE()</f>
        <v>0</v>
      </c>
      <c r="N17" s="2"/>
      <c r="O17" s="2" t="n">
        <v>0</v>
      </c>
    </row>
    <row r="18" customFormat="false" ht="16.4" hidden="false" customHeight="false" outlineLevel="0" collapsed="false">
      <c r="A18" s="0" t="s">
        <v>15</v>
      </c>
      <c r="B18" s="0" t="s">
        <v>2241</v>
      </c>
      <c r="C18" s="0" t="n">
        <v>114001</v>
      </c>
      <c r="D18" s="0" t="n">
        <v>114001</v>
      </c>
      <c r="E18" s="0" t="s">
        <v>2242</v>
      </c>
      <c r="F18" s="0" t="s">
        <v>18</v>
      </c>
      <c r="G18" s="7" t="s">
        <v>2243</v>
      </c>
      <c r="H18" s="0" t="s">
        <v>2244</v>
      </c>
      <c r="I18" s="0" t="s">
        <v>396</v>
      </c>
      <c r="J18" s="0" t="s">
        <v>397</v>
      </c>
      <c r="L18" s="0" t="str">
        <f aca="false">IFERROR(VLOOKUP(K18,'Supplier list'!B:C,2,0),"")</f>
        <v/>
      </c>
      <c r="M18" s="1" t="n">
        <f aca="false">FALSE()</f>
        <v>0</v>
      </c>
      <c r="N18" s="2"/>
      <c r="O18" s="2" t="n">
        <v>99</v>
      </c>
    </row>
    <row r="19" customFormat="false" ht="16.4" hidden="false" customHeight="false" outlineLevel="0" collapsed="false">
      <c r="A19" s="0" t="s">
        <v>15</v>
      </c>
      <c r="B19" s="0" t="s">
        <v>2245</v>
      </c>
      <c r="C19" s="0" t="n">
        <v>114001</v>
      </c>
      <c r="D19" s="0" t="n">
        <v>114001</v>
      </c>
      <c r="E19" s="0" t="s">
        <v>613</v>
      </c>
      <c r="F19" s="0" t="s">
        <v>18</v>
      </c>
      <c r="G19" s="7" t="s">
        <v>2246</v>
      </c>
      <c r="H19" s="0" t="s">
        <v>2247</v>
      </c>
      <c r="I19" s="0" t="s">
        <v>2248</v>
      </c>
      <c r="J19" s="0" t="s">
        <v>2249</v>
      </c>
      <c r="L19" s="0" t="str">
        <f aca="false">IFERROR(VLOOKUP(K19,'Supplier list'!B:C,2,0),"")</f>
        <v/>
      </c>
      <c r="M19" s="1" t="n">
        <f aca="false">FALSE()</f>
        <v>0</v>
      </c>
      <c r="N19" s="2"/>
      <c r="O19" s="2" t="n">
        <v>30</v>
      </c>
    </row>
    <row r="20" customFormat="false" ht="16.4" hidden="false" customHeight="false" outlineLevel="0" collapsed="false">
      <c r="A20" s="0" t="s">
        <v>15</v>
      </c>
      <c r="B20" s="0" t="s">
        <v>2250</v>
      </c>
      <c r="C20" s="0" t="n">
        <v>114001</v>
      </c>
      <c r="D20" s="0" t="n">
        <v>114001</v>
      </c>
      <c r="E20" s="0" t="s">
        <v>127</v>
      </c>
      <c r="F20" s="0" t="s">
        <v>18</v>
      </c>
      <c r="G20" s="7" t="s">
        <v>2251</v>
      </c>
      <c r="H20" s="0" t="s">
        <v>2252</v>
      </c>
      <c r="I20" s="0" t="s">
        <v>21</v>
      </c>
      <c r="J20" s="0" t="s">
        <v>22</v>
      </c>
      <c r="L20" s="0" t="str">
        <f aca="false">IFERROR(VLOOKUP(K20,'Supplier list'!B:C,2,0),"")</f>
        <v/>
      </c>
      <c r="M20" s="1" t="n">
        <f aca="false">FALSE()</f>
        <v>0</v>
      </c>
      <c r="N20" s="2"/>
      <c r="O20" s="2" t="n">
        <v>7</v>
      </c>
    </row>
    <row r="21" customFormat="false" ht="16.4" hidden="false" customHeight="false" outlineLevel="0" collapsed="false">
      <c r="A21" s="0" t="s">
        <v>15</v>
      </c>
      <c r="B21" s="0" t="s">
        <v>2253</v>
      </c>
      <c r="C21" s="0" t="n">
        <v>114001</v>
      </c>
      <c r="D21" s="0" t="n">
        <v>114001</v>
      </c>
      <c r="E21" s="0" t="s">
        <v>1605</v>
      </c>
      <c r="F21" s="0" t="s">
        <v>18</v>
      </c>
      <c r="G21" s="7" t="s">
        <v>2254</v>
      </c>
      <c r="H21" s="0" t="s">
        <v>2255</v>
      </c>
      <c r="I21" s="0" t="s">
        <v>21</v>
      </c>
      <c r="J21" s="0" t="s">
        <v>22</v>
      </c>
      <c r="L21" s="0" t="str">
        <f aca="false">IFERROR(VLOOKUP(K21,'Supplier list'!B:C,2,0),"")</f>
        <v/>
      </c>
      <c r="M21" s="1" t="n">
        <f aca="false">FALSE()</f>
        <v>0</v>
      </c>
      <c r="N21" s="2"/>
      <c r="O21" s="2" t="n">
        <v>0</v>
      </c>
    </row>
    <row r="22" customFormat="false" ht="16.4" hidden="false" customHeight="false" outlineLevel="0" collapsed="false">
      <c r="A22" s="0" t="s">
        <v>15</v>
      </c>
      <c r="B22" s="0" t="s">
        <v>2256</v>
      </c>
      <c r="C22" s="0" t="n">
        <v>114001</v>
      </c>
      <c r="D22" s="0" t="n">
        <v>114001</v>
      </c>
      <c r="E22" s="0" t="s">
        <v>1605</v>
      </c>
      <c r="F22" s="0" t="s">
        <v>18</v>
      </c>
      <c r="G22" s="7" t="s">
        <v>2257</v>
      </c>
      <c r="H22" s="0" t="s">
        <v>2258</v>
      </c>
      <c r="I22" s="0" t="s">
        <v>124</v>
      </c>
      <c r="J22" s="0" t="s">
        <v>125</v>
      </c>
      <c r="K22" s="0" t="s">
        <v>89</v>
      </c>
      <c r="L22" s="0" t="str">
        <f aca="false">IFERROR(VLOOKUP(K22,'Supplier list'!B:C,2,0),"")</f>
        <v>บริษัท เฮเฟเล่ (ประเทศไทย) จำกัด</v>
      </c>
      <c r="M22" s="1" t="n">
        <f aca="false">FALSE()</f>
        <v>0</v>
      </c>
      <c r="N22" s="2"/>
      <c r="O22" s="2" t="n">
        <v>660</v>
      </c>
    </row>
    <row r="23" customFormat="false" ht="16.4" hidden="false" customHeight="false" outlineLevel="0" collapsed="false">
      <c r="A23" s="0" t="s">
        <v>15</v>
      </c>
      <c r="B23" s="0" t="s">
        <v>2259</v>
      </c>
      <c r="C23" s="0" t="n">
        <v>114001</v>
      </c>
      <c r="D23" s="0" t="n">
        <v>114001</v>
      </c>
      <c r="E23" s="0" t="s">
        <v>961</v>
      </c>
      <c r="F23" s="0" t="s">
        <v>18</v>
      </c>
      <c r="G23" s="7" t="s">
        <v>2260</v>
      </c>
      <c r="H23" s="0" t="s">
        <v>2261</v>
      </c>
      <c r="I23" s="0" t="s">
        <v>124</v>
      </c>
      <c r="J23" s="0" t="s">
        <v>125</v>
      </c>
      <c r="K23" s="0" t="s">
        <v>89</v>
      </c>
      <c r="L23" s="0" t="str">
        <f aca="false">IFERROR(VLOOKUP(K23,'Supplier list'!B:C,2,0),"")</f>
        <v>บริษัท เฮเฟเล่ (ประเทศไทย) จำกัด</v>
      </c>
      <c r="M23" s="1" t="n">
        <f aca="false">FALSE()</f>
        <v>0</v>
      </c>
      <c r="N23" s="2"/>
      <c r="O23" s="2" t="n">
        <v>68</v>
      </c>
    </row>
    <row r="24" customFormat="false" ht="16.4" hidden="false" customHeight="false" outlineLevel="0" collapsed="false">
      <c r="A24" s="0" t="s">
        <v>15</v>
      </c>
      <c r="B24" s="0" t="s">
        <v>2262</v>
      </c>
      <c r="C24" s="0" t="n">
        <v>114001</v>
      </c>
      <c r="D24" s="0" t="n">
        <v>114001</v>
      </c>
      <c r="E24" s="0" t="s">
        <v>1605</v>
      </c>
      <c r="F24" s="0" t="s">
        <v>18</v>
      </c>
      <c r="G24" s="7" t="s">
        <v>2263</v>
      </c>
      <c r="H24" s="0" t="s">
        <v>2264</v>
      </c>
      <c r="I24" s="0" t="s">
        <v>124</v>
      </c>
      <c r="J24" s="0" t="s">
        <v>125</v>
      </c>
      <c r="K24" s="0" t="s">
        <v>89</v>
      </c>
      <c r="L24" s="0" t="str">
        <f aca="false">IFERROR(VLOOKUP(K24,'Supplier list'!B:C,2,0),"")</f>
        <v>บริษัท เฮเฟเล่ (ประเทศไทย) จำกัด</v>
      </c>
      <c r="M24" s="1" t="n">
        <f aca="false">FALSE()</f>
        <v>0</v>
      </c>
      <c r="N24" s="2"/>
      <c r="O24" s="2" t="n">
        <v>3673</v>
      </c>
    </row>
    <row r="25" customFormat="false" ht="16.4" hidden="false" customHeight="false" outlineLevel="0" collapsed="false">
      <c r="A25" s="0" t="s">
        <v>15</v>
      </c>
      <c r="B25" s="0" t="s">
        <v>2265</v>
      </c>
      <c r="C25" s="0" t="n">
        <v>114001</v>
      </c>
      <c r="D25" s="0" t="n">
        <v>114001</v>
      </c>
      <c r="E25" s="0" t="s">
        <v>961</v>
      </c>
      <c r="F25" s="0" t="s">
        <v>18</v>
      </c>
      <c r="G25" s="7" t="s">
        <v>2266</v>
      </c>
      <c r="H25" s="0" t="s">
        <v>2267</v>
      </c>
      <c r="I25" s="0" t="s">
        <v>21</v>
      </c>
      <c r="J25" s="0" t="s">
        <v>22</v>
      </c>
      <c r="K25" s="0" t="s">
        <v>89</v>
      </c>
      <c r="L25" s="0" t="str">
        <f aca="false">IFERROR(VLOOKUP(K25,'Supplier list'!B:C,2,0),"")</f>
        <v>บริษัท เฮเฟเล่ (ประเทศไทย) จำกัด</v>
      </c>
      <c r="M25" s="1" t="n">
        <f aca="false">FALSE()</f>
        <v>0</v>
      </c>
      <c r="N25" s="2"/>
      <c r="O25" s="2" t="n">
        <v>50</v>
      </c>
    </row>
    <row r="26" customFormat="false" ht="16.4" hidden="false" customHeight="false" outlineLevel="0" collapsed="false">
      <c r="A26" s="0" t="s">
        <v>15</v>
      </c>
      <c r="B26" s="0" t="s">
        <v>2268</v>
      </c>
      <c r="C26" s="0" t="n">
        <v>114001</v>
      </c>
      <c r="D26" s="0" t="n">
        <v>114001</v>
      </c>
      <c r="E26" s="0" t="s">
        <v>1815</v>
      </c>
      <c r="F26" s="0" t="s">
        <v>18</v>
      </c>
      <c r="G26" s="7" t="s">
        <v>2269</v>
      </c>
      <c r="H26" s="0" t="s">
        <v>2270</v>
      </c>
      <c r="I26" s="0" t="s">
        <v>517</v>
      </c>
      <c r="J26" s="0" t="s">
        <v>518</v>
      </c>
      <c r="K26" s="0" t="s">
        <v>89</v>
      </c>
      <c r="L26" s="0" t="str">
        <f aca="false">IFERROR(VLOOKUP(K26,'Supplier list'!B:C,2,0),"")</f>
        <v>บริษัท เฮเฟเล่ (ประเทศไทย) จำกัด</v>
      </c>
      <c r="M26" s="1" t="n">
        <f aca="false">TRUE()</f>
        <v>1</v>
      </c>
      <c r="N26" s="2" t="n">
        <v>1600</v>
      </c>
      <c r="O26" s="2" t="n">
        <v>655</v>
      </c>
    </row>
    <row r="27" customFormat="false" ht="16.4" hidden="false" customHeight="false" outlineLevel="0" collapsed="false">
      <c r="A27" s="0" t="s">
        <v>15</v>
      </c>
      <c r="B27" s="0" t="s">
        <v>2271</v>
      </c>
      <c r="C27" s="0" t="n">
        <v>114001</v>
      </c>
      <c r="D27" s="0" t="n">
        <v>114001</v>
      </c>
      <c r="E27" s="0" t="s">
        <v>1815</v>
      </c>
      <c r="F27" s="0" t="s">
        <v>18</v>
      </c>
      <c r="G27" s="7" t="s">
        <v>2272</v>
      </c>
      <c r="H27" s="0" t="s">
        <v>2273</v>
      </c>
      <c r="I27" s="0" t="s">
        <v>21</v>
      </c>
      <c r="J27" s="0" t="s">
        <v>22</v>
      </c>
      <c r="K27" s="0" t="s">
        <v>89</v>
      </c>
      <c r="L27" s="0" t="str">
        <f aca="false">IFERROR(VLOOKUP(K27,'Supplier list'!B:C,2,0),"")</f>
        <v>บริษัท เฮเฟเล่ (ประเทศไทย) จำกัด</v>
      </c>
      <c r="M27" s="1" t="n">
        <f aca="false">TRUE()</f>
        <v>1</v>
      </c>
      <c r="N27" s="2" t="n">
        <v>1800</v>
      </c>
      <c r="O27" s="2" t="n">
        <v>683</v>
      </c>
    </row>
    <row r="28" customFormat="false" ht="16.4" hidden="false" customHeight="false" outlineLevel="0" collapsed="false">
      <c r="A28" s="0" t="s">
        <v>15</v>
      </c>
      <c r="B28" s="0" t="s">
        <v>2274</v>
      </c>
      <c r="C28" s="0" t="n">
        <v>114001</v>
      </c>
      <c r="D28" s="0" t="n">
        <v>114001</v>
      </c>
      <c r="E28" s="0" t="s">
        <v>1815</v>
      </c>
      <c r="F28" s="0" t="s">
        <v>18</v>
      </c>
      <c r="G28" s="7" t="s">
        <v>2275</v>
      </c>
      <c r="H28" s="0" t="s">
        <v>2276</v>
      </c>
      <c r="I28" s="0" t="s">
        <v>517</v>
      </c>
      <c r="J28" s="0" t="s">
        <v>518</v>
      </c>
      <c r="K28" s="0" t="s">
        <v>89</v>
      </c>
      <c r="L28" s="0" t="str">
        <f aca="false">IFERROR(VLOOKUP(K28,'Supplier list'!B:C,2,0),"")</f>
        <v>บริษัท เฮเฟเล่ (ประเทศไทย) จำกัด</v>
      </c>
      <c r="M28" s="1" t="n">
        <f aca="false">TRUE()</f>
        <v>1</v>
      </c>
      <c r="N28" s="2" t="n">
        <v>1400</v>
      </c>
      <c r="O28" s="2" t="n">
        <v>608</v>
      </c>
    </row>
    <row r="29" customFormat="false" ht="16.4" hidden="false" customHeight="false" outlineLevel="0" collapsed="false">
      <c r="A29" s="0" t="s">
        <v>15</v>
      </c>
      <c r="B29" s="0" t="s">
        <v>2277</v>
      </c>
      <c r="C29" s="0" t="n">
        <v>114001</v>
      </c>
      <c r="D29" s="0" t="n">
        <v>114001</v>
      </c>
      <c r="E29" s="0" t="s">
        <v>1815</v>
      </c>
      <c r="F29" s="0" t="s">
        <v>18</v>
      </c>
      <c r="G29" s="7" t="s">
        <v>2278</v>
      </c>
      <c r="H29" s="0" t="s">
        <v>2279</v>
      </c>
      <c r="I29" s="0" t="s">
        <v>124</v>
      </c>
      <c r="J29" s="0" t="s">
        <v>125</v>
      </c>
      <c r="K29" s="0" t="s">
        <v>89</v>
      </c>
      <c r="L29" s="0" t="str">
        <f aca="false">IFERROR(VLOOKUP(K29,'Supplier list'!B:C,2,0),"")</f>
        <v>บริษัท เฮเฟเล่ (ประเทศไทย) จำกัด</v>
      </c>
      <c r="M29" s="1" t="n">
        <f aca="false">FALSE()</f>
        <v>0</v>
      </c>
      <c r="N29" s="2"/>
      <c r="O29" s="2" t="n">
        <v>80</v>
      </c>
    </row>
    <row r="30" customFormat="false" ht="16.4" hidden="false" customHeight="false" outlineLevel="0" collapsed="false">
      <c r="A30" s="0" t="s">
        <v>15</v>
      </c>
      <c r="B30" s="0" t="s">
        <v>2280</v>
      </c>
      <c r="C30" s="0" t="n">
        <v>114001</v>
      </c>
      <c r="D30" s="0" t="n">
        <v>114001</v>
      </c>
      <c r="E30" s="0" t="s">
        <v>1815</v>
      </c>
      <c r="F30" s="0" t="s">
        <v>18</v>
      </c>
      <c r="G30" s="7" t="s">
        <v>2281</v>
      </c>
      <c r="H30" s="0" t="s">
        <v>2282</v>
      </c>
      <c r="I30" s="0" t="s">
        <v>124</v>
      </c>
      <c r="J30" s="0" t="s">
        <v>125</v>
      </c>
      <c r="K30" s="0" t="s">
        <v>89</v>
      </c>
      <c r="L30" s="0" t="str">
        <f aca="false">IFERROR(VLOOKUP(K30,'Supplier list'!B:C,2,0),"")</f>
        <v>บริษัท เฮเฟเล่ (ประเทศไทย) จำกัด</v>
      </c>
      <c r="M30" s="1" t="n">
        <f aca="false">FALSE()</f>
        <v>0</v>
      </c>
      <c r="N30" s="2"/>
      <c r="O30" s="2" t="n">
        <v>68</v>
      </c>
    </row>
    <row r="31" customFormat="false" ht="16.4" hidden="false" customHeight="false" outlineLevel="0" collapsed="false">
      <c r="A31" s="0" t="s">
        <v>15</v>
      </c>
      <c r="B31" s="0" t="s">
        <v>2283</v>
      </c>
      <c r="C31" s="0" t="n">
        <v>114001</v>
      </c>
      <c r="D31" s="0" t="n">
        <v>114001</v>
      </c>
      <c r="E31" s="0" t="s">
        <v>1815</v>
      </c>
      <c r="F31" s="0" t="s">
        <v>18</v>
      </c>
      <c r="G31" s="7" t="s">
        <v>2284</v>
      </c>
      <c r="H31" s="0" t="s">
        <v>2285</v>
      </c>
      <c r="I31" s="0" t="s">
        <v>124</v>
      </c>
      <c r="J31" s="0" t="s">
        <v>125</v>
      </c>
      <c r="K31" s="0" t="s">
        <v>89</v>
      </c>
      <c r="L31" s="0" t="str">
        <f aca="false">IFERROR(VLOOKUP(K31,'Supplier list'!B:C,2,0),"")</f>
        <v>บริษัท เฮเฟเล่ (ประเทศไทย) จำกัด</v>
      </c>
      <c r="M31" s="1" t="n">
        <f aca="false">FALSE()</f>
        <v>0</v>
      </c>
      <c r="N31" s="2"/>
      <c r="O31" s="2" t="n">
        <v>13</v>
      </c>
    </row>
    <row r="32" customFormat="false" ht="16.4" hidden="false" customHeight="false" outlineLevel="0" collapsed="false">
      <c r="A32" s="0" t="s">
        <v>15</v>
      </c>
      <c r="B32" s="0" t="s">
        <v>2286</v>
      </c>
      <c r="C32" s="0" t="n">
        <v>114001</v>
      </c>
      <c r="D32" s="0" t="n">
        <v>114001</v>
      </c>
      <c r="E32" s="0" t="s">
        <v>1891</v>
      </c>
      <c r="F32" s="0" t="s">
        <v>18</v>
      </c>
      <c r="G32" s="7" t="s">
        <v>2287</v>
      </c>
      <c r="H32" s="0" t="s">
        <v>2288</v>
      </c>
      <c r="I32" s="0" t="s">
        <v>21</v>
      </c>
      <c r="J32" s="0" t="s">
        <v>22</v>
      </c>
      <c r="K32" s="0" t="s">
        <v>89</v>
      </c>
      <c r="L32" s="0" t="str">
        <f aca="false">IFERROR(VLOOKUP(K32,'Supplier list'!B:C,2,0),"")</f>
        <v>บริษัท เฮเฟเล่ (ประเทศไทย) จำกัด</v>
      </c>
      <c r="M32" s="1" t="n">
        <f aca="false">FALSE()</f>
        <v>0</v>
      </c>
      <c r="N32" s="2"/>
      <c r="O32" s="2" t="n">
        <v>15</v>
      </c>
    </row>
    <row r="33" customFormat="false" ht="16.4" hidden="false" customHeight="false" outlineLevel="0" collapsed="false">
      <c r="A33" s="0" t="s">
        <v>15</v>
      </c>
      <c r="B33" s="0" t="s">
        <v>2289</v>
      </c>
      <c r="C33" s="0" t="n">
        <v>114001</v>
      </c>
      <c r="D33" s="0" t="n">
        <v>114001</v>
      </c>
      <c r="E33" s="0" t="s">
        <v>1605</v>
      </c>
      <c r="F33" s="0" t="s">
        <v>18</v>
      </c>
      <c r="G33" s="7" t="s">
        <v>2290</v>
      </c>
      <c r="H33" s="0" t="s">
        <v>2291</v>
      </c>
      <c r="I33" s="0" t="s">
        <v>168</v>
      </c>
      <c r="J33" s="0" t="s">
        <v>169</v>
      </c>
      <c r="K33" s="0" t="s">
        <v>89</v>
      </c>
      <c r="L33" s="0" t="str">
        <f aca="false">IFERROR(VLOOKUP(K33,'Supplier list'!B:C,2,0),"")</f>
        <v>บริษัท เฮเฟเล่ (ประเทศไทย) จำกัด</v>
      </c>
      <c r="M33" s="1" t="n">
        <f aca="false">FALSE()</f>
        <v>0</v>
      </c>
      <c r="N33" s="2"/>
      <c r="O33" s="2" t="n">
        <v>14</v>
      </c>
    </row>
    <row r="34" customFormat="false" ht="16.4" hidden="false" customHeight="false" outlineLevel="0" collapsed="false">
      <c r="A34" s="0" t="s">
        <v>15</v>
      </c>
      <c r="B34" s="0" t="s">
        <v>2292</v>
      </c>
      <c r="C34" s="0" t="n">
        <v>114001</v>
      </c>
      <c r="D34" s="0" t="n">
        <v>114001</v>
      </c>
      <c r="E34" s="0" t="s">
        <v>1605</v>
      </c>
      <c r="F34" s="0" t="s">
        <v>18</v>
      </c>
      <c r="G34" s="7" t="s">
        <v>2293</v>
      </c>
      <c r="H34" s="0" t="s">
        <v>2294</v>
      </c>
      <c r="I34" s="0" t="s">
        <v>168</v>
      </c>
      <c r="J34" s="0" t="s">
        <v>169</v>
      </c>
      <c r="K34" s="0" t="s">
        <v>787</v>
      </c>
      <c r="L34" s="0" t="str">
        <f aca="false">IFERROR(VLOOKUP(K34,'Supplier list'!B:C,2,0),"")</f>
        <v>บริษัท ฟิวเจอร์เทค อินเตอร์มาร์เก็ตติ้ง จำกัด</v>
      </c>
      <c r="M34" s="1" t="n">
        <f aca="false">FALSE()</f>
        <v>0</v>
      </c>
      <c r="N34" s="2"/>
      <c r="O34" s="2" t="n">
        <v>0</v>
      </c>
    </row>
    <row r="35" customFormat="false" ht="16.4" hidden="false" customHeight="false" outlineLevel="0" collapsed="false">
      <c r="A35" s="0" t="s">
        <v>15</v>
      </c>
      <c r="B35" s="0" t="s">
        <v>2295</v>
      </c>
      <c r="C35" s="0" t="n">
        <v>114001</v>
      </c>
      <c r="D35" s="0" t="n">
        <v>114001</v>
      </c>
      <c r="E35" s="0" t="s">
        <v>1605</v>
      </c>
      <c r="F35" s="0" t="s">
        <v>18</v>
      </c>
      <c r="G35" s="7" t="s">
        <v>2296</v>
      </c>
      <c r="H35" s="0" t="s">
        <v>2297</v>
      </c>
      <c r="I35" s="0" t="s">
        <v>21</v>
      </c>
      <c r="J35" s="0" t="s">
        <v>22</v>
      </c>
      <c r="K35" s="0" t="s">
        <v>2298</v>
      </c>
      <c r="L35" s="0" t="str">
        <f aca="false">IFERROR(VLOOKUP(K35,'Supplier list'!B:C,2,0),"")</f>
        <v>Best Solid Surfaces Corp.</v>
      </c>
      <c r="M35" s="1" t="n">
        <f aca="false">FALSE()</f>
        <v>0</v>
      </c>
      <c r="N35" s="2"/>
      <c r="O35" s="2" t="n">
        <v>7</v>
      </c>
    </row>
    <row r="36" customFormat="false" ht="16.4" hidden="false" customHeight="false" outlineLevel="0" collapsed="false">
      <c r="A36" s="0" t="s">
        <v>15</v>
      </c>
      <c r="B36" s="0" t="s">
        <v>2299</v>
      </c>
      <c r="C36" s="0" t="n">
        <v>114001</v>
      </c>
      <c r="D36" s="0" t="n">
        <v>114001</v>
      </c>
      <c r="E36" s="0" t="s">
        <v>1605</v>
      </c>
      <c r="F36" s="0" t="s">
        <v>18</v>
      </c>
      <c r="G36" s="7" t="s">
        <v>2300</v>
      </c>
      <c r="H36" s="0" t="s">
        <v>2301</v>
      </c>
      <c r="I36" s="0" t="s">
        <v>21</v>
      </c>
      <c r="J36" s="0" t="s">
        <v>22</v>
      </c>
      <c r="K36" s="0" t="s">
        <v>787</v>
      </c>
      <c r="L36" s="0" t="str">
        <f aca="false">IFERROR(VLOOKUP(K36,'Supplier list'!B:C,2,0),"")</f>
        <v>บริษัท ฟิวเจอร์เทค อินเตอร์มาร์เก็ตติ้ง จำกัด</v>
      </c>
      <c r="M36" s="1" t="n">
        <f aca="false">FALSE()</f>
        <v>0</v>
      </c>
      <c r="N36" s="2"/>
      <c r="O36" s="2" t="n">
        <v>1</v>
      </c>
    </row>
    <row r="37" customFormat="false" ht="16.4" hidden="false" customHeight="false" outlineLevel="0" collapsed="false">
      <c r="A37" s="0" t="s">
        <v>15</v>
      </c>
      <c r="B37" s="0" t="s">
        <v>2302</v>
      </c>
      <c r="C37" s="0" t="n">
        <v>114001</v>
      </c>
      <c r="D37" s="0" t="n">
        <v>114001</v>
      </c>
      <c r="E37" s="0" t="s">
        <v>1605</v>
      </c>
      <c r="F37" s="0" t="s">
        <v>18</v>
      </c>
      <c r="G37" s="7" t="s">
        <v>2303</v>
      </c>
      <c r="H37" s="0" t="s">
        <v>2304</v>
      </c>
      <c r="I37" s="0" t="s">
        <v>102</v>
      </c>
      <c r="J37" s="0" t="s">
        <v>103</v>
      </c>
      <c r="K37" s="0" t="s">
        <v>89</v>
      </c>
      <c r="L37" s="0" t="str">
        <f aca="false">IFERROR(VLOOKUP(K37,'Supplier list'!B:C,2,0),"")</f>
        <v>บริษัท เฮเฟเล่ (ประเทศไทย) จำกัด</v>
      </c>
      <c r="M37" s="1" t="n">
        <f aca="false">FALSE()</f>
        <v>0</v>
      </c>
      <c r="N37" s="2"/>
      <c r="O37" s="2" t="n">
        <v>32552</v>
      </c>
    </row>
    <row r="38" customFormat="false" ht="16.4" hidden="false" customHeight="false" outlineLevel="0" collapsed="false">
      <c r="A38" s="0" t="s">
        <v>15</v>
      </c>
      <c r="B38" s="0" t="s">
        <v>2305</v>
      </c>
      <c r="C38" s="0" t="n">
        <v>114001</v>
      </c>
      <c r="D38" s="0" t="n">
        <v>114001</v>
      </c>
      <c r="E38" s="0" t="s">
        <v>1454</v>
      </c>
      <c r="F38" s="0" t="s">
        <v>18</v>
      </c>
      <c r="G38" s="7" t="s">
        <v>2306</v>
      </c>
      <c r="H38" s="0" t="s">
        <v>2307</v>
      </c>
      <c r="I38" s="0" t="s">
        <v>21</v>
      </c>
      <c r="J38" s="0" t="s">
        <v>22</v>
      </c>
      <c r="K38" s="0" t="s">
        <v>787</v>
      </c>
      <c r="L38" s="0" t="str">
        <f aca="false">IFERROR(VLOOKUP(K38,'Supplier list'!B:C,2,0),"")</f>
        <v>บริษัท ฟิวเจอร์เทค อินเตอร์มาร์เก็ตติ้ง จำกัด</v>
      </c>
      <c r="M38" s="1" t="n">
        <f aca="false">FALSE()</f>
        <v>0</v>
      </c>
      <c r="N38" s="2"/>
      <c r="O38" s="2" t="n">
        <v>60</v>
      </c>
    </row>
    <row r="39" customFormat="false" ht="16.4" hidden="false" customHeight="false" outlineLevel="0" collapsed="false">
      <c r="A39" s="0" t="s">
        <v>15</v>
      </c>
      <c r="B39" s="0" t="s">
        <v>2308</v>
      </c>
      <c r="C39" s="0" t="n">
        <v>114001</v>
      </c>
      <c r="D39" s="0" t="n">
        <v>114001</v>
      </c>
      <c r="E39" s="0" t="s">
        <v>1815</v>
      </c>
      <c r="F39" s="0" t="s">
        <v>18</v>
      </c>
      <c r="G39" s="7" t="s">
        <v>2309</v>
      </c>
      <c r="H39" s="0" t="s">
        <v>2310</v>
      </c>
      <c r="I39" s="0" t="s">
        <v>124</v>
      </c>
      <c r="J39" s="0" t="s">
        <v>125</v>
      </c>
      <c r="K39" s="0" t="s">
        <v>1725</v>
      </c>
      <c r="L39" s="0" t="str">
        <f aca="false">IFERROR(VLOOKUP(K39,'Supplier list'!B:C,2,0),"")</f>
        <v>บริษัท พรีซิชั่นไลน์ จำกัด</v>
      </c>
      <c r="M39" s="1" t="n">
        <f aca="false">FALSE()</f>
        <v>0</v>
      </c>
      <c r="N39" s="2"/>
      <c r="O39" s="2" t="n">
        <v>205</v>
      </c>
    </row>
    <row r="40" customFormat="false" ht="16.4" hidden="false" customHeight="false" outlineLevel="0" collapsed="false">
      <c r="A40" s="0" t="s">
        <v>15</v>
      </c>
      <c r="B40" s="0" t="s">
        <v>2311</v>
      </c>
      <c r="C40" s="0" t="n">
        <v>114001</v>
      </c>
      <c r="D40" s="0" t="n">
        <v>114001</v>
      </c>
      <c r="E40" s="0" t="s">
        <v>1605</v>
      </c>
      <c r="F40" s="0" t="s">
        <v>18</v>
      </c>
      <c r="G40" s="7" t="s">
        <v>2312</v>
      </c>
      <c r="H40" s="0" t="s">
        <v>2313</v>
      </c>
      <c r="I40" s="0" t="s">
        <v>21</v>
      </c>
      <c r="J40" s="0" t="s">
        <v>22</v>
      </c>
      <c r="K40" s="0" t="s">
        <v>1753</v>
      </c>
      <c r="L40" s="0" t="str">
        <f aca="false">IFERROR(VLOOKUP(K40,'Supplier list'!B:C,2,0),"")</f>
        <v>บริษัท ไอ.โอ.ดีไซน์ แอนด์ โฮม จำกัด</v>
      </c>
      <c r="M40" s="1" t="n">
        <f aca="false">FALSE()</f>
        <v>0</v>
      </c>
      <c r="N40" s="2"/>
      <c r="O40" s="2" t="n">
        <v>2.5</v>
      </c>
    </row>
    <row r="41" customFormat="false" ht="16.4" hidden="false" customHeight="false" outlineLevel="0" collapsed="false">
      <c r="A41" s="0" t="s">
        <v>15</v>
      </c>
      <c r="B41" s="0" t="s">
        <v>2314</v>
      </c>
      <c r="C41" s="0" t="n">
        <v>114001</v>
      </c>
      <c r="D41" s="0" t="n">
        <v>114001</v>
      </c>
      <c r="E41" s="0" t="s">
        <v>121</v>
      </c>
      <c r="F41" s="0" t="s">
        <v>18</v>
      </c>
      <c r="G41" s="7" t="s">
        <v>2315</v>
      </c>
      <c r="H41" s="0" t="s">
        <v>2316</v>
      </c>
      <c r="I41" s="0" t="s">
        <v>142</v>
      </c>
      <c r="J41" s="0" t="s">
        <v>143</v>
      </c>
      <c r="L41" s="0" t="str">
        <f aca="false">IFERROR(VLOOKUP(K41,'Supplier list'!B:C,2,0),"")</f>
        <v/>
      </c>
      <c r="M41" s="1" t="n">
        <f aca="false">FALSE()</f>
        <v>0</v>
      </c>
      <c r="N41" s="2"/>
      <c r="O41" s="2" t="n">
        <v>20</v>
      </c>
    </row>
    <row r="42" customFormat="false" ht="16.4" hidden="false" customHeight="false" outlineLevel="0" collapsed="false">
      <c r="A42" s="0" t="s">
        <v>15</v>
      </c>
      <c r="B42" s="0" t="s">
        <v>2317</v>
      </c>
      <c r="C42" s="0" t="n">
        <v>114001</v>
      </c>
      <c r="D42" s="0" t="n">
        <v>114001</v>
      </c>
      <c r="E42" s="0" t="s">
        <v>121</v>
      </c>
      <c r="F42" s="0" t="s">
        <v>18</v>
      </c>
      <c r="G42" s="7" t="s">
        <v>2318</v>
      </c>
      <c r="H42" s="0" t="s">
        <v>2319</v>
      </c>
      <c r="I42" s="0" t="s">
        <v>142</v>
      </c>
      <c r="J42" s="0" t="s">
        <v>143</v>
      </c>
      <c r="K42" s="0" t="s">
        <v>82</v>
      </c>
      <c r="L42" s="0" t="str">
        <f aca="false">IFERROR(VLOOKUP(K42,'Supplier list'!B:C,2,0),"")</f>
        <v>บริษัท เกรียงศิริพัฒนา (1995) จำกัด</v>
      </c>
      <c r="M42" s="1" t="n">
        <f aca="false">FALSE()</f>
        <v>0</v>
      </c>
      <c r="N42" s="2"/>
      <c r="O42" s="2" t="n">
        <v>227</v>
      </c>
    </row>
    <row r="43" customFormat="false" ht="16.4" hidden="false" customHeight="false" outlineLevel="0" collapsed="false">
      <c r="A43" s="0" t="s">
        <v>15</v>
      </c>
      <c r="B43" s="0" t="s">
        <v>2320</v>
      </c>
      <c r="C43" s="0" t="n">
        <v>114001</v>
      </c>
      <c r="D43" s="0" t="n">
        <v>114001</v>
      </c>
      <c r="E43" s="0" t="s">
        <v>1653</v>
      </c>
      <c r="F43" s="0" t="s">
        <v>18</v>
      </c>
      <c r="G43" s="7" t="s">
        <v>2321</v>
      </c>
      <c r="H43" s="0" t="s">
        <v>2322</v>
      </c>
      <c r="I43" s="0" t="s">
        <v>124</v>
      </c>
      <c r="J43" s="0" t="s">
        <v>125</v>
      </c>
      <c r="K43" s="0" t="s">
        <v>1725</v>
      </c>
      <c r="L43" s="0" t="str">
        <f aca="false">IFERROR(VLOOKUP(K43,'Supplier list'!B:C,2,0),"")</f>
        <v>บริษัท พรีซิชั่นไลน์ จำกัด</v>
      </c>
      <c r="M43" s="1" t="n">
        <f aca="false">FALSE()</f>
        <v>0</v>
      </c>
      <c r="N43" s="2"/>
      <c r="O43" s="2" t="n">
        <v>0</v>
      </c>
    </row>
    <row r="44" customFormat="false" ht="16.4" hidden="false" customHeight="false" outlineLevel="0" collapsed="false">
      <c r="A44" s="0" t="s">
        <v>15</v>
      </c>
      <c r="B44" s="0" t="s">
        <v>2323</v>
      </c>
      <c r="C44" s="0" t="n">
        <v>114001</v>
      </c>
      <c r="D44" s="0" t="n">
        <v>114001</v>
      </c>
      <c r="E44" s="0" t="s">
        <v>1727</v>
      </c>
      <c r="F44" s="0" t="s">
        <v>18</v>
      </c>
      <c r="G44" s="7" t="s">
        <v>2324</v>
      </c>
      <c r="H44" s="0" t="s">
        <v>2325</v>
      </c>
      <c r="I44" s="0" t="s">
        <v>124</v>
      </c>
      <c r="J44" s="0" t="s">
        <v>125</v>
      </c>
      <c r="K44" s="0" t="s">
        <v>1725</v>
      </c>
      <c r="L44" s="0" t="str">
        <f aca="false">IFERROR(VLOOKUP(K44,'Supplier list'!B:C,2,0),"")</f>
        <v>บริษัท พรีซิชั่นไลน์ จำกัด</v>
      </c>
      <c r="M44" s="1" t="n">
        <f aca="false">FALSE()</f>
        <v>0</v>
      </c>
      <c r="N44" s="2"/>
      <c r="O44" s="2" t="n">
        <v>0</v>
      </c>
    </row>
    <row r="45" customFormat="false" ht="16.4" hidden="false" customHeight="false" outlineLevel="0" collapsed="false">
      <c r="A45" s="0" t="s">
        <v>15</v>
      </c>
      <c r="B45" s="0" t="s">
        <v>2326</v>
      </c>
      <c r="C45" s="0" t="n">
        <v>114001</v>
      </c>
      <c r="D45" s="0" t="n">
        <v>114001</v>
      </c>
      <c r="E45" s="0" t="s">
        <v>1605</v>
      </c>
      <c r="F45" s="0" t="s">
        <v>18</v>
      </c>
      <c r="G45" s="7" t="s">
        <v>2327</v>
      </c>
      <c r="H45" s="0" t="s">
        <v>2328</v>
      </c>
      <c r="I45" s="0" t="s">
        <v>168</v>
      </c>
      <c r="J45" s="0" t="s">
        <v>169</v>
      </c>
      <c r="K45" s="0" t="s">
        <v>1725</v>
      </c>
      <c r="L45" s="0" t="str">
        <f aca="false">IFERROR(VLOOKUP(K45,'Supplier list'!B:C,2,0),"")</f>
        <v>บริษัท พรีซิชั่นไลน์ จำกัด</v>
      </c>
      <c r="M45" s="1" t="n">
        <f aca="false">FALSE()</f>
        <v>0</v>
      </c>
      <c r="N45" s="2"/>
      <c r="O45" s="2" t="n">
        <v>550</v>
      </c>
    </row>
    <row r="46" customFormat="false" ht="16.4" hidden="false" customHeight="false" outlineLevel="0" collapsed="false">
      <c r="A46" s="0" t="s">
        <v>15</v>
      </c>
      <c r="B46" s="0" t="s">
        <v>2329</v>
      </c>
      <c r="C46" s="0" t="n">
        <v>114001</v>
      </c>
      <c r="D46" s="0" t="n">
        <v>114001</v>
      </c>
      <c r="E46" s="0" t="s">
        <v>961</v>
      </c>
      <c r="F46" s="0" t="s">
        <v>18</v>
      </c>
      <c r="G46" s="7" t="s">
        <v>2330</v>
      </c>
      <c r="H46" s="0" t="s">
        <v>2331</v>
      </c>
      <c r="I46" s="0" t="s">
        <v>124</v>
      </c>
      <c r="J46" s="0" t="s">
        <v>125</v>
      </c>
      <c r="K46" s="0" t="s">
        <v>89</v>
      </c>
      <c r="L46" s="0" t="str">
        <f aca="false">IFERROR(VLOOKUP(K46,'Supplier list'!B:C,2,0),"")</f>
        <v>บริษัท เฮเฟเล่ (ประเทศไทย) จำกัด</v>
      </c>
      <c r="M46" s="1" t="n">
        <f aca="false">FALSE()</f>
        <v>0</v>
      </c>
      <c r="N46" s="2"/>
      <c r="O46" s="2" t="n">
        <v>150</v>
      </c>
    </row>
    <row r="47" customFormat="false" ht="16.4" hidden="false" customHeight="false" outlineLevel="0" collapsed="false">
      <c r="A47" s="0" t="s">
        <v>15</v>
      </c>
      <c r="B47" s="0" t="s">
        <v>2332</v>
      </c>
      <c r="C47" s="0" t="n">
        <v>114001</v>
      </c>
      <c r="D47" s="0" t="n">
        <v>114001</v>
      </c>
      <c r="E47" s="0" t="s">
        <v>961</v>
      </c>
      <c r="F47" s="0" t="s">
        <v>18</v>
      </c>
      <c r="G47" s="7" t="s">
        <v>2333</v>
      </c>
      <c r="H47" s="0" t="s">
        <v>2334</v>
      </c>
      <c r="I47" s="0" t="s">
        <v>124</v>
      </c>
      <c r="J47" s="0" t="s">
        <v>125</v>
      </c>
      <c r="K47" s="0" t="s">
        <v>89</v>
      </c>
      <c r="L47" s="0" t="str">
        <f aca="false">IFERROR(VLOOKUP(K47,'Supplier list'!B:C,2,0),"")</f>
        <v>บริษัท เฮเฟเล่ (ประเทศไทย) จำกัด</v>
      </c>
      <c r="M47" s="1" t="n">
        <f aca="false">FALSE()</f>
        <v>0</v>
      </c>
      <c r="N47" s="2"/>
      <c r="O47" s="2" t="n">
        <v>150</v>
      </c>
    </row>
    <row r="48" customFormat="false" ht="16.4" hidden="false" customHeight="false" outlineLevel="0" collapsed="false">
      <c r="A48" s="0" t="s">
        <v>15</v>
      </c>
      <c r="B48" s="0" t="s">
        <v>2335</v>
      </c>
      <c r="C48" s="0" t="n">
        <v>114001</v>
      </c>
      <c r="D48" s="0" t="n">
        <v>114001</v>
      </c>
      <c r="E48" s="0" t="s">
        <v>1605</v>
      </c>
      <c r="F48" s="0" t="s">
        <v>18</v>
      </c>
      <c r="G48" s="7" t="s">
        <v>2336</v>
      </c>
      <c r="H48" s="0" t="s">
        <v>2337</v>
      </c>
      <c r="I48" s="0" t="s">
        <v>168</v>
      </c>
      <c r="J48" s="0" t="s">
        <v>169</v>
      </c>
      <c r="L48" s="0" t="str">
        <f aca="false">IFERROR(VLOOKUP(K48,'Supplier list'!B:C,2,0),"")</f>
        <v/>
      </c>
      <c r="M48" s="1" t="n">
        <f aca="false">FALSE()</f>
        <v>0</v>
      </c>
      <c r="N48" s="2"/>
      <c r="O48" s="2" t="n">
        <v>0</v>
      </c>
    </row>
    <row r="49" customFormat="false" ht="16.4" hidden="false" customHeight="false" outlineLevel="0" collapsed="false">
      <c r="A49" s="0" t="s">
        <v>15</v>
      </c>
      <c r="B49" s="0" t="s">
        <v>2338</v>
      </c>
      <c r="C49" s="0" t="n">
        <v>114001</v>
      </c>
      <c r="D49" s="0" t="n">
        <v>114001</v>
      </c>
      <c r="E49" s="0" t="s">
        <v>1605</v>
      </c>
      <c r="F49" s="0" t="s">
        <v>18</v>
      </c>
      <c r="G49" s="7" t="s">
        <v>2339</v>
      </c>
      <c r="H49" s="0" t="s">
        <v>2340</v>
      </c>
      <c r="I49" s="0" t="s">
        <v>168</v>
      </c>
      <c r="J49" s="0" t="s">
        <v>169</v>
      </c>
      <c r="L49" s="0" t="str">
        <f aca="false">IFERROR(VLOOKUP(K49,'Supplier list'!B:C,2,0),"")</f>
        <v/>
      </c>
      <c r="M49" s="1" t="n">
        <f aca="false">FALSE()</f>
        <v>0</v>
      </c>
      <c r="N49" s="2"/>
      <c r="O49" s="2" t="n">
        <v>0</v>
      </c>
    </row>
    <row r="50" customFormat="false" ht="16.4" hidden="false" customHeight="false" outlineLevel="0" collapsed="false">
      <c r="A50" s="0" t="s">
        <v>15</v>
      </c>
      <c r="B50" s="0" t="s">
        <v>2341</v>
      </c>
      <c r="C50" s="0" t="n">
        <v>114001</v>
      </c>
      <c r="D50" s="0" t="n">
        <v>114001</v>
      </c>
      <c r="E50" s="0" t="s">
        <v>1605</v>
      </c>
      <c r="F50" s="0" t="s">
        <v>18</v>
      </c>
      <c r="G50" s="7" t="s">
        <v>2342</v>
      </c>
      <c r="H50" s="0" t="s">
        <v>2343</v>
      </c>
      <c r="I50" s="0" t="s">
        <v>168</v>
      </c>
      <c r="J50" s="0" t="s">
        <v>169</v>
      </c>
      <c r="L50" s="0" t="str">
        <f aca="false">IFERROR(VLOOKUP(K50,'Supplier list'!B:C,2,0),"")</f>
        <v/>
      </c>
      <c r="M50" s="1" t="n">
        <f aca="false">FALSE()</f>
        <v>0</v>
      </c>
      <c r="N50" s="2"/>
      <c r="O50" s="2" t="n">
        <v>0</v>
      </c>
    </row>
    <row r="51" customFormat="false" ht="16.4" hidden="false" customHeight="false" outlineLevel="0" collapsed="false">
      <c r="A51" s="0" t="s">
        <v>15</v>
      </c>
      <c r="B51" s="0" t="s">
        <v>2344</v>
      </c>
      <c r="C51" s="0" t="n">
        <v>114001</v>
      </c>
      <c r="D51" s="0" t="n">
        <v>114001</v>
      </c>
      <c r="E51" s="0" t="s">
        <v>1605</v>
      </c>
      <c r="F51" s="0" t="s">
        <v>18</v>
      </c>
      <c r="G51" s="7" t="s">
        <v>2345</v>
      </c>
      <c r="H51" s="0" t="s">
        <v>2346</v>
      </c>
      <c r="I51" s="0" t="s">
        <v>124</v>
      </c>
      <c r="J51" s="0" t="s">
        <v>125</v>
      </c>
      <c r="L51" s="0" t="str">
        <f aca="false">IFERROR(VLOOKUP(K51,'Supplier list'!B:C,2,0),"")</f>
        <v/>
      </c>
      <c r="M51" s="1" t="n">
        <f aca="false">FALSE()</f>
        <v>0</v>
      </c>
      <c r="N51" s="2"/>
      <c r="O51" s="2" t="n">
        <v>0</v>
      </c>
    </row>
    <row r="52" customFormat="false" ht="16.4" hidden="false" customHeight="false" outlineLevel="0" collapsed="false">
      <c r="A52" s="0" t="s">
        <v>15</v>
      </c>
      <c r="B52" s="0" t="s">
        <v>2347</v>
      </c>
      <c r="C52" s="0" t="n">
        <v>114001</v>
      </c>
      <c r="D52" s="0" t="n">
        <v>114001</v>
      </c>
      <c r="E52" s="0" t="s">
        <v>1970</v>
      </c>
      <c r="F52" s="0" t="s">
        <v>18</v>
      </c>
      <c r="G52" s="7" t="s">
        <v>2348</v>
      </c>
      <c r="H52" s="0" t="s">
        <v>2349</v>
      </c>
      <c r="I52" s="0" t="s">
        <v>168</v>
      </c>
      <c r="J52" s="0" t="s">
        <v>169</v>
      </c>
      <c r="L52" s="0" t="str">
        <f aca="false">IFERROR(VLOOKUP(K52,'Supplier list'!B:C,2,0),"")</f>
        <v/>
      </c>
      <c r="M52" s="1" t="n">
        <f aca="false">FALSE()</f>
        <v>0</v>
      </c>
      <c r="N52" s="2"/>
      <c r="O52" s="2" t="n">
        <v>0</v>
      </c>
    </row>
    <row r="53" customFormat="false" ht="16.4" hidden="false" customHeight="false" outlineLevel="0" collapsed="false">
      <c r="A53" s="0" t="s">
        <v>15</v>
      </c>
      <c r="B53" s="0" t="s">
        <v>2350</v>
      </c>
      <c r="C53" s="0" t="n">
        <v>114001</v>
      </c>
      <c r="D53" s="0" t="n">
        <v>114001</v>
      </c>
      <c r="E53" s="0" t="s">
        <v>1605</v>
      </c>
      <c r="F53" s="0" t="s">
        <v>18</v>
      </c>
      <c r="G53" s="7" t="s">
        <v>2351</v>
      </c>
      <c r="H53" s="0" t="s">
        <v>2352</v>
      </c>
      <c r="I53" s="0" t="s">
        <v>168</v>
      </c>
      <c r="J53" s="0" t="s">
        <v>169</v>
      </c>
      <c r="L53" s="0" t="str">
        <f aca="false">IFERROR(VLOOKUP(K53,'Supplier list'!B:C,2,0),"")</f>
        <v/>
      </c>
      <c r="M53" s="1" t="n">
        <f aca="false">FALSE()</f>
        <v>0</v>
      </c>
      <c r="N53" s="2"/>
      <c r="O53" s="2" t="n">
        <v>0</v>
      </c>
    </row>
    <row r="54" customFormat="false" ht="16.4" hidden="false" customHeight="false" outlineLevel="0" collapsed="false">
      <c r="A54" s="0" t="s">
        <v>15</v>
      </c>
      <c r="B54" s="0" t="s">
        <v>2353</v>
      </c>
      <c r="C54" s="0" t="n">
        <v>114001</v>
      </c>
      <c r="D54" s="0" t="n">
        <v>114001</v>
      </c>
      <c r="E54" s="0" t="s">
        <v>1605</v>
      </c>
      <c r="F54" s="0" t="s">
        <v>18</v>
      </c>
      <c r="G54" s="7" t="s">
        <v>2354</v>
      </c>
      <c r="H54" s="0" t="s">
        <v>2355</v>
      </c>
      <c r="I54" s="0" t="s">
        <v>21</v>
      </c>
      <c r="J54" s="0" t="s">
        <v>22</v>
      </c>
      <c r="L54" s="0" t="str">
        <f aca="false">IFERROR(VLOOKUP(K54,'Supplier list'!B:C,2,0),"")</f>
        <v/>
      </c>
      <c r="M54" s="1" t="n">
        <f aca="false">FALSE()</f>
        <v>0</v>
      </c>
      <c r="N54" s="2"/>
      <c r="O54" s="2" t="n">
        <v>0</v>
      </c>
    </row>
    <row r="55" customFormat="false" ht="16.4" hidden="false" customHeight="false" outlineLevel="0" collapsed="false">
      <c r="A55" s="0" t="s">
        <v>15</v>
      </c>
      <c r="B55" s="0" t="s">
        <v>2356</v>
      </c>
      <c r="C55" s="0" t="n">
        <v>114001</v>
      </c>
      <c r="D55" s="0" t="n">
        <v>114001</v>
      </c>
      <c r="E55" s="0" t="s">
        <v>1605</v>
      </c>
      <c r="F55" s="0" t="s">
        <v>18</v>
      </c>
      <c r="G55" s="7" t="s">
        <v>2357</v>
      </c>
      <c r="H55" s="0" t="s">
        <v>2358</v>
      </c>
      <c r="I55" s="0" t="s">
        <v>21</v>
      </c>
      <c r="J55" s="0" t="s">
        <v>22</v>
      </c>
      <c r="L55" s="0" t="str">
        <f aca="false">IFERROR(VLOOKUP(K55,'Supplier list'!B:C,2,0),"")</f>
        <v/>
      </c>
      <c r="M55" s="1" t="n">
        <f aca="false">FALSE()</f>
        <v>0</v>
      </c>
      <c r="N55" s="2"/>
      <c r="O55" s="2" t="n">
        <v>0</v>
      </c>
    </row>
    <row r="56" customFormat="false" ht="16.4" hidden="false" customHeight="false" outlineLevel="0" collapsed="false">
      <c r="A56" s="0" t="s">
        <v>15</v>
      </c>
      <c r="B56" s="0" t="s">
        <v>2359</v>
      </c>
      <c r="C56" s="0" t="n">
        <v>114001</v>
      </c>
      <c r="D56" s="0" t="n">
        <v>114001</v>
      </c>
      <c r="E56" s="0" t="s">
        <v>1601</v>
      </c>
      <c r="F56" s="0" t="s">
        <v>18</v>
      </c>
      <c r="G56" s="7" t="s">
        <v>2360</v>
      </c>
      <c r="H56" s="0" t="s">
        <v>2361</v>
      </c>
      <c r="I56" s="0" t="s">
        <v>168</v>
      </c>
      <c r="J56" s="0" t="s">
        <v>169</v>
      </c>
      <c r="L56" s="0" t="str">
        <f aca="false">IFERROR(VLOOKUP(K56,'Supplier list'!B:C,2,0),"")</f>
        <v/>
      </c>
      <c r="M56" s="1" t="n">
        <f aca="false">FALSE()</f>
        <v>0</v>
      </c>
      <c r="N56" s="2"/>
      <c r="O56" s="2" t="n">
        <v>0</v>
      </c>
    </row>
    <row r="57" customFormat="false" ht="16.4" hidden="false" customHeight="false" outlineLevel="0" collapsed="false">
      <c r="A57" s="0" t="s">
        <v>15</v>
      </c>
      <c r="B57" s="0" t="s">
        <v>2362</v>
      </c>
      <c r="C57" s="0" t="n">
        <v>114001</v>
      </c>
      <c r="D57" s="0" t="n">
        <v>114001</v>
      </c>
      <c r="E57" s="0" t="s">
        <v>2363</v>
      </c>
      <c r="F57" s="0" t="s">
        <v>18</v>
      </c>
      <c r="G57" s="7" t="s">
        <v>2364</v>
      </c>
      <c r="H57" s="0" t="s">
        <v>2365</v>
      </c>
      <c r="I57" s="0" t="s">
        <v>21</v>
      </c>
      <c r="J57" s="0" t="s">
        <v>22</v>
      </c>
      <c r="L57" s="0" t="str">
        <f aca="false">IFERROR(VLOOKUP(K57,'Supplier list'!B:C,2,0),"")</f>
        <v/>
      </c>
      <c r="M57" s="1" t="n">
        <f aca="false">FALSE()</f>
        <v>0</v>
      </c>
      <c r="N57" s="2"/>
      <c r="O57" s="2" t="n">
        <v>0</v>
      </c>
    </row>
    <row r="58" customFormat="false" ht="16.4" hidden="false" customHeight="false" outlineLevel="0" collapsed="false">
      <c r="A58" s="0" t="s">
        <v>15</v>
      </c>
      <c r="B58" s="0" t="s">
        <v>2366</v>
      </c>
      <c r="C58" s="0" t="n">
        <v>114001</v>
      </c>
      <c r="D58" s="0" t="n">
        <v>114001</v>
      </c>
      <c r="E58" s="0" t="s">
        <v>2367</v>
      </c>
      <c r="F58" s="0" t="s">
        <v>18</v>
      </c>
      <c r="G58" s="7" t="s">
        <v>2368</v>
      </c>
      <c r="H58" s="0" t="s">
        <v>2369</v>
      </c>
      <c r="I58" s="0" t="s">
        <v>168</v>
      </c>
      <c r="J58" s="0" t="s">
        <v>169</v>
      </c>
      <c r="L58" s="0" t="str">
        <f aca="false">IFERROR(VLOOKUP(K58,'Supplier list'!B:C,2,0),"")</f>
        <v/>
      </c>
      <c r="M58" s="1" t="n">
        <f aca="false">FALSE()</f>
        <v>0</v>
      </c>
      <c r="N58" s="2"/>
      <c r="O58" s="2" t="n">
        <v>0</v>
      </c>
    </row>
    <row r="59" customFormat="false" ht="16.4" hidden="false" customHeight="false" outlineLevel="0" collapsed="false">
      <c r="A59" s="0" t="s">
        <v>15</v>
      </c>
      <c r="B59" s="0" t="s">
        <v>2370</v>
      </c>
      <c r="C59" s="0" t="n">
        <v>114001</v>
      </c>
      <c r="D59" s="0" t="n">
        <v>114001</v>
      </c>
      <c r="E59" s="0" t="s">
        <v>2185</v>
      </c>
      <c r="F59" s="0" t="s">
        <v>18</v>
      </c>
      <c r="G59" s="7" t="s">
        <v>2371</v>
      </c>
      <c r="H59" s="0" t="s">
        <v>2372</v>
      </c>
      <c r="I59" s="0" t="s">
        <v>168</v>
      </c>
      <c r="J59" s="0" t="s">
        <v>169</v>
      </c>
      <c r="L59" s="0" t="str">
        <f aca="false">IFERROR(VLOOKUP(K59,'Supplier list'!B:C,2,0),"")</f>
        <v/>
      </c>
      <c r="M59" s="1" t="n">
        <f aca="false">FALSE()</f>
        <v>0</v>
      </c>
      <c r="N59" s="2"/>
      <c r="O59" s="2" t="n">
        <v>0</v>
      </c>
    </row>
    <row r="60" customFormat="false" ht="16.4" hidden="false" customHeight="false" outlineLevel="0" collapsed="false">
      <c r="A60" s="0" t="s">
        <v>15</v>
      </c>
      <c r="B60" s="0" t="s">
        <v>2373</v>
      </c>
      <c r="C60" s="0" t="n">
        <v>114001</v>
      </c>
      <c r="D60" s="0" t="n">
        <v>114001</v>
      </c>
      <c r="E60" s="0" t="s">
        <v>2185</v>
      </c>
      <c r="F60" s="0" t="s">
        <v>18</v>
      </c>
      <c r="G60" s="7" t="s">
        <v>2374</v>
      </c>
      <c r="H60" s="0" t="s">
        <v>2375</v>
      </c>
      <c r="I60" s="0" t="s">
        <v>21</v>
      </c>
      <c r="J60" s="0" t="s">
        <v>22</v>
      </c>
      <c r="L60" s="0" t="str">
        <f aca="false">IFERROR(VLOOKUP(K60,'Supplier list'!B:C,2,0),"")</f>
        <v/>
      </c>
      <c r="M60" s="1" t="n">
        <f aca="false">FALSE()</f>
        <v>0</v>
      </c>
      <c r="N60" s="2"/>
      <c r="O60" s="2" t="n">
        <v>0</v>
      </c>
    </row>
    <row r="61" customFormat="false" ht="16.4" hidden="false" customHeight="false" outlineLevel="0" collapsed="false">
      <c r="A61" s="0" t="s">
        <v>15</v>
      </c>
      <c r="B61" s="0" t="s">
        <v>2376</v>
      </c>
      <c r="C61" s="0" t="n">
        <v>114001</v>
      </c>
      <c r="D61" s="0" t="n">
        <v>114001</v>
      </c>
      <c r="E61" s="0" t="s">
        <v>2185</v>
      </c>
      <c r="F61" s="0" t="s">
        <v>18</v>
      </c>
      <c r="G61" s="7" t="s">
        <v>2377</v>
      </c>
      <c r="H61" s="0" t="s">
        <v>2378</v>
      </c>
      <c r="I61" s="0" t="s">
        <v>168</v>
      </c>
      <c r="J61" s="0" t="s">
        <v>169</v>
      </c>
      <c r="L61" s="0" t="str">
        <f aca="false">IFERROR(VLOOKUP(K61,'Supplier list'!B:C,2,0),"")</f>
        <v/>
      </c>
      <c r="M61" s="1" t="n">
        <f aca="false">FALSE()</f>
        <v>0</v>
      </c>
      <c r="N61" s="2"/>
      <c r="O61" s="2" t="n">
        <v>0</v>
      </c>
    </row>
    <row r="62" customFormat="false" ht="16.4" hidden="false" customHeight="false" outlineLevel="0" collapsed="false">
      <c r="A62" s="0" t="s">
        <v>15</v>
      </c>
      <c r="B62" s="0" t="s">
        <v>2379</v>
      </c>
      <c r="C62" s="0" t="n">
        <v>114001</v>
      </c>
      <c r="D62" s="0" t="n">
        <v>114001</v>
      </c>
      <c r="E62" s="0" t="s">
        <v>127</v>
      </c>
      <c r="F62" s="0" t="s">
        <v>18</v>
      </c>
      <c r="G62" s="7" t="s">
        <v>2380</v>
      </c>
      <c r="H62" s="0" t="s">
        <v>2381</v>
      </c>
      <c r="I62" s="0" t="s">
        <v>168</v>
      </c>
      <c r="J62" s="0" t="s">
        <v>169</v>
      </c>
      <c r="L62" s="0" t="str">
        <f aca="false">IFERROR(VLOOKUP(K62,'Supplier list'!B:C,2,0),"")</f>
        <v/>
      </c>
      <c r="M62" s="1" t="n">
        <f aca="false">FALSE()</f>
        <v>0</v>
      </c>
      <c r="N62" s="2"/>
      <c r="O62" s="2" t="n">
        <v>0</v>
      </c>
    </row>
    <row r="63" customFormat="false" ht="16.4" hidden="false" customHeight="false" outlineLevel="0" collapsed="false">
      <c r="A63" s="0" t="s">
        <v>15</v>
      </c>
      <c r="B63" s="0" t="s">
        <v>2382</v>
      </c>
      <c r="C63" s="0" t="n">
        <v>114001</v>
      </c>
      <c r="D63" s="0" t="n">
        <v>114001</v>
      </c>
      <c r="E63" s="0" t="s">
        <v>2383</v>
      </c>
      <c r="F63" s="0" t="s">
        <v>18</v>
      </c>
      <c r="G63" s="7" t="s">
        <v>2384</v>
      </c>
      <c r="H63" s="0" t="s">
        <v>2385</v>
      </c>
      <c r="I63" s="0" t="s">
        <v>168</v>
      </c>
      <c r="J63" s="0" t="s">
        <v>169</v>
      </c>
      <c r="L63" s="0" t="str">
        <f aca="false">IFERROR(VLOOKUP(K63,'Supplier list'!B:C,2,0),"")</f>
        <v/>
      </c>
      <c r="M63" s="1" t="n">
        <f aca="false">FALSE()</f>
        <v>0</v>
      </c>
      <c r="N63" s="2"/>
      <c r="O63" s="2" t="n">
        <v>0</v>
      </c>
    </row>
    <row r="64" customFormat="false" ht="16.4" hidden="false" customHeight="false" outlineLevel="0" collapsed="false">
      <c r="A64" s="0" t="s">
        <v>15</v>
      </c>
      <c r="B64" s="0" t="s">
        <v>2386</v>
      </c>
      <c r="C64" s="0" t="n">
        <v>114001</v>
      </c>
      <c r="D64" s="0" t="n">
        <v>114001</v>
      </c>
      <c r="E64" s="0" t="s">
        <v>2185</v>
      </c>
      <c r="F64" s="0" t="s">
        <v>18</v>
      </c>
      <c r="G64" s="7" t="s">
        <v>2387</v>
      </c>
      <c r="H64" s="0" t="s">
        <v>2388</v>
      </c>
      <c r="I64" s="0" t="s">
        <v>168</v>
      </c>
      <c r="J64" s="0" t="s">
        <v>169</v>
      </c>
      <c r="L64" s="0" t="str">
        <f aca="false">IFERROR(VLOOKUP(K64,'Supplier list'!B:C,2,0),"")</f>
        <v/>
      </c>
      <c r="M64" s="1" t="n">
        <f aca="false">FALSE()</f>
        <v>0</v>
      </c>
      <c r="N64" s="2"/>
      <c r="O64" s="2" t="n">
        <v>0</v>
      </c>
    </row>
    <row r="65" customFormat="false" ht="16.4" hidden="false" customHeight="false" outlineLevel="0" collapsed="false">
      <c r="A65" s="0" t="s">
        <v>15</v>
      </c>
      <c r="B65" s="0" t="s">
        <v>2389</v>
      </c>
      <c r="C65" s="0" t="n">
        <v>114001</v>
      </c>
      <c r="D65" s="0" t="n">
        <v>114001</v>
      </c>
      <c r="E65" s="0" t="s">
        <v>2185</v>
      </c>
      <c r="F65" s="0" t="s">
        <v>18</v>
      </c>
      <c r="G65" s="7" t="s">
        <v>2390</v>
      </c>
      <c r="H65" s="0" t="s">
        <v>2391</v>
      </c>
      <c r="I65" s="0" t="s">
        <v>168</v>
      </c>
      <c r="J65" s="0" t="s">
        <v>169</v>
      </c>
      <c r="L65" s="0" t="str">
        <f aca="false">IFERROR(VLOOKUP(K65,'Supplier list'!B:C,2,0),"")</f>
        <v/>
      </c>
      <c r="M65" s="1" t="n">
        <f aca="false">FALSE()</f>
        <v>0</v>
      </c>
      <c r="N65" s="2"/>
      <c r="O65" s="2" t="n">
        <v>0</v>
      </c>
    </row>
    <row r="66" customFormat="false" ht="16.4" hidden="false" customHeight="false" outlineLevel="0" collapsed="false">
      <c r="A66" s="0" t="s">
        <v>15</v>
      </c>
      <c r="B66" s="0" t="s">
        <v>2392</v>
      </c>
      <c r="C66" s="0" t="n">
        <v>114001</v>
      </c>
      <c r="D66" s="0" t="n">
        <v>114001</v>
      </c>
      <c r="E66" s="0" t="s">
        <v>127</v>
      </c>
      <c r="F66" s="0" t="s">
        <v>18</v>
      </c>
      <c r="G66" s="7" t="s">
        <v>2393</v>
      </c>
      <c r="H66" s="0" t="s">
        <v>2394</v>
      </c>
      <c r="I66" s="0" t="s">
        <v>168</v>
      </c>
      <c r="J66" s="0" t="s">
        <v>169</v>
      </c>
      <c r="L66" s="0" t="str">
        <f aca="false">IFERROR(VLOOKUP(K66,'Supplier list'!B:C,2,0),"")</f>
        <v/>
      </c>
      <c r="M66" s="1" t="n">
        <f aca="false">FALSE()</f>
        <v>0</v>
      </c>
      <c r="N66" s="2"/>
      <c r="O66" s="2" t="n">
        <v>0</v>
      </c>
    </row>
    <row r="67" customFormat="false" ht="16.4" hidden="false" customHeight="false" outlineLevel="0" collapsed="false">
      <c r="A67" s="0" t="s">
        <v>15</v>
      </c>
      <c r="B67" s="0" t="s">
        <v>2395</v>
      </c>
      <c r="C67" s="0" t="n">
        <v>114001</v>
      </c>
      <c r="D67" s="0" t="n">
        <v>114001</v>
      </c>
      <c r="E67" s="0" t="s">
        <v>2185</v>
      </c>
      <c r="F67" s="0" t="s">
        <v>18</v>
      </c>
      <c r="G67" s="7" t="s">
        <v>2396</v>
      </c>
      <c r="H67" s="0" t="s">
        <v>2397</v>
      </c>
      <c r="I67" s="0" t="s">
        <v>168</v>
      </c>
      <c r="J67" s="0" t="s">
        <v>169</v>
      </c>
      <c r="L67" s="0" t="str">
        <f aca="false">IFERROR(VLOOKUP(K67,'Supplier list'!B:C,2,0),"")</f>
        <v/>
      </c>
      <c r="M67" s="1" t="n">
        <f aca="false">FALSE()</f>
        <v>0</v>
      </c>
      <c r="N67" s="2"/>
      <c r="O67" s="2" t="n">
        <v>0</v>
      </c>
    </row>
    <row r="68" customFormat="false" ht="16.4" hidden="false" customHeight="false" outlineLevel="0" collapsed="false">
      <c r="A68" s="0" t="s">
        <v>15</v>
      </c>
      <c r="B68" s="0" t="s">
        <v>2398</v>
      </c>
      <c r="C68" s="0" t="n">
        <v>114001</v>
      </c>
      <c r="D68" s="0" t="n">
        <v>114001</v>
      </c>
      <c r="E68" s="0" t="s">
        <v>2185</v>
      </c>
      <c r="F68" s="0" t="s">
        <v>18</v>
      </c>
      <c r="G68" s="7" t="s">
        <v>2399</v>
      </c>
      <c r="H68" s="0" t="s">
        <v>2400</v>
      </c>
      <c r="I68" s="0" t="s">
        <v>168</v>
      </c>
      <c r="J68" s="0" t="s">
        <v>169</v>
      </c>
      <c r="L68" s="0" t="str">
        <f aca="false">IFERROR(VLOOKUP(K68,'Supplier list'!B:C,2,0),"")</f>
        <v/>
      </c>
      <c r="M68" s="1" t="n">
        <f aca="false">FALSE()</f>
        <v>0</v>
      </c>
      <c r="N68" s="2"/>
      <c r="O68" s="2" t="n">
        <v>0</v>
      </c>
    </row>
    <row r="69" customFormat="false" ht="16.4" hidden="false" customHeight="false" outlineLevel="0" collapsed="false">
      <c r="A69" s="0" t="s">
        <v>15</v>
      </c>
      <c r="B69" s="0" t="s">
        <v>2401</v>
      </c>
      <c r="C69" s="0" t="n">
        <v>114001</v>
      </c>
      <c r="D69" s="0" t="n">
        <v>114001</v>
      </c>
      <c r="E69" s="0" t="s">
        <v>2185</v>
      </c>
      <c r="F69" s="0" t="s">
        <v>18</v>
      </c>
      <c r="G69" s="7" t="s">
        <v>2402</v>
      </c>
      <c r="H69" s="0" t="s">
        <v>2403</v>
      </c>
      <c r="I69" s="0" t="s">
        <v>168</v>
      </c>
      <c r="J69" s="0" t="s">
        <v>169</v>
      </c>
      <c r="L69" s="0" t="str">
        <f aca="false">IFERROR(VLOOKUP(K69,'Supplier list'!B:C,2,0),"")</f>
        <v/>
      </c>
      <c r="M69" s="1" t="n">
        <f aca="false">FALSE()</f>
        <v>0</v>
      </c>
      <c r="N69" s="2"/>
      <c r="O69" s="2" t="n">
        <v>0</v>
      </c>
    </row>
    <row r="70" customFormat="false" ht="16.4" hidden="false" customHeight="false" outlineLevel="0" collapsed="false">
      <c r="A70" s="0" t="s">
        <v>15</v>
      </c>
      <c r="B70" s="0" t="s">
        <v>2404</v>
      </c>
      <c r="C70" s="0" t="n">
        <v>114001</v>
      </c>
      <c r="D70" s="0" t="n">
        <v>114001</v>
      </c>
      <c r="E70" s="0" t="s">
        <v>2185</v>
      </c>
      <c r="F70" s="0" t="s">
        <v>18</v>
      </c>
      <c r="G70" s="7" t="s">
        <v>2405</v>
      </c>
      <c r="H70" s="0" t="s">
        <v>2406</v>
      </c>
      <c r="I70" s="0" t="s">
        <v>168</v>
      </c>
      <c r="J70" s="0" t="s">
        <v>169</v>
      </c>
      <c r="L70" s="0" t="str">
        <f aca="false">IFERROR(VLOOKUP(K70,'Supplier list'!B:C,2,0),"")</f>
        <v/>
      </c>
      <c r="M70" s="1" t="n">
        <f aca="false">FALSE()</f>
        <v>0</v>
      </c>
      <c r="N70" s="2"/>
      <c r="O70" s="2" t="n">
        <v>0</v>
      </c>
    </row>
    <row r="71" customFormat="false" ht="16.4" hidden="false" customHeight="false" outlineLevel="0" collapsed="false">
      <c r="A71" s="0" t="s">
        <v>15</v>
      </c>
      <c r="B71" s="0" t="s">
        <v>2407</v>
      </c>
      <c r="C71" s="0" t="n">
        <v>114001</v>
      </c>
      <c r="D71" s="0" t="n">
        <v>114001</v>
      </c>
      <c r="E71" s="0" t="s">
        <v>2185</v>
      </c>
      <c r="F71" s="0" t="s">
        <v>18</v>
      </c>
      <c r="G71" s="7" t="s">
        <v>2408</v>
      </c>
      <c r="H71" s="0" t="s">
        <v>2409</v>
      </c>
      <c r="I71" s="0" t="s">
        <v>168</v>
      </c>
      <c r="J71" s="0" t="s">
        <v>169</v>
      </c>
      <c r="L71" s="0" t="str">
        <f aca="false">IFERROR(VLOOKUP(K71,'Supplier list'!B:C,2,0),"")</f>
        <v/>
      </c>
      <c r="M71" s="1" t="n">
        <f aca="false">FALSE()</f>
        <v>0</v>
      </c>
      <c r="N71" s="2"/>
      <c r="O71" s="2" t="n">
        <v>0</v>
      </c>
    </row>
    <row r="72" customFormat="false" ht="16.4" hidden="false" customHeight="false" outlineLevel="0" collapsed="false">
      <c r="A72" s="0" t="s">
        <v>15</v>
      </c>
      <c r="B72" s="0" t="s">
        <v>2410</v>
      </c>
      <c r="C72" s="0" t="n">
        <v>114001</v>
      </c>
      <c r="D72" s="0" t="n">
        <v>114001</v>
      </c>
      <c r="E72" s="0" t="s">
        <v>1764</v>
      </c>
      <c r="F72" s="0" t="s">
        <v>18</v>
      </c>
      <c r="G72" s="7" t="s">
        <v>2411</v>
      </c>
      <c r="H72" s="0" t="s">
        <v>2412</v>
      </c>
      <c r="I72" s="0" t="s">
        <v>168</v>
      </c>
      <c r="J72" s="0" t="s">
        <v>169</v>
      </c>
      <c r="L72" s="0" t="str">
        <f aca="false">IFERROR(VLOOKUP(K72,'Supplier list'!B:C,2,0),"")</f>
        <v/>
      </c>
      <c r="M72" s="1" t="n">
        <f aca="false">FALSE()</f>
        <v>0</v>
      </c>
      <c r="N72" s="2"/>
      <c r="O72" s="2" t="n">
        <v>0</v>
      </c>
    </row>
    <row r="73" customFormat="false" ht="16.4" hidden="false" customHeight="false" outlineLevel="0" collapsed="false">
      <c r="A73" s="0" t="s">
        <v>15</v>
      </c>
      <c r="B73" s="0" t="s">
        <v>2413</v>
      </c>
      <c r="C73" s="0" t="n">
        <v>114001</v>
      </c>
      <c r="D73" s="0" t="n">
        <v>114001</v>
      </c>
      <c r="E73" s="0" t="s">
        <v>1764</v>
      </c>
      <c r="F73" s="0" t="s">
        <v>18</v>
      </c>
      <c r="G73" s="7" t="s">
        <v>2414</v>
      </c>
      <c r="H73" s="0" t="s">
        <v>2415</v>
      </c>
      <c r="I73" s="0" t="s">
        <v>168</v>
      </c>
      <c r="J73" s="0" t="s">
        <v>169</v>
      </c>
      <c r="L73" s="0" t="str">
        <f aca="false">IFERROR(VLOOKUP(K73,'Supplier list'!B:C,2,0),"")</f>
        <v/>
      </c>
      <c r="M73" s="1" t="n">
        <f aca="false">FALSE()</f>
        <v>0</v>
      </c>
      <c r="N73" s="2"/>
      <c r="O73" s="2" t="n">
        <v>0</v>
      </c>
    </row>
    <row r="74" customFormat="false" ht="16.4" hidden="false" customHeight="false" outlineLevel="0" collapsed="false">
      <c r="A74" s="0" t="s">
        <v>15</v>
      </c>
      <c r="B74" s="0" t="s">
        <v>2416</v>
      </c>
      <c r="C74" s="0" t="n">
        <v>114001</v>
      </c>
      <c r="D74" s="0" t="n">
        <v>114001</v>
      </c>
      <c r="E74" s="0" t="s">
        <v>1764</v>
      </c>
      <c r="F74" s="0" t="s">
        <v>18</v>
      </c>
      <c r="G74" s="7" t="s">
        <v>2417</v>
      </c>
      <c r="H74" s="0" t="s">
        <v>2418</v>
      </c>
      <c r="I74" s="0" t="s">
        <v>168</v>
      </c>
      <c r="J74" s="0" t="s">
        <v>169</v>
      </c>
      <c r="L74" s="0" t="str">
        <f aca="false">IFERROR(VLOOKUP(K74,'Supplier list'!B:C,2,0),"")</f>
        <v/>
      </c>
      <c r="M74" s="1" t="n">
        <f aca="false">FALSE()</f>
        <v>0</v>
      </c>
      <c r="N74" s="2"/>
      <c r="O74" s="2" t="n">
        <v>0</v>
      </c>
    </row>
    <row r="75" customFormat="false" ht="16.4" hidden="false" customHeight="false" outlineLevel="0" collapsed="false">
      <c r="A75" s="0" t="s">
        <v>15</v>
      </c>
      <c r="B75" s="0" t="s">
        <v>2419</v>
      </c>
      <c r="C75" s="0" t="n">
        <v>114001</v>
      </c>
      <c r="D75" s="0" t="n">
        <v>114001</v>
      </c>
      <c r="E75" s="0" t="s">
        <v>2185</v>
      </c>
      <c r="F75" s="0" t="s">
        <v>18</v>
      </c>
      <c r="G75" s="7" t="s">
        <v>2420</v>
      </c>
      <c r="H75" s="0" t="s">
        <v>2421</v>
      </c>
      <c r="I75" s="0" t="s">
        <v>168</v>
      </c>
      <c r="J75" s="0" t="s">
        <v>169</v>
      </c>
      <c r="L75" s="0" t="str">
        <f aca="false">IFERROR(VLOOKUP(K75,'Supplier list'!B:C,2,0),"")</f>
        <v/>
      </c>
      <c r="M75" s="1" t="n">
        <f aca="false">FALSE()</f>
        <v>0</v>
      </c>
      <c r="N75" s="2"/>
      <c r="O75" s="2" t="n">
        <v>0</v>
      </c>
    </row>
    <row r="76" customFormat="false" ht="16.4" hidden="false" customHeight="false" outlineLevel="0" collapsed="false">
      <c r="A76" s="0" t="s">
        <v>15</v>
      </c>
      <c r="B76" s="0" t="s">
        <v>2422</v>
      </c>
      <c r="C76" s="0" t="n">
        <v>114001</v>
      </c>
      <c r="D76" s="0" t="n">
        <v>114001</v>
      </c>
      <c r="E76" s="0" t="s">
        <v>2185</v>
      </c>
      <c r="F76" s="0" t="s">
        <v>18</v>
      </c>
      <c r="G76" s="7" t="s">
        <v>2423</v>
      </c>
      <c r="H76" s="0" t="s">
        <v>2424</v>
      </c>
      <c r="I76" s="0" t="s">
        <v>168</v>
      </c>
      <c r="J76" s="0" t="s">
        <v>169</v>
      </c>
      <c r="L76" s="0" t="str">
        <f aca="false">IFERROR(VLOOKUP(K76,'Supplier list'!B:C,2,0),"")</f>
        <v/>
      </c>
      <c r="M76" s="1" t="n">
        <f aca="false">FALSE()</f>
        <v>0</v>
      </c>
      <c r="N76" s="2"/>
      <c r="O76" s="2" t="n">
        <v>0</v>
      </c>
    </row>
    <row r="77" customFormat="false" ht="16.4" hidden="false" customHeight="false" outlineLevel="0" collapsed="false">
      <c r="A77" s="0" t="s">
        <v>15</v>
      </c>
      <c r="B77" s="0" t="s">
        <v>2425</v>
      </c>
      <c r="C77" s="0" t="n">
        <v>114001</v>
      </c>
      <c r="D77" s="0" t="n">
        <v>114001</v>
      </c>
      <c r="E77" s="0" t="s">
        <v>2185</v>
      </c>
      <c r="F77" s="0" t="s">
        <v>18</v>
      </c>
      <c r="G77" s="7" t="s">
        <v>2426</v>
      </c>
      <c r="H77" s="0" t="s">
        <v>2427</v>
      </c>
      <c r="I77" s="0" t="s">
        <v>168</v>
      </c>
      <c r="J77" s="0" t="s">
        <v>169</v>
      </c>
      <c r="L77" s="0" t="str">
        <f aca="false">IFERROR(VLOOKUP(K77,'Supplier list'!B:C,2,0),"")</f>
        <v/>
      </c>
      <c r="M77" s="1" t="n">
        <f aca="false">FALSE()</f>
        <v>0</v>
      </c>
      <c r="N77" s="2"/>
      <c r="O77" s="2" t="n">
        <v>0</v>
      </c>
    </row>
    <row r="78" customFormat="false" ht="16.4" hidden="false" customHeight="false" outlineLevel="0" collapsed="false">
      <c r="A78" s="0" t="s">
        <v>15</v>
      </c>
      <c r="B78" s="0" t="s">
        <v>2428</v>
      </c>
      <c r="C78" s="0" t="n">
        <v>114001</v>
      </c>
      <c r="D78" s="0" t="n">
        <v>114001</v>
      </c>
      <c r="E78" s="0" t="s">
        <v>2185</v>
      </c>
      <c r="F78" s="0" t="s">
        <v>18</v>
      </c>
      <c r="G78" s="7" t="s">
        <v>2429</v>
      </c>
      <c r="H78" s="0" t="s">
        <v>2430</v>
      </c>
      <c r="I78" s="0" t="s">
        <v>168</v>
      </c>
      <c r="J78" s="0" t="s">
        <v>169</v>
      </c>
      <c r="L78" s="0" t="str">
        <f aca="false">IFERROR(VLOOKUP(K78,'Supplier list'!B:C,2,0),"")</f>
        <v/>
      </c>
      <c r="M78" s="1" t="n">
        <f aca="false">FALSE()</f>
        <v>0</v>
      </c>
      <c r="N78" s="2"/>
      <c r="O78" s="2" t="n">
        <v>0</v>
      </c>
    </row>
    <row r="79" customFormat="false" ht="16.4" hidden="false" customHeight="false" outlineLevel="0" collapsed="false">
      <c r="A79" s="0" t="s">
        <v>15</v>
      </c>
      <c r="B79" s="0" t="s">
        <v>2431</v>
      </c>
      <c r="C79" s="0" t="n">
        <v>114001</v>
      </c>
      <c r="D79" s="0" t="n">
        <v>114001</v>
      </c>
      <c r="E79" s="0" t="s">
        <v>2185</v>
      </c>
      <c r="F79" s="0" t="s">
        <v>18</v>
      </c>
      <c r="G79" s="7" t="s">
        <v>2432</v>
      </c>
      <c r="H79" s="0" t="s">
        <v>2433</v>
      </c>
      <c r="I79" s="0" t="s">
        <v>168</v>
      </c>
      <c r="J79" s="0" t="s">
        <v>169</v>
      </c>
      <c r="L79" s="0" t="str">
        <f aca="false">IFERROR(VLOOKUP(K79,'Supplier list'!B:C,2,0),"")</f>
        <v/>
      </c>
      <c r="M79" s="1" t="n">
        <f aca="false">FALSE()</f>
        <v>0</v>
      </c>
      <c r="N79" s="2"/>
      <c r="O79" s="2" t="n">
        <v>0</v>
      </c>
    </row>
    <row r="80" customFormat="false" ht="16.4" hidden="false" customHeight="false" outlineLevel="0" collapsed="false">
      <c r="A80" s="0" t="s">
        <v>15</v>
      </c>
      <c r="B80" s="0" t="s">
        <v>2434</v>
      </c>
      <c r="C80" s="0" t="n">
        <v>114001</v>
      </c>
      <c r="D80" s="0" t="n">
        <v>114001</v>
      </c>
      <c r="E80" s="0" t="s">
        <v>2185</v>
      </c>
      <c r="F80" s="0" t="s">
        <v>18</v>
      </c>
      <c r="G80" s="7" t="s">
        <v>2435</v>
      </c>
      <c r="H80" s="0" t="s">
        <v>2436</v>
      </c>
      <c r="I80" s="0" t="s">
        <v>168</v>
      </c>
      <c r="J80" s="0" t="s">
        <v>169</v>
      </c>
      <c r="L80" s="0" t="str">
        <f aca="false">IFERROR(VLOOKUP(K80,'Supplier list'!B:C,2,0),"")</f>
        <v/>
      </c>
      <c r="M80" s="1" t="n">
        <f aca="false">FALSE()</f>
        <v>0</v>
      </c>
      <c r="N80" s="2"/>
      <c r="O80" s="2" t="n">
        <v>0</v>
      </c>
    </row>
    <row r="81" customFormat="false" ht="16.4" hidden="false" customHeight="false" outlineLevel="0" collapsed="false">
      <c r="A81" s="0" t="s">
        <v>15</v>
      </c>
      <c r="B81" s="0" t="s">
        <v>2437</v>
      </c>
      <c r="C81" s="0" t="n">
        <v>114001</v>
      </c>
      <c r="D81" s="0" t="n">
        <v>114001</v>
      </c>
      <c r="E81" s="0" t="s">
        <v>581</v>
      </c>
      <c r="F81" s="0" t="s">
        <v>18</v>
      </c>
      <c r="G81" s="7" t="s">
        <v>2438</v>
      </c>
      <c r="H81" s="0" t="s">
        <v>2439</v>
      </c>
      <c r="I81" s="0" t="s">
        <v>21</v>
      </c>
      <c r="J81" s="0" t="s">
        <v>22</v>
      </c>
      <c r="K81" s="0" t="s">
        <v>176</v>
      </c>
      <c r="L81" s="0" t="str">
        <f aca="false">IFERROR(VLOOKUP(K81,'Supplier list'!B:C,2,0),"")</f>
        <v>บริษัท ต้าโจว อินดัสทรี จำกัด</v>
      </c>
      <c r="M81" s="1" t="n">
        <f aca="false">FALSE()</f>
        <v>0</v>
      </c>
      <c r="N81" s="2"/>
      <c r="O81" s="2" t="n">
        <v>880</v>
      </c>
    </row>
    <row r="82" customFormat="false" ht="16.4" hidden="false" customHeight="false" outlineLevel="0" collapsed="false">
      <c r="A82" s="0" t="s">
        <v>15</v>
      </c>
      <c r="B82" s="0" t="s">
        <v>2440</v>
      </c>
      <c r="C82" s="0" t="n">
        <v>114001</v>
      </c>
      <c r="D82" s="0" t="n">
        <v>114001</v>
      </c>
      <c r="E82" s="0" t="s">
        <v>2185</v>
      </c>
      <c r="F82" s="0" t="s">
        <v>18</v>
      </c>
      <c r="G82" s="7" t="s">
        <v>2441</v>
      </c>
      <c r="H82" s="0" t="s">
        <v>2442</v>
      </c>
      <c r="I82" s="0" t="s">
        <v>168</v>
      </c>
      <c r="J82" s="0" t="s">
        <v>169</v>
      </c>
      <c r="L82" s="0" t="str">
        <f aca="false">IFERROR(VLOOKUP(K82,'Supplier list'!B:C,2,0),"")</f>
        <v/>
      </c>
      <c r="M82" s="1" t="n">
        <f aca="false">FALSE()</f>
        <v>0</v>
      </c>
      <c r="N82" s="2"/>
      <c r="O82" s="2" t="n">
        <v>470</v>
      </c>
    </row>
    <row r="83" customFormat="false" ht="16.4" hidden="false" customHeight="false" outlineLevel="0" collapsed="false">
      <c r="A83" s="0" t="s">
        <v>15</v>
      </c>
      <c r="B83" s="0" t="s">
        <v>2443</v>
      </c>
      <c r="C83" s="0" t="n">
        <v>114001</v>
      </c>
      <c r="D83" s="0" t="n">
        <v>114001</v>
      </c>
      <c r="E83" s="0" t="s">
        <v>1727</v>
      </c>
      <c r="F83" s="0" t="s">
        <v>18</v>
      </c>
      <c r="G83" s="7" t="s">
        <v>2444</v>
      </c>
      <c r="H83" s="0" t="s">
        <v>2445</v>
      </c>
      <c r="I83" s="0" t="s">
        <v>124</v>
      </c>
      <c r="J83" s="0" t="s">
        <v>125</v>
      </c>
      <c r="K83" s="0" t="s">
        <v>1725</v>
      </c>
      <c r="L83" s="0" t="str">
        <f aca="false">IFERROR(VLOOKUP(K83,'Supplier list'!B:C,2,0),"")</f>
        <v>บริษัท พรีซิชั่นไลน์ จำกัด</v>
      </c>
      <c r="M83" s="1" t="n">
        <f aca="false">FALSE()</f>
        <v>0</v>
      </c>
      <c r="N83" s="2"/>
      <c r="O83" s="2" t="n">
        <v>0</v>
      </c>
    </row>
    <row r="84" customFormat="false" ht="16.4" hidden="false" customHeight="false" outlineLevel="0" collapsed="false">
      <c r="A84" s="0" t="s">
        <v>15</v>
      </c>
      <c r="B84" s="0" t="s">
        <v>2446</v>
      </c>
      <c r="C84" s="0" t="n">
        <v>114001</v>
      </c>
      <c r="D84" s="0" t="n">
        <v>114001</v>
      </c>
      <c r="E84" s="0" t="s">
        <v>1684</v>
      </c>
      <c r="F84" s="0" t="s">
        <v>18</v>
      </c>
      <c r="G84" s="7" t="s">
        <v>2447</v>
      </c>
      <c r="H84" s="0" t="s">
        <v>2448</v>
      </c>
      <c r="I84" s="0" t="s">
        <v>248</v>
      </c>
      <c r="J84" s="0" t="s">
        <v>249</v>
      </c>
      <c r="K84" s="0" t="s">
        <v>89</v>
      </c>
      <c r="L84" s="0" t="str">
        <f aca="false">IFERROR(VLOOKUP(K84,'Supplier list'!B:C,2,0),"")</f>
        <v>บริษัท เฮเฟเล่ (ประเทศไทย) จำกัด</v>
      </c>
      <c r="M84" s="1" t="n">
        <f aca="false">FALSE()</f>
        <v>0</v>
      </c>
      <c r="N84" s="2"/>
      <c r="O84" s="2" t="n">
        <v>1500</v>
      </c>
    </row>
    <row r="85" customFormat="false" ht="16.4" hidden="false" customHeight="false" outlineLevel="0" collapsed="false">
      <c r="A85" s="0" t="s">
        <v>15</v>
      </c>
      <c r="B85" s="0" t="s">
        <v>2449</v>
      </c>
      <c r="C85" s="0" t="n">
        <v>114001</v>
      </c>
      <c r="D85" s="0" t="n">
        <v>114001</v>
      </c>
      <c r="E85" s="0" t="s">
        <v>1684</v>
      </c>
      <c r="F85" s="0" t="s">
        <v>18</v>
      </c>
      <c r="G85" s="7" t="s">
        <v>2450</v>
      </c>
      <c r="H85" s="0" t="s">
        <v>2451</v>
      </c>
      <c r="I85" s="0" t="s">
        <v>248</v>
      </c>
      <c r="J85" s="0" t="s">
        <v>249</v>
      </c>
      <c r="K85" s="0" t="s">
        <v>89</v>
      </c>
      <c r="L85" s="0" t="str">
        <f aca="false">IFERROR(VLOOKUP(K85,'Supplier list'!B:C,2,0),"")</f>
        <v>บริษัท เฮเฟเล่ (ประเทศไทย) จำกัด</v>
      </c>
      <c r="M85" s="1" t="n">
        <f aca="false">FALSE()</f>
        <v>0</v>
      </c>
      <c r="N85" s="2"/>
      <c r="O85" s="2" t="n">
        <v>1500</v>
      </c>
    </row>
    <row r="86" customFormat="false" ht="16.4" hidden="false" customHeight="false" outlineLevel="0" collapsed="false">
      <c r="A86" s="0" t="s">
        <v>15</v>
      </c>
      <c r="B86" s="0" t="s">
        <v>2452</v>
      </c>
      <c r="C86" s="0" t="n">
        <v>114001</v>
      </c>
      <c r="D86" s="0" t="n">
        <v>114001</v>
      </c>
      <c r="E86" s="0" t="s">
        <v>1815</v>
      </c>
      <c r="F86" s="0" t="s">
        <v>18</v>
      </c>
      <c r="G86" s="7" t="s">
        <v>2453</v>
      </c>
      <c r="H86" s="0" t="s">
        <v>2454</v>
      </c>
      <c r="I86" s="0" t="s">
        <v>124</v>
      </c>
      <c r="J86" s="0" t="s">
        <v>125</v>
      </c>
      <c r="K86" s="0" t="s">
        <v>89</v>
      </c>
      <c r="L86" s="0" t="str">
        <f aca="false">IFERROR(VLOOKUP(K86,'Supplier list'!B:C,2,0),"")</f>
        <v>บริษัท เฮเฟเล่ (ประเทศไทย) จำกัด</v>
      </c>
      <c r="M86" s="1" t="n">
        <f aca="false">FALSE()</f>
        <v>0</v>
      </c>
      <c r="N86" s="2"/>
      <c r="O86" s="2" t="n">
        <v>589</v>
      </c>
    </row>
    <row r="87" customFormat="false" ht="16.4" hidden="false" customHeight="false" outlineLevel="0" collapsed="false">
      <c r="A87" s="0" t="s">
        <v>15</v>
      </c>
      <c r="B87" s="0" t="s">
        <v>2455</v>
      </c>
      <c r="C87" s="0" t="n">
        <v>114001</v>
      </c>
      <c r="D87" s="0" t="n">
        <v>114001</v>
      </c>
      <c r="E87" s="0" t="s">
        <v>1605</v>
      </c>
      <c r="F87" s="0" t="s">
        <v>18</v>
      </c>
      <c r="G87" s="7" t="s">
        <v>2456</v>
      </c>
      <c r="H87" s="0" t="s">
        <v>2457</v>
      </c>
      <c r="I87" s="0" t="s">
        <v>21</v>
      </c>
      <c r="J87" s="0" t="s">
        <v>22</v>
      </c>
      <c r="K87" s="0" t="s">
        <v>787</v>
      </c>
      <c r="L87" s="0" t="str">
        <f aca="false">IFERROR(VLOOKUP(K87,'Supplier list'!B:C,2,0),"")</f>
        <v>บริษัท ฟิวเจอร์เทค อินเตอร์มาร์เก็ตติ้ง จำกัด</v>
      </c>
      <c r="M87" s="1" t="n">
        <f aca="false">FALSE()</f>
        <v>0</v>
      </c>
      <c r="N87" s="2"/>
      <c r="O87" s="2" t="n">
        <v>10</v>
      </c>
    </row>
    <row r="88" customFormat="false" ht="16.4" hidden="false" customHeight="false" outlineLevel="0" collapsed="false">
      <c r="A88" s="0" t="s">
        <v>15</v>
      </c>
      <c r="B88" s="0" t="s">
        <v>2458</v>
      </c>
      <c r="C88" s="0" t="n">
        <v>114001</v>
      </c>
      <c r="D88" s="0" t="n">
        <v>114001</v>
      </c>
      <c r="E88" s="0" t="s">
        <v>1605</v>
      </c>
      <c r="F88" s="0" t="s">
        <v>18</v>
      </c>
      <c r="G88" s="7" t="s">
        <v>2459</v>
      </c>
      <c r="H88" s="0" t="s">
        <v>2460</v>
      </c>
      <c r="I88" s="0" t="s">
        <v>168</v>
      </c>
      <c r="J88" s="0" t="s">
        <v>169</v>
      </c>
      <c r="K88" s="0" t="s">
        <v>787</v>
      </c>
      <c r="L88" s="0" t="str">
        <f aca="false">IFERROR(VLOOKUP(K88,'Supplier list'!B:C,2,0),"")</f>
        <v>บริษัท ฟิวเจอร์เทค อินเตอร์มาร์เก็ตติ้ง จำกัด</v>
      </c>
      <c r="M88" s="1" t="n">
        <f aca="false">FALSE()</f>
        <v>0</v>
      </c>
      <c r="N88" s="2"/>
      <c r="O88" s="2" t="n">
        <v>385</v>
      </c>
    </row>
    <row r="89" customFormat="false" ht="16.4" hidden="false" customHeight="false" outlineLevel="0" collapsed="false">
      <c r="A89" s="0" t="s">
        <v>15</v>
      </c>
      <c r="B89" s="0" t="s">
        <v>2461</v>
      </c>
      <c r="C89" s="0" t="n">
        <v>114001</v>
      </c>
      <c r="D89" s="0" t="n">
        <v>114001</v>
      </c>
      <c r="E89" s="0" t="s">
        <v>1764</v>
      </c>
      <c r="F89" s="0" t="s">
        <v>18</v>
      </c>
      <c r="G89" s="7" t="s">
        <v>2462</v>
      </c>
      <c r="H89" s="0" t="s">
        <v>2463</v>
      </c>
      <c r="I89" s="0" t="s">
        <v>168</v>
      </c>
      <c r="J89" s="0" t="s">
        <v>169</v>
      </c>
      <c r="K89" s="0" t="s">
        <v>1725</v>
      </c>
      <c r="L89" s="0" t="str">
        <f aca="false">IFERROR(VLOOKUP(K89,'Supplier list'!B:C,2,0),"")</f>
        <v>บริษัท พรีซิชั่นไลน์ จำกัด</v>
      </c>
      <c r="M89" s="1" t="n">
        <f aca="false">FALSE()</f>
        <v>0</v>
      </c>
      <c r="N89" s="2"/>
      <c r="O89" s="2" t="n">
        <v>139</v>
      </c>
    </row>
    <row r="90" customFormat="false" ht="16.4" hidden="false" customHeight="false" outlineLevel="0" collapsed="false">
      <c r="A90" s="0" t="s">
        <v>15</v>
      </c>
      <c r="B90" s="0" t="s">
        <v>2464</v>
      </c>
      <c r="C90" s="0" t="n">
        <v>114001</v>
      </c>
      <c r="D90" s="0" t="n">
        <v>114001</v>
      </c>
      <c r="E90" s="0" t="s">
        <v>1653</v>
      </c>
      <c r="F90" s="0" t="s">
        <v>18</v>
      </c>
      <c r="G90" s="7" t="s">
        <v>2465</v>
      </c>
      <c r="H90" s="0" t="s">
        <v>2466</v>
      </c>
      <c r="I90" s="0" t="s">
        <v>124</v>
      </c>
      <c r="J90" s="0" t="s">
        <v>125</v>
      </c>
      <c r="K90" s="0" t="s">
        <v>89</v>
      </c>
      <c r="L90" s="0" t="str">
        <f aca="false">IFERROR(VLOOKUP(K90,'Supplier list'!B:C,2,0),"")</f>
        <v>บริษัท เฮเฟเล่ (ประเทศไทย) จำกัด</v>
      </c>
      <c r="M90" s="1" t="n">
        <f aca="false">FALSE()</f>
        <v>0</v>
      </c>
      <c r="N90" s="2"/>
      <c r="O90" s="2" t="n">
        <v>4972</v>
      </c>
    </row>
    <row r="91" customFormat="false" ht="16.4" hidden="false" customHeight="false" outlineLevel="0" collapsed="false">
      <c r="A91" s="0" t="s">
        <v>15</v>
      </c>
      <c r="B91" s="0" t="s">
        <v>2467</v>
      </c>
      <c r="C91" s="0" t="n">
        <v>114001</v>
      </c>
      <c r="D91" s="0" t="n">
        <v>114001</v>
      </c>
      <c r="E91" s="0" t="s">
        <v>2363</v>
      </c>
      <c r="F91" s="0" t="s">
        <v>18</v>
      </c>
      <c r="G91" s="7" t="s">
        <v>2468</v>
      </c>
      <c r="H91" s="0" t="s">
        <v>2469</v>
      </c>
      <c r="I91" s="0" t="s">
        <v>124</v>
      </c>
      <c r="J91" s="0" t="s">
        <v>125</v>
      </c>
      <c r="K91" s="0" t="s">
        <v>89</v>
      </c>
      <c r="L91" s="0" t="str">
        <f aca="false">IFERROR(VLOOKUP(K91,'Supplier list'!B:C,2,0),"")</f>
        <v>บริษัท เฮเฟเล่ (ประเทศไทย) จำกัด</v>
      </c>
      <c r="M91" s="1" t="n">
        <f aca="false">FALSE()</f>
        <v>0</v>
      </c>
      <c r="N91" s="2"/>
      <c r="O91" s="2" t="n">
        <v>1963</v>
      </c>
    </row>
    <row r="92" customFormat="false" ht="16.4" hidden="false" customHeight="false" outlineLevel="0" collapsed="false">
      <c r="A92" s="0" t="s">
        <v>15</v>
      </c>
      <c r="B92" s="0" t="s">
        <v>2470</v>
      </c>
      <c r="C92" s="0" t="n">
        <v>114001</v>
      </c>
      <c r="D92" s="0" t="n">
        <v>114001</v>
      </c>
      <c r="E92" s="0" t="s">
        <v>121</v>
      </c>
      <c r="F92" s="0" t="s">
        <v>18</v>
      </c>
      <c r="G92" s="7" t="s">
        <v>2471</v>
      </c>
      <c r="H92" s="0" t="s">
        <v>2472</v>
      </c>
      <c r="I92" s="0" t="s">
        <v>142</v>
      </c>
      <c r="J92" s="0" t="s">
        <v>143</v>
      </c>
      <c r="K92" s="0" t="s">
        <v>82</v>
      </c>
      <c r="L92" s="0" t="str">
        <f aca="false">IFERROR(VLOOKUP(K92,'Supplier list'!B:C,2,0),"")</f>
        <v>บริษัท เกรียงศิริพัฒนา (1995) จำกัด</v>
      </c>
      <c r="M92" s="1" t="n">
        <f aca="false">FALSE()</f>
        <v>0</v>
      </c>
      <c r="N92" s="2"/>
      <c r="O92" s="2" t="n">
        <v>239</v>
      </c>
    </row>
    <row r="93" customFormat="false" ht="16.4" hidden="false" customHeight="false" outlineLevel="0" collapsed="false">
      <c r="A93" s="0" t="s">
        <v>15</v>
      </c>
      <c r="B93" s="0" t="s">
        <v>2473</v>
      </c>
      <c r="C93" s="0" t="n">
        <v>114001</v>
      </c>
      <c r="D93" s="0" t="n">
        <v>114001</v>
      </c>
      <c r="E93" s="0" t="s">
        <v>1605</v>
      </c>
      <c r="F93" s="0" t="s">
        <v>18</v>
      </c>
      <c r="G93" s="7" t="s">
        <v>2474</v>
      </c>
      <c r="H93" s="0" t="s">
        <v>2475</v>
      </c>
      <c r="I93" s="0" t="s">
        <v>21</v>
      </c>
      <c r="J93" s="0" t="s">
        <v>22</v>
      </c>
      <c r="L93" s="0" t="str">
        <f aca="false">IFERROR(VLOOKUP(K93,'Supplier list'!B:C,2,0),"")</f>
        <v/>
      </c>
      <c r="M93" s="1" t="n">
        <f aca="false">FALSE()</f>
        <v>0</v>
      </c>
      <c r="N93" s="2"/>
      <c r="O93" s="2" t="n">
        <v>10</v>
      </c>
    </row>
    <row r="94" customFormat="false" ht="16.4" hidden="false" customHeight="false" outlineLevel="0" collapsed="false">
      <c r="A94" s="0" t="s">
        <v>15</v>
      </c>
      <c r="B94" s="0" t="s">
        <v>2476</v>
      </c>
      <c r="C94" s="0" t="n">
        <v>114001</v>
      </c>
      <c r="D94" s="0" t="n">
        <v>114001</v>
      </c>
      <c r="E94" s="0" t="s">
        <v>1653</v>
      </c>
      <c r="F94" s="0" t="s">
        <v>18</v>
      </c>
      <c r="G94" s="7" t="s">
        <v>2477</v>
      </c>
      <c r="H94" s="0" t="s">
        <v>2478</v>
      </c>
      <c r="I94" s="0" t="s">
        <v>124</v>
      </c>
      <c r="J94" s="0" t="s">
        <v>125</v>
      </c>
      <c r="K94" s="0" t="s">
        <v>1725</v>
      </c>
      <c r="L94" s="0" t="str">
        <f aca="false">IFERROR(VLOOKUP(K94,'Supplier list'!B:C,2,0),"")</f>
        <v>บริษัท พรีซิชั่นไลน์ จำกัด</v>
      </c>
      <c r="M94" s="1" t="n">
        <f aca="false">FALSE()</f>
        <v>0</v>
      </c>
      <c r="N94" s="2"/>
      <c r="O94" s="2" t="n">
        <v>0</v>
      </c>
    </row>
    <row r="95" customFormat="false" ht="16.4" hidden="false" customHeight="false" outlineLevel="0" collapsed="false">
      <c r="A95" s="0" t="s">
        <v>15</v>
      </c>
      <c r="B95" s="0" t="s">
        <v>2479</v>
      </c>
      <c r="C95" s="0" t="n">
        <v>114001</v>
      </c>
      <c r="D95" s="0" t="n">
        <v>114001</v>
      </c>
      <c r="E95" s="0" t="s">
        <v>1605</v>
      </c>
      <c r="F95" s="0" t="s">
        <v>18</v>
      </c>
      <c r="G95" s="7" t="s">
        <v>2480</v>
      </c>
      <c r="H95" s="0" t="s">
        <v>2481</v>
      </c>
      <c r="I95" s="0" t="s">
        <v>396</v>
      </c>
      <c r="J95" s="0" t="s">
        <v>397</v>
      </c>
      <c r="K95" s="0" t="s">
        <v>787</v>
      </c>
      <c r="L95" s="0" t="str">
        <f aca="false">IFERROR(VLOOKUP(K95,'Supplier list'!B:C,2,0),"")</f>
        <v>บริษัท ฟิวเจอร์เทค อินเตอร์มาร์เก็ตติ้ง จำกัด</v>
      </c>
      <c r="M95" s="1" t="n">
        <f aca="false">FALSE()</f>
        <v>0</v>
      </c>
      <c r="N95" s="2"/>
      <c r="O95" s="2" t="n">
        <v>15</v>
      </c>
    </row>
    <row r="96" customFormat="false" ht="16.4" hidden="false" customHeight="false" outlineLevel="0" collapsed="false">
      <c r="A96" s="0" t="s">
        <v>15</v>
      </c>
      <c r="B96" s="0" t="s">
        <v>2482</v>
      </c>
      <c r="C96" s="0" t="n">
        <v>114001</v>
      </c>
      <c r="D96" s="0" t="n">
        <v>114001</v>
      </c>
      <c r="E96" s="0" t="s">
        <v>1804</v>
      </c>
      <c r="F96" s="0" t="s">
        <v>18</v>
      </c>
      <c r="G96" s="7" t="s">
        <v>2483</v>
      </c>
      <c r="H96" s="0" t="s">
        <v>2484</v>
      </c>
      <c r="I96" s="0" t="s">
        <v>124</v>
      </c>
      <c r="J96" s="0" t="s">
        <v>125</v>
      </c>
      <c r="K96" s="0" t="s">
        <v>1725</v>
      </c>
      <c r="L96" s="0" t="str">
        <f aca="false">IFERROR(VLOOKUP(K96,'Supplier list'!B:C,2,0),"")</f>
        <v>บริษัท พรีซิชั่นไลน์ จำกัด</v>
      </c>
      <c r="M96" s="1" t="n">
        <f aca="false">FALSE()</f>
        <v>0</v>
      </c>
      <c r="N96" s="2"/>
      <c r="O96" s="2" t="n">
        <v>190</v>
      </c>
    </row>
    <row r="97" customFormat="false" ht="16.4" hidden="false" customHeight="false" outlineLevel="0" collapsed="false">
      <c r="A97" s="0" t="s">
        <v>15</v>
      </c>
      <c r="B97" s="0" t="s">
        <v>2485</v>
      </c>
      <c r="C97" s="0" t="n">
        <v>114001</v>
      </c>
      <c r="D97" s="0" t="n">
        <v>114001</v>
      </c>
      <c r="E97" s="0" t="s">
        <v>1653</v>
      </c>
      <c r="F97" s="0" t="s">
        <v>18</v>
      </c>
      <c r="G97" s="7" t="s">
        <v>2486</v>
      </c>
      <c r="H97" s="0" t="s">
        <v>2487</v>
      </c>
      <c r="I97" s="0" t="s">
        <v>124</v>
      </c>
      <c r="J97" s="0" t="s">
        <v>125</v>
      </c>
      <c r="K97" s="0" t="s">
        <v>1725</v>
      </c>
      <c r="L97" s="0" t="str">
        <f aca="false">IFERROR(VLOOKUP(K97,'Supplier list'!B:C,2,0),"")</f>
        <v>บริษัท พรีซิชั่นไลน์ จำกัด</v>
      </c>
      <c r="M97" s="1" t="n">
        <f aca="false">FALSE()</f>
        <v>0</v>
      </c>
      <c r="N97" s="2"/>
      <c r="O97" s="2" t="n">
        <v>5800</v>
      </c>
    </row>
    <row r="98" customFormat="false" ht="16.4" hidden="false" customHeight="false" outlineLevel="0" collapsed="false">
      <c r="A98" s="0" t="s">
        <v>15</v>
      </c>
      <c r="B98" s="0" t="s">
        <v>2488</v>
      </c>
      <c r="C98" s="0" t="n">
        <v>114001</v>
      </c>
      <c r="D98" s="0" t="n">
        <v>114001</v>
      </c>
      <c r="E98" s="0" t="s">
        <v>1815</v>
      </c>
      <c r="F98" s="0" t="s">
        <v>18</v>
      </c>
      <c r="G98" s="7" t="s">
        <v>2489</v>
      </c>
      <c r="H98" s="0" t="s">
        <v>2490</v>
      </c>
      <c r="I98" s="0" t="s">
        <v>21</v>
      </c>
      <c r="J98" s="0" t="s">
        <v>22</v>
      </c>
      <c r="K98" s="0" t="s">
        <v>89</v>
      </c>
      <c r="L98" s="0" t="str">
        <f aca="false">IFERROR(VLOOKUP(K98,'Supplier list'!B:C,2,0),"")</f>
        <v>บริษัท เฮเฟเล่ (ประเทศไทย) จำกัด</v>
      </c>
      <c r="M98" s="1" t="n">
        <f aca="false">FALSE()</f>
        <v>0</v>
      </c>
      <c r="N98" s="2"/>
      <c r="O98" s="2" t="n">
        <v>636</v>
      </c>
    </row>
    <row r="99" customFormat="false" ht="16.4" hidden="false" customHeight="false" outlineLevel="0" collapsed="false">
      <c r="A99" s="0" t="s">
        <v>15</v>
      </c>
      <c r="B99" s="0" t="s">
        <v>2491</v>
      </c>
      <c r="C99" s="0" t="n">
        <v>114001</v>
      </c>
      <c r="D99" s="0" t="n">
        <v>114001</v>
      </c>
      <c r="E99" s="0" t="s">
        <v>2492</v>
      </c>
      <c r="F99" s="0" t="s">
        <v>18</v>
      </c>
      <c r="G99" s="7" t="s">
        <v>2493</v>
      </c>
      <c r="H99" s="0" t="s">
        <v>2494</v>
      </c>
      <c r="I99" s="0" t="s">
        <v>21</v>
      </c>
      <c r="J99" s="0" t="s">
        <v>22</v>
      </c>
      <c r="K99" s="0" t="s">
        <v>56</v>
      </c>
      <c r="L99" s="0" t="str">
        <f aca="false">IFERROR(VLOOKUP(K99,'Supplier list'!B:C,2,0),"")</f>
        <v>CO.,LTD QINGDAO NEW LIBERTY INT'L TRADING CO.LTD.</v>
      </c>
      <c r="M99" s="1" t="n">
        <f aca="false">FALSE()</f>
        <v>0</v>
      </c>
      <c r="N99" s="2"/>
      <c r="O99" s="2" t="n">
        <v>0</v>
      </c>
    </row>
    <row r="100" customFormat="false" ht="16.4" hidden="false" customHeight="false" outlineLevel="0" collapsed="false">
      <c r="A100" s="0" t="s">
        <v>15</v>
      </c>
      <c r="B100" s="0" t="s">
        <v>2495</v>
      </c>
      <c r="C100" s="0" t="n">
        <v>114001</v>
      </c>
      <c r="D100" s="0" t="n">
        <v>114001</v>
      </c>
      <c r="E100" s="0" t="s">
        <v>1605</v>
      </c>
      <c r="F100" s="0" t="s">
        <v>18</v>
      </c>
      <c r="G100" s="7" t="s">
        <v>2496</v>
      </c>
      <c r="H100" s="0" t="s">
        <v>2497</v>
      </c>
      <c r="I100" s="0" t="s">
        <v>168</v>
      </c>
      <c r="J100" s="0" t="s">
        <v>169</v>
      </c>
      <c r="K100" s="0" t="s">
        <v>2498</v>
      </c>
      <c r="L100" s="0" t="str">
        <f aca="false">IFERROR(VLOOKUP(K100,'Supplier list'!B:C,2,0),"")</f>
        <v>หจก. ทรัพย์ศรีวงษ์ การช่าง</v>
      </c>
      <c r="M100" s="1" t="n">
        <f aca="false">FALSE()</f>
        <v>0</v>
      </c>
      <c r="N100" s="2"/>
      <c r="O100" s="2" t="n">
        <v>0</v>
      </c>
    </row>
    <row r="101" customFormat="false" ht="16.4" hidden="false" customHeight="false" outlineLevel="0" collapsed="false">
      <c r="A101" s="0" t="s">
        <v>15</v>
      </c>
      <c r="B101" s="0" t="s">
        <v>2499</v>
      </c>
      <c r="C101" s="0" t="n">
        <v>114001</v>
      </c>
      <c r="D101" s="0" t="n">
        <v>114001</v>
      </c>
      <c r="E101" s="0" t="s">
        <v>1605</v>
      </c>
      <c r="F101" s="0" t="s">
        <v>18</v>
      </c>
      <c r="G101" s="7" t="s">
        <v>2500</v>
      </c>
      <c r="H101" s="0" t="s">
        <v>2501</v>
      </c>
      <c r="I101" s="0" t="s">
        <v>168</v>
      </c>
      <c r="J101" s="0" t="s">
        <v>169</v>
      </c>
      <c r="K101" s="0" t="s">
        <v>89</v>
      </c>
      <c r="L101" s="0" t="str">
        <f aca="false">IFERROR(VLOOKUP(K101,'Supplier list'!B:C,2,0),"")</f>
        <v>บริษัท เฮเฟเล่ (ประเทศไทย) จำกัด</v>
      </c>
      <c r="M101" s="1" t="n">
        <f aca="false">FALSE()</f>
        <v>0</v>
      </c>
      <c r="N101" s="2"/>
      <c r="O101" s="2" t="n">
        <v>281</v>
      </c>
    </row>
    <row r="102" customFormat="false" ht="16.4" hidden="false" customHeight="false" outlineLevel="0" collapsed="false">
      <c r="A102" s="0" t="s">
        <v>15</v>
      </c>
      <c r="B102" s="0" t="s">
        <v>2502</v>
      </c>
      <c r="C102" s="0" t="n">
        <v>114001</v>
      </c>
      <c r="D102" s="0" t="n">
        <v>114001</v>
      </c>
      <c r="E102" s="0" t="s">
        <v>1605</v>
      </c>
      <c r="F102" s="0" t="s">
        <v>18</v>
      </c>
      <c r="G102" s="7" t="s">
        <v>2503</v>
      </c>
      <c r="H102" s="0" t="s">
        <v>2504</v>
      </c>
      <c r="I102" s="0" t="s">
        <v>142</v>
      </c>
      <c r="J102" s="0" t="s">
        <v>143</v>
      </c>
      <c r="K102" s="0" t="s">
        <v>89</v>
      </c>
      <c r="L102" s="0" t="str">
        <f aca="false">IFERROR(VLOOKUP(K102,'Supplier list'!B:C,2,0),"")</f>
        <v>บริษัท เฮเฟเล่ (ประเทศไทย) จำกัด</v>
      </c>
      <c r="M102" s="1" t="n">
        <f aca="false">FALSE()</f>
        <v>0</v>
      </c>
      <c r="N102" s="2"/>
      <c r="O102" s="2" t="n">
        <v>0</v>
      </c>
    </row>
    <row r="103" customFormat="false" ht="16.4" hidden="false" customHeight="false" outlineLevel="0" collapsed="false">
      <c r="A103" s="0" t="s">
        <v>15</v>
      </c>
      <c r="B103" s="0" t="s">
        <v>2505</v>
      </c>
      <c r="C103" s="0" t="n">
        <v>114001</v>
      </c>
      <c r="D103" s="0" t="n">
        <v>114001</v>
      </c>
      <c r="E103" s="0" t="s">
        <v>1605</v>
      </c>
      <c r="F103" s="0" t="s">
        <v>18</v>
      </c>
      <c r="G103" s="7" t="s">
        <v>2506</v>
      </c>
      <c r="H103" s="0" t="s">
        <v>2507</v>
      </c>
      <c r="I103" s="0" t="s">
        <v>21</v>
      </c>
      <c r="J103" s="0" t="s">
        <v>22</v>
      </c>
      <c r="K103" s="0" t="s">
        <v>89</v>
      </c>
      <c r="L103" s="0" t="str">
        <f aca="false">IFERROR(VLOOKUP(K103,'Supplier list'!B:C,2,0),"")</f>
        <v>บริษัท เฮเฟเล่ (ประเทศไทย) จำกัด</v>
      </c>
      <c r="M103" s="1" t="n">
        <f aca="false">FALSE()</f>
        <v>0</v>
      </c>
      <c r="N103" s="2"/>
      <c r="O103" s="2" t="n">
        <v>0</v>
      </c>
    </row>
    <row r="104" customFormat="false" ht="16.4" hidden="false" customHeight="false" outlineLevel="0" collapsed="false">
      <c r="A104" s="0" t="s">
        <v>15</v>
      </c>
      <c r="B104" s="0" t="s">
        <v>2508</v>
      </c>
      <c r="C104" s="0" t="n">
        <v>114001</v>
      </c>
      <c r="D104" s="0" t="n">
        <v>114001</v>
      </c>
      <c r="E104" s="0" t="s">
        <v>2509</v>
      </c>
      <c r="F104" s="0" t="s">
        <v>18</v>
      </c>
      <c r="G104" s="7" t="s">
        <v>2510</v>
      </c>
      <c r="H104" s="0" t="s">
        <v>2511</v>
      </c>
      <c r="I104" s="0" t="s">
        <v>21</v>
      </c>
      <c r="J104" s="0" t="s">
        <v>22</v>
      </c>
      <c r="L104" s="0" t="str">
        <f aca="false">IFERROR(VLOOKUP(K104,'Supplier list'!B:C,2,0),"")</f>
        <v/>
      </c>
      <c r="M104" s="1" t="n">
        <f aca="false">FALSE()</f>
        <v>0</v>
      </c>
      <c r="N104" s="2"/>
      <c r="O104" s="2" t="n">
        <v>0</v>
      </c>
    </row>
    <row r="105" customFormat="false" ht="16.4" hidden="false" customHeight="false" outlineLevel="0" collapsed="false">
      <c r="A105" s="0" t="s">
        <v>15</v>
      </c>
      <c r="B105" s="0" t="s">
        <v>2512</v>
      </c>
      <c r="C105" s="0" t="n">
        <v>114001</v>
      </c>
      <c r="D105" s="0" t="n">
        <v>114001</v>
      </c>
      <c r="E105" s="0" t="s">
        <v>2509</v>
      </c>
      <c r="F105" s="0" t="s">
        <v>18</v>
      </c>
      <c r="G105" s="7" t="s">
        <v>2513</v>
      </c>
      <c r="H105" s="0" t="s">
        <v>2514</v>
      </c>
      <c r="I105" s="0" t="s">
        <v>21</v>
      </c>
      <c r="J105" s="0" t="s">
        <v>22</v>
      </c>
      <c r="L105" s="0" t="str">
        <f aca="false">IFERROR(VLOOKUP(K105,'Supplier list'!B:C,2,0),"")</f>
        <v/>
      </c>
      <c r="M105" s="1" t="n">
        <f aca="false">FALSE()</f>
        <v>0</v>
      </c>
      <c r="N105" s="2"/>
      <c r="O105" s="2" t="n">
        <v>0</v>
      </c>
    </row>
    <row r="106" customFormat="false" ht="16.4" hidden="false" customHeight="false" outlineLevel="0" collapsed="false">
      <c r="A106" s="0" t="s">
        <v>15</v>
      </c>
      <c r="B106" s="0" t="s">
        <v>2515</v>
      </c>
      <c r="C106" s="0" t="n">
        <v>114001</v>
      </c>
      <c r="D106" s="0" t="n">
        <v>114001</v>
      </c>
      <c r="E106" s="0" t="s">
        <v>2509</v>
      </c>
      <c r="F106" s="0" t="s">
        <v>18</v>
      </c>
      <c r="G106" s="7" t="s">
        <v>2516</v>
      </c>
      <c r="H106" s="0" t="s">
        <v>2517</v>
      </c>
      <c r="I106" s="0" t="s">
        <v>21</v>
      </c>
      <c r="J106" s="0" t="s">
        <v>22</v>
      </c>
      <c r="L106" s="0" t="str">
        <f aca="false">IFERROR(VLOOKUP(K106,'Supplier list'!B:C,2,0),"")</f>
        <v/>
      </c>
      <c r="M106" s="1" t="n">
        <f aca="false">FALSE()</f>
        <v>0</v>
      </c>
      <c r="N106" s="2"/>
      <c r="O106" s="2" t="n">
        <v>0</v>
      </c>
    </row>
    <row r="107" customFormat="false" ht="16.4" hidden="false" customHeight="false" outlineLevel="0" collapsed="false">
      <c r="A107" s="0" t="s">
        <v>15</v>
      </c>
      <c r="B107" s="0" t="s">
        <v>2518</v>
      </c>
      <c r="C107" s="0" t="n">
        <v>114001</v>
      </c>
      <c r="D107" s="0" t="n">
        <v>114001</v>
      </c>
      <c r="E107" s="0" t="s">
        <v>613</v>
      </c>
      <c r="F107" s="0" t="s">
        <v>18</v>
      </c>
      <c r="G107" s="7" t="s">
        <v>2519</v>
      </c>
      <c r="H107" s="0" t="s">
        <v>2520</v>
      </c>
      <c r="I107" s="0" t="s">
        <v>2248</v>
      </c>
      <c r="J107" s="0" t="s">
        <v>2249</v>
      </c>
      <c r="L107" s="0" t="str">
        <f aca="false">IFERROR(VLOOKUP(K107,'Supplier list'!B:C,2,0),"")</f>
        <v/>
      </c>
      <c r="M107" s="1" t="n">
        <f aca="false">FALSE()</f>
        <v>0</v>
      </c>
      <c r="N107" s="2"/>
      <c r="O107" s="2" t="n">
        <v>30</v>
      </c>
    </row>
    <row r="108" customFormat="false" ht="16.4" hidden="false" customHeight="false" outlineLevel="0" collapsed="false">
      <c r="A108" s="0" t="s">
        <v>15</v>
      </c>
      <c r="B108" s="0" t="s">
        <v>2521</v>
      </c>
      <c r="C108" s="0" t="n">
        <v>114001</v>
      </c>
      <c r="D108" s="0" t="n">
        <v>114001</v>
      </c>
      <c r="E108" s="0" t="s">
        <v>613</v>
      </c>
      <c r="F108" s="0" t="s">
        <v>18</v>
      </c>
      <c r="G108" s="7" t="s">
        <v>2522</v>
      </c>
      <c r="H108" s="0" t="s">
        <v>2523</v>
      </c>
      <c r="I108" s="0" t="s">
        <v>2248</v>
      </c>
      <c r="J108" s="0" t="s">
        <v>2249</v>
      </c>
      <c r="L108" s="0" t="str">
        <f aca="false">IFERROR(VLOOKUP(K108,'Supplier list'!B:C,2,0),"")</f>
        <v/>
      </c>
      <c r="M108" s="1" t="n">
        <f aca="false">FALSE()</f>
        <v>0</v>
      </c>
      <c r="N108" s="2"/>
      <c r="O108" s="2" t="n">
        <v>30</v>
      </c>
    </row>
    <row r="109" customFormat="false" ht="16.4" hidden="false" customHeight="false" outlineLevel="0" collapsed="false">
      <c r="A109" s="0" t="s">
        <v>15</v>
      </c>
      <c r="B109" s="0" t="s">
        <v>2524</v>
      </c>
      <c r="C109" s="0" t="n">
        <v>114001</v>
      </c>
      <c r="D109" s="0" t="n">
        <v>114001</v>
      </c>
      <c r="E109" s="0" t="s">
        <v>613</v>
      </c>
      <c r="F109" s="0" t="s">
        <v>18</v>
      </c>
      <c r="G109" s="7" t="s">
        <v>2525</v>
      </c>
      <c r="H109" s="0" t="s">
        <v>2526</v>
      </c>
      <c r="I109" s="0" t="s">
        <v>2248</v>
      </c>
      <c r="J109" s="0" t="s">
        <v>2249</v>
      </c>
      <c r="L109" s="0" t="str">
        <f aca="false">IFERROR(VLOOKUP(K109,'Supplier list'!B:C,2,0),"")</f>
        <v/>
      </c>
      <c r="M109" s="1" t="n">
        <f aca="false">FALSE()</f>
        <v>0</v>
      </c>
      <c r="N109" s="2"/>
      <c r="O109" s="2" t="n">
        <v>30</v>
      </c>
    </row>
    <row r="110" customFormat="false" ht="16.4" hidden="false" customHeight="false" outlineLevel="0" collapsed="false">
      <c r="A110" s="0" t="s">
        <v>15</v>
      </c>
      <c r="B110" s="0" t="s">
        <v>2527</v>
      </c>
      <c r="C110" s="0" t="n">
        <v>114001</v>
      </c>
      <c r="D110" s="0" t="n">
        <v>114001</v>
      </c>
      <c r="E110" s="0" t="s">
        <v>613</v>
      </c>
      <c r="F110" s="0" t="s">
        <v>18</v>
      </c>
      <c r="G110" s="7" t="s">
        <v>2528</v>
      </c>
      <c r="H110" s="0" t="s">
        <v>2529</v>
      </c>
      <c r="I110" s="0" t="s">
        <v>2248</v>
      </c>
      <c r="J110" s="0" t="s">
        <v>2249</v>
      </c>
      <c r="L110" s="0" t="str">
        <f aca="false">IFERROR(VLOOKUP(K110,'Supplier list'!B:C,2,0),"")</f>
        <v/>
      </c>
      <c r="M110" s="1" t="n">
        <f aca="false">FALSE()</f>
        <v>0</v>
      </c>
      <c r="N110" s="2"/>
      <c r="O110" s="2" t="n">
        <v>30</v>
      </c>
    </row>
    <row r="111" customFormat="false" ht="16.4" hidden="false" customHeight="false" outlineLevel="0" collapsed="false">
      <c r="A111" s="0" t="s">
        <v>15</v>
      </c>
      <c r="B111" s="0" t="s">
        <v>2530</v>
      </c>
      <c r="C111" s="0" t="n">
        <v>114001</v>
      </c>
      <c r="D111" s="0" t="n">
        <v>114001</v>
      </c>
      <c r="E111" s="0" t="s">
        <v>1653</v>
      </c>
      <c r="F111" s="0" t="s">
        <v>18</v>
      </c>
      <c r="G111" s="7" t="s">
        <v>2531</v>
      </c>
      <c r="H111" s="0" t="s">
        <v>2532</v>
      </c>
      <c r="I111" s="0" t="s">
        <v>102</v>
      </c>
      <c r="J111" s="0" t="s">
        <v>103</v>
      </c>
      <c r="L111" s="0" t="str">
        <f aca="false">IFERROR(VLOOKUP(K111,'Supplier list'!B:C,2,0),"")</f>
        <v/>
      </c>
      <c r="M111" s="1" t="n">
        <f aca="false">FALSE()</f>
        <v>0</v>
      </c>
      <c r="N111" s="2"/>
      <c r="O111" s="2" t="n">
        <v>229</v>
      </c>
    </row>
    <row r="112" customFormat="false" ht="16.4" hidden="false" customHeight="false" outlineLevel="0" collapsed="false">
      <c r="A112" s="0" t="s">
        <v>15</v>
      </c>
      <c r="B112" s="0" t="s">
        <v>2533</v>
      </c>
      <c r="C112" s="0" t="n">
        <v>114001</v>
      </c>
      <c r="D112" s="0" t="n">
        <v>114001</v>
      </c>
      <c r="E112" s="0" t="s">
        <v>1653</v>
      </c>
      <c r="F112" s="0" t="s">
        <v>18</v>
      </c>
      <c r="G112" s="7" t="s">
        <v>2534</v>
      </c>
      <c r="H112" s="0" t="s">
        <v>2535</v>
      </c>
      <c r="I112" s="0" t="s">
        <v>21</v>
      </c>
      <c r="J112" s="0" t="s">
        <v>22</v>
      </c>
      <c r="L112" s="0" t="str">
        <f aca="false">IFERROR(VLOOKUP(K112,'Supplier list'!B:C,2,0),"")</f>
        <v/>
      </c>
      <c r="M112" s="1" t="n">
        <f aca="false">TRUE()</f>
        <v>1</v>
      </c>
      <c r="N112" s="2" t="n">
        <v>3500</v>
      </c>
      <c r="O112" s="2" t="n">
        <v>1300</v>
      </c>
    </row>
    <row r="113" customFormat="false" ht="16.4" hidden="false" customHeight="false" outlineLevel="0" collapsed="false">
      <c r="A113" s="0" t="s">
        <v>15</v>
      </c>
      <c r="B113" s="0" t="s">
        <v>2536</v>
      </c>
      <c r="C113" s="0" t="n">
        <v>114001</v>
      </c>
      <c r="D113" s="0" t="n">
        <v>114001</v>
      </c>
      <c r="E113" s="0" t="s">
        <v>2185</v>
      </c>
      <c r="F113" s="0" t="s">
        <v>18</v>
      </c>
      <c r="G113" s="7" t="s">
        <v>2537</v>
      </c>
      <c r="H113" s="0" t="s">
        <v>2538</v>
      </c>
      <c r="I113" s="0" t="s">
        <v>124</v>
      </c>
      <c r="J113" s="0" t="s">
        <v>125</v>
      </c>
      <c r="K113" s="0" t="s">
        <v>89</v>
      </c>
      <c r="L113" s="0" t="str">
        <f aca="false">IFERROR(VLOOKUP(K113,'Supplier list'!B:C,2,0),"")</f>
        <v>บริษัท เฮเฟเล่ (ประเทศไทย) จำกัด</v>
      </c>
      <c r="M113" s="1" t="n">
        <f aca="false">FALSE()</f>
        <v>0</v>
      </c>
      <c r="N113" s="2"/>
      <c r="O113" s="2" t="n">
        <v>840</v>
      </c>
    </row>
    <row r="114" customFormat="false" ht="16.4" hidden="false" customHeight="false" outlineLevel="0" collapsed="false">
      <c r="A114" s="0" t="s">
        <v>15</v>
      </c>
      <c r="B114" s="0" t="s">
        <v>2539</v>
      </c>
      <c r="C114" s="0" t="n">
        <v>114001</v>
      </c>
      <c r="D114" s="0" t="n">
        <v>114001</v>
      </c>
      <c r="E114" s="0" t="s">
        <v>1454</v>
      </c>
      <c r="F114" s="0" t="s">
        <v>18</v>
      </c>
      <c r="G114" s="7" t="s">
        <v>2540</v>
      </c>
      <c r="H114" s="0" t="s">
        <v>2541</v>
      </c>
      <c r="I114" s="0" t="s">
        <v>21</v>
      </c>
      <c r="J114" s="0" t="s">
        <v>22</v>
      </c>
      <c r="K114" s="0" t="s">
        <v>787</v>
      </c>
      <c r="L114" s="0" t="str">
        <f aca="false">IFERROR(VLOOKUP(K114,'Supplier list'!B:C,2,0),"")</f>
        <v>บริษัท ฟิวเจอร์เทค อินเตอร์มาร์เก็ตติ้ง จำกัด</v>
      </c>
      <c r="M114" s="1" t="n">
        <f aca="false">FALSE()</f>
        <v>0</v>
      </c>
      <c r="N114" s="2"/>
      <c r="O114" s="2" t="n">
        <v>15</v>
      </c>
    </row>
    <row r="115" customFormat="false" ht="16.4" hidden="false" customHeight="false" outlineLevel="0" collapsed="false">
      <c r="A115" s="0" t="s">
        <v>15</v>
      </c>
      <c r="B115" s="0" t="s">
        <v>2542</v>
      </c>
      <c r="C115" s="0" t="n">
        <v>114001</v>
      </c>
      <c r="D115" s="0" t="n">
        <v>114001</v>
      </c>
      <c r="E115" s="0" t="s">
        <v>2543</v>
      </c>
      <c r="F115" s="0" t="s">
        <v>18</v>
      </c>
      <c r="G115" s="7" t="s">
        <v>2544</v>
      </c>
      <c r="H115" s="0" t="s">
        <v>2545</v>
      </c>
      <c r="I115" s="0" t="s">
        <v>21</v>
      </c>
      <c r="J115" s="0" t="s">
        <v>22</v>
      </c>
      <c r="K115" s="0" t="s">
        <v>787</v>
      </c>
      <c r="L115" s="0" t="str">
        <f aca="false">IFERROR(VLOOKUP(K115,'Supplier list'!B:C,2,0),"")</f>
        <v>บริษัท ฟิวเจอร์เทค อินเตอร์มาร์เก็ตติ้ง จำกัด</v>
      </c>
      <c r="M115" s="1" t="n">
        <f aca="false">FALSE()</f>
        <v>0</v>
      </c>
      <c r="N115" s="2"/>
      <c r="O115" s="2" t="n">
        <v>90</v>
      </c>
    </row>
    <row r="116" customFormat="false" ht="16.4" hidden="false" customHeight="false" outlineLevel="0" collapsed="false">
      <c r="A116" s="0" t="s">
        <v>15</v>
      </c>
      <c r="B116" s="0" t="s">
        <v>2546</v>
      </c>
      <c r="C116" s="0" t="n">
        <v>114001</v>
      </c>
      <c r="D116" s="0" t="n">
        <v>114001</v>
      </c>
      <c r="E116" s="0" t="s">
        <v>2547</v>
      </c>
      <c r="F116" s="0" t="s">
        <v>18</v>
      </c>
      <c r="G116" s="7" t="s">
        <v>2548</v>
      </c>
      <c r="H116" s="0" t="s">
        <v>2549</v>
      </c>
      <c r="I116" s="0" t="s">
        <v>21</v>
      </c>
      <c r="J116" s="0" t="s">
        <v>22</v>
      </c>
      <c r="K116" s="0" t="s">
        <v>2550</v>
      </c>
      <c r="L116" s="0" t="str">
        <f aca="false">IFERROR(VLOOKUP(K116,'Supplier list'!B:C,2,0),"")</f>
        <v>บริษัท เอส.เอส.อุตสาหกรรมบรรจุภัณฑ์ จำกัด</v>
      </c>
      <c r="M116" s="1" t="n">
        <f aca="false">FALSE()</f>
        <v>0</v>
      </c>
      <c r="N116" s="2"/>
      <c r="O116" s="2" t="n">
        <v>58</v>
      </c>
    </row>
    <row r="117" customFormat="false" ht="16.4" hidden="false" customHeight="false" outlineLevel="0" collapsed="false">
      <c r="A117" s="0" t="s">
        <v>15</v>
      </c>
      <c r="B117" s="0" t="s">
        <v>2551</v>
      </c>
      <c r="C117" s="0" t="n">
        <v>114001</v>
      </c>
      <c r="D117" s="0" t="n">
        <v>114001</v>
      </c>
      <c r="E117" s="0" t="s">
        <v>1653</v>
      </c>
      <c r="F117" s="0" t="s">
        <v>18</v>
      </c>
      <c r="G117" s="7" t="s">
        <v>2552</v>
      </c>
      <c r="H117" s="0" t="s">
        <v>2553</v>
      </c>
      <c r="I117" s="0" t="s">
        <v>124</v>
      </c>
      <c r="J117" s="0" t="s">
        <v>125</v>
      </c>
      <c r="K117" s="0" t="s">
        <v>1725</v>
      </c>
      <c r="L117" s="0" t="str">
        <f aca="false">IFERROR(VLOOKUP(K117,'Supplier list'!B:C,2,0),"")</f>
        <v>บริษัท พรีซิชั่นไลน์ จำกัด</v>
      </c>
      <c r="M117" s="1" t="n">
        <f aca="false">FALSE()</f>
        <v>0</v>
      </c>
      <c r="N117" s="2"/>
      <c r="O117" s="2" t="n">
        <v>19600</v>
      </c>
    </row>
    <row r="118" customFormat="false" ht="16.4" hidden="false" customHeight="false" outlineLevel="0" collapsed="false">
      <c r="A118" s="0" t="s">
        <v>15</v>
      </c>
      <c r="B118" s="0" t="s">
        <v>2554</v>
      </c>
      <c r="C118" s="0" t="n">
        <v>114001</v>
      </c>
      <c r="D118" s="0" t="n">
        <v>114001</v>
      </c>
      <c r="E118" s="0" t="s">
        <v>1764</v>
      </c>
      <c r="F118" s="0" t="s">
        <v>18</v>
      </c>
      <c r="G118" s="7" t="s">
        <v>2555</v>
      </c>
      <c r="H118" s="0" t="s">
        <v>2556</v>
      </c>
      <c r="I118" s="0" t="s">
        <v>21</v>
      </c>
      <c r="J118" s="0" t="s">
        <v>22</v>
      </c>
      <c r="K118" s="0" t="s">
        <v>787</v>
      </c>
      <c r="L118" s="0" t="str">
        <f aca="false">IFERROR(VLOOKUP(K118,'Supplier list'!B:C,2,0),"")</f>
        <v>บริษัท ฟิวเจอร์เทค อินเตอร์มาร์เก็ตติ้ง จำกัด</v>
      </c>
      <c r="M118" s="1" t="n">
        <f aca="false">FALSE()</f>
        <v>0</v>
      </c>
      <c r="N118" s="2"/>
      <c r="O118" s="2" t="n">
        <v>420</v>
      </c>
    </row>
    <row r="119" customFormat="false" ht="16.4" hidden="false" customHeight="false" outlineLevel="0" collapsed="false">
      <c r="A119" s="0" t="s">
        <v>15</v>
      </c>
      <c r="B119" s="0" t="s">
        <v>2557</v>
      </c>
      <c r="C119" s="0" t="n">
        <v>114001</v>
      </c>
      <c r="D119" s="0" t="n">
        <v>114001</v>
      </c>
      <c r="E119" s="0" t="s">
        <v>1815</v>
      </c>
      <c r="F119" s="0" t="s">
        <v>18</v>
      </c>
      <c r="G119" s="7" t="s">
        <v>2558</v>
      </c>
      <c r="H119" s="0" t="s">
        <v>2559</v>
      </c>
      <c r="I119" s="0" t="s">
        <v>517</v>
      </c>
      <c r="J119" s="0" t="s">
        <v>518</v>
      </c>
      <c r="K119" s="0" t="s">
        <v>89</v>
      </c>
      <c r="L119" s="0" t="str">
        <f aca="false">IFERROR(VLOOKUP(K119,'Supplier list'!B:C,2,0),"")</f>
        <v>บริษัท เฮเฟเล่ (ประเทศไทย) จำกัด</v>
      </c>
      <c r="M119" s="1" t="n">
        <f aca="false">TRUE()</f>
        <v>1</v>
      </c>
      <c r="N119" s="2" t="n">
        <v>1500</v>
      </c>
      <c r="O119" s="2" t="n">
        <v>636</v>
      </c>
    </row>
    <row r="120" customFormat="false" ht="16.4" hidden="false" customHeight="false" outlineLevel="0" collapsed="false">
      <c r="A120" s="0" t="s">
        <v>15</v>
      </c>
      <c r="B120" s="0" t="s">
        <v>2560</v>
      </c>
      <c r="C120" s="0" t="n">
        <v>114001</v>
      </c>
      <c r="D120" s="0" t="n">
        <v>114001</v>
      </c>
      <c r="E120" s="0" t="s">
        <v>1815</v>
      </c>
      <c r="F120" s="0" t="s">
        <v>18</v>
      </c>
      <c r="G120" s="7" t="s">
        <v>2561</v>
      </c>
      <c r="H120" s="0" t="s">
        <v>2562</v>
      </c>
      <c r="I120" s="0" t="s">
        <v>517</v>
      </c>
      <c r="J120" s="0" t="s">
        <v>518</v>
      </c>
      <c r="K120" s="0" t="s">
        <v>89</v>
      </c>
      <c r="L120" s="0" t="str">
        <f aca="false">IFERROR(VLOOKUP(K120,'Supplier list'!B:C,2,0),"")</f>
        <v>บริษัท เฮเฟเล่ (ประเทศไทย) จำกัด</v>
      </c>
      <c r="M120" s="1" t="n">
        <f aca="false">FALSE()</f>
        <v>0</v>
      </c>
      <c r="N120" s="2"/>
      <c r="O120" s="2" t="n">
        <v>480</v>
      </c>
    </row>
    <row r="121" customFormat="false" ht="16.4" hidden="false" customHeight="false" outlineLevel="0" collapsed="false">
      <c r="A121" s="0" t="s">
        <v>15</v>
      </c>
      <c r="B121" s="0" t="s">
        <v>2563</v>
      </c>
      <c r="C121" s="0" t="n">
        <v>114001</v>
      </c>
      <c r="D121" s="0" t="n">
        <v>114001</v>
      </c>
      <c r="E121" s="0" t="s">
        <v>1605</v>
      </c>
      <c r="F121" s="0" t="s">
        <v>18</v>
      </c>
      <c r="G121" s="7" t="s">
        <v>2564</v>
      </c>
      <c r="H121" s="0" t="s">
        <v>2565</v>
      </c>
      <c r="I121" s="0" t="s">
        <v>21</v>
      </c>
      <c r="J121" s="0" t="s">
        <v>22</v>
      </c>
      <c r="K121" s="0" t="s">
        <v>787</v>
      </c>
      <c r="L121" s="0" t="str">
        <f aca="false">IFERROR(VLOOKUP(K121,'Supplier list'!B:C,2,0),"")</f>
        <v>บริษัท ฟิวเจอร์เทค อินเตอร์มาร์เก็ตติ้ง จำกัด</v>
      </c>
      <c r="M121" s="1" t="n">
        <f aca="false">FALSE()</f>
        <v>0</v>
      </c>
      <c r="N121" s="2"/>
      <c r="O121" s="2" t="n">
        <v>25</v>
      </c>
    </row>
    <row r="122" customFormat="false" ht="16.4" hidden="false" customHeight="false" outlineLevel="0" collapsed="false">
      <c r="A122" s="0" t="s">
        <v>15</v>
      </c>
      <c r="B122" s="0" t="s">
        <v>2566</v>
      </c>
      <c r="C122" s="0" t="n">
        <v>114001</v>
      </c>
      <c r="D122" s="0" t="n">
        <v>114001</v>
      </c>
      <c r="E122" s="0" t="s">
        <v>1653</v>
      </c>
      <c r="F122" s="0" t="s">
        <v>18</v>
      </c>
      <c r="G122" s="7" t="s">
        <v>2567</v>
      </c>
      <c r="H122" s="0" t="s">
        <v>2568</v>
      </c>
      <c r="I122" s="0" t="s">
        <v>21</v>
      </c>
      <c r="J122" s="0" t="s">
        <v>22</v>
      </c>
      <c r="K122" s="0" t="s">
        <v>89</v>
      </c>
      <c r="L122" s="0" t="str">
        <f aca="false">IFERROR(VLOOKUP(K122,'Supplier list'!B:C,2,0),"")</f>
        <v>บริษัท เฮเฟเล่ (ประเทศไทย) จำกัด</v>
      </c>
      <c r="M122" s="1" t="n">
        <f aca="false">FALSE()</f>
        <v>0</v>
      </c>
      <c r="N122" s="2"/>
      <c r="O122" s="2" t="n">
        <v>19950</v>
      </c>
    </row>
    <row r="123" customFormat="false" ht="16.4" hidden="false" customHeight="false" outlineLevel="0" collapsed="false">
      <c r="A123" s="0" t="s">
        <v>15</v>
      </c>
      <c r="B123" s="0" t="s">
        <v>2569</v>
      </c>
      <c r="C123" s="0" t="n">
        <v>114001</v>
      </c>
      <c r="D123" s="0" t="n">
        <v>114001</v>
      </c>
      <c r="E123" s="0" t="s">
        <v>2570</v>
      </c>
      <c r="F123" s="0" t="s">
        <v>18</v>
      </c>
      <c r="G123" s="7" t="s">
        <v>2571</v>
      </c>
      <c r="H123" s="0" t="s">
        <v>2572</v>
      </c>
      <c r="I123" s="0" t="s">
        <v>21</v>
      </c>
      <c r="J123" s="0" t="s">
        <v>22</v>
      </c>
      <c r="K123" s="0" t="s">
        <v>89</v>
      </c>
      <c r="L123" s="0" t="str">
        <f aca="false">IFERROR(VLOOKUP(K123,'Supplier list'!B:C,2,0),"")</f>
        <v>บริษัท เฮเฟเล่ (ประเทศไทย) จำกัด</v>
      </c>
      <c r="M123" s="1" t="n">
        <f aca="false">FALSE()</f>
        <v>0</v>
      </c>
      <c r="N123" s="2"/>
      <c r="O123" s="2" t="n">
        <v>32800</v>
      </c>
    </row>
    <row r="124" customFormat="false" ht="16.4" hidden="false" customHeight="false" outlineLevel="0" collapsed="false">
      <c r="A124" s="0" t="s">
        <v>15</v>
      </c>
      <c r="B124" s="0" t="s">
        <v>2573</v>
      </c>
      <c r="C124" s="0" t="n">
        <v>114001</v>
      </c>
      <c r="D124" s="0" t="n">
        <v>114001</v>
      </c>
      <c r="E124" s="0" t="s">
        <v>1653</v>
      </c>
      <c r="F124" s="0" t="s">
        <v>18</v>
      </c>
      <c r="G124" s="7" t="s">
        <v>2574</v>
      </c>
      <c r="H124" s="0" t="s">
        <v>2575</v>
      </c>
      <c r="I124" s="0" t="s">
        <v>21</v>
      </c>
      <c r="J124" s="0" t="s">
        <v>22</v>
      </c>
      <c r="K124" s="0" t="s">
        <v>89</v>
      </c>
      <c r="L124" s="0" t="str">
        <f aca="false">IFERROR(VLOOKUP(K124,'Supplier list'!B:C,2,0),"")</f>
        <v>บริษัท เฮเฟเล่ (ประเทศไทย) จำกัด</v>
      </c>
      <c r="M124" s="1" t="n">
        <f aca="false">FALSE()</f>
        <v>0</v>
      </c>
      <c r="N124" s="2"/>
      <c r="O124" s="2" t="n">
        <v>4750</v>
      </c>
    </row>
    <row r="125" customFormat="false" ht="16.4" hidden="false" customHeight="false" outlineLevel="0" collapsed="false">
      <c r="A125" s="0" t="s">
        <v>15</v>
      </c>
      <c r="B125" s="0" t="s">
        <v>2576</v>
      </c>
      <c r="C125" s="0" t="n">
        <v>114001</v>
      </c>
      <c r="D125" s="0" t="n">
        <v>114001</v>
      </c>
      <c r="E125" s="0" t="s">
        <v>1804</v>
      </c>
      <c r="F125" s="0" t="s">
        <v>18</v>
      </c>
      <c r="G125" s="7" t="s">
        <v>2577</v>
      </c>
      <c r="H125" s="0" t="s">
        <v>2578</v>
      </c>
      <c r="I125" s="0" t="s">
        <v>21</v>
      </c>
      <c r="J125" s="0" t="s">
        <v>22</v>
      </c>
      <c r="K125" s="0" t="s">
        <v>787</v>
      </c>
      <c r="L125" s="0" t="str">
        <f aca="false">IFERROR(VLOOKUP(K125,'Supplier list'!B:C,2,0),"")</f>
        <v>บริษัท ฟิวเจอร์เทค อินเตอร์มาร์เก็ตติ้ง จำกัด</v>
      </c>
      <c r="M125" s="1" t="n">
        <f aca="false">FALSE()</f>
        <v>0</v>
      </c>
      <c r="N125" s="2"/>
      <c r="O125" s="2" t="n">
        <v>110</v>
      </c>
    </row>
    <row r="126" customFormat="false" ht="16.4" hidden="false" customHeight="false" outlineLevel="0" collapsed="false">
      <c r="A126" s="0" t="s">
        <v>15</v>
      </c>
      <c r="B126" s="0" t="s">
        <v>2579</v>
      </c>
      <c r="C126" s="0" t="n">
        <v>114001</v>
      </c>
      <c r="D126" s="0" t="n">
        <v>114001</v>
      </c>
      <c r="E126" s="0" t="s">
        <v>1605</v>
      </c>
      <c r="F126" s="0" t="s">
        <v>18</v>
      </c>
      <c r="G126" s="7" t="s">
        <v>2580</v>
      </c>
      <c r="H126" s="0" t="s">
        <v>2581</v>
      </c>
      <c r="I126" s="0" t="s">
        <v>21</v>
      </c>
      <c r="J126" s="0" t="s">
        <v>22</v>
      </c>
      <c r="K126" s="0" t="s">
        <v>89</v>
      </c>
      <c r="L126" s="0" t="str">
        <f aca="false">IFERROR(VLOOKUP(K126,'Supplier list'!B:C,2,0),"")</f>
        <v>บริษัท เฮเฟเล่ (ประเทศไทย) จำกัด</v>
      </c>
      <c r="M126" s="1" t="n">
        <f aca="false">FALSE()</f>
        <v>0</v>
      </c>
      <c r="N126" s="2"/>
      <c r="O126" s="2" t="n">
        <v>18500</v>
      </c>
    </row>
    <row r="127" customFormat="false" ht="16.4" hidden="false" customHeight="false" outlineLevel="0" collapsed="false">
      <c r="A127" s="0" t="s">
        <v>15</v>
      </c>
      <c r="B127" s="0" t="s">
        <v>2582</v>
      </c>
      <c r="C127" s="0" t="n">
        <v>114001</v>
      </c>
      <c r="D127" s="0" t="n">
        <v>114001</v>
      </c>
      <c r="E127" s="0" t="s">
        <v>1764</v>
      </c>
      <c r="F127" s="0" t="s">
        <v>18</v>
      </c>
      <c r="G127" s="7" t="s">
        <v>2583</v>
      </c>
      <c r="H127" s="0" t="s">
        <v>2584</v>
      </c>
      <c r="I127" s="0" t="s">
        <v>21</v>
      </c>
      <c r="J127" s="0" t="s">
        <v>22</v>
      </c>
      <c r="K127" s="0" t="s">
        <v>89</v>
      </c>
      <c r="L127" s="0" t="str">
        <f aca="false">IFERROR(VLOOKUP(K127,'Supplier list'!B:C,2,0),"")</f>
        <v>บริษัท เฮเฟเล่ (ประเทศไทย) จำกัด</v>
      </c>
      <c r="M127" s="1" t="n">
        <f aca="false">FALSE()</f>
        <v>0</v>
      </c>
      <c r="N127" s="2"/>
      <c r="O127" s="2" t="n">
        <v>1230</v>
      </c>
    </row>
    <row r="128" customFormat="false" ht="16.4" hidden="false" customHeight="false" outlineLevel="0" collapsed="false">
      <c r="A128" s="0" t="s">
        <v>15</v>
      </c>
      <c r="B128" s="0" t="s">
        <v>2585</v>
      </c>
      <c r="C128" s="0" t="n">
        <v>114001</v>
      </c>
      <c r="D128" s="0" t="n">
        <v>114001</v>
      </c>
      <c r="E128" s="0" t="s">
        <v>1605</v>
      </c>
      <c r="F128" s="0" t="s">
        <v>18</v>
      </c>
      <c r="G128" s="7" t="s">
        <v>2586</v>
      </c>
      <c r="H128" s="0" t="s">
        <v>2587</v>
      </c>
      <c r="I128" s="0" t="s">
        <v>21</v>
      </c>
      <c r="J128" s="0" t="s">
        <v>22</v>
      </c>
      <c r="K128" s="0" t="s">
        <v>89</v>
      </c>
      <c r="L128" s="0" t="str">
        <f aca="false">IFERROR(VLOOKUP(K128,'Supplier list'!B:C,2,0),"")</f>
        <v>บริษัท เฮเฟเล่ (ประเทศไทย) จำกัด</v>
      </c>
      <c r="M128" s="1" t="n">
        <f aca="false">FALSE()</f>
        <v>0</v>
      </c>
      <c r="N128" s="2"/>
      <c r="O128" s="2" t="n">
        <v>103</v>
      </c>
    </row>
    <row r="129" customFormat="false" ht="16.4" hidden="false" customHeight="false" outlineLevel="0" collapsed="false">
      <c r="A129" s="0" t="s">
        <v>15</v>
      </c>
      <c r="B129" s="0" t="s">
        <v>2588</v>
      </c>
      <c r="C129" s="0" t="n">
        <v>114001</v>
      </c>
      <c r="D129" s="0" t="n">
        <v>114001</v>
      </c>
      <c r="E129" s="0" t="s">
        <v>1764</v>
      </c>
      <c r="F129" s="0" t="s">
        <v>18</v>
      </c>
      <c r="G129" s="7" t="s">
        <v>2589</v>
      </c>
      <c r="H129" s="0" t="s">
        <v>2590</v>
      </c>
      <c r="I129" s="0" t="s">
        <v>21</v>
      </c>
      <c r="J129" s="0" t="s">
        <v>22</v>
      </c>
      <c r="K129" s="0" t="s">
        <v>89</v>
      </c>
      <c r="L129" s="0" t="str">
        <f aca="false">IFERROR(VLOOKUP(K129,'Supplier list'!B:C,2,0),"")</f>
        <v>บริษัท เฮเฟเล่ (ประเทศไทย) จำกัด</v>
      </c>
      <c r="M129" s="1" t="n">
        <f aca="false">FALSE()</f>
        <v>0</v>
      </c>
      <c r="N129" s="2"/>
      <c r="O129" s="2" t="n">
        <v>970</v>
      </c>
    </row>
    <row r="130" customFormat="false" ht="16.4" hidden="false" customHeight="false" outlineLevel="0" collapsed="false">
      <c r="A130" s="0" t="s">
        <v>15</v>
      </c>
      <c r="B130" s="0" t="s">
        <v>2591</v>
      </c>
      <c r="C130" s="0" t="n">
        <v>114001</v>
      </c>
      <c r="D130" s="0" t="n">
        <v>114001</v>
      </c>
      <c r="E130" s="0" t="s">
        <v>1764</v>
      </c>
      <c r="F130" s="0" t="s">
        <v>18</v>
      </c>
      <c r="G130" s="7" t="s">
        <v>2592</v>
      </c>
      <c r="H130" s="0" t="s">
        <v>2593</v>
      </c>
      <c r="I130" s="0" t="s">
        <v>21</v>
      </c>
      <c r="J130" s="0" t="s">
        <v>22</v>
      </c>
      <c r="K130" s="0" t="s">
        <v>2594</v>
      </c>
      <c r="L130" s="0" t="str">
        <f aca="false">IFERROR(VLOOKUP(K130,'Supplier list'!B:C,2,0),"")</f>
        <v>หจก. แพนยูเนี่ยน อิมปอร์ต เอกซ์ปอร์ต</v>
      </c>
      <c r="M130" s="1" t="n">
        <f aca="false">FALSE()</f>
        <v>0</v>
      </c>
      <c r="N130" s="2"/>
      <c r="O130" s="2" t="n">
        <v>265</v>
      </c>
    </row>
    <row r="131" customFormat="false" ht="16.4" hidden="false" customHeight="false" outlineLevel="0" collapsed="false">
      <c r="A131" s="0" t="s">
        <v>15</v>
      </c>
      <c r="B131" s="0" t="s">
        <v>2595</v>
      </c>
      <c r="C131" s="0" t="n">
        <v>114001</v>
      </c>
      <c r="D131" s="0" t="n">
        <v>114001</v>
      </c>
      <c r="E131" s="0" t="s">
        <v>2596</v>
      </c>
      <c r="F131" s="0" t="s">
        <v>18</v>
      </c>
      <c r="G131" s="7" t="s">
        <v>2597</v>
      </c>
      <c r="H131" s="0" t="s">
        <v>2598</v>
      </c>
      <c r="I131" s="0" t="s">
        <v>21</v>
      </c>
      <c r="J131" s="0" t="s">
        <v>22</v>
      </c>
      <c r="K131" s="0" t="s">
        <v>89</v>
      </c>
      <c r="L131" s="0" t="str">
        <f aca="false">IFERROR(VLOOKUP(K131,'Supplier list'!B:C,2,0),"")</f>
        <v>บริษัท เฮเฟเล่ (ประเทศไทย) จำกัด</v>
      </c>
      <c r="M131" s="1" t="n">
        <f aca="false">FALSE()</f>
        <v>0</v>
      </c>
      <c r="N131" s="2"/>
      <c r="O131" s="2" t="n">
        <v>260</v>
      </c>
    </row>
    <row r="132" customFormat="false" ht="16.4" hidden="false" customHeight="false" outlineLevel="0" collapsed="false">
      <c r="A132" s="0" t="s">
        <v>15</v>
      </c>
      <c r="B132" s="0" t="s">
        <v>2599</v>
      </c>
      <c r="C132" s="0" t="n">
        <v>114001</v>
      </c>
      <c r="D132" s="0" t="n">
        <v>114001</v>
      </c>
      <c r="E132" s="0" t="s">
        <v>1727</v>
      </c>
      <c r="F132" s="0" t="s">
        <v>18</v>
      </c>
      <c r="G132" s="7" t="s">
        <v>2600</v>
      </c>
      <c r="H132" s="0" t="s">
        <v>2601</v>
      </c>
      <c r="I132" s="0" t="s">
        <v>124</v>
      </c>
      <c r="J132" s="0" t="s">
        <v>125</v>
      </c>
      <c r="K132" s="0" t="s">
        <v>1725</v>
      </c>
      <c r="L132" s="0" t="str">
        <f aca="false">IFERROR(VLOOKUP(K132,'Supplier list'!B:C,2,0),"")</f>
        <v>บริษัท พรีซิชั่นไลน์ จำกัด</v>
      </c>
      <c r="M132" s="1" t="n">
        <f aca="false">FALSE()</f>
        <v>0</v>
      </c>
      <c r="N132" s="2"/>
      <c r="O132" s="2" t="n">
        <v>2130</v>
      </c>
    </row>
    <row r="133" customFormat="false" ht="16.4" hidden="false" customHeight="false" outlineLevel="0" collapsed="false">
      <c r="A133" s="0" t="s">
        <v>15</v>
      </c>
      <c r="B133" s="0" t="s">
        <v>2602</v>
      </c>
      <c r="C133" s="0" t="n">
        <v>114001</v>
      </c>
      <c r="D133" s="0" t="n">
        <v>114001</v>
      </c>
      <c r="E133" s="0" t="s">
        <v>1653</v>
      </c>
      <c r="F133" s="0" t="s">
        <v>18</v>
      </c>
      <c r="G133" s="7" t="s">
        <v>2603</v>
      </c>
      <c r="H133" s="0" t="s">
        <v>2604</v>
      </c>
      <c r="I133" s="0" t="s">
        <v>124</v>
      </c>
      <c r="J133" s="0" t="s">
        <v>125</v>
      </c>
      <c r="K133" s="0" t="s">
        <v>89</v>
      </c>
      <c r="L133" s="0" t="str">
        <f aca="false">IFERROR(VLOOKUP(K133,'Supplier list'!B:C,2,0),"")</f>
        <v>บริษัท เฮเฟเล่ (ประเทศไทย) จำกัด</v>
      </c>
      <c r="M133" s="1" t="n">
        <f aca="false">FALSE()</f>
        <v>0</v>
      </c>
      <c r="N133" s="2"/>
      <c r="O133" s="2" t="n">
        <v>2650</v>
      </c>
    </row>
    <row r="134" customFormat="false" ht="16.4" hidden="false" customHeight="false" outlineLevel="0" collapsed="false">
      <c r="A134" s="0" t="s">
        <v>15</v>
      </c>
      <c r="B134" s="0" t="s">
        <v>2605</v>
      </c>
      <c r="C134" s="0" t="n">
        <v>114001</v>
      </c>
      <c r="D134" s="0" t="n">
        <v>114001</v>
      </c>
      <c r="E134" s="0" t="s">
        <v>1653</v>
      </c>
      <c r="F134" s="0" t="s">
        <v>18</v>
      </c>
      <c r="G134" s="7" t="s">
        <v>2606</v>
      </c>
      <c r="H134" s="0" t="s">
        <v>2607</v>
      </c>
      <c r="I134" s="0" t="s">
        <v>124</v>
      </c>
      <c r="J134" s="0" t="s">
        <v>125</v>
      </c>
      <c r="K134" s="0" t="s">
        <v>89</v>
      </c>
      <c r="L134" s="0" t="str">
        <f aca="false">IFERROR(VLOOKUP(K134,'Supplier list'!B:C,2,0),"")</f>
        <v>บริษัท เฮเฟเล่ (ประเทศไทย) จำกัด</v>
      </c>
      <c r="M134" s="1" t="n">
        <f aca="false">TRUE()</f>
        <v>1</v>
      </c>
      <c r="N134" s="2" t="n">
        <v>6500</v>
      </c>
      <c r="O134" s="2" t="n">
        <v>3000</v>
      </c>
    </row>
    <row r="135" customFormat="false" ht="16.4" hidden="false" customHeight="false" outlineLevel="0" collapsed="false">
      <c r="A135" s="0" t="s">
        <v>15</v>
      </c>
      <c r="B135" s="0" t="s">
        <v>2608</v>
      </c>
      <c r="C135" s="0" t="n">
        <v>114001</v>
      </c>
      <c r="D135" s="0" t="n">
        <v>114001</v>
      </c>
      <c r="E135" s="0" t="s">
        <v>1328</v>
      </c>
      <c r="F135" s="0" t="s">
        <v>18</v>
      </c>
      <c r="G135" s="7" t="s">
        <v>2609</v>
      </c>
      <c r="H135" s="0" t="s">
        <v>2610</v>
      </c>
      <c r="I135" s="0" t="s">
        <v>124</v>
      </c>
      <c r="J135" s="0" t="s">
        <v>125</v>
      </c>
      <c r="K135" s="0" t="s">
        <v>89</v>
      </c>
      <c r="L135" s="0" t="str">
        <f aca="false">IFERROR(VLOOKUP(K135,'Supplier list'!B:C,2,0),"")</f>
        <v>บริษัท เฮเฟเล่ (ประเทศไทย) จำกัด</v>
      </c>
      <c r="M135" s="1" t="n">
        <f aca="false">FALSE()</f>
        <v>0</v>
      </c>
      <c r="N135" s="2"/>
      <c r="O135" s="2" t="n">
        <v>20590</v>
      </c>
    </row>
    <row r="136" customFormat="false" ht="16.4" hidden="false" customHeight="false" outlineLevel="0" collapsed="false">
      <c r="A136" s="0" t="s">
        <v>15</v>
      </c>
      <c r="B136" s="0" t="s">
        <v>2611</v>
      </c>
      <c r="C136" s="0" t="n">
        <v>114001</v>
      </c>
      <c r="D136" s="0" t="n">
        <v>114001</v>
      </c>
      <c r="E136" s="0" t="s">
        <v>874</v>
      </c>
      <c r="F136" s="0" t="s">
        <v>18</v>
      </c>
      <c r="G136" s="7" t="s">
        <v>2612</v>
      </c>
      <c r="H136" s="0" t="s">
        <v>2613</v>
      </c>
      <c r="I136" s="0" t="s">
        <v>124</v>
      </c>
      <c r="J136" s="0" t="s">
        <v>125</v>
      </c>
      <c r="K136" s="0" t="s">
        <v>89</v>
      </c>
      <c r="L136" s="0" t="str">
        <f aca="false">IFERROR(VLOOKUP(K136,'Supplier list'!B:C,2,0),"")</f>
        <v>บริษัท เฮเฟเล่ (ประเทศไทย) จำกัด</v>
      </c>
      <c r="M136" s="1" t="n">
        <f aca="false">FALSE()</f>
        <v>0</v>
      </c>
      <c r="N136" s="2"/>
      <c r="O136" s="2" t="n">
        <v>2700</v>
      </c>
    </row>
    <row r="137" customFormat="false" ht="16.4" hidden="false" customHeight="false" outlineLevel="0" collapsed="false">
      <c r="A137" s="0" t="s">
        <v>15</v>
      </c>
      <c r="B137" s="0" t="s">
        <v>2614</v>
      </c>
      <c r="C137" s="0" t="n">
        <v>114001</v>
      </c>
      <c r="D137" s="0" t="n">
        <v>114001</v>
      </c>
      <c r="E137" s="0" t="s">
        <v>2615</v>
      </c>
      <c r="F137" s="0" t="s">
        <v>18</v>
      </c>
      <c r="G137" s="7" t="s">
        <v>2616</v>
      </c>
      <c r="H137" s="0" t="s">
        <v>2617</v>
      </c>
      <c r="I137" s="0" t="s">
        <v>396</v>
      </c>
      <c r="J137" s="0" t="s">
        <v>397</v>
      </c>
      <c r="K137" s="0" t="s">
        <v>2065</v>
      </c>
      <c r="L137" s="0" t="str">
        <f aca="false">IFERROR(VLOOKUP(K137,'Supplier list'!B:C,2,0),"")</f>
        <v>บริษัท บลู อินเตอร์เนชั่นแนล จำกัด</v>
      </c>
      <c r="M137" s="1" t="n">
        <f aca="false">FALSE()</f>
        <v>0</v>
      </c>
      <c r="N137" s="2"/>
      <c r="O137" s="2" t="n">
        <v>520</v>
      </c>
    </row>
    <row r="138" customFormat="false" ht="16.4" hidden="false" customHeight="false" outlineLevel="0" collapsed="false">
      <c r="A138" s="0" t="s">
        <v>15</v>
      </c>
      <c r="B138" s="0" t="s">
        <v>2618</v>
      </c>
      <c r="C138" s="0" t="n">
        <v>114001</v>
      </c>
      <c r="D138" s="0" t="n">
        <v>114001</v>
      </c>
      <c r="E138" s="0" t="s">
        <v>1653</v>
      </c>
      <c r="F138" s="0" t="s">
        <v>18</v>
      </c>
      <c r="G138" s="7" t="s">
        <v>2619</v>
      </c>
      <c r="H138" s="0" t="s">
        <v>2620</v>
      </c>
      <c r="I138" s="0" t="s">
        <v>124</v>
      </c>
      <c r="J138" s="0" t="s">
        <v>125</v>
      </c>
      <c r="K138" s="0" t="s">
        <v>89</v>
      </c>
      <c r="L138" s="0" t="str">
        <f aca="false">IFERROR(VLOOKUP(K138,'Supplier list'!B:C,2,0),"")</f>
        <v>บริษัท เฮเฟเล่ (ประเทศไทย) จำกัด</v>
      </c>
      <c r="M138" s="1" t="n">
        <f aca="false">FALSE()</f>
        <v>0</v>
      </c>
      <c r="N138" s="2"/>
      <c r="O138" s="2" t="n">
        <v>14019</v>
      </c>
    </row>
    <row r="139" customFormat="false" ht="16.4" hidden="false" customHeight="false" outlineLevel="0" collapsed="false">
      <c r="A139" s="0" t="s">
        <v>15</v>
      </c>
      <c r="B139" s="0" t="s">
        <v>2621</v>
      </c>
      <c r="C139" s="0" t="n">
        <v>114001</v>
      </c>
      <c r="D139" s="0" t="n">
        <v>114001</v>
      </c>
      <c r="E139" s="0" t="s">
        <v>1653</v>
      </c>
      <c r="F139" s="0" t="s">
        <v>18</v>
      </c>
      <c r="G139" s="7" t="s">
        <v>2622</v>
      </c>
      <c r="H139" s="0" t="s">
        <v>2623</v>
      </c>
      <c r="I139" s="0" t="s">
        <v>124</v>
      </c>
      <c r="J139" s="0" t="s">
        <v>125</v>
      </c>
      <c r="K139" s="0" t="s">
        <v>89</v>
      </c>
      <c r="L139" s="0" t="str">
        <f aca="false">IFERROR(VLOOKUP(K139,'Supplier list'!B:C,2,0),"")</f>
        <v>บริษัท เฮเฟเล่ (ประเทศไทย) จำกัด</v>
      </c>
      <c r="M139" s="1" t="n">
        <f aca="false">TRUE()</f>
        <v>1</v>
      </c>
      <c r="N139" s="2" t="n">
        <v>32500</v>
      </c>
      <c r="O139" s="2" t="n">
        <v>19950</v>
      </c>
    </row>
    <row r="140" customFormat="false" ht="16.4" hidden="false" customHeight="false" outlineLevel="0" collapsed="false">
      <c r="A140" s="0" t="s">
        <v>15</v>
      </c>
      <c r="B140" s="0" t="s">
        <v>2624</v>
      </c>
      <c r="C140" s="0" t="n">
        <v>114001</v>
      </c>
      <c r="D140" s="0" t="n">
        <v>114001</v>
      </c>
      <c r="E140" s="0" t="s">
        <v>1653</v>
      </c>
      <c r="F140" s="0" t="s">
        <v>18</v>
      </c>
      <c r="G140" s="7" t="s">
        <v>2625</v>
      </c>
      <c r="H140" s="0" t="s">
        <v>2626</v>
      </c>
      <c r="I140" s="0" t="s">
        <v>124</v>
      </c>
      <c r="J140" s="0" t="s">
        <v>125</v>
      </c>
      <c r="K140" s="0" t="s">
        <v>89</v>
      </c>
      <c r="L140" s="0" t="str">
        <f aca="false">IFERROR(VLOOKUP(K140,'Supplier list'!B:C,2,0),"")</f>
        <v>บริษัท เฮเฟเล่ (ประเทศไทย) จำกัด</v>
      </c>
      <c r="M140" s="1" t="n">
        <f aca="false">TRUE()</f>
        <v>1</v>
      </c>
      <c r="N140" s="2" t="n">
        <v>39900</v>
      </c>
      <c r="O140" s="2" t="n">
        <v>510</v>
      </c>
    </row>
    <row r="141" customFormat="false" ht="16.4" hidden="false" customHeight="false" outlineLevel="0" collapsed="false">
      <c r="A141" s="0" t="s">
        <v>15</v>
      </c>
      <c r="B141" s="0" t="s">
        <v>2627</v>
      </c>
      <c r="C141" s="0" t="n">
        <v>114001</v>
      </c>
      <c r="D141" s="0" t="n">
        <v>114001</v>
      </c>
      <c r="E141" s="0" t="s">
        <v>1653</v>
      </c>
      <c r="F141" s="0" t="s">
        <v>18</v>
      </c>
      <c r="G141" s="7" t="s">
        <v>2628</v>
      </c>
      <c r="H141" s="0" t="s">
        <v>2629</v>
      </c>
      <c r="I141" s="0" t="s">
        <v>124</v>
      </c>
      <c r="J141" s="0" t="s">
        <v>125</v>
      </c>
      <c r="K141" s="0" t="s">
        <v>89</v>
      </c>
      <c r="L141" s="0" t="str">
        <f aca="false">IFERROR(VLOOKUP(K141,'Supplier list'!B:C,2,0),"")</f>
        <v>บริษัท เฮเฟเล่ (ประเทศไทย) จำกัด</v>
      </c>
      <c r="M141" s="1" t="n">
        <f aca="false">TRUE()</f>
        <v>1</v>
      </c>
      <c r="N141" s="2" t="n">
        <v>40500</v>
      </c>
      <c r="O141" s="2" t="n">
        <v>26150</v>
      </c>
    </row>
    <row r="142" customFormat="false" ht="16.4" hidden="false" customHeight="false" outlineLevel="0" collapsed="false">
      <c r="A142" s="0" t="s">
        <v>15</v>
      </c>
      <c r="B142" s="0" t="s">
        <v>2630</v>
      </c>
      <c r="C142" s="0" t="n">
        <v>114001</v>
      </c>
      <c r="D142" s="0" t="n">
        <v>114001</v>
      </c>
      <c r="E142" s="0" t="s">
        <v>1653</v>
      </c>
      <c r="F142" s="0" t="s">
        <v>18</v>
      </c>
      <c r="G142" s="7" t="s">
        <v>2631</v>
      </c>
      <c r="H142" s="0" t="s">
        <v>2632</v>
      </c>
      <c r="I142" s="0" t="s">
        <v>124</v>
      </c>
      <c r="J142" s="0" t="s">
        <v>125</v>
      </c>
      <c r="K142" s="0" t="s">
        <v>89</v>
      </c>
      <c r="L142" s="0" t="str">
        <f aca="false">IFERROR(VLOOKUP(K142,'Supplier list'!B:C,2,0),"")</f>
        <v>บริษัท เฮเฟเล่ (ประเทศไทย) จำกัด</v>
      </c>
      <c r="M142" s="1" t="n">
        <f aca="false">TRUE()</f>
        <v>1</v>
      </c>
      <c r="N142" s="2" t="n">
        <v>3590</v>
      </c>
      <c r="O142" s="2" t="n">
        <v>14</v>
      </c>
    </row>
    <row r="143" customFormat="false" ht="16.4" hidden="false" customHeight="false" outlineLevel="0" collapsed="false">
      <c r="A143" s="0" t="s">
        <v>15</v>
      </c>
      <c r="B143" s="0" t="s">
        <v>2633</v>
      </c>
      <c r="C143" s="0" t="n">
        <v>114001</v>
      </c>
      <c r="D143" s="0" t="n">
        <v>114001</v>
      </c>
      <c r="E143" s="0" t="s">
        <v>1653</v>
      </c>
      <c r="F143" s="0" t="s">
        <v>18</v>
      </c>
      <c r="G143" s="7" t="s">
        <v>2634</v>
      </c>
      <c r="H143" s="0" t="s">
        <v>2635</v>
      </c>
      <c r="I143" s="0" t="s">
        <v>124</v>
      </c>
      <c r="J143" s="0" t="s">
        <v>125</v>
      </c>
      <c r="K143" s="0" t="s">
        <v>89</v>
      </c>
      <c r="L143" s="0" t="str">
        <f aca="false">IFERROR(VLOOKUP(K143,'Supplier list'!B:C,2,0),"")</f>
        <v>บริษัท เฮเฟเล่ (ประเทศไทย) จำกัด</v>
      </c>
      <c r="M143" s="1" t="n">
        <f aca="false">FALSE()</f>
        <v>0</v>
      </c>
      <c r="N143" s="2"/>
      <c r="O143" s="2" t="n">
        <v>770</v>
      </c>
    </row>
    <row r="144" customFormat="false" ht="16.4" hidden="false" customHeight="false" outlineLevel="0" collapsed="false">
      <c r="A144" s="0" t="s">
        <v>15</v>
      </c>
      <c r="B144" s="0" t="s">
        <v>2636</v>
      </c>
      <c r="C144" s="0" t="n">
        <v>114001</v>
      </c>
      <c r="D144" s="0" t="n">
        <v>114001</v>
      </c>
      <c r="E144" s="0" t="s">
        <v>1653</v>
      </c>
      <c r="F144" s="0" t="s">
        <v>18</v>
      </c>
      <c r="G144" s="7" t="s">
        <v>2637</v>
      </c>
      <c r="H144" s="0" t="s">
        <v>2638</v>
      </c>
      <c r="I144" s="0" t="s">
        <v>124</v>
      </c>
      <c r="J144" s="0" t="s">
        <v>125</v>
      </c>
      <c r="K144" s="0" t="s">
        <v>89</v>
      </c>
      <c r="L144" s="0" t="str">
        <f aca="false">IFERROR(VLOOKUP(K144,'Supplier list'!B:C,2,0),"")</f>
        <v>บริษัท เฮเฟเล่ (ประเทศไทย) จำกัด</v>
      </c>
      <c r="M144" s="1" t="n">
        <f aca="false">TRUE()</f>
        <v>1</v>
      </c>
      <c r="N144" s="2" t="n">
        <v>14990</v>
      </c>
      <c r="O144" s="2" t="n">
        <v>8745</v>
      </c>
    </row>
    <row r="145" customFormat="false" ht="16.4" hidden="false" customHeight="false" outlineLevel="0" collapsed="false">
      <c r="A145" s="0" t="s">
        <v>15</v>
      </c>
      <c r="B145" s="0" t="s">
        <v>2639</v>
      </c>
      <c r="C145" s="0" t="n">
        <v>114001</v>
      </c>
      <c r="D145" s="0" t="n">
        <v>114001</v>
      </c>
      <c r="E145" s="0" t="s">
        <v>1653</v>
      </c>
      <c r="F145" s="0" t="s">
        <v>18</v>
      </c>
      <c r="G145" s="7" t="s">
        <v>2640</v>
      </c>
      <c r="H145" s="0" t="s">
        <v>2641</v>
      </c>
      <c r="I145" s="0" t="s">
        <v>124</v>
      </c>
      <c r="J145" s="0" t="s">
        <v>125</v>
      </c>
      <c r="K145" s="0" t="s">
        <v>89</v>
      </c>
      <c r="L145" s="0" t="str">
        <f aca="false">IFERROR(VLOOKUP(K145,'Supplier list'!B:C,2,0),"")</f>
        <v>บริษัท เฮเฟเล่ (ประเทศไทย) จำกัด</v>
      </c>
      <c r="M145" s="1" t="n">
        <f aca="false">TRUE()</f>
        <v>1</v>
      </c>
      <c r="N145" s="2" t="n">
        <v>3990</v>
      </c>
      <c r="O145" s="2" t="n">
        <v>3500</v>
      </c>
    </row>
    <row r="146" customFormat="false" ht="16.4" hidden="false" customHeight="false" outlineLevel="0" collapsed="false">
      <c r="A146" s="0" t="s">
        <v>15</v>
      </c>
      <c r="B146" s="0" t="s">
        <v>2642</v>
      </c>
      <c r="C146" s="0" t="n">
        <v>114001</v>
      </c>
      <c r="D146" s="0" t="n">
        <v>114001</v>
      </c>
      <c r="E146" s="0" t="s">
        <v>1653</v>
      </c>
      <c r="F146" s="0" t="s">
        <v>18</v>
      </c>
      <c r="G146" s="7" t="s">
        <v>2643</v>
      </c>
      <c r="H146" s="0" t="s">
        <v>2644</v>
      </c>
      <c r="I146" s="0" t="s">
        <v>124</v>
      </c>
      <c r="J146" s="0" t="s">
        <v>125</v>
      </c>
      <c r="K146" s="0" t="s">
        <v>89</v>
      </c>
      <c r="L146" s="0" t="str">
        <f aca="false">IFERROR(VLOOKUP(K146,'Supplier list'!B:C,2,0),"")</f>
        <v>บริษัท เฮเฟเล่ (ประเทศไทย) จำกัด</v>
      </c>
      <c r="M146" s="1" t="n">
        <f aca="false">FALSE()</f>
        <v>0</v>
      </c>
      <c r="N146" s="2"/>
      <c r="O146" s="2" t="n">
        <v>545</v>
      </c>
    </row>
    <row r="147" customFormat="false" ht="16.4" hidden="false" customHeight="false" outlineLevel="0" collapsed="false">
      <c r="A147" s="0" t="s">
        <v>15</v>
      </c>
      <c r="B147" s="0" t="s">
        <v>2645</v>
      </c>
      <c r="C147" s="0" t="n">
        <v>114001</v>
      </c>
      <c r="D147" s="0" t="n">
        <v>114001</v>
      </c>
      <c r="E147" s="0" t="s">
        <v>961</v>
      </c>
      <c r="F147" s="0" t="s">
        <v>18</v>
      </c>
      <c r="G147" s="7" t="s">
        <v>2646</v>
      </c>
      <c r="H147" s="0" t="s">
        <v>2647</v>
      </c>
      <c r="I147" s="0" t="s">
        <v>124</v>
      </c>
      <c r="J147" s="0" t="s">
        <v>125</v>
      </c>
      <c r="K147" s="0" t="s">
        <v>89</v>
      </c>
      <c r="L147" s="0" t="str">
        <f aca="false">IFERROR(VLOOKUP(K147,'Supplier list'!B:C,2,0),"")</f>
        <v>บริษัท เฮเฟเล่ (ประเทศไทย) จำกัด</v>
      </c>
      <c r="M147" s="1" t="n">
        <f aca="false">FALSE()</f>
        <v>0</v>
      </c>
      <c r="N147" s="2"/>
      <c r="O147" s="2" t="n">
        <v>2.5</v>
      </c>
    </row>
    <row r="148" customFormat="false" ht="16.4" hidden="false" customHeight="false" outlineLevel="0" collapsed="false">
      <c r="A148" s="0" t="s">
        <v>15</v>
      </c>
      <c r="B148" s="0" t="s">
        <v>2648</v>
      </c>
      <c r="C148" s="0" t="n">
        <v>114001</v>
      </c>
      <c r="D148" s="0" t="n">
        <v>114001</v>
      </c>
      <c r="E148" s="0" t="s">
        <v>961</v>
      </c>
      <c r="F148" s="0" t="s">
        <v>18</v>
      </c>
      <c r="G148" s="7" t="s">
        <v>2649</v>
      </c>
      <c r="H148" s="0" t="s">
        <v>2650</v>
      </c>
      <c r="I148" s="0" t="s">
        <v>124</v>
      </c>
      <c r="J148" s="0" t="s">
        <v>125</v>
      </c>
      <c r="K148" s="0" t="s">
        <v>89</v>
      </c>
      <c r="L148" s="0" t="str">
        <f aca="false">IFERROR(VLOOKUP(K148,'Supplier list'!B:C,2,0),"")</f>
        <v>บริษัท เฮเฟเล่ (ประเทศไทย) จำกัด</v>
      </c>
      <c r="M148" s="1" t="n">
        <f aca="false">FALSE()</f>
        <v>0</v>
      </c>
      <c r="N148" s="2"/>
      <c r="O148" s="2" t="n">
        <v>4300</v>
      </c>
    </row>
    <row r="149" customFormat="false" ht="16.4" hidden="false" customHeight="false" outlineLevel="0" collapsed="false">
      <c r="A149" s="0" t="s">
        <v>15</v>
      </c>
      <c r="B149" s="0" t="s">
        <v>2651</v>
      </c>
      <c r="C149" s="0" t="n">
        <v>114001</v>
      </c>
      <c r="D149" s="0" t="n">
        <v>114001</v>
      </c>
      <c r="E149" s="0" t="s">
        <v>961</v>
      </c>
      <c r="F149" s="0" t="s">
        <v>18</v>
      </c>
      <c r="G149" s="7" t="s">
        <v>2652</v>
      </c>
      <c r="H149" s="0" t="s">
        <v>2653</v>
      </c>
      <c r="I149" s="0" t="s">
        <v>124</v>
      </c>
      <c r="J149" s="0" t="s">
        <v>125</v>
      </c>
      <c r="K149" s="0" t="s">
        <v>89</v>
      </c>
      <c r="L149" s="0" t="str">
        <f aca="false">IFERROR(VLOOKUP(K149,'Supplier list'!B:C,2,0),"")</f>
        <v>บริษัท เฮเฟเล่ (ประเทศไทย) จำกัด</v>
      </c>
      <c r="M149" s="1" t="n">
        <f aca="false">FALSE()</f>
        <v>0</v>
      </c>
      <c r="N149" s="2"/>
      <c r="O149" s="2" t="n">
        <v>4627</v>
      </c>
    </row>
    <row r="150" customFormat="false" ht="16.4" hidden="false" customHeight="false" outlineLevel="0" collapsed="false">
      <c r="A150" s="0" t="s">
        <v>15</v>
      </c>
      <c r="B150" s="0" t="s">
        <v>2654</v>
      </c>
      <c r="C150" s="0" t="n">
        <v>114001</v>
      </c>
      <c r="D150" s="0" t="n">
        <v>114001</v>
      </c>
      <c r="E150" s="0" t="s">
        <v>961</v>
      </c>
      <c r="F150" s="0" t="s">
        <v>18</v>
      </c>
      <c r="G150" s="7" t="s">
        <v>2655</v>
      </c>
      <c r="H150" s="0" t="s">
        <v>2656</v>
      </c>
      <c r="I150" s="0" t="s">
        <v>124</v>
      </c>
      <c r="J150" s="0" t="s">
        <v>125</v>
      </c>
      <c r="K150" s="0" t="s">
        <v>89</v>
      </c>
      <c r="L150" s="0" t="str">
        <f aca="false">IFERROR(VLOOKUP(K150,'Supplier list'!B:C,2,0),"")</f>
        <v>บริษัท เฮเฟเล่ (ประเทศไทย) จำกัด</v>
      </c>
      <c r="M150" s="1" t="n">
        <f aca="false">FALSE()</f>
        <v>0</v>
      </c>
      <c r="N150" s="2"/>
      <c r="O150" s="2" t="n">
        <v>4206</v>
      </c>
    </row>
    <row r="151" customFormat="false" ht="16.4" hidden="false" customHeight="false" outlineLevel="0" collapsed="false">
      <c r="A151" s="0" t="s">
        <v>15</v>
      </c>
      <c r="B151" s="0" t="s">
        <v>2657</v>
      </c>
      <c r="C151" s="0" t="n">
        <v>114001</v>
      </c>
      <c r="D151" s="0" t="n">
        <v>114001</v>
      </c>
      <c r="E151" s="0" t="s">
        <v>961</v>
      </c>
      <c r="F151" s="0" t="s">
        <v>18</v>
      </c>
      <c r="G151" s="7" t="s">
        <v>2658</v>
      </c>
      <c r="H151" s="0" t="s">
        <v>2659</v>
      </c>
      <c r="I151" s="0" t="s">
        <v>124</v>
      </c>
      <c r="J151" s="0" t="s">
        <v>125</v>
      </c>
      <c r="K151" s="0" t="s">
        <v>89</v>
      </c>
      <c r="L151" s="0" t="str">
        <f aca="false">IFERROR(VLOOKUP(K151,'Supplier list'!B:C,2,0),"")</f>
        <v>บริษัท เฮเฟเล่ (ประเทศไทย) จำกัด</v>
      </c>
      <c r="M151" s="1" t="n">
        <f aca="false">FALSE()</f>
        <v>0</v>
      </c>
      <c r="N151" s="2"/>
      <c r="O151" s="2" t="n">
        <v>5617</v>
      </c>
    </row>
    <row r="152" customFormat="false" ht="16.4" hidden="false" customHeight="false" outlineLevel="0" collapsed="false">
      <c r="A152" s="0" t="s">
        <v>15</v>
      </c>
      <c r="B152" s="0" t="s">
        <v>2660</v>
      </c>
      <c r="C152" s="0" t="n">
        <v>114001</v>
      </c>
      <c r="D152" s="0" t="n">
        <v>114001</v>
      </c>
      <c r="E152" s="0" t="s">
        <v>961</v>
      </c>
      <c r="F152" s="0" t="s">
        <v>18</v>
      </c>
      <c r="G152" s="7" t="s">
        <v>2661</v>
      </c>
      <c r="H152" s="0" t="s">
        <v>2662</v>
      </c>
      <c r="I152" s="0" t="s">
        <v>124</v>
      </c>
      <c r="J152" s="0" t="s">
        <v>125</v>
      </c>
      <c r="K152" s="0" t="s">
        <v>89</v>
      </c>
      <c r="L152" s="0" t="str">
        <f aca="false">IFERROR(VLOOKUP(K152,'Supplier list'!B:C,2,0),"")</f>
        <v>บริษัท เฮเฟเล่ (ประเทศไทย) จำกัด</v>
      </c>
      <c r="M152" s="1" t="n">
        <f aca="false">FALSE()</f>
        <v>0</v>
      </c>
      <c r="N152" s="2"/>
      <c r="O152" s="2" t="n">
        <v>5505</v>
      </c>
    </row>
    <row r="153" customFormat="false" ht="16.4" hidden="false" customHeight="false" outlineLevel="0" collapsed="false">
      <c r="A153" s="0" t="s">
        <v>15</v>
      </c>
      <c r="B153" s="0" t="s">
        <v>2663</v>
      </c>
      <c r="C153" s="0" t="n">
        <v>114001</v>
      </c>
      <c r="D153" s="0" t="n">
        <v>114001</v>
      </c>
      <c r="E153" s="0" t="s">
        <v>961</v>
      </c>
      <c r="F153" s="0" t="s">
        <v>18</v>
      </c>
      <c r="G153" s="7" t="s">
        <v>2664</v>
      </c>
      <c r="H153" s="0" t="s">
        <v>2665</v>
      </c>
      <c r="I153" s="0" t="s">
        <v>124</v>
      </c>
      <c r="J153" s="0" t="s">
        <v>125</v>
      </c>
      <c r="K153" s="0" t="s">
        <v>89</v>
      </c>
      <c r="L153" s="0" t="str">
        <f aca="false">IFERROR(VLOOKUP(K153,'Supplier list'!B:C,2,0),"")</f>
        <v>บริษัท เฮเฟเล่ (ประเทศไทย) จำกัด</v>
      </c>
      <c r="M153" s="1" t="n">
        <f aca="false">FALSE()</f>
        <v>0</v>
      </c>
      <c r="N153" s="2"/>
      <c r="O153" s="2" t="n">
        <v>6019</v>
      </c>
    </row>
    <row r="154" customFormat="false" ht="16.4" hidden="false" customHeight="false" outlineLevel="0" collapsed="false">
      <c r="A154" s="0" t="s">
        <v>15</v>
      </c>
      <c r="B154" s="0" t="s">
        <v>2666</v>
      </c>
      <c r="C154" s="0" t="n">
        <v>114001</v>
      </c>
      <c r="D154" s="0" t="n">
        <v>114001</v>
      </c>
      <c r="E154" s="0" t="s">
        <v>961</v>
      </c>
      <c r="F154" s="0" t="s">
        <v>18</v>
      </c>
      <c r="G154" s="7" t="s">
        <v>2667</v>
      </c>
      <c r="H154" s="0" t="s">
        <v>2668</v>
      </c>
      <c r="I154" s="0" t="s">
        <v>124</v>
      </c>
      <c r="J154" s="0" t="s">
        <v>125</v>
      </c>
      <c r="K154" s="0" t="s">
        <v>89</v>
      </c>
      <c r="L154" s="0" t="str">
        <f aca="false">IFERROR(VLOOKUP(K154,'Supplier list'!B:C,2,0),"")</f>
        <v>บริษัท เฮเฟเล่ (ประเทศไทย) จำกัด</v>
      </c>
      <c r="M154" s="1" t="n">
        <f aca="false">FALSE()</f>
        <v>0</v>
      </c>
      <c r="N154" s="2"/>
      <c r="O154" s="2" t="n">
        <v>5674</v>
      </c>
    </row>
    <row r="155" customFormat="false" ht="16.4" hidden="false" customHeight="false" outlineLevel="0" collapsed="false">
      <c r="A155" s="0" t="s">
        <v>15</v>
      </c>
      <c r="B155" s="0" t="s">
        <v>2669</v>
      </c>
      <c r="C155" s="0" t="n">
        <v>114001</v>
      </c>
      <c r="D155" s="0" t="n">
        <v>114001</v>
      </c>
      <c r="E155" s="0" t="s">
        <v>1815</v>
      </c>
      <c r="F155" s="0" t="s">
        <v>18</v>
      </c>
      <c r="G155" s="7" t="s">
        <v>2670</v>
      </c>
      <c r="H155" s="0" t="s">
        <v>2671</v>
      </c>
      <c r="I155" s="0" t="s">
        <v>124</v>
      </c>
      <c r="J155" s="0" t="s">
        <v>125</v>
      </c>
      <c r="K155" s="0" t="s">
        <v>89</v>
      </c>
      <c r="L155" s="0" t="str">
        <f aca="false">IFERROR(VLOOKUP(K155,'Supplier list'!B:C,2,0),"")</f>
        <v>บริษัท เฮเฟเล่ (ประเทศไทย) จำกัด</v>
      </c>
      <c r="M155" s="1" t="n">
        <f aca="false">FALSE()</f>
        <v>0</v>
      </c>
      <c r="N155" s="2"/>
      <c r="O155" s="2" t="n">
        <v>1506</v>
      </c>
    </row>
    <row r="156" customFormat="false" ht="16.4" hidden="false" customHeight="false" outlineLevel="0" collapsed="false">
      <c r="A156" s="0" t="s">
        <v>15</v>
      </c>
      <c r="B156" s="0" t="s">
        <v>2672</v>
      </c>
      <c r="C156" s="0" t="n">
        <v>114001</v>
      </c>
      <c r="D156" s="0" t="n">
        <v>114001</v>
      </c>
      <c r="E156" s="0" t="s">
        <v>1815</v>
      </c>
      <c r="F156" s="0" t="s">
        <v>18</v>
      </c>
      <c r="G156" s="7" t="s">
        <v>2673</v>
      </c>
      <c r="H156" s="0" t="s">
        <v>2674</v>
      </c>
      <c r="I156" s="0" t="s">
        <v>124</v>
      </c>
      <c r="J156" s="0" t="s">
        <v>125</v>
      </c>
      <c r="K156" s="0" t="s">
        <v>89</v>
      </c>
      <c r="L156" s="0" t="str">
        <f aca="false">IFERROR(VLOOKUP(K156,'Supplier list'!B:C,2,0),"")</f>
        <v>บริษัท เฮเฟเล่ (ประเทศไทย) จำกัด</v>
      </c>
      <c r="M156" s="1" t="n">
        <f aca="false">FALSE()</f>
        <v>0</v>
      </c>
      <c r="N156" s="2"/>
      <c r="O156" s="2" t="n">
        <v>2059</v>
      </c>
    </row>
    <row r="157" customFormat="false" ht="16.4" hidden="false" customHeight="false" outlineLevel="0" collapsed="false">
      <c r="A157" s="0" t="s">
        <v>15</v>
      </c>
      <c r="B157" s="0" t="s">
        <v>2675</v>
      </c>
      <c r="C157" s="0" t="n">
        <v>114001</v>
      </c>
      <c r="D157" s="0" t="n">
        <v>114001</v>
      </c>
      <c r="E157" s="0" t="s">
        <v>1653</v>
      </c>
      <c r="F157" s="0" t="s">
        <v>18</v>
      </c>
      <c r="G157" s="7" t="s">
        <v>2676</v>
      </c>
      <c r="H157" s="0" t="s">
        <v>2604</v>
      </c>
      <c r="I157" s="0" t="s">
        <v>124</v>
      </c>
      <c r="J157" s="0" t="s">
        <v>125</v>
      </c>
      <c r="K157" s="0" t="s">
        <v>89</v>
      </c>
      <c r="L157" s="0" t="str">
        <f aca="false">IFERROR(VLOOKUP(K157,'Supplier list'!B:C,2,0),"")</f>
        <v>บริษัท เฮเฟเล่ (ประเทศไทย) จำกัด</v>
      </c>
      <c r="M157" s="1" t="n">
        <f aca="false">FALSE()</f>
        <v>0</v>
      </c>
      <c r="N157" s="2"/>
      <c r="O157" s="2" t="n">
        <v>5888</v>
      </c>
    </row>
    <row r="158" customFormat="false" ht="16.4" hidden="false" customHeight="false" outlineLevel="0" collapsed="false">
      <c r="A158" s="0" t="s">
        <v>15</v>
      </c>
      <c r="B158" s="0" t="s">
        <v>2677</v>
      </c>
      <c r="C158" s="0" t="n">
        <v>114001</v>
      </c>
      <c r="D158" s="0" t="n">
        <v>114001</v>
      </c>
      <c r="E158" s="0" t="s">
        <v>1653</v>
      </c>
      <c r="F158" s="0" t="s">
        <v>18</v>
      </c>
      <c r="G158" s="7" t="s">
        <v>2678</v>
      </c>
      <c r="H158" s="0" t="s">
        <v>2679</v>
      </c>
      <c r="I158" s="0" t="s">
        <v>124</v>
      </c>
      <c r="J158" s="0" t="s">
        <v>125</v>
      </c>
      <c r="K158" s="0" t="s">
        <v>1725</v>
      </c>
      <c r="L158" s="0" t="str">
        <f aca="false">IFERROR(VLOOKUP(K158,'Supplier list'!B:C,2,0),"")</f>
        <v>บริษัท พรีซิชั่นไลน์ จำกัด</v>
      </c>
      <c r="M158" s="1" t="n">
        <f aca="false">FALSE()</f>
        <v>0</v>
      </c>
      <c r="N158" s="2"/>
      <c r="O158" s="2" t="n">
        <v>0</v>
      </c>
    </row>
    <row r="159" customFormat="false" ht="16.4" hidden="false" customHeight="false" outlineLevel="0" collapsed="false">
      <c r="A159" s="0" t="s">
        <v>15</v>
      </c>
      <c r="B159" s="0" t="s">
        <v>2680</v>
      </c>
      <c r="C159" s="0" t="n">
        <v>114001</v>
      </c>
      <c r="D159" s="0" t="n">
        <v>114001</v>
      </c>
      <c r="E159" s="0" t="s">
        <v>1653</v>
      </c>
      <c r="F159" s="0" t="s">
        <v>18</v>
      </c>
      <c r="G159" s="7" t="s">
        <v>2681</v>
      </c>
      <c r="H159" s="0" t="s">
        <v>2682</v>
      </c>
      <c r="I159" s="0" t="s">
        <v>124</v>
      </c>
      <c r="J159" s="0" t="s">
        <v>125</v>
      </c>
      <c r="K159" s="0" t="s">
        <v>1725</v>
      </c>
      <c r="L159" s="0" t="str">
        <f aca="false">IFERROR(VLOOKUP(K159,'Supplier list'!B:C,2,0),"")</f>
        <v>บริษัท พรีซิชั่นไลน์ จำกัด</v>
      </c>
      <c r="M159" s="1" t="n">
        <f aca="false">FALSE()</f>
        <v>0</v>
      </c>
      <c r="N159" s="2"/>
      <c r="O159" s="2" t="n">
        <v>0</v>
      </c>
    </row>
    <row r="160" customFormat="false" ht="16.4" hidden="false" customHeight="false" outlineLevel="0" collapsed="false">
      <c r="A160" s="0" t="s">
        <v>15</v>
      </c>
      <c r="B160" s="0" t="s">
        <v>2683</v>
      </c>
      <c r="C160" s="0" t="n">
        <v>114001</v>
      </c>
      <c r="D160" s="0" t="n">
        <v>114001</v>
      </c>
      <c r="E160" s="0" t="s">
        <v>2684</v>
      </c>
      <c r="F160" s="0" t="s">
        <v>18</v>
      </c>
      <c r="G160" s="7" t="s">
        <v>2685</v>
      </c>
      <c r="H160" s="0" t="s">
        <v>2686</v>
      </c>
      <c r="I160" s="0" t="s">
        <v>124</v>
      </c>
      <c r="J160" s="0" t="s">
        <v>125</v>
      </c>
      <c r="K160" s="0" t="s">
        <v>89</v>
      </c>
      <c r="L160" s="0" t="str">
        <f aca="false">IFERROR(VLOOKUP(K160,'Supplier list'!B:C,2,0),"")</f>
        <v>บริษัท เฮเฟเล่ (ประเทศไทย) จำกัด</v>
      </c>
      <c r="M160" s="1" t="n">
        <f aca="false">FALSE()</f>
        <v>0</v>
      </c>
      <c r="N160" s="2"/>
      <c r="O160" s="2" t="n">
        <v>5514</v>
      </c>
    </row>
    <row r="161" customFormat="false" ht="16.4" hidden="false" customHeight="false" outlineLevel="0" collapsed="false">
      <c r="A161" s="0" t="s">
        <v>15</v>
      </c>
      <c r="B161" s="0" t="s">
        <v>2687</v>
      </c>
      <c r="C161" s="0" t="n">
        <v>114001</v>
      </c>
      <c r="D161" s="0" t="n">
        <v>114001</v>
      </c>
      <c r="E161" s="0" t="s">
        <v>1804</v>
      </c>
      <c r="F161" s="0" t="s">
        <v>18</v>
      </c>
      <c r="G161" s="7" t="s">
        <v>2688</v>
      </c>
      <c r="H161" s="0" t="s">
        <v>2689</v>
      </c>
      <c r="I161" s="0" t="s">
        <v>124</v>
      </c>
      <c r="J161" s="0" t="s">
        <v>125</v>
      </c>
      <c r="K161" s="0" t="s">
        <v>787</v>
      </c>
      <c r="L161" s="0" t="str">
        <f aca="false">IFERROR(VLOOKUP(K161,'Supplier list'!B:C,2,0),"")</f>
        <v>บริษัท ฟิวเจอร์เทค อินเตอร์มาร์เก็ตติ้ง จำกัด</v>
      </c>
      <c r="M161" s="1" t="n">
        <f aca="false">FALSE()</f>
        <v>0</v>
      </c>
      <c r="N161" s="2"/>
      <c r="O161" s="2" t="n">
        <v>2450</v>
      </c>
    </row>
    <row r="162" customFormat="false" ht="16.4" hidden="false" customHeight="false" outlineLevel="0" collapsed="false">
      <c r="A162" s="0" t="s">
        <v>15</v>
      </c>
      <c r="B162" s="0" t="s">
        <v>2690</v>
      </c>
      <c r="C162" s="0" t="n">
        <v>114001</v>
      </c>
      <c r="D162" s="0" t="n">
        <v>114001</v>
      </c>
      <c r="E162" s="0" t="s">
        <v>1727</v>
      </c>
      <c r="F162" s="0" t="s">
        <v>18</v>
      </c>
      <c r="G162" s="7" t="s">
        <v>2691</v>
      </c>
      <c r="H162" s="0" t="s">
        <v>2692</v>
      </c>
      <c r="I162" s="0" t="s">
        <v>124</v>
      </c>
      <c r="J162" s="0" t="s">
        <v>125</v>
      </c>
      <c r="K162" s="0" t="s">
        <v>1725</v>
      </c>
      <c r="L162" s="0" t="str">
        <f aca="false">IFERROR(VLOOKUP(K162,'Supplier list'!B:C,2,0),"")</f>
        <v>บริษัท พรีซิชั่นไลน์ จำกัด</v>
      </c>
      <c r="M162" s="1" t="n">
        <f aca="false">FALSE()</f>
        <v>0</v>
      </c>
      <c r="N162" s="2"/>
      <c r="O162" s="2" t="n">
        <v>3550</v>
      </c>
    </row>
    <row r="163" customFormat="false" ht="16.4" hidden="false" customHeight="false" outlineLevel="0" collapsed="false">
      <c r="A163" s="0" t="s">
        <v>15</v>
      </c>
      <c r="B163" s="0" t="s">
        <v>2693</v>
      </c>
      <c r="C163" s="0" t="n">
        <v>114001</v>
      </c>
      <c r="D163" s="0" t="n">
        <v>114001</v>
      </c>
      <c r="E163" s="0" t="s">
        <v>1804</v>
      </c>
      <c r="F163" s="0" t="s">
        <v>18</v>
      </c>
      <c r="G163" s="7" t="s">
        <v>2694</v>
      </c>
      <c r="H163" s="0" t="s">
        <v>2695</v>
      </c>
      <c r="I163" s="0" t="s">
        <v>124</v>
      </c>
      <c r="J163" s="0" t="s">
        <v>125</v>
      </c>
      <c r="K163" s="0" t="s">
        <v>1725</v>
      </c>
      <c r="L163" s="0" t="str">
        <f aca="false">IFERROR(VLOOKUP(K163,'Supplier list'!B:C,2,0),"")</f>
        <v>บริษัท พรีซิชั่นไลน์ จำกัด</v>
      </c>
      <c r="M163" s="1" t="n">
        <f aca="false">TRUE()</f>
        <v>1</v>
      </c>
      <c r="N163" s="2" t="n">
        <v>12900</v>
      </c>
      <c r="O163" s="2" t="n">
        <v>0</v>
      </c>
    </row>
    <row r="164" customFormat="false" ht="16.4" hidden="false" customHeight="false" outlineLevel="0" collapsed="false">
      <c r="A164" s="0" t="s">
        <v>15</v>
      </c>
      <c r="B164" s="0" t="s">
        <v>2696</v>
      </c>
      <c r="C164" s="0" t="n">
        <v>114001</v>
      </c>
      <c r="D164" s="0" t="n">
        <v>114001</v>
      </c>
      <c r="E164" s="0" t="s">
        <v>1804</v>
      </c>
      <c r="F164" s="0" t="s">
        <v>18</v>
      </c>
      <c r="G164" s="7" t="s">
        <v>2697</v>
      </c>
      <c r="H164" s="0" t="s">
        <v>2698</v>
      </c>
      <c r="I164" s="0" t="s">
        <v>124</v>
      </c>
      <c r="J164" s="0" t="s">
        <v>125</v>
      </c>
      <c r="K164" s="0" t="s">
        <v>1725</v>
      </c>
      <c r="L164" s="0" t="str">
        <f aca="false">IFERROR(VLOOKUP(K164,'Supplier list'!B:C,2,0),"")</f>
        <v>บริษัท พรีซิชั่นไลน์ จำกัด</v>
      </c>
      <c r="M164" s="1" t="n">
        <f aca="false">TRUE()</f>
        <v>1</v>
      </c>
      <c r="N164" s="2" t="n">
        <v>39500</v>
      </c>
      <c r="O164" s="2" t="n">
        <v>0</v>
      </c>
    </row>
    <row r="165" customFormat="false" ht="16.4" hidden="false" customHeight="false" outlineLevel="0" collapsed="false">
      <c r="A165" s="0" t="s">
        <v>15</v>
      </c>
      <c r="B165" s="0" t="s">
        <v>2699</v>
      </c>
      <c r="C165" s="0" t="n">
        <v>114001</v>
      </c>
      <c r="D165" s="0" t="n">
        <v>114001</v>
      </c>
      <c r="E165" s="0" t="s">
        <v>1804</v>
      </c>
      <c r="F165" s="0" t="s">
        <v>18</v>
      </c>
      <c r="G165" s="7" t="s">
        <v>2700</v>
      </c>
      <c r="H165" s="0" t="s">
        <v>2701</v>
      </c>
      <c r="I165" s="0" t="s">
        <v>124</v>
      </c>
      <c r="J165" s="0" t="s">
        <v>125</v>
      </c>
      <c r="K165" s="0" t="s">
        <v>1725</v>
      </c>
      <c r="L165" s="0" t="str">
        <f aca="false">IFERROR(VLOOKUP(K165,'Supplier list'!B:C,2,0),"")</f>
        <v>บริษัท พรีซิชั่นไลน์ จำกัด</v>
      </c>
      <c r="M165" s="1" t="n">
        <f aca="false">TRUE()</f>
        <v>1</v>
      </c>
      <c r="N165" s="2" t="n">
        <v>28900</v>
      </c>
      <c r="O165" s="2" t="n">
        <v>0</v>
      </c>
    </row>
    <row r="166" customFormat="false" ht="16.4" hidden="false" customHeight="false" outlineLevel="0" collapsed="false">
      <c r="A166" s="0" t="s">
        <v>15</v>
      </c>
      <c r="B166" s="0" t="s">
        <v>2702</v>
      </c>
      <c r="C166" s="0" t="n">
        <v>114001</v>
      </c>
      <c r="D166" s="0" t="n">
        <v>114001</v>
      </c>
      <c r="E166" s="0" t="s">
        <v>1727</v>
      </c>
      <c r="F166" s="0" t="s">
        <v>18</v>
      </c>
      <c r="G166" s="7" t="s">
        <v>2703</v>
      </c>
      <c r="H166" s="0" t="s">
        <v>2704</v>
      </c>
      <c r="I166" s="0" t="s">
        <v>124</v>
      </c>
      <c r="J166" s="0" t="s">
        <v>125</v>
      </c>
      <c r="K166" s="0" t="s">
        <v>1725</v>
      </c>
      <c r="L166" s="0" t="str">
        <f aca="false">IFERROR(VLOOKUP(K166,'Supplier list'!B:C,2,0),"")</f>
        <v>บริษัท พรีซิชั่นไลน์ จำกัด</v>
      </c>
      <c r="M166" s="1" t="n">
        <f aca="false">FALSE()</f>
        <v>0</v>
      </c>
      <c r="N166" s="2"/>
      <c r="O166" s="2" t="n">
        <v>0</v>
      </c>
    </row>
    <row r="167" customFormat="false" ht="16.4" hidden="false" customHeight="false" outlineLevel="0" collapsed="false">
      <c r="A167" s="0" t="s">
        <v>15</v>
      </c>
      <c r="B167" s="0" t="s">
        <v>2705</v>
      </c>
      <c r="C167" s="0" t="n">
        <v>114001</v>
      </c>
      <c r="D167" s="0" t="n">
        <v>114001</v>
      </c>
      <c r="E167" s="0" t="s">
        <v>1804</v>
      </c>
      <c r="F167" s="0" t="s">
        <v>18</v>
      </c>
      <c r="G167" s="7" t="s">
        <v>2706</v>
      </c>
      <c r="H167" s="0" t="s">
        <v>2707</v>
      </c>
      <c r="I167" s="0" t="s">
        <v>124</v>
      </c>
      <c r="J167" s="0" t="s">
        <v>125</v>
      </c>
      <c r="K167" s="0" t="s">
        <v>787</v>
      </c>
      <c r="L167" s="0" t="str">
        <f aca="false">IFERROR(VLOOKUP(K167,'Supplier list'!B:C,2,0),"")</f>
        <v>บริษัท ฟิวเจอร์เทค อินเตอร์มาร์เก็ตติ้ง จำกัด</v>
      </c>
      <c r="M167" s="1" t="n">
        <f aca="false">TRUE()</f>
        <v>1</v>
      </c>
      <c r="N167" s="2" t="n">
        <v>1690</v>
      </c>
      <c r="O167" s="2" t="n">
        <v>600</v>
      </c>
    </row>
    <row r="168" customFormat="false" ht="16.4" hidden="false" customHeight="false" outlineLevel="0" collapsed="false">
      <c r="A168" s="0" t="s">
        <v>15</v>
      </c>
      <c r="B168" s="0" t="s">
        <v>2708</v>
      </c>
      <c r="C168" s="0" t="n">
        <v>114001</v>
      </c>
      <c r="D168" s="0" t="n">
        <v>114001</v>
      </c>
      <c r="E168" s="0" t="s">
        <v>1727</v>
      </c>
      <c r="F168" s="0" t="s">
        <v>18</v>
      </c>
      <c r="G168" s="7" t="s">
        <v>2709</v>
      </c>
      <c r="H168" s="0" t="s">
        <v>2710</v>
      </c>
      <c r="I168" s="0" t="s">
        <v>124</v>
      </c>
      <c r="J168" s="0" t="s">
        <v>125</v>
      </c>
      <c r="K168" s="0" t="s">
        <v>1725</v>
      </c>
      <c r="L168" s="0" t="str">
        <f aca="false">IFERROR(VLOOKUP(K168,'Supplier list'!B:C,2,0),"")</f>
        <v>บริษัท พรีซิชั่นไลน์ จำกัด</v>
      </c>
      <c r="M168" s="1" t="n">
        <f aca="false">FALSE()</f>
        <v>0</v>
      </c>
      <c r="N168" s="2"/>
      <c r="O168" s="2" t="n">
        <v>0</v>
      </c>
    </row>
    <row r="169" customFormat="false" ht="16.4" hidden="false" customHeight="false" outlineLevel="0" collapsed="false">
      <c r="A169" s="0" t="s">
        <v>15</v>
      </c>
      <c r="B169" s="0" t="s">
        <v>2711</v>
      </c>
      <c r="C169" s="0" t="n">
        <v>114001</v>
      </c>
      <c r="D169" s="0" t="n">
        <v>114001</v>
      </c>
      <c r="E169" s="0" t="s">
        <v>1804</v>
      </c>
      <c r="F169" s="0" t="s">
        <v>18</v>
      </c>
      <c r="G169" s="7" t="s">
        <v>2712</v>
      </c>
      <c r="H169" s="0" t="s">
        <v>2713</v>
      </c>
      <c r="I169" s="0" t="s">
        <v>124</v>
      </c>
      <c r="J169" s="0" t="s">
        <v>125</v>
      </c>
      <c r="K169" s="0" t="s">
        <v>89</v>
      </c>
      <c r="L169" s="0" t="str">
        <f aca="false">IFERROR(VLOOKUP(K169,'Supplier list'!B:C,2,0),"")</f>
        <v>บริษัท เฮเฟเล่ (ประเทศไทย) จำกัด</v>
      </c>
      <c r="M169" s="1" t="n">
        <f aca="false">FALSE()</f>
        <v>0</v>
      </c>
      <c r="N169" s="2"/>
      <c r="O169" s="2" t="n">
        <v>3200</v>
      </c>
    </row>
    <row r="170" customFormat="false" ht="16.4" hidden="false" customHeight="false" outlineLevel="0" collapsed="false">
      <c r="A170" s="0" t="s">
        <v>15</v>
      </c>
      <c r="B170" s="0" t="s">
        <v>2714</v>
      </c>
      <c r="C170" s="0" t="n">
        <v>114001</v>
      </c>
      <c r="D170" s="0" t="n">
        <v>114001</v>
      </c>
      <c r="E170" s="0" t="s">
        <v>1804</v>
      </c>
      <c r="F170" s="0" t="s">
        <v>18</v>
      </c>
      <c r="G170" s="7" t="s">
        <v>2715</v>
      </c>
      <c r="H170" s="0" t="s">
        <v>2716</v>
      </c>
      <c r="I170" s="0" t="s">
        <v>124</v>
      </c>
      <c r="J170" s="0" t="s">
        <v>125</v>
      </c>
      <c r="K170" s="0" t="s">
        <v>1725</v>
      </c>
      <c r="L170" s="0" t="str">
        <f aca="false">IFERROR(VLOOKUP(K170,'Supplier list'!B:C,2,0),"")</f>
        <v>บริษัท พรีซิชั่นไลน์ จำกัด</v>
      </c>
      <c r="M170" s="1" t="n">
        <f aca="false">FALSE()</f>
        <v>0</v>
      </c>
      <c r="N170" s="2"/>
      <c r="O170" s="2" t="n">
        <v>0</v>
      </c>
    </row>
    <row r="171" customFormat="false" ht="16.4" hidden="false" customHeight="false" outlineLevel="0" collapsed="false">
      <c r="A171" s="0" t="s">
        <v>15</v>
      </c>
      <c r="B171" s="0" t="s">
        <v>2717</v>
      </c>
      <c r="C171" s="0" t="n">
        <v>114001</v>
      </c>
      <c r="D171" s="0" t="n">
        <v>114001</v>
      </c>
      <c r="E171" s="0" t="s">
        <v>1804</v>
      </c>
      <c r="F171" s="0" t="s">
        <v>18</v>
      </c>
      <c r="G171" s="7" t="s">
        <v>2718</v>
      </c>
      <c r="H171" s="0" t="s">
        <v>2719</v>
      </c>
      <c r="I171" s="0" t="s">
        <v>124</v>
      </c>
      <c r="J171" s="0" t="s">
        <v>125</v>
      </c>
      <c r="K171" s="0" t="s">
        <v>1725</v>
      </c>
      <c r="L171" s="0" t="str">
        <f aca="false">IFERROR(VLOOKUP(K171,'Supplier list'!B:C,2,0),"")</f>
        <v>บริษัท พรีซิชั่นไลน์ จำกัด</v>
      </c>
      <c r="M171" s="1" t="n">
        <f aca="false">FALSE()</f>
        <v>0</v>
      </c>
      <c r="N171" s="2"/>
      <c r="O171" s="2" t="n">
        <v>0</v>
      </c>
    </row>
    <row r="172" customFormat="false" ht="16.4" hidden="false" customHeight="false" outlineLevel="0" collapsed="false">
      <c r="A172" s="0" t="s">
        <v>15</v>
      </c>
      <c r="B172" s="0" t="s">
        <v>2720</v>
      </c>
      <c r="C172" s="0" t="n">
        <v>114001</v>
      </c>
      <c r="D172" s="0" t="n">
        <v>114001</v>
      </c>
      <c r="E172" s="0" t="s">
        <v>1727</v>
      </c>
      <c r="F172" s="0" t="s">
        <v>18</v>
      </c>
      <c r="G172" s="7" t="s">
        <v>2721</v>
      </c>
      <c r="H172" s="0" t="s">
        <v>2722</v>
      </c>
      <c r="I172" s="0" t="s">
        <v>124</v>
      </c>
      <c r="J172" s="0" t="s">
        <v>125</v>
      </c>
      <c r="K172" s="0" t="s">
        <v>1725</v>
      </c>
      <c r="L172" s="0" t="str">
        <f aca="false">IFERROR(VLOOKUP(K172,'Supplier list'!B:C,2,0),"")</f>
        <v>บริษัท พรีซิชั่นไลน์ จำกัด</v>
      </c>
      <c r="M172" s="1" t="n">
        <f aca="false">FALSE()</f>
        <v>0</v>
      </c>
      <c r="N172" s="2"/>
      <c r="O172" s="2" t="n">
        <v>5750</v>
      </c>
    </row>
    <row r="173" customFormat="false" ht="16.4" hidden="false" customHeight="false" outlineLevel="0" collapsed="false">
      <c r="A173" s="0" t="s">
        <v>15</v>
      </c>
      <c r="B173" s="0" t="s">
        <v>2723</v>
      </c>
      <c r="C173" s="0" t="n">
        <v>114001</v>
      </c>
      <c r="D173" s="0" t="n">
        <v>114001</v>
      </c>
      <c r="E173" s="0" t="s">
        <v>1804</v>
      </c>
      <c r="F173" s="0" t="s">
        <v>18</v>
      </c>
      <c r="G173" s="7" t="s">
        <v>2724</v>
      </c>
      <c r="H173" s="0" t="s">
        <v>2725</v>
      </c>
      <c r="I173" s="0" t="s">
        <v>124</v>
      </c>
      <c r="J173" s="0" t="s">
        <v>125</v>
      </c>
      <c r="K173" s="0" t="s">
        <v>89</v>
      </c>
      <c r="L173" s="0" t="str">
        <f aca="false">IFERROR(VLOOKUP(K173,'Supplier list'!B:C,2,0),"")</f>
        <v>บริษัท เฮเฟเล่ (ประเทศไทย) จำกัด</v>
      </c>
      <c r="M173" s="1" t="n">
        <f aca="false">FALSE()</f>
        <v>0</v>
      </c>
      <c r="N173" s="2"/>
      <c r="O173" s="2" t="n">
        <v>15459</v>
      </c>
    </row>
    <row r="174" customFormat="false" ht="16.4" hidden="false" customHeight="false" outlineLevel="0" collapsed="false">
      <c r="A174" s="0" t="s">
        <v>15</v>
      </c>
      <c r="B174" s="0" t="s">
        <v>2726</v>
      </c>
      <c r="C174" s="0" t="n">
        <v>114001</v>
      </c>
      <c r="D174" s="0" t="n">
        <v>114001</v>
      </c>
      <c r="E174" s="0" t="s">
        <v>1605</v>
      </c>
      <c r="F174" s="0" t="s">
        <v>18</v>
      </c>
      <c r="G174" s="7" t="s">
        <v>2727</v>
      </c>
      <c r="H174" s="0" t="s">
        <v>2728</v>
      </c>
      <c r="I174" s="0" t="s">
        <v>124</v>
      </c>
      <c r="J174" s="0" t="s">
        <v>125</v>
      </c>
      <c r="L174" s="0" t="str">
        <f aca="false">IFERROR(VLOOKUP(K174,'Supplier list'!B:C,2,0),"")</f>
        <v/>
      </c>
      <c r="M174" s="1" t="n">
        <f aca="false">FALSE()</f>
        <v>0</v>
      </c>
      <c r="N174" s="2"/>
      <c r="O174" s="2" t="n">
        <v>0</v>
      </c>
    </row>
    <row r="175" customFormat="false" ht="16.4" hidden="false" customHeight="false" outlineLevel="0" collapsed="false">
      <c r="A175" s="0" t="s">
        <v>15</v>
      </c>
      <c r="B175" s="0" t="s">
        <v>2729</v>
      </c>
      <c r="C175" s="0" t="n">
        <v>114001</v>
      </c>
      <c r="D175" s="0" t="n">
        <v>114001</v>
      </c>
      <c r="E175" s="0" t="s">
        <v>1804</v>
      </c>
      <c r="F175" s="0" t="s">
        <v>18</v>
      </c>
      <c r="G175" s="7" t="s">
        <v>2730</v>
      </c>
      <c r="H175" s="0" t="s">
        <v>2644</v>
      </c>
      <c r="I175" s="0" t="s">
        <v>124</v>
      </c>
      <c r="J175" s="0" t="s">
        <v>125</v>
      </c>
      <c r="K175" s="0" t="s">
        <v>89</v>
      </c>
      <c r="L175" s="0" t="str">
        <f aca="false">IFERROR(VLOOKUP(K175,'Supplier list'!B:C,2,0),"")</f>
        <v>บริษัท เฮเฟเล่ (ประเทศไทย) จำกัด</v>
      </c>
      <c r="M175" s="1" t="n">
        <f aca="false">FALSE()</f>
        <v>0</v>
      </c>
      <c r="N175" s="2"/>
      <c r="O175" s="2" t="n">
        <v>6739</v>
      </c>
    </row>
    <row r="176" customFormat="false" ht="16.4" hidden="false" customHeight="false" outlineLevel="0" collapsed="false">
      <c r="A176" s="0" t="s">
        <v>15</v>
      </c>
      <c r="B176" s="0" t="s">
        <v>2731</v>
      </c>
      <c r="C176" s="0" t="n">
        <v>114001</v>
      </c>
      <c r="D176" s="0" t="n">
        <v>114001</v>
      </c>
      <c r="E176" s="0" t="s">
        <v>1804</v>
      </c>
      <c r="F176" s="0" t="s">
        <v>18</v>
      </c>
      <c r="G176" s="7" t="s">
        <v>2732</v>
      </c>
      <c r="H176" s="0" t="s">
        <v>2733</v>
      </c>
      <c r="I176" s="0" t="s">
        <v>124</v>
      </c>
      <c r="J176" s="0" t="s">
        <v>125</v>
      </c>
      <c r="K176" s="0" t="s">
        <v>89</v>
      </c>
      <c r="L176" s="0" t="str">
        <f aca="false">IFERROR(VLOOKUP(K176,'Supplier list'!B:C,2,0),"")</f>
        <v>บริษัท เฮเฟเล่ (ประเทศไทย) จำกัด</v>
      </c>
      <c r="M176" s="1" t="n">
        <f aca="false">FALSE()</f>
        <v>0</v>
      </c>
      <c r="N176" s="2"/>
      <c r="O176" s="2" t="n">
        <v>4719</v>
      </c>
    </row>
    <row r="177" customFormat="false" ht="16.4" hidden="false" customHeight="false" outlineLevel="0" collapsed="false">
      <c r="A177" s="0" t="s">
        <v>15</v>
      </c>
      <c r="B177" s="0" t="s">
        <v>2734</v>
      </c>
      <c r="C177" s="0" t="n">
        <v>114001</v>
      </c>
      <c r="D177" s="0" t="n">
        <v>114001</v>
      </c>
      <c r="E177" s="0" t="s">
        <v>1804</v>
      </c>
      <c r="F177" s="0" t="s">
        <v>18</v>
      </c>
      <c r="G177" s="7" t="s">
        <v>2735</v>
      </c>
      <c r="H177" s="0" t="s">
        <v>2736</v>
      </c>
      <c r="I177" s="0" t="s">
        <v>124</v>
      </c>
      <c r="J177" s="0" t="s">
        <v>125</v>
      </c>
      <c r="K177" s="0" t="s">
        <v>1725</v>
      </c>
      <c r="L177" s="0" t="str">
        <f aca="false">IFERROR(VLOOKUP(K177,'Supplier list'!B:C,2,0),"")</f>
        <v>บริษัท พรีซิชั่นไลน์ จำกัด</v>
      </c>
      <c r="M177" s="1" t="n">
        <f aca="false">TRUE()</f>
        <v>1</v>
      </c>
      <c r="N177" s="2" t="n">
        <v>20500</v>
      </c>
      <c r="O177" s="2" t="n">
        <v>15900</v>
      </c>
    </row>
    <row r="178" customFormat="false" ht="16.4" hidden="false" customHeight="false" outlineLevel="0" collapsed="false">
      <c r="A178" s="0" t="s">
        <v>15</v>
      </c>
      <c r="B178" s="0" t="s">
        <v>2737</v>
      </c>
      <c r="C178" s="0" t="n">
        <v>114001</v>
      </c>
      <c r="D178" s="0" t="n">
        <v>114001</v>
      </c>
      <c r="E178" s="0" t="s">
        <v>1804</v>
      </c>
      <c r="F178" s="0" t="s">
        <v>18</v>
      </c>
      <c r="G178" s="7" t="s">
        <v>2738</v>
      </c>
      <c r="H178" s="0" t="s">
        <v>2739</v>
      </c>
      <c r="I178" s="0" t="s">
        <v>124</v>
      </c>
      <c r="J178" s="0" t="s">
        <v>125</v>
      </c>
      <c r="K178" s="0" t="s">
        <v>1725</v>
      </c>
      <c r="L178" s="0" t="str">
        <f aca="false">IFERROR(VLOOKUP(K178,'Supplier list'!B:C,2,0),"")</f>
        <v>บริษัท พรีซิชั่นไลน์ จำกัด</v>
      </c>
      <c r="M178" s="1" t="n">
        <f aca="false">FALSE()</f>
        <v>0</v>
      </c>
      <c r="N178" s="2"/>
      <c r="O178" s="2" t="n">
        <v>0</v>
      </c>
    </row>
    <row r="179" customFormat="false" ht="16.4" hidden="false" customHeight="false" outlineLevel="0" collapsed="false">
      <c r="A179" s="0" t="s">
        <v>15</v>
      </c>
      <c r="B179" s="0" t="s">
        <v>2740</v>
      </c>
      <c r="C179" s="0" t="n">
        <v>114001</v>
      </c>
      <c r="D179" s="0" t="n">
        <v>114001</v>
      </c>
      <c r="E179" s="0" t="s">
        <v>613</v>
      </c>
      <c r="F179" s="0" t="s">
        <v>18</v>
      </c>
      <c r="G179" s="7" t="s">
        <v>2741</v>
      </c>
      <c r="H179" s="0" t="s">
        <v>2742</v>
      </c>
      <c r="I179" s="0" t="s">
        <v>102</v>
      </c>
      <c r="J179" s="0" t="s">
        <v>103</v>
      </c>
      <c r="L179" s="0" t="str">
        <f aca="false">IFERROR(VLOOKUP(K179,'Supplier list'!B:C,2,0),"")</f>
        <v/>
      </c>
      <c r="M179" s="1" t="n">
        <f aca="false">FALSE()</f>
        <v>0</v>
      </c>
      <c r="N179" s="2"/>
      <c r="O179" s="2" t="n">
        <v>0</v>
      </c>
    </row>
    <row r="180" customFormat="false" ht="16.4" hidden="false" customHeight="false" outlineLevel="0" collapsed="false">
      <c r="A180" s="0" t="s">
        <v>15</v>
      </c>
      <c r="B180" s="0" t="s">
        <v>2743</v>
      </c>
      <c r="C180" s="0" t="n">
        <v>114001</v>
      </c>
      <c r="D180" s="0" t="n">
        <v>114001</v>
      </c>
      <c r="E180" s="0" t="s">
        <v>613</v>
      </c>
      <c r="F180" s="0" t="s">
        <v>18</v>
      </c>
      <c r="G180" s="7" t="s">
        <v>2744</v>
      </c>
      <c r="H180" s="0" t="s">
        <v>2745</v>
      </c>
      <c r="I180" s="0" t="s">
        <v>102</v>
      </c>
      <c r="J180" s="0" t="s">
        <v>103</v>
      </c>
      <c r="L180" s="0" t="str">
        <f aca="false">IFERROR(VLOOKUP(K180,'Supplier list'!B:C,2,0),"")</f>
        <v/>
      </c>
      <c r="M180" s="1" t="n">
        <f aca="false">FALSE()</f>
        <v>0</v>
      </c>
      <c r="N180" s="2"/>
      <c r="O180" s="2" t="n">
        <v>0</v>
      </c>
    </row>
    <row r="181" customFormat="false" ht="16.4" hidden="false" customHeight="false" outlineLevel="0" collapsed="false">
      <c r="A181" s="0" t="s">
        <v>15</v>
      </c>
      <c r="B181" s="0" t="s">
        <v>2746</v>
      </c>
      <c r="C181" s="0" t="n">
        <v>114001</v>
      </c>
      <c r="D181" s="0" t="n">
        <v>114001</v>
      </c>
      <c r="E181" s="0" t="s">
        <v>613</v>
      </c>
      <c r="F181" s="0" t="s">
        <v>18</v>
      </c>
      <c r="G181" s="7" t="s">
        <v>2747</v>
      </c>
      <c r="H181" s="0" t="s">
        <v>2748</v>
      </c>
      <c r="I181" s="0" t="s">
        <v>102</v>
      </c>
      <c r="J181" s="0" t="s">
        <v>103</v>
      </c>
      <c r="L181" s="0" t="str">
        <f aca="false">IFERROR(VLOOKUP(K181,'Supplier list'!B:C,2,0),"")</f>
        <v/>
      </c>
      <c r="M181" s="1" t="n">
        <f aca="false">FALSE()</f>
        <v>0</v>
      </c>
      <c r="N181" s="2"/>
      <c r="O181" s="2" t="n">
        <v>0</v>
      </c>
    </row>
    <row r="182" customFormat="false" ht="16.4" hidden="false" customHeight="false" outlineLevel="0" collapsed="false">
      <c r="A182" s="0" t="s">
        <v>15</v>
      </c>
      <c r="B182" s="0" t="s">
        <v>2749</v>
      </c>
      <c r="C182" s="0" t="n">
        <v>114001</v>
      </c>
      <c r="D182" s="0" t="n">
        <v>114001</v>
      </c>
      <c r="E182" s="0" t="s">
        <v>613</v>
      </c>
      <c r="F182" s="0" t="s">
        <v>18</v>
      </c>
      <c r="G182" s="7" t="s">
        <v>2750</v>
      </c>
      <c r="H182" s="0" t="s">
        <v>2751</v>
      </c>
      <c r="I182" s="0" t="s">
        <v>102</v>
      </c>
      <c r="J182" s="0" t="s">
        <v>103</v>
      </c>
      <c r="L182" s="0" t="str">
        <f aca="false">IFERROR(VLOOKUP(K182,'Supplier list'!B:C,2,0),"")</f>
        <v/>
      </c>
      <c r="M182" s="1" t="n">
        <f aca="false">FALSE()</f>
        <v>0</v>
      </c>
      <c r="N182" s="2"/>
      <c r="O182" s="2" t="n">
        <v>0</v>
      </c>
    </row>
    <row r="183" customFormat="false" ht="16.4" hidden="false" customHeight="false" outlineLevel="0" collapsed="false">
      <c r="A183" s="0" t="s">
        <v>15</v>
      </c>
      <c r="B183" s="0" t="s">
        <v>2752</v>
      </c>
      <c r="C183" s="0" t="n">
        <v>114001</v>
      </c>
      <c r="D183" s="0" t="n">
        <v>114001</v>
      </c>
      <c r="E183" s="0" t="s">
        <v>844</v>
      </c>
      <c r="F183" s="0" t="s">
        <v>18</v>
      </c>
      <c r="G183" s="7" t="s">
        <v>2753</v>
      </c>
      <c r="H183" s="0" t="s">
        <v>2754</v>
      </c>
      <c r="I183" s="0" t="s">
        <v>21</v>
      </c>
      <c r="J183" s="0" t="s">
        <v>22</v>
      </c>
      <c r="L183" s="0" t="str">
        <f aca="false">IFERROR(VLOOKUP(K183,'Supplier list'!B:C,2,0),"")</f>
        <v/>
      </c>
      <c r="M183" s="1" t="n">
        <f aca="false">FALSE()</f>
        <v>0</v>
      </c>
      <c r="N183" s="2"/>
      <c r="O183" s="2" t="n">
        <v>0</v>
      </c>
    </row>
    <row r="184" customFormat="false" ht="16.4" hidden="false" customHeight="false" outlineLevel="0" collapsed="false">
      <c r="A184" s="0" t="s">
        <v>15</v>
      </c>
      <c r="B184" s="0" t="s">
        <v>2755</v>
      </c>
      <c r="C184" s="0" t="n">
        <v>114001</v>
      </c>
      <c r="D184" s="0" t="n">
        <v>114001</v>
      </c>
      <c r="E184" s="0" t="s">
        <v>1764</v>
      </c>
      <c r="F184" s="0" t="s">
        <v>18</v>
      </c>
      <c r="G184" s="7" t="s">
        <v>2756</v>
      </c>
      <c r="H184" s="0" t="s">
        <v>2757</v>
      </c>
      <c r="I184" s="0" t="s">
        <v>21</v>
      </c>
      <c r="J184" s="0" t="s">
        <v>22</v>
      </c>
      <c r="L184" s="0" t="str">
        <f aca="false">IFERROR(VLOOKUP(K184,'Supplier list'!B:C,2,0),"")</f>
        <v/>
      </c>
      <c r="M184" s="1" t="n">
        <f aca="false">FALSE()</f>
        <v>0</v>
      </c>
      <c r="N184" s="2"/>
      <c r="O184" s="2" t="n">
        <v>0</v>
      </c>
    </row>
    <row r="185" customFormat="false" ht="16.4" hidden="false" customHeight="false" outlineLevel="0" collapsed="false">
      <c r="A185" s="0" t="s">
        <v>15</v>
      </c>
      <c r="B185" s="0" t="s">
        <v>2758</v>
      </c>
      <c r="C185" s="0" t="n">
        <v>114001</v>
      </c>
      <c r="D185" s="0" t="n">
        <v>114001</v>
      </c>
      <c r="E185" s="0" t="s">
        <v>1764</v>
      </c>
      <c r="F185" s="0" t="s">
        <v>18</v>
      </c>
      <c r="G185" s="7" t="s">
        <v>2759</v>
      </c>
      <c r="H185" s="0" t="s">
        <v>2760</v>
      </c>
      <c r="I185" s="0" t="s">
        <v>21</v>
      </c>
      <c r="J185" s="0" t="s">
        <v>22</v>
      </c>
      <c r="L185" s="0" t="str">
        <f aca="false">IFERROR(VLOOKUP(K185,'Supplier list'!B:C,2,0),"")</f>
        <v/>
      </c>
      <c r="M185" s="1" t="n">
        <f aca="false">FALSE()</f>
        <v>0</v>
      </c>
      <c r="N185" s="2"/>
      <c r="O185" s="2" t="n">
        <v>0</v>
      </c>
    </row>
    <row r="186" customFormat="false" ht="16.4" hidden="false" customHeight="false" outlineLevel="0" collapsed="false">
      <c r="A186" s="0" t="s">
        <v>15</v>
      </c>
      <c r="B186" s="0" t="s">
        <v>2761</v>
      </c>
      <c r="C186" s="0" t="n">
        <v>114001</v>
      </c>
      <c r="D186" s="0" t="n">
        <v>114001</v>
      </c>
      <c r="E186" s="0" t="s">
        <v>1764</v>
      </c>
      <c r="F186" s="0" t="s">
        <v>18</v>
      </c>
      <c r="G186" s="7" t="s">
        <v>2762</v>
      </c>
      <c r="H186" s="0" t="s">
        <v>2763</v>
      </c>
      <c r="I186" s="0" t="s">
        <v>21</v>
      </c>
      <c r="J186" s="0" t="s">
        <v>22</v>
      </c>
      <c r="L186" s="0" t="str">
        <f aca="false">IFERROR(VLOOKUP(K186,'Supplier list'!B:C,2,0),"")</f>
        <v/>
      </c>
      <c r="M186" s="1" t="n">
        <f aca="false">FALSE()</f>
        <v>0</v>
      </c>
      <c r="N186" s="2"/>
      <c r="O186" s="2" t="n">
        <v>0</v>
      </c>
    </row>
    <row r="187" customFormat="false" ht="16.4" hidden="false" customHeight="false" outlineLevel="0" collapsed="false">
      <c r="A187" s="0" t="s">
        <v>15</v>
      </c>
      <c r="B187" s="0" t="s">
        <v>2764</v>
      </c>
      <c r="C187" s="0" t="n">
        <v>114001</v>
      </c>
      <c r="D187" s="0" t="n">
        <v>114001</v>
      </c>
      <c r="E187" s="0" t="s">
        <v>1764</v>
      </c>
      <c r="F187" s="0" t="s">
        <v>18</v>
      </c>
      <c r="G187" s="7" t="s">
        <v>2765</v>
      </c>
      <c r="H187" s="0" t="s">
        <v>2766</v>
      </c>
      <c r="I187" s="0" t="s">
        <v>21</v>
      </c>
      <c r="J187" s="0" t="s">
        <v>22</v>
      </c>
      <c r="L187" s="0" t="str">
        <f aca="false">IFERROR(VLOOKUP(K187,'Supplier list'!B:C,2,0),"")</f>
        <v/>
      </c>
      <c r="M187" s="1" t="n">
        <f aca="false">FALSE()</f>
        <v>0</v>
      </c>
      <c r="N187" s="2"/>
      <c r="O187" s="2" t="n">
        <v>0</v>
      </c>
    </row>
    <row r="188" customFormat="false" ht="16.4" hidden="false" customHeight="false" outlineLevel="0" collapsed="false">
      <c r="A188" s="0" t="s">
        <v>15</v>
      </c>
      <c r="B188" s="0" t="s">
        <v>2767</v>
      </c>
      <c r="C188" s="0" t="n">
        <v>114001</v>
      </c>
      <c r="D188" s="0" t="n">
        <v>114001</v>
      </c>
      <c r="E188" s="0" t="s">
        <v>1684</v>
      </c>
      <c r="F188" s="0" t="s">
        <v>18</v>
      </c>
      <c r="G188" s="7" t="s">
        <v>2768</v>
      </c>
      <c r="H188" s="0" t="s">
        <v>2769</v>
      </c>
      <c r="I188" s="0" t="s">
        <v>21</v>
      </c>
      <c r="J188" s="0" t="s">
        <v>22</v>
      </c>
      <c r="L188" s="0" t="str">
        <f aca="false">IFERROR(VLOOKUP(K188,'Supplier list'!B:C,2,0),"")</f>
        <v/>
      </c>
      <c r="M188" s="1" t="n">
        <f aca="false">FALSE()</f>
        <v>0</v>
      </c>
      <c r="N188" s="2"/>
      <c r="O188" s="2" t="n">
        <v>0</v>
      </c>
    </row>
    <row r="189" customFormat="false" ht="16.4" hidden="false" customHeight="false" outlineLevel="0" collapsed="false">
      <c r="A189" s="0" t="s">
        <v>15</v>
      </c>
      <c r="B189" s="0" t="s">
        <v>2770</v>
      </c>
      <c r="C189" s="0" t="n">
        <v>114001</v>
      </c>
      <c r="D189" s="0" t="n">
        <v>114001</v>
      </c>
      <c r="E189" s="0" t="s">
        <v>1684</v>
      </c>
      <c r="F189" s="0" t="s">
        <v>18</v>
      </c>
      <c r="G189" s="7" t="s">
        <v>2771</v>
      </c>
      <c r="H189" s="0" t="s">
        <v>2772</v>
      </c>
      <c r="I189" s="0" t="s">
        <v>21</v>
      </c>
      <c r="J189" s="0" t="s">
        <v>22</v>
      </c>
      <c r="L189" s="0" t="str">
        <f aca="false">IFERROR(VLOOKUP(K189,'Supplier list'!B:C,2,0),"")</f>
        <v/>
      </c>
      <c r="M189" s="1" t="n">
        <f aca="false">FALSE()</f>
        <v>0</v>
      </c>
      <c r="N189" s="2"/>
      <c r="O189" s="2" t="n">
        <v>0</v>
      </c>
    </row>
    <row r="190" customFormat="false" ht="16.4" hidden="false" customHeight="false" outlineLevel="0" collapsed="false">
      <c r="A190" s="0" t="s">
        <v>15</v>
      </c>
      <c r="B190" s="0" t="s">
        <v>2773</v>
      </c>
      <c r="C190" s="0" t="n">
        <v>114001</v>
      </c>
      <c r="D190" s="0" t="n">
        <v>114001</v>
      </c>
      <c r="E190" s="0" t="s">
        <v>1634</v>
      </c>
      <c r="F190" s="0" t="s">
        <v>18</v>
      </c>
      <c r="G190" s="7" t="s">
        <v>2774</v>
      </c>
      <c r="H190" s="0" t="s">
        <v>2775</v>
      </c>
      <c r="I190" s="0" t="s">
        <v>21</v>
      </c>
      <c r="J190" s="0" t="s">
        <v>22</v>
      </c>
      <c r="L190" s="0" t="str">
        <f aca="false">IFERROR(VLOOKUP(K190,'Supplier list'!B:C,2,0),"")</f>
        <v/>
      </c>
      <c r="M190" s="1" t="n">
        <f aca="false">FALSE()</f>
        <v>0</v>
      </c>
      <c r="N190" s="2"/>
      <c r="O190" s="2" t="n">
        <v>0</v>
      </c>
    </row>
    <row r="191" customFormat="false" ht="16.4" hidden="false" customHeight="false" outlineLevel="0" collapsed="false">
      <c r="A191" s="0" t="s">
        <v>15</v>
      </c>
      <c r="B191" s="0" t="s">
        <v>2776</v>
      </c>
      <c r="C191" s="0" t="n">
        <v>114001</v>
      </c>
      <c r="D191" s="0" t="n">
        <v>114001</v>
      </c>
      <c r="E191" s="0" t="s">
        <v>1684</v>
      </c>
      <c r="F191" s="0" t="s">
        <v>18</v>
      </c>
      <c r="G191" s="7" t="s">
        <v>2777</v>
      </c>
      <c r="H191" s="0" t="s">
        <v>2778</v>
      </c>
      <c r="I191" s="0" t="s">
        <v>21</v>
      </c>
      <c r="J191" s="0" t="s">
        <v>22</v>
      </c>
      <c r="L191" s="0" t="str">
        <f aca="false">IFERROR(VLOOKUP(K191,'Supplier list'!B:C,2,0),"")</f>
        <v/>
      </c>
      <c r="M191" s="1" t="n">
        <f aca="false">FALSE()</f>
        <v>0</v>
      </c>
      <c r="N191" s="2"/>
      <c r="O191" s="2" t="n">
        <v>0</v>
      </c>
    </row>
    <row r="192" customFormat="false" ht="16.4" hidden="false" customHeight="false" outlineLevel="0" collapsed="false">
      <c r="A192" s="0" t="s">
        <v>15</v>
      </c>
      <c r="B192" s="0" t="s">
        <v>2779</v>
      </c>
      <c r="C192" s="0" t="n">
        <v>114001</v>
      </c>
      <c r="D192" s="0" t="n">
        <v>114001</v>
      </c>
      <c r="E192" s="0" t="s">
        <v>1734</v>
      </c>
      <c r="F192" s="0" t="s">
        <v>18</v>
      </c>
      <c r="G192" s="7" t="s">
        <v>2780</v>
      </c>
      <c r="H192" s="0" t="s">
        <v>2781</v>
      </c>
      <c r="I192" s="0" t="s">
        <v>21</v>
      </c>
      <c r="J192" s="0" t="s">
        <v>22</v>
      </c>
      <c r="L192" s="0" t="str">
        <f aca="false">IFERROR(VLOOKUP(K192,'Supplier list'!B:C,2,0),"")</f>
        <v/>
      </c>
      <c r="M192" s="1" t="n">
        <f aca="false">FALSE()</f>
        <v>0</v>
      </c>
      <c r="N192" s="2"/>
      <c r="O192" s="2" t="n">
        <v>0</v>
      </c>
    </row>
    <row r="193" customFormat="false" ht="16.4" hidden="false" customHeight="false" outlineLevel="0" collapsed="false">
      <c r="A193" s="0" t="s">
        <v>15</v>
      </c>
      <c r="B193" s="0" t="s">
        <v>2782</v>
      </c>
      <c r="C193" s="0" t="n">
        <v>114001</v>
      </c>
      <c r="D193" s="0" t="n">
        <v>114001</v>
      </c>
      <c r="E193" s="0" t="s">
        <v>1734</v>
      </c>
      <c r="F193" s="0" t="s">
        <v>18</v>
      </c>
      <c r="G193" s="7" t="s">
        <v>2783</v>
      </c>
      <c r="H193" s="0" t="s">
        <v>2784</v>
      </c>
      <c r="I193" s="0" t="s">
        <v>21</v>
      </c>
      <c r="J193" s="0" t="s">
        <v>22</v>
      </c>
      <c r="L193" s="0" t="str">
        <f aca="false">IFERROR(VLOOKUP(K193,'Supplier list'!B:C,2,0),"")</f>
        <v/>
      </c>
      <c r="M193" s="1" t="n">
        <f aca="false">FALSE()</f>
        <v>0</v>
      </c>
      <c r="N193" s="2"/>
      <c r="O193" s="2" t="n">
        <v>0</v>
      </c>
    </row>
    <row r="194" customFormat="false" ht="16.4" hidden="false" customHeight="false" outlineLevel="0" collapsed="false">
      <c r="A194" s="0" t="s">
        <v>15</v>
      </c>
      <c r="B194" s="0" t="s">
        <v>2785</v>
      </c>
      <c r="C194" s="0" t="n">
        <v>114001</v>
      </c>
      <c r="D194" s="0" t="n">
        <v>114001</v>
      </c>
      <c r="E194" s="0" t="s">
        <v>1454</v>
      </c>
      <c r="F194" s="0" t="s">
        <v>18</v>
      </c>
      <c r="G194" s="7" t="s">
        <v>2786</v>
      </c>
      <c r="H194" s="0" t="s">
        <v>2787</v>
      </c>
      <c r="I194" s="0" t="s">
        <v>21</v>
      </c>
      <c r="J194" s="0" t="s">
        <v>22</v>
      </c>
      <c r="L194" s="0" t="str">
        <f aca="false">IFERROR(VLOOKUP(K194,'Supplier list'!B:C,2,0),"")</f>
        <v/>
      </c>
      <c r="M194" s="1" t="n">
        <f aca="false">FALSE()</f>
        <v>0</v>
      </c>
      <c r="N194" s="2"/>
      <c r="O194" s="2" t="n">
        <v>0</v>
      </c>
    </row>
    <row r="195" customFormat="false" ht="16.4" hidden="false" customHeight="false" outlineLevel="0" collapsed="false">
      <c r="A195" s="0" t="s">
        <v>15</v>
      </c>
      <c r="B195" s="0" t="s">
        <v>2788</v>
      </c>
      <c r="C195" s="0" t="n">
        <v>114001</v>
      </c>
      <c r="D195" s="0" t="n">
        <v>114001</v>
      </c>
      <c r="E195" s="0" t="s">
        <v>1764</v>
      </c>
      <c r="F195" s="0" t="s">
        <v>18</v>
      </c>
      <c r="G195" s="7" t="s">
        <v>2789</v>
      </c>
      <c r="H195" s="0" t="s">
        <v>2790</v>
      </c>
      <c r="I195" s="0" t="s">
        <v>21</v>
      </c>
      <c r="J195" s="0" t="s">
        <v>22</v>
      </c>
      <c r="L195" s="0" t="str">
        <f aca="false">IFERROR(VLOOKUP(K195,'Supplier list'!B:C,2,0),"")</f>
        <v/>
      </c>
      <c r="M195" s="1" t="n">
        <f aca="false">FALSE()</f>
        <v>0</v>
      </c>
      <c r="N195" s="2"/>
      <c r="O195" s="2" t="n">
        <v>0</v>
      </c>
    </row>
    <row r="196" customFormat="false" ht="16.4" hidden="false" customHeight="false" outlineLevel="0" collapsed="false">
      <c r="A196" s="0" t="s">
        <v>15</v>
      </c>
      <c r="B196" s="0" t="s">
        <v>2791</v>
      </c>
      <c r="C196" s="0" t="n">
        <v>114001</v>
      </c>
      <c r="D196" s="0" t="n">
        <v>114001</v>
      </c>
      <c r="E196" s="0" t="s">
        <v>1764</v>
      </c>
      <c r="F196" s="0" t="s">
        <v>18</v>
      </c>
      <c r="G196" s="7" t="s">
        <v>2792</v>
      </c>
      <c r="H196" s="0" t="s">
        <v>2793</v>
      </c>
      <c r="I196" s="0" t="s">
        <v>21</v>
      </c>
      <c r="J196" s="0" t="s">
        <v>22</v>
      </c>
      <c r="L196" s="0" t="str">
        <f aca="false">IFERROR(VLOOKUP(K196,'Supplier list'!B:C,2,0),"")</f>
        <v/>
      </c>
      <c r="M196" s="1" t="n">
        <f aca="false">FALSE()</f>
        <v>0</v>
      </c>
      <c r="N196" s="2"/>
      <c r="O196" s="2" t="n">
        <v>0</v>
      </c>
    </row>
    <row r="197" customFormat="false" ht="16.4" hidden="false" customHeight="false" outlineLevel="0" collapsed="false">
      <c r="A197" s="0" t="s">
        <v>15</v>
      </c>
      <c r="B197" s="0" t="s">
        <v>2794</v>
      </c>
      <c r="C197" s="0" t="n">
        <v>114001</v>
      </c>
      <c r="D197" s="0" t="n">
        <v>114001</v>
      </c>
      <c r="E197" s="0" t="s">
        <v>1764</v>
      </c>
      <c r="F197" s="0" t="s">
        <v>18</v>
      </c>
      <c r="G197" s="7" t="s">
        <v>2795</v>
      </c>
      <c r="H197" s="0" t="s">
        <v>2796</v>
      </c>
      <c r="I197" s="0" t="s">
        <v>168</v>
      </c>
      <c r="J197" s="0" t="s">
        <v>169</v>
      </c>
      <c r="K197" s="0" t="s">
        <v>787</v>
      </c>
      <c r="L197" s="0" t="str">
        <f aca="false">IFERROR(VLOOKUP(K197,'Supplier list'!B:C,2,0),"")</f>
        <v>บริษัท ฟิวเจอร์เทค อินเตอร์มาร์เก็ตติ้ง จำกัด</v>
      </c>
      <c r="M197" s="1" t="n">
        <f aca="false">FALSE()</f>
        <v>0</v>
      </c>
      <c r="N197" s="2"/>
      <c r="O197" s="2" t="n">
        <v>800</v>
      </c>
    </row>
    <row r="198" customFormat="false" ht="16.4" hidden="false" customHeight="false" outlineLevel="0" collapsed="false">
      <c r="A198" s="0" t="s">
        <v>15</v>
      </c>
      <c r="B198" s="0" t="s">
        <v>2797</v>
      </c>
      <c r="C198" s="0" t="n">
        <v>114001</v>
      </c>
      <c r="D198" s="0" t="n">
        <v>114001</v>
      </c>
      <c r="E198" s="0" t="s">
        <v>121</v>
      </c>
      <c r="F198" s="0" t="s">
        <v>18</v>
      </c>
      <c r="G198" s="7" t="s">
        <v>2798</v>
      </c>
      <c r="H198" s="0" t="s">
        <v>2799</v>
      </c>
      <c r="I198" s="0" t="s">
        <v>446</v>
      </c>
      <c r="J198" s="0" t="s">
        <v>447</v>
      </c>
      <c r="K198" s="0" t="s">
        <v>787</v>
      </c>
      <c r="L198" s="0" t="str">
        <f aca="false">IFERROR(VLOOKUP(K198,'Supplier list'!B:C,2,0),"")</f>
        <v>บริษัท ฟิวเจอร์เทค อินเตอร์มาร์เก็ตติ้ง จำกัด</v>
      </c>
      <c r="M198" s="1" t="n">
        <f aca="false">FALSE()</f>
        <v>0</v>
      </c>
      <c r="N198" s="2"/>
      <c r="O198" s="2" t="n">
        <v>20</v>
      </c>
    </row>
    <row r="199" customFormat="false" ht="16.4" hidden="false" customHeight="false" outlineLevel="0" collapsed="false">
      <c r="A199" s="0" t="s">
        <v>15</v>
      </c>
      <c r="B199" s="0" t="s">
        <v>2800</v>
      </c>
      <c r="C199" s="0" t="n">
        <v>114001</v>
      </c>
      <c r="D199" s="0" t="n">
        <v>114001</v>
      </c>
      <c r="E199" s="0" t="s">
        <v>2801</v>
      </c>
      <c r="F199" s="0" t="s">
        <v>18</v>
      </c>
      <c r="G199" s="7" t="s">
        <v>2802</v>
      </c>
      <c r="H199" s="0" t="s">
        <v>2803</v>
      </c>
      <c r="I199" s="0" t="s">
        <v>21</v>
      </c>
      <c r="J199" s="0" t="s">
        <v>22</v>
      </c>
      <c r="K199" s="0" t="s">
        <v>89</v>
      </c>
      <c r="L199" s="0" t="str">
        <f aca="false">IFERROR(VLOOKUP(K199,'Supplier list'!B:C,2,0),"")</f>
        <v>บริษัท เฮเฟเล่ (ประเทศไทย) จำกัด</v>
      </c>
      <c r="M199" s="1" t="n">
        <f aca="false">FALSE()</f>
        <v>0</v>
      </c>
      <c r="N199" s="2"/>
      <c r="O199" s="2" t="n">
        <v>26700</v>
      </c>
    </row>
    <row r="200" customFormat="false" ht="16.4" hidden="false" customHeight="false" outlineLevel="0" collapsed="false">
      <c r="A200" s="0" t="s">
        <v>15</v>
      </c>
      <c r="B200" s="0" t="s">
        <v>2804</v>
      </c>
      <c r="C200" s="0" t="n">
        <v>114001</v>
      </c>
      <c r="D200" s="0" t="n">
        <v>114001</v>
      </c>
      <c r="E200" s="0" t="s">
        <v>1804</v>
      </c>
      <c r="F200" s="0" t="s">
        <v>18</v>
      </c>
      <c r="G200" s="7" t="s">
        <v>2805</v>
      </c>
      <c r="H200" s="0" t="s">
        <v>2806</v>
      </c>
      <c r="I200" s="0" t="s">
        <v>21</v>
      </c>
      <c r="J200" s="0" t="s">
        <v>22</v>
      </c>
      <c r="K200" s="0" t="s">
        <v>89</v>
      </c>
      <c r="L200" s="0" t="str">
        <f aca="false">IFERROR(VLOOKUP(K200,'Supplier list'!B:C,2,0),"")</f>
        <v>บริษัท เฮเฟเล่ (ประเทศไทย) จำกัด</v>
      </c>
      <c r="M200" s="1" t="n">
        <f aca="false">FALSE()</f>
        <v>0</v>
      </c>
      <c r="N200" s="2"/>
      <c r="O200" s="2" t="n">
        <v>4350</v>
      </c>
    </row>
    <row r="201" customFormat="false" ht="16.4" hidden="false" customHeight="false" outlineLevel="0" collapsed="false">
      <c r="A201" s="0" t="s">
        <v>15</v>
      </c>
      <c r="B201" s="0" t="s">
        <v>2807</v>
      </c>
      <c r="C201" s="0" t="n">
        <v>114001</v>
      </c>
      <c r="D201" s="0" t="n">
        <v>114001</v>
      </c>
      <c r="E201" s="0" t="s">
        <v>1804</v>
      </c>
      <c r="F201" s="0" t="s">
        <v>18</v>
      </c>
      <c r="G201" s="7" t="s">
        <v>2808</v>
      </c>
      <c r="H201" s="0" t="s">
        <v>2809</v>
      </c>
      <c r="I201" s="0" t="s">
        <v>21</v>
      </c>
      <c r="J201" s="0" t="s">
        <v>22</v>
      </c>
      <c r="K201" s="0" t="s">
        <v>89</v>
      </c>
      <c r="L201" s="0" t="str">
        <f aca="false">IFERROR(VLOOKUP(K201,'Supplier list'!B:C,2,0),"")</f>
        <v>บริษัท เฮเฟเล่ (ประเทศไทย) จำกัด</v>
      </c>
      <c r="M201" s="1" t="n">
        <f aca="false">FALSE()</f>
        <v>0</v>
      </c>
      <c r="N201" s="2"/>
      <c r="O201" s="2" t="n">
        <v>3750</v>
      </c>
    </row>
    <row r="202" customFormat="false" ht="16.4" hidden="false" customHeight="false" outlineLevel="0" collapsed="false">
      <c r="A202" s="0" t="s">
        <v>15</v>
      </c>
      <c r="B202" s="0" t="s">
        <v>2810</v>
      </c>
      <c r="C202" s="0" t="n">
        <v>114001</v>
      </c>
      <c r="D202" s="0" t="n">
        <v>114001</v>
      </c>
      <c r="E202" s="0" t="s">
        <v>1804</v>
      </c>
      <c r="F202" s="0" t="s">
        <v>18</v>
      </c>
      <c r="G202" s="7" t="s">
        <v>2811</v>
      </c>
      <c r="H202" s="0" t="s">
        <v>2812</v>
      </c>
      <c r="I202" s="0" t="s">
        <v>21</v>
      </c>
      <c r="J202" s="0" t="s">
        <v>22</v>
      </c>
      <c r="K202" s="0" t="s">
        <v>89</v>
      </c>
      <c r="L202" s="0" t="str">
        <f aca="false">IFERROR(VLOOKUP(K202,'Supplier list'!B:C,2,0),"")</f>
        <v>บริษัท เฮเฟเล่ (ประเทศไทย) จำกัด</v>
      </c>
      <c r="M202" s="1" t="n">
        <f aca="false">FALSE()</f>
        <v>0</v>
      </c>
      <c r="N202" s="2"/>
      <c r="O202" s="2" t="n">
        <v>2050</v>
      </c>
    </row>
    <row r="203" customFormat="false" ht="16.4" hidden="false" customHeight="false" outlineLevel="0" collapsed="false">
      <c r="A203" s="0" t="s">
        <v>15</v>
      </c>
      <c r="B203" s="0" t="s">
        <v>2813</v>
      </c>
      <c r="C203" s="0" t="n">
        <v>114001</v>
      </c>
      <c r="D203" s="0" t="n">
        <v>114001</v>
      </c>
      <c r="E203" s="0" t="s">
        <v>1804</v>
      </c>
      <c r="F203" s="0" t="s">
        <v>18</v>
      </c>
      <c r="G203" s="7" t="s">
        <v>2814</v>
      </c>
      <c r="H203" s="0" t="s">
        <v>2815</v>
      </c>
      <c r="I203" s="0" t="s">
        <v>21</v>
      </c>
      <c r="J203" s="0" t="s">
        <v>22</v>
      </c>
      <c r="K203" s="0" t="s">
        <v>89</v>
      </c>
      <c r="L203" s="0" t="str">
        <f aca="false">IFERROR(VLOOKUP(K203,'Supplier list'!B:C,2,0),"")</f>
        <v>บริษัท เฮเฟเล่ (ประเทศไทย) จำกัด</v>
      </c>
      <c r="M203" s="1" t="n">
        <f aca="false">FALSE()</f>
        <v>0</v>
      </c>
      <c r="N203" s="2"/>
      <c r="O203" s="2" t="n">
        <v>2900</v>
      </c>
    </row>
    <row r="204" customFormat="false" ht="16.4" hidden="false" customHeight="false" outlineLevel="0" collapsed="false">
      <c r="A204" s="0" t="s">
        <v>15</v>
      </c>
      <c r="B204" s="0" t="s">
        <v>2816</v>
      </c>
      <c r="C204" s="0" t="n">
        <v>114001</v>
      </c>
      <c r="D204" s="0" t="n">
        <v>114001</v>
      </c>
      <c r="E204" s="0" t="s">
        <v>2363</v>
      </c>
      <c r="F204" s="0" t="s">
        <v>18</v>
      </c>
      <c r="G204" s="7" t="s">
        <v>2817</v>
      </c>
      <c r="H204" s="0" t="s">
        <v>2818</v>
      </c>
      <c r="I204" s="0" t="s">
        <v>21</v>
      </c>
      <c r="J204" s="0" t="s">
        <v>22</v>
      </c>
      <c r="K204" s="0" t="s">
        <v>89</v>
      </c>
      <c r="L204" s="0" t="str">
        <f aca="false">IFERROR(VLOOKUP(K204,'Supplier list'!B:C,2,0),"")</f>
        <v>บริษัท เฮเฟเล่ (ประเทศไทย) จำกัด</v>
      </c>
      <c r="M204" s="1" t="n">
        <f aca="false">FALSE()</f>
        <v>0</v>
      </c>
      <c r="N204" s="2"/>
      <c r="O204" s="2" t="n">
        <v>1350</v>
      </c>
    </row>
    <row r="205" customFormat="false" ht="16.4" hidden="false" customHeight="false" outlineLevel="0" collapsed="false">
      <c r="A205" s="0" t="s">
        <v>15</v>
      </c>
      <c r="B205" s="0" t="s">
        <v>2819</v>
      </c>
      <c r="C205" s="0" t="n">
        <v>114001</v>
      </c>
      <c r="D205" s="0" t="n">
        <v>114001</v>
      </c>
      <c r="E205" s="0" t="s">
        <v>2185</v>
      </c>
      <c r="F205" s="0" t="s">
        <v>18</v>
      </c>
      <c r="G205" s="7" t="s">
        <v>2820</v>
      </c>
      <c r="H205" s="0" t="s">
        <v>2821</v>
      </c>
      <c r="I205" s="0" t="s">
        <v>21</v>
      </c>
      <c r="J205" s="0" t="s">
        <v>22</v>
      </c>
      <c r="K205" s="0" t="s">
        <v>89</v>
      </c>
      <c r="L205" s="0" t="str">
        <f aca="false">IFERROR(VLOOKUP(K205,'Supplier list'!B:C,2,0),"")</f>
        <v>บริษัท เฮเฟเล่ (ประเทศไทย) จำกัด</v>
      </c>
      <c r="M205" s="1" t="n">
        <f aca="false">FALSE()</f>
        <v>0</v>
      </c>
      <c r="N205" s="2"/>
      <c r="O205" s="2" t="n">
        <v>800</v>
      </c>
    </row>
    <row r="206" customFormat="false" ht="16.4" hidden="false" customHeight="false" outlineLevel="0" collapsed="false">
      <c r="A206" s="0" t="s">
        <v>15</v>
      </c>
      <c r="B206" s="0" t="s">
        <v>2822</v>
      </c>
      <c r="C206" s="0" t="n">
        <v>114001</v>
      </c>
      <c r="D206" s="0" t="n">
        <v>114001</v>
      </c>
      <c r="E206" s="0" t="s">
        <v>121</v>
      </c>
      <c r="F206" s="0" t="s">
        <v>18</v>
      </c>
      <c r="G206" s="7" t="s">
        <v>2823</v>
      </c>
      <c r="H206" s="0" t="s">
        <v>2824</v>
      </c>
      <c r="I206" s="0" t="s">
        <v>21</v>
      </c>
      <c r="J206" s="0" t="s">
        <v>22</v>
      </c>
      <c r="K206" s="0" t="s">
        <v>75</v>
      </c>
      <c r="L206" s="0" t="str">
        <f aca="false">IFERROR(VLOOKUP(K206,'Supplier list'!B:C,2,0),"")</f>
        <v/>
      </c>
      <c r="M206" s="1" t="n">
        <f aca="false">FALSE()</f>
        <v>0</v>
      </c>
      <c r="N206" s="2"/>
      <c r="O206" s="2" t="n">
        <v>205</v>
      </c>
    </row>
    <row r="207" customFormat="false" ht="16.4" hidden="false" customHeight="false" outlineLevel="0" collapsed="false">
      <c r="A207" s="0" t="s">
        <v>15</v>
      </c>
      <c r="B207" s="0" t="s">
        <v>2825</v>
      </c>
      <c r="C207" s="0" t="n">
        <v>114001</v>
      </c>
      <c r="D207" s="0" t="n">
        <v>114001</v>
      </c>
      <c r="E207" s="0" t="s">
        <v>1804</v>
      </c>
      <c r="F207" s="0" t="s">
        <v>18</v>
      </c>
      <c r="G207" s="7" t="s">
        <v>2826</v>
      </c>
      <c r="H207" s="0" t="s">
        <v>2827</v>
      </c>
      <c r="I207" s="0" t="s">
        <v>21</v>
      </c>
      <c r="J207" s="0" t="s">
        <v>22</v>
      </c>
      <c r="K207" s="0" t="s">
        <v>89</v>
      </c>
      <c r="L207" s="0" t="str">
        <f aca="false">IFERROR(VLOOKUP(K207,'Supplier list'!B:C,2,0),"")</f>
        <v>บริษัท เฮเฟเล่ (ประเทศไทย) จำกัด</v>
      </c>
      <c r="M207" s="1" t="n">
        <f aca="false">FALSE()</f>
        <v>0</v>
      </c>
      <c r="N207" s="2"/>
      <c r="O207" s="2" t="n">
        <v>2300</v>
      </c>
    </row>
    <row r="208" customFormat="false" ht="16.4" hidden="false" customHeight="false" outlineLevel="0" collapsed="false">
      <c r="A208" s="0" t="s">
        <v>15</v>
      </c>
      <c r="B208" s="0" t="s">
        <v>2828</v>
      </c>
      <c r="C208" s="0" t="n">
        <v>114001</v>
      </c>
      <c r="D208" s="0" t="n">
        <v>114001</v>
      </c>
      <c r="E208" s="0" t="s">
        <v>1804</v>
      </c>
      <c r="F208" s="0" t="s">
        <v>18</v>
      </c>
      <c r="G208" s="7" t="s">
        <v>2829</v>
      </c>
      <c r="H208" s="0" t="s">
        <v>2830</v>
      </c>
      <c r="I208" s="0" t="s">
        <v>21</v>
      </c>
      <c r="J208" s="0" t="s">
        <v>22</v>
      </c>
      <c r="K208" s="0" t="s">
        <v>89</v>
      </c>
      <c r="L208" s="0" t="str">
        <f aca="false">IFERROR(VLOOKUP(K208,'Supplier list'!B:C,2,0),"")</f>
        <v>บริษัท เฮเฟเล่ (ประเทศไทย) จำกัด</v>
      </c>
      <c r="M208" s="1" t="n">
        <f aca="false">FALSE()</f>
        <v>0</v>
      </c>
      <c r="N208" s="2"/>
      <c r="O208" s="2" t="n">
        <v>600</v>
      </c>
    </row>
    <row r="209" customFormat="false" ht="16.4" hidden="false" customHeight="false" outlineLevel="0" collapsed="false">
      <c r="A209" s="0" t="s">
        <v>15</v>
      </c>
      <c r="B209" s="0" t="s">
        <v>2831</v>
      </c>
      <c r="C209" s="0" t="n">
        <v>114001</v>
      </c>
      <c r="D209" s="0" t="n">
        <v>114001</v>
      </c>
      <c r="E209" s="0" t="s">
        <v>1804</v>
      </c>
      <c r="F209" s="0" t="s">
        <v>18</v>
      </c>
      <c r="G209" s="7" t="s">
        <v>2832</v>
      </c>
      <c r="H209" s="0" t="s">
        <v>2833</v>
      </c>
      <c r="I209" s="0" t="s">
        <v>21</v>
      </c>
      <c r="J209" s="0" t="s">
        <v>22</v>
      </c>
      <c r="K209" s="0" t="s">
        <v>89</v>
      </c>
      <c r="L209" s="0" t="str">
        <f aca="false">IFERROR(VLOOKUP(K209,'Supplier list'!B:C,2,0),"")</f>
        <v>บริษัท เฮเฟเล่ (ประเทศไทย) จำกัด</v>
      </c>
      <c r="M209" s="1" t="n">
        <f aca="false">FALSE()</f>
        <v>0</v>
      </c>
      <c r="N209" s="2"/>
      <c r="O209" s="2" t="n">
        <v>3400</v>
      </c>
    </row>
    <row r="210" customFormat="false" ht="16.4" hidden="false" customHeight="false" outlineLevel="0" collapsed="false">
      <c r="A210" s="0" t="s">
        <v>15</v>
      </c>
      <c r="B210" s="0" t="s">
        <v>2834</v>
      </c>
      <c r="C210" s="0" t="n">
        <v>114001</v>
      </c>
      <c r="D210" s="0" t="n">
        <v>114001</v>
      </c>
      <c r="E210" s="0" t="s">
        <v>1815</v>
      </c>
      <c r="F210" s="0" t="s">
        <v>18</v>
      </c>
      <c r="G210" s="7" t="s">
        <v>2835</v>
      </c>
      <c r="H210" s="0" t="s">
        <v>2836</v>
      </c>
      <c r="I210" s="0" t="s">
        <v>21</v>
      </c>
      <c r="J210" s="0" t="s">
        <v>22</v>
      </c>
      <c r="K210" s="0" t="s">
        <v>89</v>
      </c>
      <c r="L210" s="0" t="str">
        <f aca="false">IFERROR(VLOOKUP(K210,'Supplier list'!B:C,2,0),"")</f>
        <v>บริษัท เฮเฟเล่ (ประเทศไทย) จำกัด</v>
      </c>
      <c r="M210" s="1" t="n">
        <f aca="false">TRUE()</f>
        <v>1</v>
      </c>
      <c r="N210" s="2" t="n">
        <v>1800</v>
      </c>
      <c r="O210" s="2" t="n">
        <v>520</v>
      </c>
    </row>
    <row r="211" customFormat="false" ht="16.4" hidden="false" customHeight="false" outlineLevel="0" collapsed="false">
      <c r="A211" s="0" t="s">
        <v>15</v>
      </c>
      <c r="B211" s="0" t="s">
        <v>2837</v>
      </c>
      <c r="C211" s="0" t="n">
        <v>114001</v>
      </c>
      <c r="D211" s="0" t="n">
        <v>114001</v>
      </c>
      <c r="E211" s="0" t="s">
        <v>1653</v>
      </c>
      <c r="F211" s="0" t="s">
        <v>18</v>
      </c>
      <c r="G211" s="7" t="s">
        <v>2838</v>
      </c>
      <c r="H211" s="0" t="s">
        <v>2839</v>
      </c>
      <c r="I211" s="0" t="s">
        <v>21</v>
      </c>
      <c r="J211" s="0" t="s">
        <v>22</v>
      </c>
      <c r="K211" s="0" t="s">
        <v>89</v>
      </c>
      <c r="L211" s="0" t="str">
        <f aca="false">IFERROR(VLOOKUP(K211,'Supplier list'!B:C,2,0),"")</f>
        <v>บริษัท เฮเฟเล่ (ประเทศไทย) จำกัด</v>
      </c>
      <c r="M211" s="1" t="n">
        <f aca="false">FALSE()</f>
        <v>0</v>
      </c>
      <c r="N211" s="2"/>
      <c r="O211" s="2" t="n">
        <v>7250</v>
      </c>
    </row>
    <row r="212" customFormat="false" ht="16.4" hidden="false" customHeight="false" outlineLevel="0" collapsed="false">
      <c r="A212" s="0" t="s">
        <v>15</v>
      </c>
      <c r="B212" s="0" t="s">
        <v>2840</v>
      </c>
      <c r="C212" s="0" t="n">
        <v>114001</v>
      </c>
      <c r="D212" s="0" t="n">
        <v>114001</v>
      </c>
      <c r="E212" s="0" t="s">
        <v>1653</v>
      </c>
      <c r="F212" s="0" t="s">
        <v>18</v>
      </c>
      <c r="G212" s="7" t="s">
        <v>2841</v>
      </c>
      <c r="H212" s="0" t="s">
        <v>2842</v>
      </c>
      <c r="I212" s="0" t="s">
        <v>21</v>
      </c>
      <c r="J212" s="0" t="s">
        <v>22</v>
      </c>
      <c r="K212" s="0" t="s">
        <v>89</v>
      </c>
      <c r="L212" s="0" t="str">
        <f aca="false">IFERROR(VLOOKUP(K212,'Supplier list'!B:C,2,0),"")</f>
        <v>บริษัท เฮเฟเล่ (ประเทศไทย) จำกัด</v>
      </c>
      <c r="M212" s="1" t="n">
        <f aca="false">FALSE()</f>
        <v>0</v>
      </c>
      <c r="N212" s="2"/>
      <c r="O212" s="2" t="n">
        <v>7757</v>
      </c>
    </row>
    <row r="213" customFormat="false" ht="16.4" hidden="false" customHeight="false" outlineLevel="0" collapsed="false">
      <c r="A213" s="0" t="s">
        <v>15</v>
      </c>
      <c r="B213" s="0" t="s">
        <v>2843</v>
      </c>
      <c r="C213" s="0" t="n">
        <v>114001</v>
      </c>
      <c r="D213" s="0" t="n">
        <v>114001</v>
      </c>
      <c r="E213" s="0" t="s">
        <v>1804</v>
      </c>
      <c r="F213" s="0" t="s">
        <v>18</v>
      </c>
      <c r="G213" s="7" t="s">
        <v>2844</v>
      </c>
      <c r="H213" s="0" t="s">
        <v>2845</v>
      </c>
      <c r="I213" s="0" t="s">
        <v>21</v>
      </c>
      <c r="J213" s="0" t="s">
        <v>22</v>
      </c>
      <c r="K213" s="0" t="s">
        <v>89</v>
      </c>
      <c r="L213" s="0" t="str">
        <f aca="false">IFERROR(VLOOKUP(K213,'Supplier list'!B:C,2,0),"")</f>
        <v>บริษัท เฮเฟเล่ (ประเทศไทย) จำกัด</v>
      </c>
      <c r="M213" s="1" t="n">
        <f aca="false">TRUE()</f>
        <v>1</v>
      </c>
      <c r="N213" s="2" t="n">
        <v>14900</v>
      </c>
      <c r="O213" s="2" t="n">
        <v>6200</v>
      </c>
    </row>
    <row r="214" customFormat="false" ht="16.4" hidden="false" customHeight="false" outlineLevel="0" collapsed="false">
      <c r="A214" s="0" t="s">
        <v>15</v>
      </c>
      <c r="B214" s="0" t="s">
        <v>2846</v>
      </c>
      <c r="C214" s="0" t="n">
        <v>114001</v>
      </c>
      <c r="D214" s="0" t="n">
        <v>114001</v>
      </c>
      <c r="E214" s="0" t="s">
        <v>1804</v>
      </c>
      <c r="F214" s="0" t="s">
        <v>18</v>
      </c>
      <c r="G214" s="7" t="s">
        <v>2847</v>
      </c>
      <c r="H214" s="0" t="s">
        <v>2848</v>
      </c>
      <c r="I214" s="0" t="s">
        <v>21</v>
      </c>
      <c r="J214" s="0" t="s">
        <v>22</v>
      </c>
      <c r="K214" s="0" t="s">
        <v>89</v>
      </c>
      <c r="L214" s="0" t="str">
        <f aca="false">IFERROR(VLOOKUP(K214,'Supplier list'!B:C,2,0),"")</f>
        <v>บริษัท เฮเฟเล่ (ประเทศไทย) จำกัด</v>
      </c>
      <c r="M214" s="1" t="n">
        <f aca="false">FALSE()</f>
        <v>0</v>
      </c>
      <c r="N214" s="2"/>
      <c r="O214" s="2" t="n">
        <v>3600</v>
      </c>
    </row>
    <row r="215" customFormat="false" ht="16.4" hidden="false" customHeight="false" outlineLevel="0" collapsed="false">
      <c r="A215" s="0" t="s">
        <v>15</v>
      </c>
      <c r="B215" s="0" t="s">
        <v>2849</v>
      </c>
      <c r="C215" s="0" t="n">
        <v>114001</v>
      </c>
      <c r="D215" s="0" t="n">
        <v>114001</v>
      </c>
      <c r="E215" s="0" t="s">
        <v>1764</v>
      </c>
      <c r="F215" s="0" t="s">
        <v>18</v>
      </c>
      <c r="G215" s="7" t="s">
        <v>2850</v>
      </c>
      <c r="H215" s="0" t="s">
        <v>2851</v>
      </c>
      <c r="I215" s="0" t="s">
        <v>21</v>
      </c>
      <c r="J215" s="0" t="s">
        <v>22</v>
      </c>
      <c r="K215" s="0" t="s">
        <v>89</v>
      </c>
      <c r="L215" s="0" t="str">
        <f aca="false">IFERROR(VLOOKUP(K215,'Supplier list'!B:C,2,0),"")</f>
        <v>บริษัท เฮเฟเล่ (ประเทศไทย) จำกัด</v>
      </c>
      <c r="M215" s="1" t="n">
        <f aca="false">FALSE()</f>
        <v>0</v>
      </c>
      <c r="N215" s="2"/>
      <c r="O215" s="2" t="n">
        <v>180</v>
      </c>
    </row>
    <row r="216" customFormat="false" ht="16.4" hidden="false" customHeight="false" outlineLevel="0" collapsed="false">
      <c r="A216" s="0" t="s">
        <v>15</v>
      </c>
      <c r="B216" s="0" t="s">
        <v>2852</v>
      </c>
      <c r="C216" s="0" t="n">
        <v>114001</v>
      </c>
      <c r="D216" s="0" t="n">
        <v>114001</v>
      </c>
      <c r="E216" s="0" t="s">
        <v>1653</v>
      </c>
      <c r="F216" s="0" t="s">
        <v>18</v>
      </c>
      <c r="G216" s="7" t="s">
        <v>2853</v>
      </c>
      <c r="H216" s="0" t="s">
        <v>2854</v>
      </c>
      <c r="I216" s="0" t="s">
        <v>21</v>
      </c>
      <c r="J216" s="0" t="s">
        <v>22</v>
      </c>
      <c r="K216" s="0" t="s">
        <v>89</v>
      </c>
      <c r="L216" s="0" t="str">
        <f aca="false">IFERROR(VLOOKUP(K216,'Supplier list'!B:C,2,0),"")</f>
        <v>บริษัท เฮเฟเล่ (ประเทศไทย) จำกัด</v>
      </c>
      <c r="M216" s="1" t="n">
        <f aca="false">TRUE()</f>
        <v>1</v>
      </c>
      <c r="N216" s="2" t="n">
        <v>41900</v>
      </c>
      <c r="O216" s="2" t="n">
        <v>26600</v>
      </c>
    </row>
    <row r="217" customFormat="false" ht="16.4" hidden="false" customHeight="false" outlineLevel="0" collapsed="false">
      <c r="A217" s="0" t="s">
        <v>15</v>
      </c>
      <c r="B217" s="0" t="s">
        <v>2855</v>
      </c>
      <c r="C217" s="0" t="n">
        <v>114001</v>
      </c>
      <c r="D217" s="0" t="n">
        <v>114001</v>
      </c>
      <c r="E217" s="0" t="s">
        <v>1653</v>
      </c>
      <c r="F217" s="0" t="s">
        <v>18</v>
      </c>
      <c r="G217" s="7" t="s">
        <v>2856</v>
      </c>
      <c r="H217" s="0" t="s">
        <v>2857</v>
      </c>
      <c r="I217" s="0" t="s">
        <v>21</v>
      </c>
      <c r="J217" s="0" t="s">
        <v>22</v>
      </c>
      <c r="K217" s="0" t="s">
        <v>89</v>
      </c>
      <c r="L217" s="0" t="str">
        <f aca="false">IFERROR(VLOOKUP(K217,'Supplier list'!B:C,2,0),"")</f>
        <v>บริษัท เฮเฟเล่ (ประเทศไทย) จำกัด</v>
      </c>
      <c r="M217" s="1" t="n">
        <f aca="false">TRUE()</f>
        <v>1</v>
      </c>
      <c r="N217" s="2" t="n">
        <v>6900</v>
      </c>
      <c r="O217" s="2" t="n">
        <v>3700</v>
      </c>
    </row>
    <row r="218" customFormat="false" ht="16.4" hidden="false" customHeight="false" outlineLevel="0" collapsed="false">
      <c r="A218" s="0" t="s">
        <v>15</v>
      </c>
      <c r="B218" s="0" t="s">
        <v>2858</v>
      </c>
      <c r="C218" s="0" t="n">
        <v>114001</v>
      </c>
      <c r="D218" s="0" t="n">
        <v>114001</v>
      </c>
      <c r="E218" s="0" t="s">
        <v>1605</v>
      </c>
      <c r="F218" s="0" t="s">
        <v>18</v>
      </c>
      <c r="G218" s="7" t="s">
        <v>2859</v>
      </c>
      <c r="H218" s="0" t="s">
        <v>2860</v>
      </c>
      <c r="I218" s="0" t="s">
        <v>21</v>
      </c>
      <c r="J218" s="0" t="s">
        <v>22</v>
      </c>
      <c r="K218" s="0" t="s">
        <v>89</v>
      </c>
      <c r="L218" s="0" t="str">
        <f aca="false">IFERROR(VLOOKUP(K218,'Supplier list'!B:C,2,0),"")</f>
        <v>บริษัท เฮเฟเล่ (ประเทศไทย) จำกัด</v>
      </c>
      <c r="M218" s="1" t="n">
        <f aca="false">FALSE()</f>
        <v>0</v>
      </c>
      <c r="N218" s="2"/>
      <c r="O218" s="2" t="n">
        <v>1205</v>
      </c>
    </row>
    <row r="219" customFormat="false" ht="16.4" hidden="false" customHeight="false" outlineLevel="0" collapsed="false">
      <c r="A219" s="0" t="s">
        <v>15</v>
      </c>
      <c r="B219" s="0" t="s">
        <v>2861</v>
      </c>
      <c r="C219" s="0" t="n">
        <v>114001</v>
      </c>
      <c r="D219" s="0" t="n">
        <v>114001</v>
      </c>
      <c r="E219" s="0" t="s">
        <v>1764</v>
      </c>
      <c r="F219" s="0" t="s">
        <v>18</v>
      </c>
      <c r="G219" s="7" t="s">
        <v>2862</v>
      </c>
      <c r="H219" s="0" t="s">
        <v>2863</v>
      </c>
      <c r="I219" s="0" t="s">
        <v>21</v>
      </c>
      <c r="J219" s="0" t="s">
        <v>22</v>
      </c>
      <c r="K219" s="0" t="s">
        <v>89</v>
      </c>
      <c r="L219" s="0" t="str">
        <f aca="false">IFERROR(VLOOKUP(K219,'Supplier list'!B:C,2,0),"")</f>
        <v>บริษัท เฮเฟเล่ (ประเทศไทย) จำกัด</v>
      </c>
      <c r="M219" s="1" t="n">
        <f aca="false">FALSE()</f>
        <v>0</v>
      </c>
      <c r="N219" s="2"/>
      <c r="O219" s="2" t="n">
        <v>400</v>
      </c>
    </row>
    <row r="220" customFormat="false" ht="16.4" hidden="false" customHeight="false" outlineLevel="0" collapsed="false">
      <c r="A220" s="0" t="s">
        <v>15</v>
      </c>
      <c r="B220" s="0" t="s">
        <v>2864</v>
      </c>
      <c r="C220" s="0" t="n">
        <v>114001</v>
      </c>
      <c r="D220" s="0" t="n">
        <v>114001</v>
      </c>
      <c r="E220" s="0" t="s">
        <v>1605</v>
      </c>
      <c r="F220" s="0" t="s">
        <v>18</v>
      </c>
      <c r="G220" s="7" t="s">
        <v>2865</v>
      </c>
      <c r="H220" s="0" t="s">
        <v>2866</v>
      </c>
      <c r="I220" s="0" t="s">
        <v>248</v>
      </c>
      <c r="J220" s="0" t="s">
        <v>249</v>
      </c>
      <c r="L220" s="0" t="str">
        <f aca="false">IFERROR(VLOOKUP(K220,'Supplier list'!B:C,2,0),"")</f>
        <v/>
      </c>
      <c r="M220" s="1" t="n">
        <f aca="false">FALSE()</f>
        <v>0</v>
      </c>
      <c r="N220" s="2"/>
      <c r="O220" s="2" t="n">
        <v>0</v>
      </c>
    </row>
    <row r="221" customFormat="false" ht="16.4" hidden="false" customHeight="false" outlineLevel="0" collapsed="false">
      <c r="A221" s="0" t="s">
        <v>15</v>
      </c>
      <c r="B221" s="0" t="s">
        <v>2867</v>
      </c>
      <c r="C221" s="0" t="n">
        <v>114001</v>
      </c>
      <c r="D221" s="0" t="n">
        <v>114001</v>
      </c>
      <c r="E221" s="0" t="s">
        <v>874</v>
      </c>
      <c r="F221" s="0" t="s">
        <v>18</v>
      </c>
      <c r="G221" s="7" t="s">
        <v>2868</v>
      </c>
      <c r="H221" s="0" t="s">
        <v>2869</v>
      </c>
      <c r="I221" s="0" t="s">
        <v>21</v>
      </c>
      <c r="J221" s="0" t="s">
        <v>22</v>
      </c>
      <c r="K221" s="0" t="s">
        <v>89</v>
      </c>
      <c r="L221" s="0" t="str">
        <f aca="false">IFERROR(VLOOKUP(K221,'Supplier list'!B:C,2,0),"")</f>
        <v>บริษัท เฮเฟเล่ (ประเทศไทย) จำกัด</v>
      </c>
      <c r="M221" s="1" t="n">
        <f aca="false">FALSE()</f>
        <v>0</v>
      </c>
      <c r="N221" s="2"/>
      <c r="O221" s="2" t="n">
        <v>2700</v>
      </c>
    </row>
    <row r="222" customFormat="false" ht="16.4" hidden="false" customHeight="false" outlineLevel="0" collapsed="false">
      <c r="A222" s="0" t="s">
        <v>15</v>
      </c>
      <c r="B222" s="0" t="s">
        <v>2870</v>
      </c>
      <c r="C222" s="0" t="n">
        <v>114001</v>
      </c>
      <c r="D222" s="0" t="n">
        <v>114001</v>
      </c>
      <c r="E222" s="0" t="s">
        <v>961</v>
      </c>
      <c r="F222" s="0" t="s">
        <v>18</v>
      </c>
      <c r="G222" s="7" t="s">
        <v>2871</v>
      </c>
      <c r="H222" s="0" t="s">
        <v>2872</v>
      </c>
      <c r="I222" s="0" t="s">
        <v>21</v>
      </c>
      <c r="J222" s="0" t="s">
        <v>22</v>
      </c>
      <c r="K222" s="0" t="s">
        <v>89</v>
      </c>
      <c r="L222" s="0" t="str">
        <f aca="false">IFERROR(VLOOKUP(K222,'Supplier list'!B:C,2,0),"")</f>
        <v>บริษัท เฮเฟเล่ (ประเทศไทย) จำกัด</v>
      </c>
      <c r="M222" s="1" t="n">
        <f aca="false">FALSE()</f>
        <v>0</v>
      </c>
      <c r="N222" s="2"/>
      <c r="O222" s="2" t="n">
        <v>2100</v>
      </c>
    </row>
    <row r="223" customFormat="false" ht="16.4" hidden="false" customHeight="false" outlineLevel="0" collapsed="false">
      <c r="A223" s="0" t="s">
        <v>15</v>
      </c>
      <c r="B223" s="0" t="s">
        <v>2873</v>
      </c>
      <c r="C223" s="0" t="n">
        <v>114001</v>
      </c>
      <c r="D223" s="0" t="n">
        <v>114001</v>
      </c>
      <c r="E223" s="0" t="s">
        <v>2185</v>
      </c>
      <c r="F223" s="0" t="s">
        <v>18</v>
      </c>
      <c r="G223" s="7" t="s">
        <v>2874</v>
      </c>
      <c r="H223" s="0" t="s">
        <v>2875</v>
      </c>
      <c r="I223" s="0" t="s">
        <v>21</v>
      </c>
      <c r="J223" s="0" t="s">
        <v>22</v>
      </c>
      <c r="K223" s="0" t="s">
        <v>89</v>
      </c>
      <c r="L223" s="0" t="str">
        <f aca="false">IFERROR(VLOOKUP(K223,'Supplier list'!B:C,2,0),"")</f>
        <v>บริษัท เฮเฟเล่ (ประเทศไทย) จำกัด</v>
      </c>
      <c r="M223" s="1" t="n">
        <f aca="false">TRUE()</f>
        <v>1</v>
      </c>
      <c r="N223" s="2" t="n">
        <v>1900</v>
      </c>
      <c r="O223" s="2" t="n">
        <v>926</v>
      </c>
    </row>
    <row r="224" customFormat="false" ht="16.4" hidden="false" customHeight="false" outlineLevel="0" collapsed="false">
      <c r="A224" s="0" t="s">
        <v>15</v>
      </c>
      <c r="B224" s="0" t="s">
        <v>2876</v>
      </c>
      <c r="C224" s="0" t="n">
        <v>114001</v>
      </c>
      <c r="D224" s="0" t="n">
        <v>114001</v>
      </c>
      <c r="E224" s="0" t="s">
        <v>2185</v>
      </c>
      <c r="F224" s="0" t="s">
        <v>18</v>
      </c>
      <c r="G224" s="7" t="s">
        <v>2877</v>
      </c>
      <c r="H224" s="0" t="s">
        <v>2878</v>
      </c>
      <c r="I224" s="0" t="s">
        <v>21</v>
      </c>
      <c r="J224" s="0" t="s">
        <v>22</v>
      </c>
      <c r="K224" s="0" t="s">
        <v>89</v>
      </c>
      <c r="L224" s="0" t="str">
        <f aca="false">IFERROR(VLOOKUP(K224,'Supplier list'!B:C,2,0),"")</f>
        <v>บริษัท เฮเฟเล่ (ประเทศไทย) จำกัด</v>
      </c>
      <c r="M224" s="1" t="n">
        <f aca="false">FALSE()</f>
        <v>0</v>
      </c>
      <c r="N224" s="2"/>
      <c r="O224" s="2" t="n">
        <v>33</v>
      </c>
    </row>
    <row r="225" customFormat="false" ht="16.4" hidden="false" customHeight="false" outlineLevel="0" collapsed="false">
      <c r="A225" s="0" t="s">
        <v>15</v>
      </c>
      <c r="B225" s="0" t="s">
        <v>2879</v>
      </c>
      <c r="C225" s="0" t="n">
        <v>114001</v>
      </c>
      <c r="D225" s="0" t="n">
        <v>114001</v>
      </c>
      <c r="E225" s="0" t="s">
        <v>1764</v>
      </c>
      <c r="F225" s="0" t="s">
        <v>18</v>
      </c>
      <c r="G225" s="7" t="s">
        <v>2880</v>
      </c>
      <c r="H225" s="0" t="s">
        <v>2881</v>
      </c>
      <c r="I225" s="0" t="s">
        <v>21</v>
      </c>
      <c r="J225" s="0" t="s">
        <v>22</v>
      </c>
      <c r="K225" s="0" t="s">
        <v>89</v>
      </c>
      <c r="L225" s="0" t="str">
        <f aca="false">IFERROR(VLOOKUP(K225,'Supplier list'!B:C,2,0),"")</f>
        <v>บริษัท เฮเฟเล่ (ประเทศไทย) จำกัด</v>
      </c>
      <c r="M225" s="1" t="n">
        <f aca="false">FALSE()</f>
        <v>0</v>
      </c>
      <c r="N225" s="2"/>
      <c r="O225" s="2" t="n">
        <v>780</v>
      </c>
    </row>
    <row r="226" customFormat="false" ht="16.4" hidden="false" customHeight="false" outlineLevel="0" collapsed="false">
      <c r="A226" s="0" t="s">
        <v>15</v>
      </c>
      <c r="B226" s="0" t="s">
        <v>2882</v>
      </c>
      <c r="C226" s="0" t="n">
        <v>114001</v>
      </c>
      <c r="D226" s="0" t="n">
        <v>114001</v>
      </c>
      <c r="E226" s="0" t="s">
        <v>1815</v>
      </c>
      <c r="F226" s="0" t="s">
        <v>18</v>
      </c>
      <c r="G226" s="7" t="s">
        <v>2883</v>
      </c>
      <c r="H226" s="0" t="s">
        <v>2635</v>
      </c>
      <c r="I226" s="0" t="s">
        <v>21</v>
      </c>
      <c r="J226" s="0" t="s">
        <v>22</v>
      </c>
      <c r="K226" s="0" t="s">
        <v>89</v>
      </c>
      <c r="L226" s="0" t="str">
        <f aca="false">IFERROR(VLOOKUP(K226,'Supplier list'!B:C,2,0),"")</f>
        <v>บริษัท เฮเฟเล่ (ประเทศไทย) จำกัด</v>
      </c>
      <c r="M226" s="1" t="n">
        <f aca="false">TRUE()</f>
        <v>1</v>
      </c>
      <c r="N226" s="2" t="n">
        <v>13900</v>
      </c>
      <c r="O226" s="2" t="n">
        <v>7750</v>
      </c>
    </row>
    <row r="227" customFormat="false" ht="16.4" hidden="false" customHeight="false" outlineLevel="0" collapsed="false">
      <c r="A227" s="0" t="s">
        <v>15</v>
      </c>
      <c r="B227" s="0" t="s">
        <v>2884</v>
      </c>
      <c r="C227" s="0" t="n">
        <v>114001</v>
      </c>
      <c r="D227" s="0" t="n">
        <v>114001</v>
      </c>
      <c r="E227" s="0" t="s">
        <v>1815</v>
      </c>
      <c r="F227" s="0" t="s">
        <v>18</v>
      </c>
      <c r="G227" s="7" t="s">
        <v>2885</v>
      </c>
      <c r="H227" s="0" t="s">
        <v>2886</v>
      </c>
      <c r="I227" s="0" t="s">
        <v>21</v>
      </c>
      <c r="J227" s="0" t="s">
        <v>22</v>
      </c>
      <c r="K227" s="0" t="s">
        <v>89</v>
      </c>
      <c r="L227" s="0" t="str">
        <f aca="false">IFERROR(VLOOKUP(K227,'Supplier list'!B:C,2,0),"")</f>
        <v>บริษัท เฮเฟเล่ (ประเทศไทย) จำกัด</v>
      </c>
      <c r="M227" s="1" t="n">
        <f aca="false">FALSE()</f>
        <v>0</v>
      </c>
      <c r="N227" s="2"/>
      <c r="O227" s="2" t="n">
        <v>6800</v>
      </c>
    </row>
    <row r="228" customFormat="false" ht="16.4" hidden="false" customHeight="false" outlineLevel="0" collapsed="false">
      <c r="A228" s="0" t="s">
        <v>15</v>
      </c>
      <c r="B228" s="0" t="s">
        <v>2887</v>
      </c>
      <c r="C228" s="0" t="n">
        <v>114001</v>
      </c>
      <c r="D228" s="0" t="n">
        <v>114001</v>
      </c>
      <c r="E228" s="0" t="s">
        <v>1605</v>
      </c>
      <c r="F228" s="0" t="s">
        <v>18</v>
      </c>
      <c r="G228" s="7" t="s">
        <v>2888</v>
      </c>
      <c r="H228" s="0" t="s">
        <v>2889</v>
      </c>
      <c r="I228" s="0" t="s">
        <v>21</v>
      </c>
      <c r="J228" s="0" t="s">
        <v>22</v>
      </c>
      <c r="K228" s="0" t="s">
        <v>1725</v>
      </c>
      <c r="L228" s="0" t="str">
        <f aca="false">IFERROR(VLOOKUP(K228,'Supplier list'!B:C,2,0),"")</f>
        <v>บริษัท พรีซิชั่นไลน์ จำกัด</v>
      </c>
      <c r="M228" s="1" t="n">
        <f aca="false">FALSE()</f>
        <v>0</v>
      </c>
      <c r="N228" s="2"/>
      <c r="O228" s="2" t="n">
        <v>21800</v>
      </c>
    </row>
    <row r="229" customFormat="false" ht="16.4" hidden="false" customHeight="false" outlineLevel="0" collapsed="false">
      <c r="A229" s="0" t="s">
        <v>15</v>
      </c>
      <c r="B229" s="0" t="s">
        <v>2890</v>
      </c>
      <c r="C229" s="0" t="n">
        <v>114001</v>
      </c>
      <c r="D229" s="0" t="n">
        <v>114001</v>
      </c>
      <c r="E229" s="0" t="s">
        <v>1727</v>
      </c>
      <c r="F229" s="0" t="s">
        <v>18</v>
      </c>
      <c r="G229" s="7" t="s">
        <v>2891</v>
      </c>
      <c r="H229" s="0" t="s">
        <v>2892</v>
      </c>
      <c r="I229" s="0" t="s">
        <v>21</v>
      </c>
      <c r="J229" s="0" t="s">
        <v>22</v>
      </c>
      <c r="K229" s="0" t="s">
        <v>1725</v>
      </c>
      <c r="L229" s="0" t="str">
        <f aca="false">IFERROR(VLOOKUP(K229,'Supplier list'!B:C,2,0),"")</f>
        <v>บริษัท พรีซิชั่นไลน์ จำกัด</v>
      </c>
      <c r="M229" s="1" t="n">
        <f aca="false">FALSE()</f>
        <v>0</v>
      </c>
      <c r="N229" s="2"/>
      <c r="O229" s="2" t="n">
        <v>820</v>
      </c>
    </row>
    <row r="230" customFormat="false" ht="16.4" hidden="false" customHeight="false" outlineLevel="0" collapsed="false">
      <c r="A230" s="0" t="s">
        <v>15</v>
      </c>
      <c r="B230" s="0" t="s">
        <v>2893</v>
      </c>
      <c r="C230" s="0" t="n">
        <v>114001</v>
      </c>
      <c r="D230" s="0" t="n">
        <v>114001</v>
      </c>
      <c r="E230" s="0" t="s">
        <v>1804</v>
      </c>
      <c r="F230" s="0" t="s">
        <v>18</v>
      </c>
      <c r="G230" s="7" t="s">
        <v>2894</v>
      </c>
      <c r="H230" s="0" t="s">
        <v>2895</v>
      </c>
      <c r="I230" s="0" t="s">
        <v>21</v>
      </c>
      <c r="J230" s="0" t="s">
        <v>22</v>
      </c>
      <c r="K230" s="0" t="s">
        <v>89</v>
      </c>
      <c r="L230" s="0" t="str">
        <f aca="false">IFERROR(VLOOKUP(K230,'Supplier list'!B:C,2,0),"")</f>
        <v>บริษัท เฮเฟเล่ (ประเทศไทย) จำกัด</v>
      </c>
      <c r="M230" s="1" t="n">
        <f aca="false">FALSE()</f>
        <v>0</v>
      </c>
      <c r="N230" s="2"/>
      <c r="O230" s="2" t="n">
        <v>7300</v>
      </c>
    </row>
    <row r="231" customFormat="false" ht="16.4" hidden="false" customHeight="false" outlineLevel="0" collapsed="false">
      <c r="A231" s="0" t="s">
        <v>15</v>
      </c>
      <c r="B231" s="0" t="s">
        <v>2896</v>
      </c>
      <c r="C231" s="0" t="n">
        <v>114001</v>
      </c>
      <c r="D231" s="0" t="n">
        <v>114001</v>
      </c>
      <c r="E231" s="0" t="s">
        <v>2547</v>
      </c>
      <c r="F231" s="0" t="s">
        <v>18</v>
      </c>
      <c r="G231" s="7" t="s">
        <v>2897</v>
      </c>
      <c r="H231" s="0" t="s">
        <v>2898</v>
      </c>
      <c r="I231" s="0" t="s">
        <v>124</v>
      </c>
      <c r="J231" s="0" t="s">
        <v>125</v>
      </c>
      <c r="K231" s="0" t="s">
        <v>2550</v>
      </c>
      <c r="L231" s="0" t="str">
        <f aca="false">IFERROR(VLOOKUP(K231,'Supplier list'!B:C,2,0),"")</f>
        <v>บริษัท เอส.เอส.อุตสาหกรรมบรรจุภัณฑ์ จำกัด</v>
      </c>
      <c r="M231" s="1" t="n">
        <f aca="false">FALSE()</f>
        <v>0</v>
      </c>
      <c r="N231" s="2"/>
      <c r="O231" s="2" t="n">
        <v>58</v>
      </c>
    </row>
    <row r="232" customFormat="false" ht="16.4" hidden="false" customHeight="false" outlineLevel="0" collapsed="false">
      <c r="A232" s="0" t="s">
        <v>15</v>
      </c>
      <c r="B232" s="0" t="s">
        <v>2899</v>
      </c>
      <c r="C232" s="0" t="n">
        <v>114001</v>
      </c>
      <c r="D232" s="0" t="n">
        <v>114001</v>
      </c>
      <c r="E232" s="0" t="s">
        <v>961</v>
      </c>
      <c r="F232" s="0" t="s">
        <v>18</v>
      </c>
      <c r="G232" s="7" t="s">
        <v>2900</v>
      </c>
      <c r="H232" s="0" t="s">
        <v>2901</v>
      </c>
      <c r="I232" s="0" t="s">
        <v>21</v>
      </c>
      <c r="J232" s="0" t="s">
        <v>22</v>
      </c>
      <c r="K232" s="0" t="s">
        <v>89</v>
      </c>
      <c r="L232" s="0" t="str">
        <f aca="false">IFERROR(VLOOKUP(K232,'Supplier list'!B:C,2,0),"")</f>
        <v>บริษัท เฮเฟเล่ (ประเทศไทย) จำกัด</v>
      </c>
      <c r="M232" s="1" t="n">
        <f aca="false">FALSE()</f>
        <v>0</v>
      </c>
      <c r="N232" s="2"/>
      <c r="O232" s="2" t="n">
        <v>11</v>
      </c>
    </row>
    <row r="233" customFormat="false" ht="16.4" hidden="false" customHeight="false" outlineLevel="0" collapsed="false">
      <c r="A233" s="0" t="s">
        <v>15</v>
      </c>
      <c r="B233" s="0" t="s">
        <v>2902</v>
      </c>
      <c r="C233" s="0" t="n">
        <v>114001</v>
      </c>
      <c r="D233" s="0" t="n">
        <v>114001</v>
      </c>
      <c r="E233" s="0" t="s">
        <v>961</v>
      </c>
      <c r="F233" s="0" t="s">
        <v>18</v>
      </c>
      <c r="G233" s="7" t="s">
        <v>2903</v>
      </c>
      <c r="H233" s="0" t="s">
        <v>2904</v>
      </c>
      <c r="I233" s="0" t="s">
        <v>21</v>
      </c>
      <c r="J233" s="0" t="s">
        <v>22</v>
      </c>
      <c r="K233" s="0" t="s">
        <v>89</v>
      </c>
      <c r="L233" s="0" t="str">
        <f aca="false">IFERROR(VLOOKUP(K233,'Supplier list'!B:C,2,0),"")</f>
        <v>บริษัท เฮเฟเล่ (ประเทศไทย) จำกัด</v>
      </c>
      <c r="M233" s="1" t="n">
        <f aca="false">FALSE()</f>
        <v>0</v>
      </c>
      <c r="N233" s="2"/>
      <c r="O233" s="2" t="n">
        <v>110</v>
      </c>
    </row>
    <row r="234" customFormat="false" ht="16.4" hidden="false" customHeight="false" outlineLevel="0" collapsed="false">
      <c r="A234" s="0" t="s">
        <v>15</v>
      </c>
      <c r="B234" s="0" t="s">
        <v>2905</v>
      </c>
      <c r="C234" s="0" t="n">
        <v>114001</v>
      </c>
      <c r="D234" s="0" t="n">
        <v>114001</v>
      </c>
      <c r="E234" s="0" t="s">
        <v>961</v>
      </c>
      <c r="F234" s="0" t="s">
        <v>18</v>
      </c>
      <c r="G234" s="7" t="s">
        <v>2906</v>
      </c>
      <c r="H234" s="0" t="s">
        <v>2907</v>
      </c>
      <c r="I234" s="0" t="s">
        <v>21</v>
      </c>
      <c r="J234" s="0" t="s">
        <v>22</v>
      </c>
      <c r="K234" s="0" t="s">
        <v>89</v>
      </c>
      <c r="L234" s="0" t="str">
        <f aca="false">IFERROR(VLOOKUP(K234,'Supplier list'!B:C,2,0),"")</f>
        <v>บริษัท เฮเฟเล่ (ประเทศไทย) จำกัด</v>
      </c>
      <c r="M234" s="1" t="n">
        <f aca="false">FALSE()</f>
        <v>0</v>
      </c>
      <c r="N234" s="2"/>
      <c r="O234" s="2" t="n">
        <v>410</v>
      </c>
    </row>
    <row r="235" customFormat="false" ht="16.4" hidden="false" customHeight="false" outlineLevel="0" collapsed="false">
      <c r="A235" s="0" t="s">
        <v>15</v>
      </c>
      <c r="B235" s="0" t="s">
        <v>2908</v>
      </c>
      <c r="C235" s="0" t="n">
        <v>114001</v>
      </c>
      <c r="D235" s="0" t="n">
        <v>114001</v>
      </c>
      <c r="E235" s="0" t="s">
        <v>961</v>
      </c>
      <c r="F235" s="0" t="s">
        <v>18</v>
      </c>
      <c r="G235" s="7" t="s">
        <v>2909</v>
      </c>
      <c r="H235" s="0" t="s">
        <v>2910</v>
      </c>
      <c r="I235" s="0" t="s">
        <v>21</v>
      </c>
      <c r="J235" s="0" t="s">
        <v>22</v>
      </c>
      <c r="K235" s="0" t="s">
        <v>89</v>
      </c>
      <c r="L235" s="0" t="str">
        <f aca="false">IFERROR(VLOOKUP(K235,'Supplier list'!B:C,2,0),"")</f>
        <v>บริษัท เฮเฟเล่ (ประเทศไทย) จำกัด</v>
      </c>
      <c r="M235" s="1" t="n">
        <f aca="false">FALSE()</f>
        <v>0</v>
      </c>
      <c r="N235" s="2"/>
      <c r="O235" s="2" t="n">
        <v>410</v>
      </c>
    </row>
    <row r="236" customFormat="false" ht="16.4" hidden="false" customHeight="false" outlineLevel="0" collapsed="false">
      <c r="A236" s="0" t="s">
        <v>15</v>
      </c>
      <c r="B236" s="0" t="s">
        <v>2911</v>
      </c>
      <c r="C236" s="0" t="n">
        <v>114001</v>
      </c>
      <c r="D236" s="0" t="n">
        <v>114001</v>
      </c>
      <c r="E236" s="0" t="s">
        <v>1764</v>
      </c>
      <c r="F236" s="0" t="s">
        <v>18</v>
      </c>
      <c r="G236" s="7" t="s">
        <v>2912</v>
      </c>
      <c r="H236" s="0" t="s">
        <v>2913</v>
      </c>
      <c r="I236" s="0" t="s">
        <v>168</v>
      </c>
      <c r="J236" s="0" t="s">
        <v>169</v>
      </c>
      <c r="K236" s="0" t="s">
        <v>89</v>
      </c>
      <c r="L236" s="0" t="str">
        <f aca="false">IFERROR(VLOOKUP(K236,'Supplier list'!B:C,2,0),"")</f>
        <v>บริษัท เฮเฟเล่ (ประเทศไทย) จำกัด</v>
      </c>
      <c r="M236" s="1" t="n">
        <f aca="false">FALSE()</f>
        <v>0</v>
      </c>
      <c r="N236" s="2"/>
      <c r="O236" s="2" t="n">
        <v>970</v>
      </c>
    </row>
    <row r="237" customFormat="false" ht="16.4" hidden="false" customHeight="false" outlineLevel="0" collapsed="false">
      <c r="A237" s="0" t="s">
        <v>15</v>
      </c>
      <c r="B237" s="0" t="s">
        <v>2914</v>
      </c>
      <c r="C237" s="0" t="n">
        <v>114001</v>
      </c>
      <c r="D237" s="0" t="n">
        <v>114001</v>
      </c>
      <c r="E237" s="0" t="s">
        <v>2801</v>
      </c>
      <c r="F237" s="0" t="s">
        <v>18</v>
      </c>
      <c r="G237" s="7" t="s">
        <v>2915</v>
      </c>
      <c r="H237" s="0" t="s">
        <v>2916</v>
      </c>
      <c r="I237" s="0" t="s">
        <v>21</v>
      </c>
      <c r="J237" s="0" t="s">
        <v>22</v>
      </c>
      <c r="K237" s="0" t="s">
        <v>89</v>
      </c>
      <c r="L237" s="0" t="str">
        <f aca="false">IFERROR(VLOOKUP(K237,'Supplier list'!B:C,2,0),"")</f>
        <v>บริษัท เฮเฟเล่ (ประเทศไทย) จำกัด</v>
      </c>
      <c r="M237" s="1" t="n">
        <f aca="false">FALSE()</f>
        <v>0</v>
      </c>
      <c r="N237" s="2"/>
      <c r="O237" s="2" t="n">
        <v>26700</v>
      </c>
    </row>
    <row r="238" customFormat="false" ht="16.4" hidden="false" customHeight="false" outlineLevel="0" collapsed="false">
      <c r="A238" s="0" t="s">
        <v>15</v>
      </c>
      <c r="B238" s="0" t="s">
        <v>2917</v>
      </c>
      <c r="C238" s="0" t="n">
        <v>114001</v>
      </c>
      <c r="D238" s="0" t="n">
        <v>114001</v>
      </c>
      <c r="E238" s="0" t="s">
        <v>2918</v>
      </c>
      <c r="F238" s="0" t="s">
        <v>18</v>
      </c>
      <c r="G238" s="7" t="s">
        <v>2919</v>
      </c>
      <c r="H238" s="0" t="s">
        <v>2920</v>
      </c>
      <c r="I238" s="0" t="s">
        <v>21</v>
      </c>
      <c r="J238" s="0" t="s">
        <v>22</v>
      </c>
      <c r="K238" s="0" t="s">
        <v>89</v>
      </c>
      <c r="L238" s="0" t="str">
        <f aca="false">IFERROR(VLOOKUP(K238,'Supplier list'!B:C,2,0),"")</f>
        <v>บริษัท เฮเฟเล่ (ประเทศไทย) จำกัด</v>
      </c>
      <c r="M238" s="1" t="n">
        <f aca="false">FALSE()</f>
        <v>0</v>
      </c>
      <c r="N238" s="2"/>
      <c r="O238" s="2" t="n">
        <v>83</v>
      </c>
    </row>
    <row r="239" customFormat="false" ht="16.4" hidden="false" customHeight="false" outlineLevel="0" collapsed="false">
      <c r="A239" s="0" t="s">
        <v>15</v>
      </c>
      <c r="B239" s="0" t="s">
        <v>2921</v>
      </c>
      <c r="C239" s="0" t="n">
        <v>114001</v>
      </c>
      <c r="D239" s="0" t="n">
        <v>114001</v>
      </c>
      <c r="E239" s="0" t="s">
        <v>1764</v>
      </c>
      <c r="F239" s="0" t="s">
        <v>18</v>
      </c>
      <c r="G239" s="7" t="s">
        <v>2922</v>
      </c>
      <c r="H239" s="0" t="s">
        <v>2923</v>
      </c>
      <c r="I239" s="0" t="s">
        <v>21</v>
      </c>
      <c r="J239" s="0" t="s">
        <v>22</v>
      </c>
      <c r="L239" s="0" t="str">
        <f aca="false">IFERROR(VLOOKUP(K239,'Supplier list'!B:C,2,0),"")</f>
        <v/>
      </c>
      <c r="M239" s="1" t="n">
        <f aca="false">FALSE()</f>
        <v>0</v>
      </c>
      <c r="N239" s="2"/>
      <c r="O239" s="2" t="n">
        <v>0</v>
      </c>
    </row>
    <row r="240" customFormat="false" ht="16.4" hidden="false" customHeight="false" outlineLevel="0" collapsed="false">
      <c r="A240" s="0" t="s">
        <v>15</v>
      </c>
      <c r="B240" s="0" t="s">
        <v>2924</v>
      </c>
      <c r="C240" s="0" t="n">
        <v>114001</v>
      </c>
      <c r="D240" s="0" t="n">
        <v>114001</v>
      </c>
      <c r="E240" s="0" t="s">
        <v>1601</v>
      </c>
      <c r="F240" s="0" t="s">
        <v>18</v>
      </c>
      <c r="G240" s="7" t="s">
        <v>2925</v>
      </c>
      <c r="H240" s="0" t="s">
        <v>2926</v>
      </c>
      <c r="I240" s="0" t="s">
        <v>168</v>
      </c>
      <c r="J240" s="0" t="s">
        <v>169</v>
      </c>
      <c r="K240" s="0" t="s">
        <v>89</v>
      </c>
      <c r="L240" s="0" t="str">
        <f aca="false">IFERROR(VLOOKUP(K240,'Supplier list'!B:C,2,0),"")</f>
        <v>บริษัท เฮเฟเล่ (ประเทศไทย) จำกัด</v>
      </c>
      <c r="M240" s="1" t="n">
        <f aca="false">FALSE()</f>
        <v>0</v>
      </c>
      <c r="N240" s="2"/>
      <c r="O240" s="2" t="n">
        <v>580</v>
      </c>
    </row>
    <row r="241" customFormat="false" ht="16.4" hidden="false" customHeight="false" outlineLevel="0" collapsed="false">
      <c r="A241" s="0" t="s">
        <v>15</v>
      </c>
      <c r="B241" s="0" t="s">
        <v>2927</v>
      </c>
      <c r="C241" s="0" t="n">
        <v>114001</v>
      </c>
      <c r="D241" s="0" t="n">
        <v>114001</v>
      </c>
      <c r="E241" s="0" t="s">
        <v>1764</v>
      </c>
      <c r="F241" s="0" t="s">
        <v>18</v>
      </c>
      <c r="G241" s="7" t="s">
        <v>2928</v>
      </c>
      <c r="H241" s="0" t="s">
        <v>2929</v>
      </c>
      <c r="I241" s="0" t="s">
        <v>21</v>
      </c>
      <c r="J241" s="0" t="s">
        <v>22</v>
      </c>
      <c r="K241" s="0" t="s">
        <v>89</v>
      </c>
      <c r="L241" s="0" t="str">
        <f aca="false">IFERROR(VLOOKUP(K241,'Supplier list'!B:C,2,0),"")</f>
        <v>บริษัท เฮเฟเล่ (ประเทศไทย) จำกัด</v>
      </c>
      <c r="M241" s="1" t="n">
        <f aca="false">FALSE()</f>
        <v>0</v>
      </c>
      <c r="N241" s="2"/>
      <c r="O241" s="2" t="n">
        <v>970</v>
      </c>
    </row>
    <row r="242" customFormat="false" ht="16.4" hidden="false" customHeight="false" outlineLevel="0" collapsed="false">
      <c r="A242" s="0" t="s">
        <v>15</v>
      </c>
      <c r="B242" s="0" t="s">
        <v>2930</v>
      </c>
      <c r="C242" s="0" t="n">
        <v>114001</v>
      </c>
      <c r="D242" s="0" t="n">
        <v>114001</v>
      </c>
      <c r="E242" s="0" t="s">
        <v>121</v>
      </c>
      <c r="F242" s="0" t="s">
        <v>18</v>
      </c>
      <c r="G242" s="7" t="s">
        <v>2931</v>
      </c>
      <c r="H242" s="0" t="s">
        <v>2932</v>
      </c>
      <c r="I242" s="0" t="s">
        <v>21</v>
      </c>
      <c r="J242" s="0" t="s">
        <v>22</v>
      </c>
      <c r="K242" s="0" t="s">
        <v>89</v>
      </c>
      <c r="L242" s="0" t="str">
        <f aca="false">IFERROR(VLOOKUP(K242,'Supplier list'!B:C,2,0),"")</f>
        <v>บริษัท เฮเฟเล่ (ประเทศไทย) จำกัด</v>
      </c>
      <c r="M242" s="1" t="n">
        <f aca="false">FALSE()</f>
        <v>0</v>
      </c>
      <c r="N242" s="2"/>
      <c r="O242" s="2" t="n">
        <v>1960</v>
      </c>
    </row>
    <row r="243" customFormat="false" ht="16.4" hidden="false" customHeight="false" outlineLevel="0" collapsed="false">
      <c r="A243" s="0" t="s">
        <v>15</v>
      </c>
      <c r="B243" s="0" t="s">
        <v>2933</v>
      </c>
      <c r="C243" s="0" t="n">
        <v>114001</v>
      </c>
      <c r="D243" s="0" t="n">
        <v>114001</v>
      </c>
      <c r="E243" s="0" t="s">
        <v>2934</v>
      </c>
      <c r="F243" s="0" t="s">
        <v>18</v>
      </c>
      <c r="G243" s="7" t="s">
        <v>2935</v>
      </c>
      <c r="H243" s="0" t="s">
        <v>2936</v>
      </c>
      <c r="I243" s="0" t="s">
        <v>21</v>
      </c>
      <c r="J243" s="0" t="s">
        <v>22</v>
      </c>
      <c r="K243" s="0" t="s">
        <v>89</v>
      </c>
      <c r="L243" s="0" t="str">
        <f aca="false">IFERROR(VLOOKUP(K243,'Supplier list'!B:C,2,0),"")</f>
        <v>บริษัท เฮเฟเล่ (ประเทศไทย) จำกัด</v>
      </c>
      <c r="M243" s="1" t="n">
        <f aca="false">FALSE()</f>
        <v>0</v>
      </c>
      <c r="N243" s="2"/>
      <c r="O243" s="2" t="n">
        <v>1350</v>
      </c>
    </row>
    <row r="244" customFormat="false" ht="16.4" hidden="false" customHeight="false" outlineLevel="0" collapsed="false">
      <c r="A244" s="0" t="s">
        <v>15</v>
      </c>
      <c r="B244" s="0" t="s">
        <v>2937</v>
      </c>
      <c r="C244" s="0" t="n">
        <v>114001</v>
      </c>
      <c r="D244" s="0" t="n">
        <v>114001</v>
      </c>
      <c r="E244" s="0" t="s">
        <v>2934</v>
      </c>
      <c r="F244" s="0" t="s">
        <v>18</v>
      </c>
      <c r="G244" s="7" t="s">
        <v>2938</v>
      </c>
      <c r="H244" s="0" t="s">
        <v>2939</v>
      </c>
      <c r="I244" s="0" t="s">
        <v>21</v>
      </c>
      <c r="J244" s="0" t="s">
        <v>22</v>
      </c>
      <c r="K244" s="0" t="s">
        <v>89</v>
      </c>
      <c r="L244" s="0" t="str">
        <f aca="false">IFERROR(VLOOKUP(K244,'Supplier list'!B:C,2,0),"")</f>
        <v>บริษัท เฮเฟเล่ (ประเทศไทย) จำกัด</v>
      </c>
      <c r="M244" s="1" t="n">
        <f aca="false">FALSE()</f>
        <v>0</v>
      </c>
      <c r="N244" s="2"/>
      <c r="O244" s="2" t="n">
        <v>1200</v>
      </c>
    </row>
    <row r="245" customFormat="false" ht="16.4" hidden="false" customHeight="false" outlineLevel="0" collapsed="false">
      <c r="A245" s="0" t="s">
        <v>15</v>
      </c>
      <c r="B245" s="0" t="s">
        <v>2940</v>
      </c>
      <c r="C245" s="0" t="n">
        <v>114001</v>
      </c>
      <c r="D245" s="0" t="n">
        <v>114001</v>
      </c>
      <c r="E245" s="0" t="s">
        <v>2934</v>
      </c>
      <c r="F245" s="0" t="s">
        <v>18</v>
      </c>
      <c r="G245" s="7" t="s">
        <v>2941</v>
      </c>
      <c r="H245" s="0" t="s">
        <v>2942</v>
      </c>
      <c r="I245" s="0" t="s">
        <v>21</v>
      </c>
      <c r="J245" s="0" t="s">
        <v>22</v>
      </c>
      <c r="K245" s="0" t="s">
        <v>89</v>
      </c>
      <c r="L245" s="0" t="str">
        <f aca="false">IFERROR(VLOOKUP(K245,'Supplier list'!B:C,2,0),"")</f>
        <v>บริษัท เฮเฟเล่ (ประเทศไทย) จำกัด</v>
      </c>
      <c r="M245" s="1" t="n">
        <f aca="false">FALSE()</f>
        <v>0</v>
      </c>
      <c r="N245" s="2"/>
      <c r="O245" s="2" t="n">
        <v>190</v>
      </c>
    </row>
    <row r="246" customFormat="false" ht="16.4" hidden="false" customHeight="false" outlineLevel="0" collapsed="false">
      <c r="A246" s="0" t="s">
        <v>15</v>
      </c>
      <c r="B246" s="0" t="s">
        <v>2943</v>
      </c>
      <c r="C246" s="0" t="n">
        <v>114001</v>
      </c>
      <c r="D246" s="0" t="n">
        <v>114001</v>
      </c>
      <c r="E246" s="0" t="s">
        <v>2934</v>
      </c>
      <c r="F246" s="0" t="s">
        <v>18</v>
      </c>
      <c r="G246" s="7" t="s">
        <v>2944</v>
      </c>
      <c r="H246" s="0" t="s">
        <v>2945</v>
      </c>
      <c r="I246" s="0" t="s">
        <v>21</v>
      </c>
      <c r="J246" s="0" t="s">
        <v>22</v>
      </c>
      <c r="K246" s="0" t="s">
        <v>89</v>
      </c>
      <c r="L246" s="0" t="str">
        <f aca="false">IFERROR(VLOOKUP(K246,'Supplier list'!B:C,2,0),"")</f>
        <v>บริษัท เฮเฟเล่ (ประเทศไทย) จำกัด</v>
      </c>
      <c r="M246" s="1" t="n">
        <f aca="false">FALSE()</f>
        <v>0</v>
      </c>
      <c r="N246" s="2"/>
      <c r="O246" s="2" t="n">
        <v>580</v>
      </c>
    </row>
    <row r="247" customFormat="false" ht="16.4" hidden="false" customHeight="false" outlineLevel="0" collapsed="false">
      <c r="A247" s="0" t="s">
        <v>15</v>
      </c>
      <c r="B247" s="0" t="s">
        <v>2946</v>
      </c>
      <c r="C247" s="0" t="n">
        <v>114001</v>
      </c>
      <c r="D247" s="0" t="n">
        <v>114001</v>
      </c>
      <c r="E247" s="0" t="s">
        <v>2934</v>
      </c>
      <c r="F247" s="0" t="s">
        <v>18</v>
      </c>
      <c r="G247" s="7" t="s">
        <v>2947</v>
      </c>
      <c r="H247" s="0" t="s">
        <v>2948</v>
      </c>
      <c r="I247" s="0" t="s">
        <v>21</v>
      </c>
      <c r="J247" s="0" t="s">
        <v>22</v>
      </c>
      <c r="K247" s="0" t="s">
        <v>89</v>
      </c>
      <c r="L247" s="0" t="str">
        <f aca="false">IFERROR(VLOOKUP(K247,'Supplier list'!B:C,2,0),"")</f>
        <v>บริษัท เฮเฟเล่ (ประเทศไทย) จำกัด</v>
      </c>
      <c r="M247" s="1" t="n">
        <f aca="false">FALSE()</f>
        <v>0</v>
      </c>
      <c r="N247" s="2"/>
      <c r="O247" s="2" t="n">
        <v>29</v>
      </c>
    </row>
    <row r="248" customFormat="false" ht="16.4" hidden="false" customHeight="false" outlineLevel="0" collapsed="false">
      <c r="A248" s="0" t="s">
        <v>15</v>
      </c>
      <c r="B248" s="0" t="s">
        <v>2949</v>
      </c>
      <c r="C248" s="0" t="n">
        <v>114001</v>
      </c>
      <c r="D248" s="0" t="n">
        <v>114001</v>
      </c>
      <c r="E248" s="0" t="s">
        <v>2934</v>
      </c>
      <c r="F248" s="0" t="s">
        <v>18</v>
      </c>
      <c r="G248" s="7" t="s">
        <v>2950</v>
      </c>
      <c r="H248" s="0" t="s">
        <v>2951</v>
      </c>
      <c r="I248" s="0" t="s">
        <v>21</v>
      </c>
      <c r="J248" s="0" t="s">
        <v>22</v>
      </c>
      <c r="K248" s="0" t="s">
        <v>89</v>
      </c>
      <c r="L248" s="0" t="str">
        <f aca="false">IFERROR(VLOOKUP(K248,'Supplier list'!B:C,2,0),"")</f>
        <v>บริษัท เฮเฟเล่ (ประเทศไทย) จำกัด</v>
      </c>
      <c r="M248" s="1" t="n">
        <f aca="false">FALSE()</f>
        <v>0</v>
      </c>
      <c r="N248" s="2"/>
      <c r="O248" s="2" t="n">
        <v>11500</v>
      </c>
    </row>
    <row r="249" customFormat="false" ht="16.4" hidden="false" customHeight="false" outlineLevel="0" collapsed="false">
      <c r="A249" s="0" t="s">
        <v>15</v>
      </c>
      <c r="B249" s="0" t="s">
        <v>2952</v>
      </c>
      <c r="C249" s="0" t="n">
        <v>114001</v>
      </c>
      <c r="D249" s="0" t="n">
        <v>114001</v>
      </c>
      <c r="E249" s="0" t="s">
        <v>1653</v>
      </c>
      <c r="F249" s="0" t="s">
        <v>18</v>
      </c>
      <c r="G249" s="7" t="s">
        <v>2953</v>
      </c>
      <c r="H249" s="0" t="s">
        <v>2954</v>
      </c>
      <c r="I249" s="0" t="s">
        <v>21</v>
      </c>
      <c r="J249" s="0" t="s">
        <v>22</v>
      </c>
      <c r="K249" s="0" t="s">
        <v>89</v>
      </c>
      <c r="L249" s="0" t="str">
        <f aca="false">IFERROR(VLOOKUP(K249,'Supplier list'!B:C,2,0),"")</f>
        <v>บริษัท เฮเฟเล่ (ประเทศไทย) จำกัด</v>
      </c>
      <c r="M249" s="1" t="n">
        <f aca="false">FALSE()</f>
        <v>0</v>
      </c>
      <c r="N249" s="2"/>
      <c r="O249" s="2" t="n">
        <v>24500</v>
      </c>
    </row>
    <row r="250" customFormat="false" ht="16.4" hidden="false" customHeight="false" outlineLevel="0" collapsed="false">
      <c r="A250" s="0" t="s">
        <v>15</v>
      </c>
      <c r="B250" s="0" t="s">
        <v>2955</v>
      </c>
      <c r="C250" s="0" t="n">
        <v>114001</v>
      </c>
      <c r="D250" s="0" t="n">
        <v>114001</v>
      </c>
      <c r="E250" s="0" t="s">
        <v>961</v>
      </c>
      <c r="F250" s="0" t="s">
        <v>18</v>
      </c>
      <c r="G250" s="7" t="s">
        <v>2956</v>
      </c>
      <c r="H250" s="0" t="s">
        <v>2957</v>
      </c>
      <c r="I250" s="0" t="s">
        <v>21</v>
      </c>
      <c r="J250" s="0" t="s">
        <v>22</v>
      </c>
      <c r="K250" s="0" t="s">
        <v>89</v>
      </c>
      <c r="L250" s="0" t="str">
        <f aca="false">IFERROR(VLOOKUP(K250,'Supplier list'!B:C,2,0),"")</f>
        <v>บริษัท เฮเฟเล่ (ประเทศไทย) จำกัด</v>
      </c>
      <c r="M250" s="1" t="n">
        <f aca="false">FALSE()</f>
        <v>0</v>
      </c>
      <c r="N250" s="2"/>
      <c r="O250" s="2" t="n">
        <v>140</v>
      </c>
    </row>
    <row r="251" customFormat="false" ht="16.4" hidden="false" customHeight="false" outlineLevel="0" collapsed="false">
      <c r="A251" s="0" t="s">
        <v>15</v>
      </c>
      <c r="B251" s="0" t="s">
        <v>2958</v>
      </c>
      <c r="C251" s="0" t="n">
        <v>114001</v>
      </c>
      <c r="D251" s="0" t="n">
        <v>114001</v>
      </c>
      <c r="E251" s="0" t="s">
        <v>1727</v>
      </c>
      <c r="F251" s="0" t="s">
        <v>18</v>
      </c>
      <c r="G251" s="7" t="s">
        <v>2959</v>
      </c>
      <c r="H251" s="0" t="s">
        <v>2960</v>
      </c>
      <c r="I251" s="0" t="s">
        <v>21</v>
      </c>
      <c r="J251" s="0" t="s">
        <v>22</v>
      </c>
      <c r="K251" s="0" t="s">
        <v>787</v>
      </c>
      <c r="L251" s="0" t="str">
        <f aca="false">IFERROR(VLOOKUP(K251,'Supplier list'!B:C,2,0),"")</f>
        <v>บริษัท ฟิวเจอร์เทค อินเตอร์มาร์เก็ตติ้ง จำกัด</v>
      </c>
      <c r="M251" s="1" t="n">
        <f aca="false">FALSE()</f>
        <v>0</v>
      </c>
      <c r="N251" s="2"/>
      <c r="O251" s="2" t="n">
        <v>230</v>
      </c>
    </row>
    <row r="252" customFormat="false" ht="16.4" hidden="false" customHeight="false" outlineLevel="0" collapsed="false">
      <c r="A252" s="0" t="s">
        <v>15</v>
      </c>
      <c r="B252" s="0" t="s">
        <v>2961</v>
      </c>
      <c r="C252" s="0" t="n">
        <v>114001</v>
      </c>
      <c r="D252" s="0" t="n">
        <v>114001</v>
      </c>
      <c r="E252" s="0" t="s">
        <v>1764</v>
      </c>
      <c r="F252" s="0" t="s">
        <v>18</v>
      </c>
      <c r="G252" s="7" t="s">
        <v>2962</v>
      </c>
      <c r="H252" s="0" t="s">
        <v>2963</v>
      </c>
      <c r="I252" s="0" t="s">
        <v>168</v>
      </c>
      <c r="J252" s="0" t="s">
        <v>169</v>
      </c>
      <c r="K252" s="0" t="s">
        <v>787</v>
      </c>
      <c r="L252" s="0" t="str">
        <f aca="false">IFERROR(VLOOKUP(K252,'Supplier list'!B:C,2,0),"")</f>
        <v>บริษัท ฟิวเจอร์เทค อินเตอร์มาร์เก็ตติ้ง จำกัด</v>
      </c>
      <c r="M252" s="1" t="n">
        <f aca="false">FALSE()</f>
        <v>0</v>
      </c>
      <c r="N252" s="2"/>
      <c r="O252" s="2" t="n">
        <v>420</v>
      </c>
    </row>
    <row r="253" customFormat="false" ht="16.4" hidden="false" customHeight="false" outlineLevel="0" collapsed="false">
      <c r="A253" s="0" t="s">
        <v>15</v>
      </c>
      <c r="B253" s="0" t="s">
        <v>2964</v>
      </c>
      <c r="C253" s="0" t="n">
        <v>114001</v>
      </c>
      <c r="D253" s="0" t="n">
        <v>114001</v>
      </c>
      <c r="E253" s="0" t="s">
        <v>1764</v>
      </c>
      <c r="F253" s="0" t="s">
        <v>18</v>
      </c>
      <c r="G253" s="7" t="s">
        <v>2965</v>
      </c>
      <c r="H253" s="0" t="s">
        <v>2966</v>
      </c>
      <c r="I253" s="0" t="s">
        <v>168</v>
      </c>
      <c r="J253" s="0" t="s">
        <v>169</v>
      </c>
      <c r="K253" s="0" t="s">
        <v>787</v>
      </c>
      <c r="L253" s="0" t="str">
        <f aca="false">IFERROR(VLOOKUP(K253,'Supplier list'!B:C,2,0),"")</f>
        <v>บริษัท ฟิวเจอร์เทค อินเตอร์มาร์เก็ตติ้ง จำกัด</v>
      </c>
      <c r="M253" s="1" t="n">
        <f aca="false">FALSE()</f>
        <v>0</v>
      </c>
      <c r="N253" s="2"/>
      <c r="O253" s="2" t="n">
        <v>630</v>
      </c>
    </row>
    <row r="254" customFormat="false" ht="16.4" hidden="false" customHeight="false" outlineLevel="0" collapsed="false">
      <c r="A254" s="0" t="s">
        <v>15</v>
      </c>
      <c r="B254" s="0" t="s">
        <v>2967</v>
      </c>
      <c r="C254" s="0" t="n">
        <v>114001</v>
      </c>
      <c r="D254" s="0" t="n">
        <v>114001</v>
      </c>
      <c r="E254" s="0" t="s">
        <v>1605</v>
      </c>
      <c r="F254" s="0" t="s">
        <v>18</v>
      </c>
      <c r="G254" s="7" t="s">
        <v>2968</v>
      </c>
      <c r="H254" s="0" t="s">
        <v>2969</v>
      </c>
      <c r="I254" s="0" t="s">
        <v>21</v>
      </c>
      <c r="J254" s="0" t="s">
        <v>22</v>
      </c>
      <c r="K254" s="0" t="s">
        <v>787</v>
      </c>
      <c r="L254" s="0" t="str">
        <f aca="false">IFERROR(VLOOKUP(K254,'Supplier list'!B:C,2,0),"")</f>
        <v>บริษัท ฟิวเจอร์เทค อินเตอร์มาร์เก็ตติ้ง จำกัด</v>
      </c>
      <c r="M254" s="1" t="n">
        <f aca="false">FALSE()</f>
        <v>0</v>
      </c>
      <c r="N254" s="2"/>
      <c r="O254" s="2" t="n">
        <v>2</v>
      </c>
    </row>
    <row r="255" customFormat="false" ht="16.4" hidden="false" customHeight="false" outlineLevel="0" collapsed="false">
      <c r="A255" s="0" t="s">
        <v>15</v>
      </c>
      <c r="B255" s="0" t="s">
        <v>2970</v>
      </c>
      <c r="C255" s="0" t="n">
        <v>114001</v>
      </c>
      <c r="D255" s="0" t="n">
        <v>114001</v>
      </c>
      <c r="E255" s="0" t="s">
        <v>1764</v>
      </c>
      <c r="F255" s="0" t="s">
        <v>18</v>
      </c>
      <c r="G255" s="7" t="s">
        <v>2971</v>
      </c>
      <c r="H255" s="0" t="s">
        <v>2972</v>
      </c>
      <c r="I255" s="0" t="s">
        <v>21</v>
      </c>
      <c r="J255" s="0" t="s">
        <v>22</v>
      </c>
      <c r="K255" s="0" t="s">
        <v>89</v>
      </c>
      <c r="L255" s="0" t="str">
        <f aca="false">IFERROR(VLOOKUP(K255,'Supplier list'!B:C,2,0),"")</f>
        <v>บริษัท เฮเฟเล่ (ประเทศไทย) จำกัด</v>
      </c>
      <c r="M255" s="1" t="n">
        <f aca="false">FALSE()</f>
        <v>0</v>
      </c>
      <c r="N255" s="2"/>
      <c r="O255" s="2" t="n">
        <v>270</v>
      </c>
    </row>
    <row r="256" customFormat="false" ht="16.4" hidden="false" customHeight="false" outlineLevel="0" collapsed="false">
      <c r="A256" s="0" t="s">
        <v>15</v>
      </c>
      <c r="B256" s="0" t="s">
        <v>2973</v>
      </c>
      <c r="C256" s="0" t="n">
        <v>114001</v>
      </c>
      <c r="D256" s="0" t="n">
        <v>114001</v>
      </c>
      <c r="E256" s="0" t="s">
        <v>1764</v>
      </c>
      <c r="F256" s="0" t="s">
        <v>18</v>
      </c>
      <c r="G256" s="7" t="s">
        <v>2974</v>
      </c>
      <c r="H256" s="0" t="s">
        <v>2975</v>
      </c>
      <c r="I256" s="0" t="s">
        <v>21</v>
      </c>
      <c r="J256" s="0" t="s">
        <v>22</v>
      </c>
      <c r="K256" s="0" t="s">
        <v>89</v>
      </c>
      <c r="L256" s="0" t="str">
        <f aca="false">IFERROR(VLOOKUP(K256,'Supplier list'!B:C,2,0),"")</f>
        <v>บริษัท เฮเฟเล่ (ประเทศไทย) จำกัด</v>
      </c>
      <c r="M256" s="1" t="n">
        <f aca="false">FALSE()</f>
        <v>0</v>
      </c>
      <c r="N256" s="2"/>
      <c r="O256" s="2" t="n">
        <v>1360</v>
      </c>
    </row>
    <row r="257" customFormat="false" ht="16.4" hidden="false" customHeight="false" outlineLevel="0" collapsed="false">
      <c r="A257" s="0" t="s">
        <v>15</v>
      </c>
      <c r="B257" s="0" t="s">
        <v>2976</v>
      </c>
      <c r="C257" s="0" t="n">
        <v>114001</v>
      </c>
      <c r="D257" s="0" t="n">
        <v>114001</v>
      </c>
      <c r="E257" s="0" t="s">
        <v>1764</v>
      </c>
      <c r="F257" s="0" t="s">
        <v>18</v>
      </c>
      <c r="G257" s="7" t="s">
        <v>2977</v>
      </c>
      <c r="H257" s="0" t="s">
        <v>2978</v>
      </c>
      <c r="I257" s="0" t="s">
        <v>21</v>
      </c>
      <c r="J257" s="0" t="s">
        <v>22</v>
      </c>
      <c r="K257" s="0" t="s">
        <v>89</v>
      </c>
      <c r="L257" s="0" t="str">
        <f aca="false">IFERROR(VLOOKUP(K257,'Supplier list'!B:C,2,0),"")</f>
        <v>บริษัท เฮเฟเล่ (ประเทศไทย) จำกัด</v>
      </c>
      <c r="M257" s="1" t="n">
        <f aca="false">FALSE()</f>
        <v>0</v>
      </c>
      <c r="N257" s="2"/>
      <c r="O257" s="2" t="n">
        <v>1210</v>
      </c>
    </row>
    <row r="258" customFormat="false" ht="16.4" hidden="false" customHeight="false" outlineLevel="0" collapsed="false">
      <c r="A258" s="0" t="s">
        <v>15</v>
      </c>
      <c r="B258" s="0" t="s">
        <v>2979</v>
      </c>
      <c r="C258" s="0" t="n">
        <v>114001</v>
      </c>
      <c r="D258" s="0" t="n">
        <v>114001</v>
      </c>
      <c r="E258" s="0" t="s">
        <v>1764</v>
      </c>
      <c r="F258" s="0" t="s">
        <v>18</v>
      </c>
      <c r="G258" s="7" t="s">
        <v>2980</v>
      </c>
      <c r="H258" s="0" t="s">
        <v>2981</v>
      </c>
      <c r="I258" s="0" t="s">
        <v>21</v>
      </c>
      <c r="J258" s="0" t="s">
        <v>22</v>
      </c>
      <c r="K258" s="0" t="s">
        <v>89</v>
      </c>
      <c r="L258" s="0" t="str">
        <f aca="false">IFERROR(VLOOKUP(K258,'Supplier list'!B:C,2,0),"")</f>
        <v>บริษัท เฮเฟเล่ (ประเทศไทย) จำกัด</v>
      </c>
      <c r="M258" s="1" t="n">
        <f aca="false">FALSE()</f>
        <v>0</v>
      </c>
      <c r="N258" s="2"/>
      <c r="O258" s="2" t="n">
        <v>1690</v>
      </c>
    </row>
    <row r="259" customFormat="false" ht="16.4" hidden="false" customHeight="false" outlineLevel="0" collapsed="false">
      <c r="A259" s="0" t="s">
        <v>15</v>
      </c>
      <c r="B259" s="0" t="s">
        <v>2982</v>
      </c>
      <c r="C259" s="0" t="n">
        <v>114001</v>
      </c>
      <c r="D259" s="0" t="n">
        <v>114001</v>
      </c>
      <c r="E259" s="0" t="s">
        <v>2983</v>
      </c>
      <c r="F259" s="0" t="s">
        <v>18</v>
      </c>
      <c r="G259" s="7" t="s">
        <v>2984</v>
      </c>
      <c r="H259" s="0" t="s">
        <v>2985</v>
      </c>
      <c r="I259" s="0" t="s">
        <v>21</v>
      </c>
      <c r="J259" s="0" t="s">
        <v>22</v>
      </c>
      <c r="K259" s="0" t="s">
        <v>89</v>
      </c>
      <c r="L259" s="0" t="str">
        <f aca="false">IFERROR(VLOOKUP(K259,'Supplier list'!B:C,2,0),"")</f>
        <v>บริษัท เฮเฟเล่ (ประเทศไทย) จำกัด</v>
      </c>
      <c r="M259" s="1" t="n">
        <f aca="false">FALSE()</f>
        <v>0</v>
      </c>
      <c r="N259" s="2"/>
      <c r="O259" s="2" t="n">
        <v>180</v>
      </c>
    </row>
    <row r="260" customFormat="false" ht="16.4" hidden="false" customHeight="false" outlineLevel="0" collapsed="false">
      <c r="A260" s="0" t="s">
        <v>15</v>
      </c>
      <c r="B260" s="0" t="s">
        <v>2986</v>
      </c>
      <c r="C260" s="0" t="n">
        <v>114001</v>
      </c>
      <c r="D260" s="0" t="n">
        <v>114001</v>
      </c>
      <c r="E260" s="0" t="s">
        <v>2983</v>
      </c>
      <c r="F260" s="0" t="s">
        <v>18</v>
      </c>
      <c r="G260" s="7" t="s">
        <v>2987</v>
      </c>
      <c r="H260" s="0" t="s">
        <v>2988</v>
      </c>
      <c r="I260" s="0" t="s">
        <v>21</v>
      </c>
      <c r="J260" s="0" t="s">
        <v>22</v>
      </c>
      <c r="K260" s="0" t="s">
        <v>89</v>
      </c>
      <c r="L260" s="0" t="str">
        <f aca="false">IFERROR(VLOOKUP(K260,'Supplier list'!B:C,2,0),"")</f>
        <v>บริษัท เฮเฟเล่ (ประเทศไทย) จำกัด</v>
      </c>
      <c r="M260" s="1" t="n">
        <f aca="false">FALSE()</f>
        <v>0</v>
      </c>
      <c r="N260" s="2"/>
      <c r="O260" s="2" t="n">
        <v>370</v>
      </c>
    </row>
    <row r="261" customFormat="false" ht="16.4" hidden="false" customHeight="false" outlineLevel="0" collapsed="false">
      <c r="A261" s="0" t="s">
        <v>15</v>
      </c>
      <c r="B261" s="0" t="s">
        <v>2989</v>
      </c>
      <c r="C261" s="0" t="n">
        <v>114001</v>
      </c>
      <c r="D261" s="0" t="n">
        <v>114001</v>
      </c>
      <c r="E261" s="0" t="s">
        <v>1653</v>
      </c>
      <c r="F261" s="0" t="s">
        <v>18</v>
      </c>
      <c r="G261" s="7" t="s">
        <v>2990</v>
      </c>
      <c r="H261" s="0" t="s">
        <v>2991</v>
      </c>
      <c r="I261" s="0" t="s">
        <v>124</v>
      </c>
      <c r="J261" s="0" t="s">
        <v>125</v>
      </c>
      <c r="K261" s="0" t="s">
        <v>89</v>
      </c>
      <c r="L261" s="0" t="str">
        <f aca="false">IFERROR(VLOOKUP(K261,'Supplier list'!B:C,2,0),"")</f>
        <v>บริษัท เฮเฟเล่ (ประเทศไทย) จำกัด</v>
      </c>
      <c r="M261" s="1" t="n">
        <f aca="false">FALSE()</f>
        <v>0</v>
      </c>
      <c r="N261" s="2"/>
      <c r="O261" s="2" t="n">
        <v>14673</v>
      </c>
    </row>
    <row r="262" customFormat="false" ht="16.4" hidden="false" customHeight="false" outlineLevel="0" collapsed="false">
      <c r="A262" s="0" t="s">
        <v>15</v>
      </c>
      <c r="B262" s="0" t="s">
        <v>2992</v>
      </c>
      <c r="C262" s="0" t="n">
        <v>114001</v>
      </c>
      <c r="D262" s="0" t="n">
        <v>114001</v>
      </c>
      <c r="E262" s="0" t="s">
        <v>1653</v>
      </c>
      <c r="F262" s="0" t="s">
        <v>18</v>
      </c>
      <c r="G262" s="7" t="s">
        <v>2993</v>
      </c>
      <c r="H262" s="0" t="s">
        <v>2994</v>
      </c>
      <c r="I262" s="0" t="s">
        <v>124</v>
      </c>
      <c r="J262" s="0" t="s">
        <v>125</v>
      </c>
      <c r="K262" s="0" t="s">
        <v>89</v>
      </c>
      <c r="L262" s="0" t="str">
        <f aca="false">IFERROR(VLOOKUP(K262,'Supplier list'!B:C,2,0),"")</f>
        <v>บริษัท เฮเฟเล่ (ประเทศไทย) จำกัด</v>
      </c>
      <c r="M262" s="1" t="n">
        <f aca="false">FALSE()</f>
        <v>0</v>
      </c>
      <c r="N262" s="2"/>
      <c r="O262" s="2" t="n">
        <v>14019</v>
      </c>
    </row>
    <row r="263" customFormat="false" ht="16.4" hidden="false" customHeight="false" outlineLevel="0" collapsed="false">
      <c r="A263" s="0" t="s">
        <v>15</v>
      </c>
      <c r="B263" s="0" t="s">
        <v>2995</v>
      </c>
      <c r="C263" s="0" t="n">
        <v>114001</v>
      </c>
      <c r="D263" s="0" t="n">
        <v>114001</v>
      </c>
      <c r="E263" s="0" t="s">
        <v>1653</v>
      </c>
      <c r="F263" s="0" t="s">
        <v>18</v>
      </c>
      <c r="G263" s="7" t="s">
        <v>2996</v>
      </c>
      <c r="H263" s="0" t="s">
        <v>2997</v>
      </c>
      <c r="I263" s="0" t="s">
        <v>124</v>
      </c>
      <c r="J263" s="0" t="s">
        <v>125</v>
      </c>
      <c r="K263" s="0" t="s">
        <v>89</v>
      </c>
      <c r="L263" s="0" t="str">
        <f aca="false">IFERROR(VLOOKUP(K263,'Supplier list'!B:C,2,0),"")</f>
        <v>บริษัท เฮเฟเล่ (ประเทศไทย) จำกัด</v>
      </c>
      <c r="M263" s="1" t="n">
        <f aca="false">FALSE()</f>
        <v>0</v>
      </c>
      <c r="N263" s="2"/>
      <c r="O263" s="2" t="n">
        <v>4900</v>
      </c>
    </row>
    <row r="264" customFormat="false" ht="16.4" hidden="false" customHeight="false" outlineLevel="0" collapsed="false">
      <c r="A264" s="0" t="s">
        <v>15</v>
      </c>
      <c r="B264" s="0" t="s">
        <v>2998</v>
      </c>
      <c r="C264" s="0" t="n">
        <v>114001</v>
      </c>
      <c r="D264" s="0" t="n">
        <v>114001</v>
      </c>
      <c r="E264" s="0" t="s">
        <v>1653</v>
      </c>
      <c r="F264" s="0" t="s">
        <v>18</v>
      </c>
      <c r="G264" s="7" t="s">
        <v>2999</v>
      </c>
      <c r="H264" s="0" t="s">
        <v>2845</v>
      </c>
      <c r="I264" s="0" t="s">
        <v>124</v>
      </c>
      <c r="J264" s="0" t="s">
        <v>125</v>
      </c>
      <c r="K264" s="0" t="s">
        <v>89</v>
      </c>
      <c r="L264" s="0" t="str">
        <f aca="false">IFERROR(VLOOKUP(K264,'Supplier list'!B:C,2,0),"")</f>
        <v>บริษัท เฮเฟเล่ (ประเทศไทย) จำกัด</v>
      </c>
      <c r="M264" s="1" t="n">
        <f aca="false">FALSE()</f>
        <v>0</v>
      </c>
      <c r="N264" s="2"/>
      <c r="O264" s="2" t="n">
        <v>7440</v>
      </c>
    </row>
    <row r="265" customFormat="false" ht="16.4" hidden="false" customHeight="false" outlineLevel="0" collapsed="false">
      <c r="A265" s="0" t="s">
        <v>15</v>
      </c>
      <c r="B265" s="0" t="s">
        <v>3000</v>
      </c>
      <c r="C265" s="0" t="n">
        <v>114001</v>
      </c>
      <c r="D265" s="0" t="n">
        <v>114001</v>
      </c>
      <c r="E265" s="0" t="s">
        <v>961</v>
      </c>
      <c r="F265" s="0" t="s">
        <v>18</v>
      </c>
      <c r="G265" s="7" t="s">
        <v>3001</v>
      </c>
      <c r="H265" s="0" t="s">
        <v>3002</v>
      </c>
      <c r="I265" s="0" t="s">
        <v>517</v>
      </c>
      <c r="J265" s="0" t="s">
        <v>518</v>
      </c>
      <c r="K265" s="0" t="s">
        <v>89</v>
      </c>
      <c r="L265" s="0" t="str">
        <f aca="false">IFERROR(VLOOKUP(K265,'Supplier list'!B:C,2,0),"")</f>
        <v>บริษัท เฮเฟเล่ (ประเทศไทย) จำกัด</v>
      </c>
      <c r="M265" s="1" t="n">
        <f aca="false">FALSE()</f>
        <v>0</v>
      </c>
      <c r="N265" s="2"/>
      <c r="O265" s="2" t="n">
        <v>3370</v>
      </c>
    </row>
    <row r="266" customFormat="false" ht="16.4" hidden="false" customHeight="false" outlineLevel="0" collapsed="false">
      <c r="A266" s="0" t="s">
        <v>15</v>
      </c>
      <c r="B266" s="0" t="s">
        <v>3003</v>
      </c>
      <c r="C266" s="0" t="n">
        <v>114001</v>
      </c>
      <c r="D266" s="0" t="n">
        <v>114001</v>
      </c>
      <c r="E266" s="0" t="s">
        <v>1653</v>
      </c>
      <c r="F266" s="0" t="s">
        <v>18</v>
      </c>
      <c r="G266" s="7" t="s">
        <v>3004</v>
      </c>
      <c r="H266" s="0" t="s">
        <v>2857</v>
      </c>
      <c r="I266" s="0" t="s">
        <v>21</v>
      </c>
      <c r="J266" s="0" t="s">
        <v>22</v>
      </c>
      <c r="K266" s="0" t="s">
        <v>89</v>
      </c>
      <c r="L266" s="0" t="str">
        <f aca="false">IFERROR(VLOOKUP(K266,'Supplier list'!B:C,2,0),"")</f>
        <v>บริษัท เฮเฟเล่ (ประเทศไทย) จำกัด</v>
      </c>
      <c r="M266" s="1" t="n">
        <f aca="false">FALSE()</f>
        <v>0</v>
      </c>
      <c r="N266" s="2"/>
      <c r="O266" s="2" t="n">
        <v>3700</v>
      </c>
    </row>
    <row r="267" customFormat="false" ht="16.4" hidden="false" customHeight="false" outlineLevel="0" collapsed="false">
      <c r="A267" s="0" t="s">
        <v>15</v>
      </c>
      <c r="B267" s="0" t="s">
        <v>3005</v>
      </c>
      <c r="C267" s="0" t="n">
        <v>114001</v>
      </c>
      <c r="D267" s="0" t="n">
        <v>114001</v>
      </c>
      <c r="E267" s="0" t="s">
        <v>1684</v>
      </c>
      <c r="F267" s="0" t="s">
        <v>18</v>
      </c>
      <c r="G267" s="7" t="s">
        <v>3006</v>
      </c>
      <c r="H267" s="0" t="s">
        <v>3007</v>
      </c>
      <c r="I267" s="0" t="s">
        <v>21</v>
      </c>
      <c r="J267" s="0" t="s">
        <v>22</v>
      </c>
      <c r="K267" s="0" t="s">
        <v>89</v>
      </c>
      <c r="L267" s="0" t="str">
        <f aca="false">IFERROR(VLOOKUP(K267,'Supplier list'!B:C,2,0),"")</f>
        <v>บริษัท เฮเฟเล่ (ประเทศไทย) จำกัด</v>
      </c>
      <c r="M267" s="1" t="n">
        <f aca="false">FALSE()</f>
        <v>0</v>
      </c>
      <c r="N267" s="2"/>
      <c r="O267" s="2" t="n">
        <v>636</v>
      </c>
    </row>
    <row r="268" customFormat="false" ht="16.4" hidden="false" customHeight="false" outlineLevel="0" collapsed="false">
      <c r="A268" s="0" t="s">
        <v>15</v>
      </c>
      <c r="B268" s="0" t="s">
        <v>3008</v>
      </c>
      <c r="C268" s="0" t="n">
        <v>114001</v>
      </c>
      <c r="D268" s="0" t="n">
        <v>114001</v>
      </c>
      <c r="E268" s="0" t="s">
        <v>1653</v>
      </c>
      <c r="F268" s="0" t="s">
        <v>18</v>
      </c>
      <c r="G268" s="7" t="s">
        <v>3009</v>
      </c>
      <c r="H268" s="0" t="s">
        <v>3010</v>
      </c>
      <c r="I268" s="0" t="s">
        <v>21</v>
      </c>
      <c r="J268" s="0" t="s">
        <v>22</v>
      </c>
      <c r="K268" s="0" t="s">
        <v>89</v>
      </c>
      <c r="L268" s="0" t="str">
        <f aca="false">IFERROR(VLOOKUP(K268,'Supplier list'!B:C,2,0),"")</f>
        <v>บริษัท เฮเฟเล่ (ประเทศไทย) จำกัด</v>
      </c>
      <c r="M268" s="1" t="n">
        <f aca="false">FALSE()</f>
        <v>0</v>
      </c>
      <c r="N268" s="2"/>
      <c r="O268" s="2" t="n">
        <v>1440</v>
      </c>
    </row>
    <row r="269" customFormat="false" ht="16.4" hidden="false" customHeight="false" outlineLevel="0" collapsed="false">
      <c r="A269" s="0" t="s">
        <v>15</v>
      </c>
      <c r="B269" s="0" t="s">
        <v>3011</v>
      </c>
      <c r="C269" s="0" t="n">
        <v>114001</v>
      </c>
      <c r="D269" s="0" t="n">
        <v>114001</v>
      </c>
      <c r="E269" s="0" t="s">
        <v>1605</v>
      </c>
      <c r="F269" s="0" t="s">
        <v>18</v>
      </c>
      <c r="G269" s="7" t="s">
        <v>3012</v>
      </c>
      <c r="H269" s="0" t="s">
        <v>3013</v>
      </c>
      <c r="I269" s="0" t="s">
        <v>21</v>
      </c>
      <c r="J269" s="0" t="s">
        <v>22</v>
      </c>
      <c r="K269" s="0" t="s">
        <v>89</v>
      </c>
      <c r="L269" s="0" t="str">
        <f aca="false">IFERROR(VLOOKUP(K269,'Supplier list'!B:C,2,0),"")</f>
        <v>บริษัท เฮเฟเล่ (ประเทศไทย) จำกัด</v>
      </c>
      <c r="M269" s="1" t="n">
        <f aca="false">FALSE()</f>
        <v>0</v>
      </c>
      <c r="N269" s="2"/>
      <c r="O269" s="2" t="n">
        <v>3000</v>
      </c>
    </row>
    <row r="270" customFormat="false" ht="16.4" hidden="false" customHeight="false" outlineLevel="0" collapsed="false">
      <c r="A270" s="0" t="s">
        <v>15</v>
      </c>
      <c r="B270" s="0" t="s">
        <v>3014</v>
      </c>
      <c r="C270" s="0" t="n">
        <v>114001</v>
      </c>
      <c r="D270" s="0" t="n">
        <v>114001</v>
      </c>
      <c r="E270" s="0" t="s">
        <v>1605</v>
      </c>
      <c r="F270" s="0" t="s">
        <v>18</v>
      </c>
      <c r="G270" s="7" t="s">
        <v>3015</v>
      </c>
      <c r="H270" s="0" t="s">
        <v>3016</v>
      </c>
      <c r="I270" s="0" t="s">
        <v>21</v>
      </c>
      <c r="J270" s="0" t="s">
        <v>22</v>
      </c>
      <c r="K270" s="0" t="s">
        <v>89</v>
      </c>
      <c r="L270" s="0" t="str">
        <f aca="false">IFERROR(VLOOKUP(K270,'Supplier list'!B:C,2,0),"")</f>
        <v>บริษัท เฮเฟเล่ (ประเทศไทย) จำกัด</v>
      </c>
      <c r="M270" s="1" t="n">
        <f aca="false">FALSE()</f>
        <v>0</v>
      </c>
      <c r="N270" s="2"/>
      <c r="O270" s="2" t="n">
        <v>580</v>
      </c>
    </row>
    <row r="271" customFormat="false" ht="16.4" hidden="false" customHeight="false" outlineLevel="0" collapsed="false">
      <c r="A271" s="0" t="s">
        <v>15</v>
      </c>
      <c r="B271" s="0" t="s">
        <v>3017</v>
      </c>
      <c r="C271" s="0" t="n">
        <v>114001</v>
      </c>
      <c r="D271" s="0" t="n">
        <v>114001</v>
      </c>
      <c r="E271" s="0" t="s">
        <v>1764</v>
      </c>
      <c r="F271" s="0" t="s">
        <v>18</v>
      </c>
      <c r="G271" s="7" t="s">
        <v>3018</v>
      </c>
      <c r="H271" s="0" t="s">
        <v>3019</v>
      </c>
      <c r="I271" s="0" t="s">
        <v>21</v>
      </c>
      <c r="J271" s="0" t="s">
        <v>22</v>
      </c>
      <c r="K271" s="0" t="s">
        <v>89</v>
      </c>
      <c r="L271" s="0" t="str">
        <f aca="false">IFERROR(VLOOKUP(K271,'Supplier list'!B:C,2,0),"")</f>
        <v>บริษัท เฮเฟเล่ (ประเทศไทย) จำกัด</v>
      </c>
      <c r="M271" s="1" t="n">
        <f aca="false">FALSE()</f>
        <v>0</v>
      </c>
      <c r="N271" s="2"/>
      <c r="O271" s="2" t="n">
        <v>79</v>
      </c>
    </row>
    <row r="272" customFormat="false" ht="16.4" hidden="false" customHeight="false" outlineLevel="0" collapsed="false">
      <c r="A272" s="0" t="s">
        <v>15</v>
      </c>
      <c r="B272" s="0" t="s">
        <v>3020</v>
      </c>
      <c r="C272" s="0" t="n">
        <v>114001</v>
      </c>
      <c r="D272" s="0" t="n">
        <v>114001</v>
      </c>
      <c r="E272" s="0" t="s">
        <v>1764</v>
      </c>
      <c r="F272" s="0" t="s">
        <v>18</v>
      </c>
      <c r="G272" s="7" t="s">
        <v>3021</v>
      </c>
      <c r="H272" s="0" t="s">
        <v>3022</v>
      </c>
      <c r="I272" s="0" t="s">
        <v>21</v>
      </c>
      <c r="J272" s="0" t="s">
        <v>22</v>
      </c>
      <c r="K272" s="0" t="s">
        <v>89</v>
      </c>
      <c r="L272" s="0" t="str">
        <f aca="false">IFERROR(VLOOKUP(K272,'Supplier list'!B:C,2,0),"")</f>
        <v>บริษัท เฮเฟเล่ (ประเทศไทย) จำกัด</v>
      </c>
      <c r="M272" s="1" t="n">
        <f aca="false">FALSE()</f>
        <v>0</v>
      </c>
      <c r="N272" s="2"/>
      <c r="O272" s="2" t="n">
        <v>78</v>
      </c>
    </row>
    <row r="273" customFormat="false" ht="16.4" hidden="false" customHeight="false" outlineLevel="0" collapsed="false">
      <c r="A273" s="0" t="s">
        <v>15</v>
      </c>
      <c r="B273" s="0" t="s">
        <v>3023</v>
      </c>
      <c r="C273" s="0" t="n">
        <v>114001</v>
      </c>
      <c r="D273" s="0" t="n">
        <v>114001</v>
      </c>
      <c r="E273" s="0" t="s">
        <v>1764</v>
      </c>
      <c r="F273" s="0" t="s">
        <v>18</v>
      </c>
      <c r="G273" s="7" t="s">
        <v>3024</v>
      </c>
      <c r="H273" s="0" t="s">
        <v>3025</v>
      </c>
      <c r="I273" s="0" t="s">
        <v>21</v>
      </c>
      <c r="J273" s="0" t="s">
        <v>22</v>
      </c>
      <c r="K273" s="0" t="s">
        <v>89</v>
      </c>
      <c r="L273" s="0" t="str">
        <f aca="false">IFERROR(VLOOKUP(K273,'Supplier list'!B:C,2,0),"")</f>
        <v>บริษัท เฮเฟเล่ (ประเทศไทย) จำกัด</v>
      </c>
      <c r="M273" s="1" t="n">
        <f aca="false">FALSE()</f>
        <v>0</v>
      </c>
      <c r="N273" s="2"/>
      <c r="O273" s="2" t="n">
        <v>78</v>
      </c>
    </row>
    <row r="274" customFormat="false" ht="16.4" hidden="false" customHeight="false" outlineLevel="0" collapsed="false">
      <c r="A274" s="0" t="s">
        <v>15</v>
      </c>
      <c r="B274" s="0" t="s">
        <v>3026</v>
      </c>
      <c r="C274" s="0" t="n">
        <v>114001</v>
      </c>
      <c r="D274" s="0" t="n">
        <v>114001</v>
      </c>
      <c r="E274" s="0" t="s">
        <v>1605</v>
      </c>
      <c r="F274" s="0" t="s">
        <v>18</v>
      </c>
      <c r="G274" s="7" t="s">
        <v>3027</v>
      </c>
      <c r="H274" s="0" t="s">
        <v>3028</v>
      </c>
      <c r="I274" s="0" t="s">
        <v>21</v>
      </c>
      <c r="J274" s="0" t="s">
        <v>22</v>
      </c>
      <c r="K274" s="0" t="s">
        <v>89</v>
      </c>
      <c r="L274" s="0" t="str">
        <f aca="false">IFERROR(VLOOKUP(K274,'Supplier list'!B:C,2,0),"")</f>
        <v>บริษัท เฮเฟเล่ (ประเทศไทย) จำกัด</v>
      </c>
      <c r="M274" s="1" t="n">
        <f aca="false">FALSE()</f>
        <v>0</v>
      </c>
      <c r="N274" s="2"/>
      <c r="O274" s="2" t="n">
        <v>67</v>
      </c>
    </row>
    <row r="275" customFormat="false" ht="16.4" hidden="false" customHeight="false" outlineLevel="0" collapsed="false">
      <c r="A275" s="0" t="s">
        <v>15</v>
      </c>
      <c r="B275" s="0" t="s">
        <v>3029</v>
      </c>
      <c r="C275" s="0" t="n">
        <v>114001</v>
      </c>
      <c r="D275" s="0" t="n">
        <v>114001</v>
      </c>
      <c r="E275" s="0" t="s">
        <v>1804</v>
      </c>
      <c r="F275" s="0" t="s">
        <v>18</v>
      </c>
      <c r="G275" s="7" t="s">
        <v>3030</v>
      </c>
      <c r="H275" s="0" t="s">
        <v>3031</v>
      </c>
      <c r="I275" s="0" t="s">
        <v>124</v>
      </c>
      <c r="J275" s="0" t="s">
        <v>125</v>
      </c>
      <c r="K275" s="0" t="s">
        <v>1725</v>
      </c>
      <c r="L275" s="0" t="str">
        <f aca="false">IFERROR(VLOOKUP(K275,'Supplier list'!B:C,2,0),"")</f>
        <v>บริษัท พรีซิชั่นไลน์ จำกัด</v>
      </c>
      <c r="M275" s="1" t="n">
        <f aca="false">FALSE()</f>
        <v>0</v>
      </c>
      <c r="N275" s="2"/>
      <c r="O275" s="2" t="n">
        <v>10900</v>
      </c>
    </row>
    <row r="276" customFormat="false" ht="16.4" hidden="false" customHeight="false" outlineLevel="0" collapsed="false">
      <c r="A276" s="0" t="s">
        <v>15</v>
      </c>
      <c r="B276" s="0" t="s">
        <v>3032</v>
      </c>
      <c r="C276" s="0" t="n">
        <v>114001</v>
      </c>
      <c r="D276" s="0" t="n">
        <v>114001</v>
      </c>
      <c r="E276" s="0" t="s">
        <v>1764</v>
      </c>
      <c r="F276" s="0" t="s">
        <v>18</v>
      </c>
      <c r="G276" s="7" t="s">
        <v>3033</v>
      </c>
      <c r="H276" s="0" t="s">
        <v>3034</v>
      </c>
      <c r="I276" s="0" t="s">
        <v>124</v>
      </c>
      <c r="J276" s="0" t="s">
        <v>125</v>
      </c>
      <c r="K276" s="0" t="s">
        <v>89</v>
      </c>
      <c r="L276" s="0" t="str">
        <f aca="false">IFERROR(VLOOKUP(K276,'Supplier list'!B:C,2,0),"")</f>
        <v>บริษัท เฮเฟเล่ (ประเทศไทย) จำกัด</v>
      </c>
      <c r="M276" s="1" t="n">
        <f aca="false">FALSE()</f>
        <v>0</v>
      </c>
      <c r="N276" s="2"/>
      <c r="O276" s="2" t="n">
        <v>95</v>
      </c>
    </row>
    <row r="277" customFormat="false" ht="16.4" hidden="false" customHeight="false" outlineLevel="0" collapsed="false">
      <c r="A277" s="0" t="s">
        <v>15</v>
      </c>
      <c r="B277" s="0" t="s">
        <v>3035</v>
      </c>
      <c r="C277" s="0" t="n">
        <v>114001</v>
      </c>
      <c r="D277" s="0" t="n">
        <v>114001</v>
      </c>
      <c r="E277" s="0" t="s">
        <v>874</v>
      </c>
      <c r="F277" s="0" t="s">
        <v>18</v>
      </c>
      <c r="G277" s="7" t="s">
        <v>3036</v>
      </c>
      <c r="H277" s="0" t="s">
        <v>3037</v>
      </c>
      <c r="I277" s="0" t="s">
        <v>124</v>
      </c>
      <c r="J277" s="0" t="s">
        <v>125</v>
      </c>
      <c r="K277" s="0" t="s">
        <v>89</v>
      </c>
      <c r="L277" s="0" t="str">
        <f aca="false">IFERROR(VLOOKUP(K277,'Supplier list'!B:C,2,0),"")</f>
        <v>บริษัท เฮเฟเล่ (ประเทศไทย) จำกัด</v>
      </c>
      <c r="M277" s="1" t="n">
        <f aca="false">FALSE()</f>
        <v>0</v>
      </c>
      <c r="N277" s="2"/>
      <c r="O277" s="2" t="n">
        <v>1300</v>
      </c>
    </row>
    <row r="278" customFormat="false" ht="16.4" hidden="false" customHeight="false" outlineLevel="0" collapsed="false">
      <c r="A278" s="0" t="s">
        <v>15</v>
      </c>
      <c r="B278" s="0" t="s">
        <v>3038</v>
      </c>
      <c r="C278" s="0" t="n">
        <v>114001</v>
      </c>
      <c r="D278" s="0" t="n">
        <v>114001</v>
      </c>
      <c r="E278" s="0" t="s">
        <v>2547</v>
      </c>
      <c r="F278" s="0" t="s">
        <v>18</v>
      </c>
      <c r="G278" s="7" t="s">
        <v>3039</v>
      </c>
      <c r="H278" s="0" t="s">
        <v>3040</v>
      </c>
      <c r="I278" s="0" t="s">
        <v>701</v>
      </c>
      <c r="J278" s="0" t="s">
        <v>22</v>
      </c>
      <c r="K278" s="0" t="s">
        <v>3041</v>
      </c>
      <c r="L278" s="0" t="str">
        <f aca="false">IFERROR(VLOOKUP(K278,'Supplier list'!B:C,2,0),"")</f>
        <v>บริษัท พร้อมธรรม แพ็คเก็จจิ้ง จำกัด</v>
      </c>
      <c r="M278" s="1" t="n">
        <f aca="false">FALSE()</f>
        <v>0</v>
      </c>
      <c r="N278" s="2"/>
      <c r="O278" s="2" t="n">
        <v>42</v>
      </c>
    </row>
    <row r="279" customFormat="false" ht="16.4" hidden="false" customHeight="false" outlineLevel="0" collapsed="false">
      <c r="A279" s="0" t="s">
        <v>15</v>
      </c>
      <c r="B279" s="0" t="s">
        <v>3042</v>
      </c>
      <c r="C279" s="0" t="n">
        <v>114001</v>
      </c>
      <c r="D279" s="0" t="n">
        <v>114001</v>
      </c>
      <c r="E279" s="0" t="s">
        <v>2547</v>
      </c>
      <c r="F279" s="0" t="s">
        <v>18</v>
      </c>
      <c r="G279" s="7" t="s">
        <v>3043</v>
      </c>
      <c r="H279" s="0" t="s">
        <v>3044</v>
      </c>
      <c r="I279" s="0" t="s">
        <v>701</v>
      </c>
      <c r="J279" s="0" t="s">
        <v>22</v>
      </c>
      <c r="K279" s="0" t="s">
        <v>3041</v>
      </c>
      <c r="L279" s="0" t="str">
        <f aca="false">IFERROR(VLOOKUP(K279,'Supplier list'!B:C,2,0),"")</f>
        <v>บริษัท พร้อมธรรม แพ็คเก็จจิ้ง จำกัด</v>
      </c>
      <c r="M279" s="1" t="n">
        <f aca="false">FALSE()</f>
        <v>0</v>
      </c>
      <c r="N279" s="2"/>
      <c r="O279" s="2" t="n">
        <v>53</v>
      </c>
    </row>
    <row r="280" customFormat="false" ht="16.4" hidden="false" customHeight="false" outlineLevel="0" collapsed="false">
      <c r="A280" s="0" t="s">
        <v>15</v>
      </c>
      <c r="B280" s="0" t="s">
        <v>3045</v>
      </c>
      <c r="C280" s="0" t="n">
        <v>114001</v>
      </c>
      <c r="D280" s="0" t="n">
        <v>114001</v>
      </c>
      <c r="E280" s="0" t="s">
        <v>2547</v>
      </c>
      <c r="F280" s="0" t="s">
        <v>18</v>
      </c>
      <c r="G280" s="7" t="s">
        <v>3046</v>
      </c>
      <c r="H280" s="0" t="s">
        <v>3047</v>
      </c>
      <c r="I280" s="0" t="s">
        <v>701</v>
      </c>
      <c r="J280" s="0" t="s">
        <v>22</v>
      </c>
      <c r="K280" s="0" t="s">
        <v>3041</v>
      </c>
      <c r="L280" s="0" t="str">
        <f aca="false">IFERROR(VLOOKUP(K280,'Supplier list'!B:C,2,0),"")</f>
        <v>บริษัท พร้อมธรรม แพ็คเก็จจิ้ง จำกัด</v>
      </c>
      <c r="M280" s="1" t="n">
        <f aca="false">FALSE()</f>
        <v>0</v>
      </c>
      <c r="N280" s="2"/>
      <c r="O280" s="2" t="n">
        <v>62.5</v>
      </c>
    </row>
    <row r="281" customFormat="false" ht="16.4" hidden="false" customHeight="false" outlineLevel="0" collapsed="false">
      <c r="A281" s="0" t="s">
        <v>15</v>
      </c>
      <c r="B281" s="0" t="s">
        <v>3048</v>
      </c>
      <c r="C281" s="0" t="n">
        <v>114001</v>
      </c>
      <c r="D281" s="0" t="n">
        <v>114001</v>
      </c>
      <c r="E281" s="0" t="s">
        <v>2185</v>
      </c>
      <c r="F281" s="0" t="s">
        <v>18</v>
      </c>
      <c r="G281" s="7" t="s">
        <v>3049</v>
      </c>
      <c r="H281" s="0" t="s">
        <v>2875</v>
      </c>
      <c r="I281" s="0" t="s">
        <v>701</v>
      </c>
      <c r="J281" s="0" t="s">
        <v>22</v>
      </c>
      <c r="K281" s="0" t="s">
        <v>89</v>
      </c>
      <c r="L281" s="0" t="str">
        <f aca="false">IFERROR(VLOOKUP(K281,'Supplier list'!B:C,2,0),"")</f>
        <v>บริษัท เฮเฟเล่ (ประเทศไทย) จำกัด</v>
      </c>
      <c r="M281" s="1" t="n">
        <f aca="false">FALSE()</f>
        <v>0</v>
      </c>
      <c r="N281" s="2"/>
      <c r="O281" s="2" t="n">
        <v>920</v>
      </c>
    </row>
    <row r="282" customFormat="false" ht="16.4" hidden="false" customHeight="false" outlineLevel="0" collapsed="false">
      <c r="A282" s="0" t="s">
        <v>15</v>
      </c>
      <c r="B282" s="0" t="s">
        <v>3050</v>
      </c>
      <c r="C282" s="0" t="n">
        <v>114001</v>
      </c>
      <c r="D282" s="0" t="n">
        <v>114001</v>
      </c>
      <c r="E282" s="0" t="s">
        <v>2185</v>
      </c>
      <c r="F282" s="0" t="s">
        <v>18</v>
      </c>
      <c r="G282" s="7" t="s">
        <v>3051</v>
      </c>
      <c r="H282" s="0" t="s">
        <v>2878</v>
      </c>
      <c r="I282" s="0" t="s">
        <v>701</v>
      </c>
      <c r="J282" s="0" t="s">
        <v>22</v>
      </c>
      <c r="K282" s="0" t="s">
        <v>89</v>
      </c>
      <c r="L282" s="0" t="str">
        <f aca="false">IFERROR(VLOOKUP(K282,'Supplier list'!B:C,2,0),"")</f>
        <v>บริษัท เฮเฟเล่ (ประเทศไทย) จำกัด</v>
      </c>
      <c r="M282" s="1" t="n">
        <f aca="false">FALSE()</f>
        <v>0</v>
      </c>
      <c r="N282" s="2"/>
      <c r="O282" s="2" t="n">
        <v>33</v>
      </c>
    </row>
    <row r="283" customFormat="false" ht="16.4" hidden="false" customHeight="false" outlineLevel="0" collapsed="false">
      <c r="A283" s="0" t="s">
        <v>15</v>
      </c>
      <c r="B283" s="0" t="s">
        <v>3052</v>
      </c>
      <c r="C283" s="0" t="n">
        <v>114001</v>
      </c>
      <c r="D283" s="0" t="n">
        <v>114001</v>
      </c>
      <c r="E283" s="0" t="s">
        <v>2185</v>
      </c>
      <c r="F283" s="0" t="s">
        <v>18</v>
      </c>
      <c r="G283" s="7" t="s">
        <v>3053</v>
      </c>
      <c r="H283" s="0" t="s">
        <v>2087</v>
      </c>
      <c r="I283" s="0" t="s">
        <v>701</v>
      </c>
      <c r="J283" s="0" t="s">
        <v>22</v>
      </c>
      <c r="K283" s="0" t="s">
        <v>89</v>
      </c>
      <c r="L283" s="0" t="str">
        <f aca="false">IFERROR(VLOOKUP(K283,'Supplier list'!B:C,2,0),"")</f>
        <v>บริษัท เฮเฟเล่ (ประเทศไทย) จำกัด</v>
      </c>
      <c r="M283" s="1" t="n">
        <f aca="false">FALSE()</f>
        <v>0</v>
      </c>
      <c r="N283" s="2"/>
      <c r="O283" s="2" t="n">
        <v>44</v>
      </c>
    </row>
    <row r="284" customFormat="false" ht="16.4" hidden="false" customHeight="false" outlineLevel="0" collapsed="false">
      <c r="A284" s="0" t="s">
        <v>15</v>
      </c>
      <c r="B284" s="0" t="s">
        <v>3054</v>
      </c>
      <c r="C284" s="0" t="n">
        <v>114001</v>
      </c>
      <c r="D284" s="0" t="n">
        <v>114001</v>
      </c>
      <c r="E284" s="0" t="s">
        <v>1612</v>
      </c>
      <c r="F284" s="0" t="s">
        <v>18</v>
      </c>
      <c r="G284" s="7" t="s">
        <v>3055</v>
      </c>
      <c r="H284" s="0" t="s">
        <v>2090</v>
      </c>
      <c r="I284" s="0" t="s">
        <v>701</v>
      </c>
      <c r="J284" s="0" t="s">
        <v>22</v>
      </c>
      <c r="K284" s="0" t="s">
        <v>89</v>
      </c>
      <c r="L284" s="0" t="str">
        <f aca="false">IFERROR(VLOOKUP(K284,'Supplier list'!B:C,2,0),"")</f>
        <v>บริษัท เฮเฟเล่ (ประเทศไทย) จำกัด</v>
      </c>
      <c r="M284" s="1" t="n">
        <f aca="false">FALSE()</f>
        <v>0</v>
      </c>
      <c r="N284" s="2"/>
      <c r="O284" s="2" t="n">
        <v>22</v>
      </c>
    </row>
    <row r="285" customFormat="false" ht="16.4" hidden="false" customHeight="false" outlineLevel="0" collapsed="false">
      <c r="A285" s="0" t="s">
        <v>15</v>
      </c>
      <c r="B285" s="0" t="s">
        <v>3056</v>
      </c>
      <c r="C285" s="0" t="n">
        <v>114001</v>
      </c>
      <c r="D285" s="0" t="n">
        <v>114001</v>
      </c>
      <c r="E285" s="0" t="s">
        <v>1605</v>
      </c>
      <c r="F285" s="0" t="s">
        <v>18</v>
      </c>
      <c r="G285" s="7" t="s">
        <v>3057</v>
      </c>
      <c r="H285" s="0" t="s">
        <v>3058</v>
      </c>
      <c r="I285" s="0" t="s">
        <v>21</v>
      </c>
      <c r="J285" s="0" t="s">
        <v>22</v>
      </c>
      <c r="K285" s="0" t="s">
        <v>1753</v>
      </c>
      <c r="L285" s="0" t="str">
        <f aca="false">IFERROR(VLOOKUP(K285,'Supplier list'!B:C,2,0),"")</f>
        <v>บริษัท ไอ.โอ.ดีไซน์ แอนด์ โฮม จำกัด</v>
      </c>
      <c r="M285" s="1" t="n">
        <f aca="false">FALSE()</f>
        <v>0</v>
      </c>
      <c r="N285" s="2"/>
      <c r="O285" s="2" t="n">
        <v>390</v>
      </c>
    </row>
    <row r="286" customFormat="false" ht="16.4" hidden="false" customHeight="false" outlineLevel="0" collapsed="false">
      <c r="A286" s="0" t="s">
        <v>15</v>
      </c>
      <c r="B286" s="0" t="s">
        <v>3059</v>
      </c>
      <c r="C286" s="0" t="n">
        <v>114001</v>
      </c>
      <c r="D286" s="0" t="n">
        <v>114001</v>
      </c>
      <c r="E286" s="0" t="s">
        <v>1684</v>
      </c>
      <c r="F286" s="0" t="s">
        <v>18</v>
      </c>
      <c r="G286" s="7" t="s">
        <v>3060</v>
      </c>
      <c r="H286" s="0" t="s">
        <v>3061</v>
      </c>
      <c r="I286" s="0" t="s">
        <v>21</v>
      </c>
      <c r="J286" s="0" t="s">
        <v>22</v>
      </c>
      <c r="K286" s="0" t="s">
        <v>89</v>
      </c>
      <c r="L286" s="0" t="str">
        <f aca="false">IFERROR(VLOOKUP(K286,'Supplier list'!B:C,2,0),"")</f>
        <v>บริษัท เฮเฟเล่ (ประเทศไทย) จำกัด</v>
      </c>
      <c r="M286" s="1" t="n">
        <f aca="false">TRUE()</f>
        <v>1</v>
      </c>
      <c r="N286" s="2" t="n">
        <v>1690</v>
      </c>
      <c r="O286" s="2" t="n">
        <v>750</v>
      </c>
    </row>
    <row r="287" customFormat="false" ht="16.4" hidden="false" customHeight="false" outlineLevel="0" collapsed="false">
      <c r="A287" s="0" t="s">
        <v>15</v>
      </c>
      <c r="B287" s="0" t="s">
        <v>3062</v>
      </c>
      <c r="C287" s="0" t="n">
        <v>114001</v>
      </c>
      <c r="D287" s="0" t="n">
        <v>114001</v>
      </c>
      <c r="E287" s="0" t="s">
        <v>2596</v>
      </c>
      <c r="F287" s="0" t="s">
        <v>18</v>
      </c>
      <c r="G287" s="7" t="s">
        <v>3063</v>
      </c>
      <c r="H287" s="0" t="s">
        <v>3064</v>
      </c>
      <c r="I287" s="0" t="s">
        <v>21</v>
      </c>
      <c r="J287" s="0" t="s">
        <v>22</v>
      </c>
      <c r="K287" s="0" t="s">
        <v>89</v>
      </c>
      <c r="L287" s="0" t="str">
        <f aca="false">IFERROR(VLOOKUP(K287,'Supplier list'!B:C,2,0),"")</f>
        <v>บริษัท เฮเฟเล่ (ประเทศไทย) จำกัด</v>
      </c>
      <c r="M287" s="1" t="n">
        <f aca="false">FALSE()</f>
        <v>0</v>
      </c>
      <c r="N287" s="2"/>
      <c r="O287" s="2" t="n">
        <v>66</v>
      </c>
    </row>
    <row r="288" customFormat="false" ht="16.4" hidden="false" customHeight="false" outlineLevel="0" collapsed="false">
      <c r="A288" s="0" t="s">
        <v>15</v>
      </c>
      <c r="B288" s="0" t="s">
        <v>3065</v>
      </c>
      <c r="C288" s="0" t="n">
        <v>114001</v>
      </c>
      <c r="D288" s="0" t="n">
        <v>114001</v>
      </c>
      <c r="E288" s="0" t="s">
        <v>1634</v>
      </c>
      <c r="F288" s="0" t="s">
        <v>18</v>
      </c>
      <c r="G288" s="7" t="s">
        <v>3066</v>
      </c>
      <c r="H288" s="0" t="s">
        <v>3067</v>
      </c>
      <c r="I288" s="0" t="s">
        <v>21</v>
      </c>
      <c r="J288" s="0" t="s">
        <v>22</v>
      </c>
      <c r="K288" s="0" t="s">
        <v>89</v>
      </c>
      <c r="L288" s="0" t="str">
        <f aca="false">IFERROR(VLOOKUP(K288,'Supplier list'!B:C,2,0),"")</f>
        <v>บริษัท เฮเฟเล่ (ประเทศไทย) จำกัด</v>
      </c>
      <c r="M288" s="1" t="n">
        <f aca="false">FALSE()</f>
        <v>0</v>
      </c>
      <c r="N288" s="2"/>
      <c r="O288" s="2" t="n">
        <v>954</v>
      </c>
    </row>
    <row r="289" customFormat="false" ht="16.4" hidden="false" customHeight="false" outlineLevel="0" collapsed="false">
      <c r="A289" s="0" t="s">
        <v>15</v>
      </c>
      <c r="B289" s="0" t="s">
        <v>3068</v>
      </c>
      <c r="C289" s="0" t="n">
        <v>114001</v>
      </c>
      <c r="D289" s="0" t="n">
        <v>114001</v>
      </c>
      <c r="E289" s="0" t="s">
        <v>874</v>
      </c>
      <c r="F289" s="0" t="s">
        <v>18</v>
      </c>
      <c r="G289" s="7" t="s">
        <v>3069</v>
      </c>
      <c r="H289" s="0" t="s">
        <v>3070</v>
      </c>
      <c r="I289" s="0" t="s">
        <v>21</v>
      </c>
      <c r="J289" s="0" t="s">
        <v>22</v>
      </c>
      <c r="K289" s="0" t="s">
        <v>89</v>
      </c>
      <c r="L289" s="0" t="str">
        <f aca="false">IFERROR(VLOOKUP(K289,'Supplier list'!B:C,2,0),"")</f>
        <v>บริษัท เฮเฟเล่ (ประเทศไทย) จำกัด</v>
      </c>
      <c r="M289" s="1" t="n">
        <f aca="false">FALSE()</f>
        <v>0</v>
      </c>
      <c r="N289" s="2"/>
      <c r="O289" s="2" t="n">
        <v>32500</v>
      </c>
    </row>
    <row r="290" customFormat="false" ht="16.4" hidden="false" customHeight="false" outlineLevel="0" collapsed="false">
      <c r="A290" s="0" t="s">
        <v>15</v>
      </c>
      <c r="B290" s="0" t="s">
        <v>3071</v>
      </c>
      <c r="C290" s="0" t="n">
        <v>114001</v>
      </c>
      <c r="D290" s="0" t="n">
        <v>114001</v>
      </c>
      <c r="E290" s="0" t="s">
        <v>1804</v>
      </c>
      <c r="F290" s="0" t="s">
        <v>18</v>
      </c>
      <c r="G290" s="7" t="s">
        <v>3072</v>
      </c>
      <c r="H290" s="0" t="s">
        <v>3073</v>
      </c>
      <c r="I290" s="0" t="s">
        <v>21</v>
      </c>
      <c r="J290" s="0" t="s">
        <v>22</v>
      </c>
      <c r="K290" s="0" t="s">
        <v>787</v>
      </c>
      <c r="L290" s="0" t="str">
        <f aca="false">IFERROR(VLOOKUP(K290,'Supplier list'!B:C,2,0),"")</f>
        <v>บริษัท ฟิวเจอร์เทค อินเตอร์มาร์เก็ตติ้ง จำกัด</v>
      </c>
      <c r="M290" s="1" t="n">
        <f aca="false">TRUE()</f>
        <v>1</v>
      </c>
      <c r="N290" s="2" t="n">
        <v>1790</v>
      </c>
      <c r="O290" s="2" t="n">
        <v>700</v>
      </c>
    </row>
    <row r="291" customFormat="false" ht="41.75" hidden="false" customHeight="false" outlineLevel="0" collapsed="false">
      <c r="A291" s="0" t="s">
        <v>15</v>
      </c>
      <c r="B291" s="0" t="s">
        <v>3074</v>
      </c>
      <c r="C291" s="0" t="n">
        <v>114001</v>
      </c>
      <c r="D291" s="0" t="n">
        <v>114001</v>
      </c>
      <c r="E291" s="0" t="s">
        <v>121</v>
      </c>
      <c r="F291" s="0" t="s">
        <v>18</v>
      </c>
      <c r="G291" s="7" t="s">
        <v>3075</v>
      </c>
      <c r="H291" s="0" t="s">
        <v>3076</v>
      </c>
      <c r="I291" s="0" t="s">
        <v>142</v>
      </c>
      <c r="J291" s="0" t="s">
        <v>143</v>
      </c>
      <c r="K291" s="6" t="s">
        <v>192</v>
      </c>
      <c r="L291" s="0" t="str">
        <f aca="false">IFERROR(VLOOKUP(K291,'Supplier list'!B:C,2,0),"")</f>
        <v/>
      </c>
      <c r="M291" s="1" t="n">
        <f aca="false">FALSE()</f>
        <v>0</v>
      </c>
      <c r="N291" s="2"/>
      <c r="O291" s="2" t="n">
        <v>210</v>
      </c>
    </row>
    <row r="292" customFormat="false" ht="16.4" hidden="false" customHeight="false" outlineLevel="0" collapsed="false">
      <c r="A292" s="0" t="s">
        <v>15</v>
      </c>
      <c r="B292" s="0" t="s">
        <v>3077</v>
      </c>
      <c r="C292" s="0" t="n">
        <v>114001</v>
      </c>
      <c r="D292" s="0" t="n">
        <v>114001</v>
      </c>
      <c r="E292" s="0" t="s">
        <v>1815</v>
      </c>
      <c r="F292" s="0" t="s">
        <v>18</v>
      </c>
      <c r="G292" s="7" t="s">
        <v>3078</v>
      </c>
      <c r="H292" s="0" t="s">
        <v>3079</v>
      </c>
      <c r="I292" s="0" t="s">
        <v>124</v>
      </c>
      <c r="J292" s="0" t="s">
        <v>125</v>
      </c>
      <c r="K292" s="0" t="s">
        <v>89</v>
      </c>
      <c r="L292" s="0" t="str">
        <f aca="false">IFERROR(VLOOKUP(K292,'Supplier list'!B:C,2,0),"")</f>
        <v>บริษัท เฮเฟเล่ (ประเทศไทย) จำกัด</v>
      </c>
      <c r="M292" s="1" t="n">
        <f aca="false">FALSE()</f>
        <v>0</v>
      </c>
      <c r="N292" s="2"/>
      <c r="O292" s="2" t="n">
        <v>1100</v>
      </c>
    </row>
    <row r="293" customFormat="false" ht="16.4" hidden="false" customHeight="false" outlineLevel="0" collapsed="false">
      <c r="A293" s="0" t="s">
        <v>15</v>
      </c>
      <c r="B293" s="0" t="s">
        <v>3080</v>
      </c>
      <c r="C293" s="0" t="n">
        <v>114001</v>
      </c>
      <c r="D293" s="0" t="n">
        <v>114001</v>
      </c>
      <c r="E293" s="0" t="s">
        <v>1653</v>
      </c>
      <c r="F293" s="0" t="s">
        <v>18</v>
      </c>
      <c r="G293" s="7" t="s">
        <v>3081</v>
      </c>
      <c r="H293" s="0" t="s">
        <v>3082</v>
      </c>
      <c r="I293" s="0" t="s">
        <v>124</v>
      </c>
      <c r="J293" s="0" t="s">
        <v>125</v>
      </c>
      <c r="K293" s="0" t="s">
        <v>1725</v>
      </c>
      <c r="L293" s="0" t="str">
        <f aca="false">IFERROR(VLOOKUP(K293,'Supplier list'!B:C,2,0),"")</f>
        <v>บริษัท พรีซิชั่นไลน์ จำกัด</v>
      </c>
      <c r="M293" s="1" t="n">
        <f aca="false">FALSE()</f>
        <v>0</v>
      </c>
      <c r="N293" s="2"/>
      <c r="O293" s="2" t="n">
        <v>8100</v>
      </c>
    </row>
    <row r="294" customFormat="false" ht="16.4" hidden="false" customHeight="false" outlineLevel="0" collapsed="false">
      <c r="A294" s="0" t="s">
        <v>15</v>
      </c>
      <c r="B294" s="0" t="s">
        <v>3083</v>
      </c>
      <c r="C294" s="0" t="n">
        <v>114001</v>
      </c>
      <c r="D294" s="0" t="n">
        <v>114001</v>
      </c>
      <c r="E294" s="0" t="s">
        <v>1764</v>
      </c>
      <c r="F294" s="0" t="s">
        <v>18</v>
      </c>
      <c r="G294" s="7" t="s">
        <v>3084</v>
      </c>
      <c r="H294" s="0" t="s">
        <v>3085</v>
      </c>
      <c r="I294" s="0" t="s">
        <v>124</v>
      </c>
      <c r="J294" s="0" t="s">
        <v>125</v>
      </c>
      <c r="K294" s="0" t="s">
        <v>89</v>
      </c>
      <c r="L294" s="0" t="str">
        <f aca="false">IFERROR(VLOOKUP(K294,'Supplier list'!B:C,2,0),"")</f>
        <v>บริษัท เฮเฟเล่ (ประเทศไทย) จำกัด</v>
      </c>
      <c r="M294" s="1" t="n">
        <f aca="false">FALSE()</f>
        <v>0</v>
      </c>
      <c r="N294" s="2"/>
      <c r="O294" s="2" t="n">
        <v>1250</v>
      </c>
    </row>
    <row r="295" customFormat="false" ht="16.4" hidden="false" customHeight="false" outlineLevel="0" collapsed="false">
      <c r="A295" s="0" t="s">
        <v>15</v>
      </c>
      <c r="B295" s="0" t="s">
        <v>3086</v>
      </c>
      <c r="C295" s="0" t="n">
        <v>114001</v>
      </c>
      <c r="D295" s="0" t="n">
        <v>114001</v>
      </c>
      <c r="E295" s="0" t="s">
        <v>1815</v>
      </c>
      <c r="F295" s="0" t="s">
        <v>18</v>
      </c>
      <c r="G295" s="7" t="s">
        <v>3087</v>
      </c>
      <c r="H295" s="0" t="s">
        <v>3088</v>
      </c>
      <c r="I295" s="0" t="s">
        <v>124</v>
      </c>
      <c r="J295" s="0" t="s">
        <v>125</v>
      </c>
      <c r="K295" s="0" t="s">
        <v>3089</v>
      </c>
      <c r="L295" s="0" t="str">
        <f aca="false">IFERROR(VLOOKUP(K295,'Supplier list'!B:C,2,0),"")</f>
        <v/>
      </c>
      <c r="M295" s="1" t="n">
        <f aca="false">FALSE()</f>
        <v>0</v>
      </c>
      <c r="N295" s="2"/>
      <c r="O295" s="2" t="n">
        <v>585</v>
      </c>
    </row>
    <row r="296" customFormat="false" ht="16.4" hidden="false" customHeight="false" outlineLevel="0" collapsed="false">
      <c r="A296" s="0" t="s">
        <v>15</v>
      </c>
      <c r="B296" s="0" t="s">
        <v>3090</v>
      </c>
      <c r="C296" s="0" t="n">
        <v>114001</v>
      </c>
      <c r="D296" s="0" t="n">
        <v>114001</v>
      </c>
      <c r="E296" s="0" t="s">
        <v>1815</v>
      </c>
      <c r="F296" s="0" t="s">
        <v>18</v>
      </c>
      <c r="G296" s="7" t="s">
        <v>3091</v>
      </c>
      <c r="H296" s="0" t="s">
        <v>3092</v>
      </c>
      <c r="I296" s="0" t="s">
        <v>124</v>
      </c>
      <c r="J296" s="0" t="s">
        <v>125</v>
      </c>
      <c r="K296" s="0" t="s">
        <v>787</v>
      </c>
      <c r="L296" s="0" t="str">
        <f aca="false">IFERROR(VLOOKUP(K296,'Supplier list'!B:C,2,0),"")</f>
        <v>บริษัท ฟิวเจอร์เทค อินเตอร์มาร์เก็ตติ้ง จำกัด</v>
      </c>
      <c r="M296" s="1" t="n">
        <f aca="false">FALSE()</f>
        <v>0</v>
      </c>
      <c r="N296" s="2"/>
      <c r="O296" s="2" t="n">
        <v>505</v>
      </c>
    </row>
    <row r="297" customFormat="false" ht="16.4" hidden="false" customHeight="false" outlineLevel="0" collapsed="false">
      <c r="A297" s="0" t="s">
        <v>15</v>
      </c>
      <c r="B297" s="0" t="s">
        <v>3093</v>
      </c>
      <c r="C297" s="0" t="n">
        <v>114001</v>
      </c>
      <c r="D297" s="0" t="n">
        <v>114001</v>
      </c>
      <c r="E297" s="0" t="s">
        <v>2596</v>
      </c>
      <c r="F297" s="0" t="s">
        <v>18</v>
      </c>
      <c r="G297" s="7" t="s">
        <v>3094</v>
      </c>
      <c r="H297" s="0" t="s">
        <v>3095</v>
      </c>
      <c r="I297" s="0" t="s">
        <v>124</v>
      </c>
      <c r="J297" s="0" t="s">
        <v>125</v>
      </c>
      <c r="K297" s="0" t="s">
        <v>89</v>
      </c>
      <c r="L297" s="0" t="str">
        <f aca="false">IFERROR(VLOOKUP(K297,'Supplier list'!B:C,2,0),"")</f>
        <v>บริษัท เฮเฟเล่ (ประเทศไทย) จำกัด</v>
      </c>
      <c r="M297" s="1" t="n">
        <f aca="false">FALSE()</f>
        <v>0</v>
      </c>
      <c r="N297" s="2"/>
      <c r="O297" s="2" t="n">
        <v>66</v>
      </c>
    </row>
    <row r="298" customFormat="false" ht="16.4" hidden="false" customHeight="false" outlineLevel="0" collapsed="false">
      <c r="A298" s="0" t="s">
        <v>15</v>
      </c>
      <c r="B298" s="0" t="s">
        <v>3096</v>
      </c>
      <c r="C298" s="0" t="n">
        <v>114001</v>
      </c>
      <c r="D298" s="0" t="n">
        <v>114001</v>
      </c>
      <c r="E298" s="0" t="s">
        <v>1653</v>
      </c>
      <c r="F298" s="0" t="s">
        <v>18</v>
      </c>
      <c r="G298" s="7" t="s">
        <v>3097</v>
      </c>
      <c r="H298" s="0" t="s">
        <v>3098</v>
      </c>
      <c r="I298" s="0" t="s">
        <v>124</v>
      </c>
      <c r="J298" s="0" t="s">
        <v>125</v>
      </c>
      <c r="K298" s="0" t="s">
        <v>89</v>
      </c>
      <c r="L298" s="0" t="str">
        <f aca="false">IFERROR(VLOOKUP(K298,'Supplier list'!B:C,2,0),"")</f>
        <v>บริษัท เฮเฟเล่ (ประเทศไทย) จำกัด</v>
      </c>
      <c r="M298" s="1" t="n">
        <f aca="false">FALSE()</f>
        <v>0</v>
      </c>
      <c r="N298" s="2"/>
      <c r="O298" s="2" t="n">
        <v>3400</v>
      </c>
    </row>
    <row r="299" customFormat="false" ht="16.4" hidden="false" customHeight="false" outlineLevel="0" collapsed="false">
      <c r="A299" s="0" t="s">
        <v>15</v>
      </c>
      <c r="B299" s="0" t="s">
        <v>3099</v>
      </c>
      <c r="C299" s="0" t="n">
        <v>114001</v>
      </c>
      <c r="D299" s="0" t="n">
        <v>114001</v>
      </c>
      <c r="E299" s="0" t="s">
        <v>1815</v>
      </c>
      <c r="F299" s="0" t="s">
        <v>18</v>
      </c>
      <c r="G299" s="7" t="s">
        <v>3100</v>
      </c>
      <c r="H299" s="0" t="s">
        <v>3101</v>
      </c>
      <c r="I299" s="0" t="s">
        <v>124</v>
      </c>
      <c r="J299" s="0" t="s">
        <v>125</v>
      </c>
      <c r="K299" s="0" t="s">
        <v>89</v>
      </c>
      <c r="L299" s="0" t="str">
        <f aca="false">IFERROR(VLOOKUP(K299,'Supplier list'!B:C,2,0),"")</f>
        <v>บริษัท เฮเฟเล่ (ประเทศไทย) จำกัด</v>
      </c>
      <c r="M299" s="1" t="n">
        <f aca="false">FALSE()</f>
        <v>0</v>
      </c>
      <c r="N299" s="2"/>
      <c r="O299" s="2" t="n">
        <v>540</v>
      </c>
    </row>
    <row r="300" customFormat="false" ht="16.4" hidden="false" customHeight="false" outlineLevel="0" collapsed="false">
      <c r="A300" s="0" t="s">
        <v>15</v>
      </c>
      <c r="B300" s="0" t="s">
        <v>3102</v>
      </c>
      <c r="C300" s="0" t="n">
        <v>114001</v>
      </c>
      <c r="D300" s="0" t="n">
        <v>114001</v>
      </c>
      <c r="E300" s="0" t="s">
        <v>1815</v>
      </c>
      <c r="F300" s="0" t="s">
        <v>18</v>
      </c>
      <c r="G300" s="7" t="s">
        <v>3103</v>
      </c>
      <c r="H300" s="0" t="s">
        <v>3079</v>
      </c>
      <c r="I300" s="0" t="s">
        <v>124</v>
      </c>
      <c r="J300" s="0" t="s">
        <v>125</v>
      </c>
      <c r="K300" s="0" t="s">
        <v>89</v>
      </c>
      <c r="L300" s="0" t="str">
        <f aca="false">IFERROR(VLOOKUP(K300,'Supplier list'!B:C,2,0),"")</f>
        <v>บริษัท เฮเฟเล่ (ประเทศไทย) จำกัด</v>
      </c>
      <c r="M300" s="1" t="n">
        <f aca="false">TRUE()</f>
        <v>1</v>
      </c>
      <c r="N300" s="2" t="n">
        <v>1900</v>
      </c>
      <c r="O300" s="2" t="n">
        <v>520</v>
      </c>
    </row>
    <row r="301" customFormat="false" ht="16.4" hidden="false" customHeight="false" outlineLevel="0" collapsed="false">
      <c r="A301" s="0" t="s">
        <v>15</v>
      </c>
      <c r="B301" s="0" t="s">
        <v>3104</v>
      </c>
      <c r="C301" s="0" t="n">
        <v>114001</v>
      </c>
      <c r="D301" s="0" t="n">
        <v>114001</v>
      </c>
      <c r="E301" s="0" t="s">
        <v>1764</v>
      </c>
      <c r="F301" s="0" t="s">
        <v>18</v>
      </c>
      <c r="G301" s="7" t="s">
        <v>3105</v>
      </c>
      <c r="H301" s="0" t="s">
        <v>3106</v>
      </c>
      <c r="I301" s="0" t="s">
        <v>124</v>
      </c>
      <c r="J301" s="0" t="s">
        <v>125</v>
      </c>
      <c r="K301" s="0" t="s">
        <v>89</v>
      </c>
      <c r="L301" s="0" t="str">
        <f aca="false">IFERROR(VLOOKUP(K301,'Supplier list'!B:C,2,0),"")</f>
        <v>บริษัท เฮเฟเล่ (ประเทศไทย) จำกัด</v>
      </c>
      <c r="M301" s="1" t="n">
        <f aca="false">FALSE()</f>
        <v>0</v>
      </c>
      <c r="N301" s="2"/>
      <c r="O301" s="2" t="n">
        <v>970</v>
      </c>
    </row>
    <row r="302" customFormat="false" ht="16.4" hidden="false" customHeight="false" outlineLevel="0" collapsed="false">
      <c r="A302" s="0" t="s">
        <v>15</v>
      </c>
      <c r="B302" s="0" t="s">
        <v>3107</v>
      </c>
      <c r="C302" s="0" t="n">
        <v>114001</v>
      </c>
      <c r="D302" s="0" t="n">
        <v>114001</v>
      </c>
      <c r="E302" s="0" t="s">
        <v>1815</v>
      </c>
      <c r="F302" s="0" t="s">
        <v>18</v>
      </c>
      <c r="G302" s="7" t="s">
        <v>3108</v>
      </c>
      <c r="H302" s="0" t="s">
        <v>3109</v>
      </c>
      <c r="I302" s="0" t="s">
        <v>124</v>
      </c>
      <c r="J302" s="0" t="s">
        <v>125</v>
      </c>
      <c r="K302" s="0" t="s">
        <v>787</v>
      </c>
      <c r="L302" s="0" t="str">
        <f aca="false">IFERROR(VLOOKUP(K302,'Supplier list'!B:C,2,0),"")</f>
        <v>บริษัท ฟิวเจอร์เทค อินเตอร์มาร์เก็ตติ้ง จำกัด</v>
      </c>
      <c r="M302" s="1" t="n">
        <f aca="false">FALSE()</f>
        <v>0</v>
      </c>
      <c r="N302" s="2"/>
      <c r="O302" s="2" t="n">
        <v>545</v>
      </c>
    </row>
    <row r="303" customFormat="false" ht="16.4" hidden="false" customHeight="false" outlineLevel="0" collapsed="false">
      <c r="A303" s="0" t="s">
        <v>15</v>
      </c>
      <c r="B303" s="0" t="s">
        <v>3110</v>
      </c>
      <c r="C303" s="0" t="n">
        <v>114001</v>
      </c>
      <c r="D303" s="0" t="n">
        <v>114001</v>
      </c>
      <c r="E303" s="0" t="s">
        <v>1764</v>
      </c>
      <c r="F303" s="0" t="s">
        <v>18</v>
      </c>
      <c r="G303" s="7" t="s">
        <v>3111</v>
      </c>
      <c r="H303" s="0" t="s">
        <v>3112</v>
      </c>
      <c r="I303" s="0" t="s">
        <v>124</v>
      </c>
      <c r="J303" s="0" t="s">
        <v>125</v>
      </c>
      <c r="K303" s="0" t="s">
        <v>787</v>
      </c>
      <c r="L303" s="0" t="str">
        <f aca="false">IFERROR(VLOOKUP(K303,'Supplier list'!B:C,2,0),"")</f>
        <v>บริษัท ฟิวเจอร์เทค อินเตอร์มาร์เก็ตติ้ง จำกัด</v>
      </c>
      <c r="M303" s="1" t="n">
        <f aca="false">FALSE()</f>
        <v>0</v>
      </c>
      <c r="N303" s="2"/>
      <c r="O303" s="2" t="n">
        <v>110</v>
      </c>
    </row>
    <row r="304" customFormat="false" ht="16.4" hidden="false" customHeight="false" outlineLevel="0" collapsed="false">
      <c r="A304" s="0" t="s">
        <v>15</v>
      </c>
      <c r="B304" s="0" t="s">
        <v>3113</v>
      </c>
      <c r="C304" s="0" t="n">
        <v>114001</v>
      </c>
      <c r="D304" s="0" t="n">
        <v>114001</v>
      </c>
      <c r="E304" s="0" t="s">
        <v>1764</v>
      </c>
      <c r="F304" s="0" t="s">
        <v>18</v>
      </c>
      <c r="G304" s="7" t="s">
        <v>3114</v>
      </c>
      <c r="H304" s="0" t="s">
        <v>3115</v>
      </c>
      <c r="I304" s="0" t="s">
        <v>124</v>
      </c>
      <c r="J304" s="0" t="s">
        <v>125</v>
      </c>
      <c r="K304" s="0" t="s">
        <v>787</v>
      </c>
      <c r="L304" s="0" t="str">
        <f aca="false">IFERROR(VLOOKUP(K304,'Supplier list'!B:C,2,0),"")</f>
        <v>บริษัท ฟิวเจอร์เทค อินเตอร์มาร์เก็ตติ้ง จำกัด</v>
      </c>
      <c r="M304" s="1" t="n">
        <f aca="false">FALSE()</f>
        <v>0</v>
      </c>
      <c r="N304" s="2"/>
      <c r="O304" s="2" t="n">
        <v>98</v>
      </c>
    </row>
    <row r="305" customFormat="false" ht="16.4" hidden="false" customHeight="false" outlineLevel="0" collapsed="false">
      <c r="A305" s="0" t="s">
        <v>15</v>
      </c>
      <c r="B305" s="0" t="s">
        <v>3116</v>
      </c>
      <c r="C305" s="0" t="n">
        <v>114001</v>
      </c>
      <c r="D305" s="0" t="n">
        <v>114001</v>
      </c>
      <c r="E305" s="0" t="s">
        <v>1764</v>
      </c>
      <c r="F305" s="0" t="s">
        <v>18</v>
      </c>
      <c r="G305" s="7" t="s">
        <v>3117</v>
      </c>
      <c r="H305" s="0" t="s">
        <v>3118</v>
      </c>
      <c r="I305" s="0" t="s">
        <v>124</v>
      </c>
      <c r="J305" s="0" t="s">
        <v>125</v>
      </c>
      <c r="K305" s="0" t="s">
        <v>787</v>
      </c>
      <c r="L305" s="0" t="str">
        <f aca="false">IFERROR(VLOOKUP(K305,'Supplier list'!B:C,2,0),"")</f>
        <v>บริษัท ฟิวเจอร์เทค อินเตอร์มาร์เก็ตติ้ง จำกัด</v>
      </c>
      <c r="M305" s="1" t="n">
        <f aca="false">FALSE()</f>
        <v>0</v>
      </c>
      <c r="N305" s="2"/>
      <c r="O305" s="2" t="n">
        <v>42</v>
      </c>
    </row>
    <row r="306" customFormat="false" ht="16.4" hidden="false" customHeight="false" outlineLevel="0" collapsed="false">
      <c r="A306" s="0" t="s">
        <v>15</v>
      </c>
      <c r="B306" s="0" t="s">
        <v>3119</v>
      </c>
      <c r="C306" s="0" t="n">
        <v>114001</v>
      </c>
      <c r="D306" s="0" t="n">
        <v>114001</v>
      </c>
      <c r="E306" s="0" t="s">
        <v>1764</v>
      </c>
      <c r="F306" s="0" t="s">
        <v>18</v>
      </c>
      <c r="G306" s="7" t="s">
        <v>3120</v>
      </c>
      <c r="H306" s="0" t="s">
        <v>3121</v>
      </c>
      <c r="I306" s="0" t="s">
        <v>124</v>
      </c>
      <c r="J306" s="0" t="s">
        <v>125</v>
      </c>
      <c r="K306" s="0" t="s">
        <v>89</v>
      </c>
      <c r="L306" s="0" t="str">
        <f aca="false">IFERROR(VLOOKUP(K306,'Supplier list'!B:C,2,0),"")</f>
        <v>บริษัท เฮเฟเล่ (ประเทศไทย) จำกัด</v>
      </c>
      <c r="M306" s="1" t="n">
        <f aca="false">FALSE()</f>
        <v>0</v>
      </c>
      <c r="N306" s="2"/>
      <c r="O306" s="2" t="n">
        <v>150</v>
      </c>
    </row>
    <row r="307" customFormat="false" ht="16.4" hidden="false" customHeight="false" outlineLevel="0" collapsed="false">
      <c r="A307" s="0" t="s">
        <v>15</v>
      </c>
      <c r="B307" s="0" t="s">
        <v>3122</v>
      </c>
      <c r="C307" s="0" t="n">
        <v>114001</v>
      </c>
      <c r="D307" s="0" t="n">
        <v>114001</v>
      </c>
      <c r="E307" s="0" t="s">
        <v>1764</v>
      </c>
      <c r="F307" s="0" t="s">
        <v>18</v>
      </c>
      <c r="G307" s="7" t="s">
        <v>3123</v>
      </c>
      <c r="H307" s="0" t="s">
        <v>3124</v>
      </c>
      <c r="I307" s="0" t="s">
        <v>21</v>
      </c>
      <c r="J307" s="0" t="s">
        <v>22</v>
      </c>
      <c r="K307" s="0" t="s">
        <v>89</v>
      </c>
      <c r="L307" s="0" t="str">
        <f aca="false">IFERROR(VLOOKUP(K307,'Supplier list'!B:C,2,0),"")</f>
        <v>บริษัท เฮเฟเล่ (ประเทศไทย) จำกัด</v>
      </c>
      <c r="M307" s="1" t="n">
        <f aca="false">FALSE()</f>
        <v>0</v>
      </c>
      <c r="N307" s="2"/>
      <c r="O307" s="2" t="n">
        <v>300</v>
      </c>
    </row>
    <row r="308" customFormat="false" ht="16.4" hidden="false" customHeight="false" outlineLevel="0" collapsed="false">
      <c r="A308" s="0" t="s">
        <v>15</v>
      </c>
      <c r="B308" s="0" t="s">
        <v>3125</v>
      </c>
      <c r="C308" s="0" t="n">
        <v>114001</v>
      </c>
      <c r="D308" s="0" t="n">
        <v>114001</v>
      </c>
      <c r="E308" s="0" t="s">
        <v>2035</v>
      </c>
      <c r="F308" s="0" t="s">
        <v>18</v>
      </c>
      <c r="G308" s="7" t="s">
        <v>3126</v>
      </c>
      <c r="H308" s="0" t="s">
        <v>3127</v>
      </c>
      <c r="I308" s="0" t="s">
        <v>21</v>
      </c>
      <c r="J308" s="0" t="s">
        <v>22</v>
      </c>
      <c r="K308" s="0" t="s">
        <v>89</v>
      </c>
      <c r="L308" s="0" t="str">
        <f aca="false">IFERROR(VLOOKUP(K308,'Supplier list'!B:C,2,0),"")</f>
        <v>บริษัท เฮเฟเล่ (ประเทศไทย) จำกัด</v>
      </c>
      <c r="M308" s="1" t="n">
        <f aca="false">FALSE()</f>
        <v>0</v>
      </c>
      <c r="N308" s="2"/>
      <c r="O308" s="2" t="n">
        <v>9990</v>
      </c>
    </row>
    <row r="309" customFormat="false" ht="16.4" hidden="false" customHeight="false" outlineLevel="0" collapsed="false">
      <c r="A309" s="0" t="s">
        <v>15</v>
      </c>
      <c r="B309" s="0" t="s">
        <v>3128</v>
      </c>
      <c r="C309" s="0" t="n">
        <v>114001</v>
      </c>
      <c r="D309" s="0" t="n">
        <v>114001</v>
      </c>
      <c r="E309" s="0" t="s">
        <v>2035</v>
      </c>
      <c r="F309" s="0" t="s">
        <v>18</v>
      </c>
      <c r="G309" s="7" t="s">
        <v>3129</v>
      </c>
      <c r="H309" s="0" t="s">
        <v>3130</v>
      </c>
      <c r="I309" s="0" t="s">
        <v>21</v>
      </c>
      <c r="J309" s="0" t="s">
        <v>22</v>
      </c>
      <c r="K309" s="0" t="s">
        <v>89</v>
      </c>
      <c r="L309" s="0" t="str">
        <f aca="false">IFERROR(VLOOKUP(K309,'Supplier list'!B:C,2,0),"")</f>
        <v>บริษัท เฮเฟเล่ (ประเทศไทย) จำกัด</v>
      </c>
      <c r="M309" s="1" t="n">
        <f aca="false">FALSE()</f>
        <v>0</v>
      </c>
      <c r="N309" s="2"/>
      <c r="O309" s="2" t="n">
        <v>8990</v>
      </c>
    </row>
    <row r="310" customFormat="false" ht="16.4" hidden="false" customHeight="false" outlineLevel="0" collapsed="false">
      <c r="A310" s="0" t="s">
        <v>15</v>
      </c>
      <c r="B310" s="0" t="s">
        <v>3131</v>
      </c>
      <c r="C310" s="0" t="n">
        <v>114001</v>
      </c>
      <c r="D310" s="0" t="n">
        <v>114001</v>
      </c>
      <c r="E310" s="0" t="s">
        <v>2035</v>
      </c>
      <c r="F310" s="0" t="s">
        <v>18</v>
      </c>
      <c r="G310" s="7" t="s">
        <v>3132</v>
      </c>
      <c r="H310" s="0" t="s">
        <v>3133</v>
      </c>
      <c r="I310" s="0" t="s">
        <v>21</v>
      </c>
      <c r="J310" s="0" t="s">
        <v>22</v>
      </c>
      <c r="K310" s="0" t="s">
        <v>89</v>
      </c>
      <c r="L310" s="0" t="str">
        <f aca="false">IFERROR(VLOOKUP(K310,'Supplier list'!B:C,2,0),"")</f>
        <v>บริษัท เฮเฟเล่ (ประเทศไทย) จำกัด</v>
      </c>
      <c r="M310" s="1" t="n">
        <f aca="false">FALSE()</f>
        <v>0</v>
      </c>
      <c r="N310" s="2"/>
      <c r="O310" s="2" t="n">
        <v>17900</v>
      </c>
    </row>
    <row r="311" customFormat="false" ht="16.4" hidden="false" customHeight="false" outlineLevel="0" collapsed="false">
      <c r="A311" s="0" t="s">
        <v>15</v>
      </c>
      <c r="B311" s="0" t="s">
        <v>3134</v>
      </c>
      <c r="C311" s="0" t="n">
        <v>114001</v>
      </c>
      <c r="D311" s="0" t="n">
        <v>114001</v>
      </c>
      <c r="E311" s="0" t="s">
        <v>874</v>
      </c>
      <c r="F311" s="0" t="s">
        <v>18</v>
      </c>
      <c r="G311" s="7" t="s">
        <v>3135</v>
      </c>
      <c r="H311" s="0" t="s">
        <v>3136</v>
      </c>
      <c r="I311" s="0" t="s">
        <v>21</v>
      </c>
      <c r="J311" s="0" t="s">
        <v>22</v>
      </c>
      <c r="K311" s="0" t="s">
        <v>89</v>
      </c>
      <c r="L311" s="0" t="str">
        <f aca="false">IFERROR(VLOOKUP(K311,'Supplier list'!B:C,2,0),"")</f>
        <v>บริษัท เฮเฟเล่ (ประเทศไทย) จำกัด</v>
      </c>
      <c r="M311" s="1" t="n">
        <f aca="false">FALSE()</f>
        <v>0</v>
      </c>
      <c r="N311" s="2"/>
      <c r="O311" s="2" t="n">
        <v>790</v>
      </c>
    </row>
    <row r="312" customFormat="false" ht="16.4" hidden="false" customHeight="false" outlineLevel="0" collapsed="false">
      <c r="A312" s="0" t="s">
        <v>15</v>
      </c>
      <c r="B312" s="0" t="s">
        <v>3137</v>
      </c>
      <c r="C312" s="0" t="n">
        <v>114001</v>
      </c>
      <c r="D312" s="0" t="n">
        <v>114001</v>
      </c>
      <c r="E312" s="0" t="s">
        <v>874</v>
      </c>
      <c r="F312" s="0" t="s">
        <v>18</v>
      </c>
      <c r="G312" s="7" t="s">
        <v>3138</v>
      </c>
      <c r="H312" s="0" t="s">
        <v>3139</v>
      </c>
      <c r="I312" s="0" t="s">
        <v>21</v>
      </c>
      <c r="J312" s="0" t="s">
        <v>22</v>
      </c>
      <c r="K312" s="0" t="s">
        <v>89</v>
      </c>
      <c r="L312" s="0" t="str">
        <f aca="false">IFERROR(VLOOKUP(K312,'Supplier list'!B:C,2,0),"")</f>
        <v>บริษัท เฮเฟเล่ (ประเทศไทย) จำกัด</v>
      </c>
      <c r="M312" s="1" t="n">
        <f aca="false">FALSE()</f>
        <v>0</v>
      </c>
      <c r="N312" s="2"/>
      <c r="O312" s="2" t="n">
        <v>2030</v>
      </c>
    </row>
    <row r="313" customFormat="false" ht="16.4" hidden="false" customHeight="false" outlineLevel="0" collapsed="false">
      <c r="A313" s="0" t="s">
        <v>15</v>
      </c>
      <c r="B313" s="0" t="s">
        <v>3140</v>
      </c>
      <c r="C313" s="0" t="n">
        <v>114001</v>
      </c>
      <c r="D313" s="0" t="n">
        <v>114001</v>
      </c>
      <c r="E313" s="0" t="s">
        <v>2035</v>
      </c>
      <c r="F313" s="0" t="s">
        <v>18</v>
      </c>
      <c r="G313" s="7" t="s">
        <v>3141</v>
      </c>
      <c r="H313" s="0" t="s">
        <v>3142</v>
      </c>
      <c r="I313" s="0" t="s">
        <v>21</v>
      </c>
      <c r="J313" s="0" t="s">
        <v>22</v>
      </c>
      <c r="K313" s="0" t="s">
        <v>3143</v>
      </c>
      <c r="L313" s="0" t="str">
        <f aca="false">IFERROR(VLOOKUP(K313,'Supplier list'!B:C,2,0),"")</f>
        <v>บริษัท ไฮเซ่นส์ อินเตอร์เนชั่นแนล(ประเทศไทย)จำกัด</v>
      </c>
      <c r="M313" s="1" t="n">
        <f aca="false">FALSE()</f>
        <v>0</v>
      </c>
      <c r="N313" s="2"/>
      <c r="O313" s="2" t="n">
        <v>8341.12</v>
      </c>
    </row>
    <row r="314" customFormat="false" ht="16.4" hidden="false" customHeight="false" outlineLevel="0" collapsed="false">
      <c r="A314" s="0" t="s">
        <v>15</v>
      </c>
      <c r="B314" s="0" t="s">
        <v>3144</v>
      </c>
      <c r="C314" s="0" t="n">
        <v>114001</v>
      </c>
      <c r="D314" s="0" t="n">
        <v>114001</v>
      </c>
      <c r="E314" s="0" t="s">
        <v>2035</v>
      </c>
      <c r="F314" s="0" t="s">
        <v>18</v>
      </c>
      <c r="G314" s="7" t="s">
        <v>3145</v>
      </c>
      <c r="H314" s="0" t="s">
        <v>3146</v>
      </c>
      <c r="I314" s="0" t="s">
        <v>124</v>
      </c>
      <c r="J314" s="0" t="s">
        <v>125</v>
      </c>
      <c r="K314" s="0" t="s">
        <v>3143</v>
      </c>
      <c r="L314" s="0" t="str">
        <f aca="false">IFERROR(VLOOKUP(K314,'Supplier list'!B:C,2,0),"")</f>
        <v>บริษัท ไฮเซ่นส์ อินเตอร์เนชั่นแนล(ประเทศไทย)จำกัด</v>
      </c>
      <c r="M314" s="1" t="n">
        <f aca="false">FALSE()</f>
        <v>0</v>
      </c>
      <c r="N314" s="2"/>
      <c r="O314" s="2" t="n">
        <v>13948.6</v>
      </c>
    </row>
    <row r="315" customFormat="false" ht="16.4" hidden="false" customHeight="false" outlineLevel="0" collapsed="false">
      <c r="A315" s="0" t="s">
        <v>15</v>
      </c>
      <c r="B315" s="0" t="s">
        <v>3147</v>
      </c>
      <c r="C315" s="0" t="n">
        <v>114001</v>
      </c>
      <c r="D315" s="0" t="n">
        <v>114001</v>
      </c>
      <c r="E315" s="0" t="s">
        <v>1653</v>
      </c>
      <c r="F315" s="0" t="s">
        <v>18</v>
      </c>
      <c r="G315" s="7" t="s">
        <v>3148</v>
      </c>
      <c r="H315" s="0" t="s">
        <v>3149</v>
      </c>
      <c r="I315" s="0" t="s">
        <v>124</v>
      </c>
      <c r="J315" s="0" t="s">
        <v>125</v>
      </c>
      <c r="K315" s="0" t="s">
        <v>89</v>
      </c>
      <c r="L315" s="0" t="str">
        <f aca="false">IFERROR(VLOOKUP(K315,'Supplier list'!B:C,2,0),"")</f>
        <v>บริษัท เฮเฟเล่ (ประเทศไทย) จำกัด</v>
      </c>
      <c r="M315" s="1" t="n">
        <f aca="false">FALSE()</f>
        <v>0</v>
      </c>
      <c r="N315" s="2"/>
      <c r="O315" s="2" t="n">
        <v>2100</v>
      </c>
    </row>
    <row r="316" customFormat="false" ht="16.4" hidden="false" customHeight="false" outlineLevel="0" collapsed="false">
      <c r="A316" s="0" t="s">
        <v>15</v>
      </c>
      <c r="B316" s="0" t="s">
        <v>3150</v>
      </c>
      <c r="C316" s="0" t="n">
        <v>114001</v>
      </c>
      <c r="D316" s="0" t="n">
        <v>114001</v>
      </c>
      <c r="E316" s="0" t="s">
        <v>1815</v>
      </c>
      <c r="F316" s="0" t="s">
        <v>18</v>
      </c>
      <c r="G316" s="7" t="s">
        <v>3151</v>
      </c>
      <c r="H316" s="0" t="s">
        <v>3152</v>
      </c>
      <c r="I316" s="0" t="s">
        <v>517</v>
      </c>
      <c r="J316" s="0" t="s">
        <v>518</v>
      </c>
      <c r="K316" s="0" t="s">
        <v>89</v>
      </c>
      <c r="L316" s="0" t="str">
        <f aca="false">IFERROR(VLOOKUP(K316,'Supplier list'!B:C,2,0),"")</f>
        <v>บริษัท เฮเฟเล่ (ประเทศไทย) จำกัด</v>
      </c>
      <c r="M316" s="1" t="n">
        <f aca="false">FALSE()</f>
        <v>0</v>
      </c>
      <c r="N316" s="2"/>
      <c r="O316" s="2" t="n">
        <v>1890</v>
      </c>
    </row>
    <row r="317" customFormat="false" ht="16.4" hidden="false" customHeight="false" outlineLevel="0" collapsed="false">
      <c r="A317" s="0" t="s">
        <v>15</v>
      </c>
      <c r="B317" s="0" t="s">
        <v>3153</v>
      </c>
      <c r="C317" s="0" t="n">
        <v>114001</v>
      </c>
      <c r="D317" s="0" t="n">
        <v>114001</v>
      </c>
      <c r="E317" s="0" t="s">
        <v>1970</v>
      </c>
      <c r="F317" s="0" t="s">
        <v>18</v>
      </c>
      <c r="G317" s="7" t="s">
        <v>3154</v>
      </c>
      <c r="H317" s="0" t="s">
        <v>3155</v>
      </c>
      <c r="I317" s="0" t="s">
        <v>168</v>
      </c>
      <c r="J317" s="0" t="s">
        <v>169</v>
      </c>
      <c r="L317" s="0" t="str">
        <f aca="false">IFERROR(VLOOKUP(K317,'Supplier list'!B:C,2,0),"")</f>
        <v/>
      </c>
      <c r="M317" s="1" t="n">
        <f aca="false">FALSE()</f>
        <v>0</v>
      </c>
      <c r="N317" s="2"/>
      <c r="O317" s="2" t="n">
        <v>0</v>
      </c>
    </row>
    <row r="318" customFormat="false" ht="16.4" hidden="false" customHeight="false" outlineLevel="0" collapsed="false">
      <c r="A318" s="0" t="s">
        <v>15</v>
      </c>
      <c r="B318" s="0" t="s">
        <v>3156</v>
      </c>
      <c r="C318" s="0" t="n">
        <v>114001</v>
      </c>
      <c r="D318" s="0" t="n">
        <v>114001</v>
      </c>
      <c r="E318" s="0" t="s">
        <v>1815</v>
      </c>
      <c r="F318" s="0" t="s">
        <v>18</v>
      </c>
      <c r="G318" s="7" t="s">
        <v>3157</v>
      </c>
      <c r="H318" s="0" t="s">
        <v>3158</v>
      </c>
      <c r="I318" s="0" t="s">
        <v>517</v>
      </c>
      <c r="J318" s="0" t="s">
        <v>518</v>
      </c>
      <c r="K318" s="0" t="s">
        <v>89</v>
      </c>
      <c r="L318" s="0" t="str">
        <f aca="false">IFERROR(VLOOKUP(K318,'Supplier list'!B:C,2,0),"")</f>
        <v>บริษัท เฮเฟเล่ (ประเทศไทย) จำกัด</v>
      </c>
      <c r="M318" s="1" t="n">
        <f aca="false">TRUE()</f>
        <v>1</v>
      </c>
      <c r="N318" s="2" t="n">
        <v>1700</v>
      </c>
      <c r="O318" s="2" t="n">
        <v>664</v>
      </c>
    </row>
    <row r="319" customFormat="false" ht="16.4" hidden="false" customHeight="false" outlineLevel="0" collapsed="false">
      <c r="A319" s="0" t="s">
        <v>15</v>
      </c>
      <c r="B319" s="0" t="s">
        <v>3159</v>
      </c>
      <c r="C319" s="0" t="n">
        <v>114001</v>
      </c>
      <c r="D319" s="0" t="n">
        <v>114001</v>
      </c>
      <c r="E319" s="0" t="s">
        <v>1815</v>
      </c>
      <c r="F319" s="0" t="s">
        <v>18</v>
      </c>
      <c r="G319" s="7" t="s">
        <v>3160</v>
      </c>
      <c r="H319" s="0" t="s">
        <v>3161</v>
      </c>
      <c r="I319" s="0" t="s">
        <v>517</v>
      </c>
      <c r="J319" s="0" t="s">
        <v>518</v>
      </c>
      <c r="K319" s="0" t="s">
        <v>89</v>
      </c>
      <c r="L319" s="0" t="str">
        <f aca="false">IFERROR(VLOOKUP(K319,'Supplier list'!B:C,2,0),"")</f>
        <v>บริษัท เฮเฟเล่ (ประเทศไทย) จำกัด</v>
      </c>
      <c r="M319" s="1" t="n">
        <f aca="false">FALSE()</f>
        <v>0</v>
      </c>
      <c r="N319" s="2"/>
      <c r="O319" s="2" t="n">
        <v>260</v>
      </c>
    </row>
    <row r="320" customFormat="false" ht="16.4" hidden="false" customHeight="false" outlineLevel="0" collapsed="false">
      <c r="A320" s="0" t="s">
        <v>15</v>
      </c>
      <c r="B320" s="0" t="s">
        <v>3162</v>
      </c>
      <c r="C320" s="0" t="n">
        <v>114001</v>
      </c>
      <c r="D320" s="0" t="n">
        <v>114001</v>
      </c>
      <c r="E320" s="0" t="s">
        <v>1815</v>
      </c>
      <c r="F320" s="0" t="s">
        <v>18</v>
      </c>
      <c r="G320" s="7" t="s">
        <v>3163</v>
      </c>
      <c r="H320" s="0" t="s">
        <v>3164</v>
      </c>
      <c r="I320" s="0" t="s">
        <v>124</v>
      </c>
      <c r="J320" s="0" t="s">
        <v>125</v>
      </c>
      <c r="K320" s="0" t="s">
        <v>89</v>
      </c>
      <c r="L320" s="0" t="str">
        <f aca="false">IFERROR(VLOOKUP(K320,'Supplier list'!B:C,2,0),"")</f>
        <v>บริษัท เฮเฟเล่ (ประเทศไทย) จำกัด</v>
      </c>
      <c r="M320" s="1" t="n">
        <f aca="false">TRUE()</f>
        <v>1</v>
      </c>
      <c r="N320" s="2" t="n">
        <v>2000</v>
      </c>
      <c r="O320" s="2" t="n">
        <v>520</v>
      </c>
    </row>
    <row r="321" customFormat="false" ht="16.4" hidden="false" customHeight="false" outlineLevel="0" collapsed="false">
      <c r="A321" s="0" t="s">
        <v>15</v>
      </c>
      <c r="B321" s="0" t="s">
        <v>3165</v>
      </c>
      <c r="C321" s="0" t="n">
        <v>114001</v>
      </c>
      <c r="D321" s="0" t="n">
        <v>114001</v>
      </c>
      <c r="E321" s="0" t="s">
        <v>961</v>
      </c>
      <c r="F321" s="0" t="s">
        <v>18</v>
      </c>
      <c r="G321" s="7" t="s">
        <v>3166</v>
      </c>
      <c r="H321" s="0" t="s">
        <v>3167</v>
      </c>
      <c r="I321" s="0" t="s">
        <v>124</v>
      </c>
      <c r="J321" s="0" t="s">
        <v>125</v>
      </c>
      <c r="K321" s="0" t="s">
        <v>89</v>
      </c>
      <c r="L321" s="0" t="str">
        <f aca="false">IFERROR(VLOOKUP(K321,'Supplier list'!B:C,2,0),"")</f>
        <v>บริษัท เฮเฟเล่ (ประเทศไทย) จำกัด</v>
      </c>
      <c r="M321" s="1" t="n">
        <f aca="false">FALSE()</f>
        <v>0</v>
      </c>
      <c r="N321" s="2"/>
      <c r="O321" s="2" t="n">
        <v>2140</v>
      </c>
    </row>
    <row r="322" customFormat="false" ht="16.4" hidden="false" customHeight="false" outlineLevel="0" collapsed="false">
      <c r="A322" s="0" t="s">
        <v>15</v>
      </c>
      <c r="B322" s="0" t="s">
        <v>3168</v>
      </c>
      <c r="C322" s="0" t="n">
        <v>114001</v>
      </c>
      <c r="D322" s="0" t="n">
        <v>114001</v>
      </c>
      <c r="E322" s="0" t="s">
        <v>1653</v>
      </c>
      <c r="F322" s="0" t="s">
        <v>18</v>
      </c>
      <c r="G322" s="7" t="s">
        <v>3169</v>
      </c>
      <c r="H322" s="0" t="s">
        <v>2156</v>
      </c>
      <c r="I322" s="0" t="s">
        <v>21</v>
      </c>
      <c r="J322" s="0" t="s">
        <v>22</v>
      </c>
      <c r="K322" s="0" t="s">
        <v>89</v>
      </c>
      <c r="L322" s="0" t="str">
        <f aca="false">IFERROR(VLOOKUP(K322,'Supplier list'!B:C,2,0),"")</f>
        <v>บริษัท เฮเฟเล่ (ประเทศไทย) จำกัด</v>
      </c>
      <c r="M322" s="1" t="n">
        <f aca="false">FALSE()</f>
        <v>0</v>
      </c>
      <c r="N322" s="2"/>
      <c r="O322" s="2" t="n">
        <v>2300</v>
      </c>
    </row>
    <row r="323" customFormat="false" ht="16.4" hidden="false" customHeight="false" outlineLevel="0" collapsed="false">
      <c r="A323" s="0" t="s">
        <v>15</v>
      </c>
      <c r="B323" s="0" t="s">
        <v>3170</v>
      </c>
      <c r="C323" s="0" t="n">
        <v>114001</v>
      </c>
      <c r="D323" s="0" t="n">
        <v>114001</v>
      </c>
      <c r="E323" s="0" t="s">
        <v>1605</v>
      </c>
      <c r="F323" s="0" t="s">
        <v>18</v>
      </c>
      <c r="G323" s="7" t="s">
        <v>3171</v>
      </c>
      <c r="H323" s="0" t="s">
        <v>3172</v>
      </c>
      <c r="I323" s="0" t="s">
        <v>21</v>
      </c>
      <c r="J323" s="0" t="s">
        <v>22</v>
      </c>
      <c r="K323" s="0" t="s">
        <v>1725</v>
      </c>
      <c r="L323" s="0" t="str">
        <f aca="false">IFERROR(VLOOKUP(K323,'Supplier list'!B:C,2,0),"")</f>
        <v>บริษัท พรีซิชั่นไลน์ จำกัด</v>
      </c>
      <c r="M323" s="1" t="n">
        <f aca="false">FALSE()</f>
        <v>0</v>
      </c>
      <c r="N323" s="2"/>
      <c r="O323" s="2" t="n">
        <v>176</v>
      </c>
    </row>
    <row r="324" customFormat="false" ht="16.4" hidden="false" customHeight="false" outlineLevel="0" collapsed="false">
      <c r="A324" s="0" t="s">
        <v>15</v>
      </c>
      <c r="B324" s="0" t="s">
        <v>3173</v>
      </c>
      <c r="C324" s="0" t="n">
        <v>114001</v>
      </c>
      <c r="D324" s="0" t="n">
        <v>114001</v>
      </c>
      <c r="E324" s="0" t="s">
        <v>1605</v>
      </c>
      <c r="F324" s="0" t="s">
        <v>18</v>
      </c>
      <c r="G324" s="7" t="s">
        <v>3174</v>
      </c>
      <c r="H324" s="0" t="s">
        <v>3175</v>
      </c>
      <c r="I324" s="0" t="s">
        <v>21</v>
      </c>
      <c r="J324" s="0" t="s">
        <v>22</v>
      </c>
      <c r="K324" s="0" t="s">
        <v>1725</v>
      </c>
      <c r="L324" s="0" t="str">
        <f aca="false">IFERROR(VLOOKUP(K324,'Supplier list'!B:C,2,0),"")</f>
        <v>บริษัท พรีซิชั่นไลน์ จำกัด</v>
      </c>
      <c r="M324" s="1" t="n">
        <f aca="false">FALSE()</f>
        <v>0</v>
      </c>
      <c r="N324" s="2"/>
      <c r="O324" s="2" t="n">
        <v>32</v>
      </c>
    </row>
    <row r="325" customFormat="false" ht="16.4" hidden="false" customHeight="false" outlineLevel="0" collapsed="false">
      <c r="A325" s="0" t="s">
        <v>15</v>
      </c>
      <c r="B325" s="0" t="s">
        <v>3176</v>
      </c>
      <c r="C325" s="0" t="n">
        <v>114001</v>
      </c>
      <c r="D325" s="0" t="n">
        <v>114001</v>
      </c>
      <c r="E325" s="0" t="s">
        <v>1605</v>
      </c>
      <c r="F325" s="0" t="s">
        <v>18</v>
      </c>
      <c r="G325" s="7" t="s">
        <v>3177</v>
      </c>
      <c r="H325" s="0" t="s">
        <v>3178</v>
      </c>
      <c r="I325" s="0" t="s">
        <v>21</v>
      </c>
      <c r="J325" s="0" t="s">
        <v>22</v>
      </c>
      <c r="K325" s="0" t="s">
        <v>1725</v>
      </c>
      <c r="L325" s="0" t="str">
        <f aca="false">IFERROR(VLOOKUP(K325,'Supplier list'!B:C,2,0),"")</f>
        <v>บริษัท พรีซิชั่นไลน์ จำกัด</v>
      </c>
      <c r="M325" s="1" t="n">
        <f aca="false">FALSE()</f>
        <v>0</v>
      </c>
      <c r="N325" s="2"/>
      <c r="O325" s="2" t="n">
        <v>32</v>
      </c>
    </row>
    <row r="326" customFormat="false" ht="16.4" hidden="false" customHeight="false" outlineLevel="0" collapsed="false">
      <c r="A326" s="0" t="s">
        <v>15</v>
      </c>
      <c r="B326" s="0" t="s">
        <v>3179</v>
      </c>
      <c r="C326" s="0" t="n">
        <v>114001</v>
      </c>
      <c r="D326" s="0" t="n">
        <v>114001</v>
      </c>
      <c r="E326" s="0" t="s">
        <v>961</v>
      </c>
      <c r="F326" s="0" t="s">
        <v>18</v>
      </c>
      <c r="G326" s="7" t="s">
        <v>3180</v>
      </c>
      <c r="H326" s="0" t="s">
        <v>3181</v>
      </c>
      <c r="I326" s="0" t="s">
        <v>21</v>
      </c>
      <c r="J326" s="0" t="s">
        <v>22</v>
      </c>
      <c r="K326" s="0" t="s">
        <v>89</v>
      </c>
      <c r="L326" s="0" t="str">
        <f aca="false">IFERROR(VLOOKUP(K326,'Supplier list'!B:C,2,0),"")</f>
        <v>บริษัท เฮเฟเล่ (ประเทศไทย) จำกัด</v>
      </c>
      <c r="M326" s="1" t="n">
        <f aca="false">FALSE()</f>
        <v>0</v>
      </c>
      <c r="N326" s="2"/>
      <c r="O326" s="2" t="n">
        <v>485</v>
      </c>
    </row>
    <row r="327" customFormat="false" ht="16.4" hidden="false" customHeight="false" outlineLevel="0" collapsed="false">
      <c r="A327" s="0" t="s">
        <v>15</v>
      </c>
      <c r="B327" s="0" t="s">
        <v>3182</v>
      </c>
      <c r="C327" s="0" t="n">
        <v>114001</v>
      </c>
      <c r="D327" s="0" t="n">
        <v>114001</v>
      </c>
      <c r="E327" s="0" t="s">
        <v>961</v>
      </c>
      <c r="F327" s="0" t="s">
        <v>18</v>
      </c>
      <c r="G327" s="7" t="s">
        <v>3183</v>
      </c>
      <c r="H327" s="0" t="s">
        <v>3184</v>
      </c>
      <c r="I327" s="0" t="s">
        <v>21</v>
      </c>
      <c r="J327" s="0" t="s">
        <v>22</v>
      </c>
      <c r="K327" s="0" t="s">
        <v>89</v>
      </c>
      <c r="L327" s="0" t="str">
        <f aca="false">IFERROR(VLOOKUP(K327,'Supplier list'!B:C,2,0),"")</f>
        <v>บริษัท เฮเฟเล่ (ประเทศไทย) จำกัด</v>
      </c>
      <c r="M327" s="1" t="n">
        <f aca="false">FALSE()</f>
        <v>0</v>
      </c>
      <c r="N327" s="2"/>
      <c r="O327" s="2" t="n">
        <v>70</v>
      </c>
    </row>
    <row r="328" customFormat="false" ht="16.4" hidden="false" customHeight="false" outlineLevel="0" collapsed="false">
      <c r="A328" s="0" t="s">
        <v>15</v>
      </c>
      <c r="B328" s="0" t="s">
        <v>3185</v>
      </c>
      <c r="C328" s="0" t="n">
        <v>114001</v>
      </c>
      <c r="D328" s="0" t="n">
        <v>114001</v>
      </c>
      <c r="E328" s="0" t="s">
        <v>961</v>
      </c>
      <c r="F328" s="0" t="s">
        <v>18</v>
      </c>
      <c r="G328" s="7" t="s">
        <v>3186</v>
      </c>
      <c r="H328" s="0" t="s">
        <v>3187</v>
      </c>
      <c r="I328" s="0" t="s">
        <v>21</v>
      </c>
      <c r="J328" s="0" t="s">
        <v>22</v>
      </c>
      <c r="K328" s="0" t="s">
        <v>89</v>
      </c>
      <c r="L328" s="0" t="str">
        <f aca="false">IFERROR(VLOOKUP(K328,'Supplier list'!B:C,2,0),"")</f>
        <v>บริษัท เฮเฟเล่ (ประเทศไทย) จำกัด</v>
      </c>
      <c r="M328" s="1" t="n">
        <f aca="false">FALSE()</f>
        <v>0</v>
      </c>
      <c r="N328" s="2"/>
      <c r="O328" s="2" t="n">
        <v>6</v>
      </c>
    </row>
    <row r="329" customFormat="false" ht="16.4" hidden="false" customHeight="false" outlineLevel="0" collapsed="false">
      <c r="A329" s="0" t="s">
        <v>15</v>
      </c>
      <c r="B329" s="0" t="s">
        <v>3188</v>
      </c>
      <c r="C329" s="0" t="n">
        <v>114001</v>
      </c>
      <c r="D329" s="0" t="n">
        <v>114001</v>
      </c>
      <c r="E329" s="0" t="s">
        <v>1653</v>
      </c>
      <c r="F329" s="0" t="s">
        <v>18</v>
      </c>
      <c r="G329" s="7" t="s">
        <v>3189</v>
      </c>
      <c r="H329" s="0" t="s">
        <v>3190</v>
      </c>
      <c r="I329" s="0" t="s">
        <v>124</v>
      </c>
      <c r="J329" s="0" t="s">
        <v>125</v>
      </c>
      <c r="K329" s="0" t="s">
        <v>787</v>
      </c>
      <c r="L329" s="0" t="str">
        <f aca="false">IFERROR(VLOOKUP(K329,'Supplier list'!B:C,2,0),"")</f>
        <v>บริษัท ฟิวเจอร์เทค อินเตอร์มาร์เก็ตติ้ง จำกัด</v>
      </c>
      <c r="M329" s="1" t="n">
        <f aca="false">FALSE()</f>
        <v>0</v>
      </c>
      <c r="N329" s="2"/>
      <c r="O329" s="2" t="n">
        <v>1500</v>
      </c>
    </row>
    <row r="330" customFormat="false" ht="16.4" hidden="false" customHeight="false" outlineLevel="0" collapsed="false">
      <c r="A330" s="0" t="s">
        <v>15</v>
      </c>
      <c r="B330" s="0" t="s">
        <v>3191</v>
      </c>
      <c r="C330" s="0" t="n">
        <v>114001</v>
      </c>
      <c r="D330" s="0" t="n">
        <v>114001</v>
      </c>
      <c r="E330" s="0" t="s">
        <v>1653</v>
      </c>
      <c r="F330" s="0" t="s">
        <v>18</v>
      </c>
      <c r="G330" s="7" t="s">
        <v>3192</v>
      </c>
      <c r="H330" s="0" t="s">
        <v>3193</v>
      </c>
      <c r="I330" s="0" t="s">
        <v>124</v>
      </c>
      <c r="J330" s="0" t="s">
        <v>125</v>
      </c>
      <c r="K330" s="0" t="s">
        <v>1725</v>
      </c>
      <c r="L330" s="0" t="str">
        <f aca="false">IFERROR(VLOOKUP(K330,'Supplier list'!B:C,2,0),"")</f>
        <v>บริษัท พรีซิชั่นไลน์ จำกัด</v>
      </c>
      <c r="M330" s="1" t="n">
        <f aca="false">FALSE()</f>
        <v>0</v>
      </c>
      <c r="N330" s="2"/>
      <c r="O330" s="2" t="n">
        <v>9400</v>
      </c>
    </row>
    <row r="331" customFormat="false" ht="16.4" hidden="false" customHeight="false" outlineLevel="0" collapsed="false">
      <c r="A331" s="0" t="s">
        <v>15</v>
      </c>
      <c r="B331" s="0" t="s">
        <v>3194</v>
      </c>
      <c r="C331" s="0" t="n">
        <v>114001</v>
      </c>
      <c r="D331" s="0" t="n">
        <v>114001</v>
      </c>
      <c r="E331" s="0" t="s">
        <v>1727</v>
      </c>
      <c r="F331" s="0" t="s">
        <v>18</v>
      </c>
      <c r="G331" s="7" t="s">
        <v>3195</v>
      </c>
      <c r="H331" s="0" t="s">
        <v>3196</v>
      </c>
      <c r="I331" s="0" t="s">
        <v>124</v>
      </c>
      <c r="J331" s="0" t="s">
        <v>125</v>
      </c>
      <c r="K331" s="0" t="s">
        <v>1725</v>
      </c>
      <c r="L331" s="0" t="str">
        <f aca="false">IFERROR(VLOOKUP(K331,'Supplier list'!B:C,2,0),"")</f>
        <v>บริษัท พรีซิชั่นไลน์ จำกัด</v>
      </c>
      <c r="M331" s="1" t="n">
        <f aca="false">FALSE()</f>
        <v>0</v>
      </c>
      <c r="N331" s="2"/>
      <c r="O331" s="2" t="n">
        <v>1970</v>
      </c>
    </row>
    <row r="332" customFormat="false" ht="16.4" hidden="false" customHeight="false" outlineLevel="0" collapsed="false">
      <c r="A332" s="0" t="s">
        <v>15</v>
      </c>
      <c r="B332" s="0" t="s">
        <v>3197</v>
      </c>
      <c r="C332" s="0" t="n">
        <v>114001</v>
      </c>
      <c r="D332" s="0" t="n">
        <v>114001</v>
      </c>
      <c r="E332" s="0" t="s">
        <v>1815</v>
      </c>
      <c r="F332" s="0" t="s">
        <v>18</v>
      </c>
      <c r="G332" s="7" t="s">
        <v>3198</v>
      </c>
      <c r="H332" s="0" t="s">
        <v>3199</v>
      </c>
      <c r="I332" s="0" t="s">
        <v>124</v>
      </c>
      <c r="J332" s="0" t="s">
        <v>125</v>
      </c>
      <c r="K332" s="0" t="s">
        <v>1725</v>
      </c>
      <c r="L332" s="0" t="str">
        <f aca="false">IFERROR(VLOOKUP(K332,'Supplier list'!B:C,2,0),"")</f>
        <v>บริษัท พรีซิชั่นไลน์ จำกัด</v>
      </c>
      <c r="M332" s="1" t="n">
        <f aca="false">FALSE()</f>
        <v>0</v>
      </c>
      <c r="N332" s="2"/>
      <c r="O332" s="2" t="n">
        <v>525</v>
      </c>
    </row>
    <row r="333" customFormat="false" ht="16.4" hidden="false" customHeight="false" outlineLevel="0" collapsed="false">
      <c r="A333" s="0" t="s">
        <v>15</v>
      </c>
      <c r="B333" s="0" t="s">
        <v>3200</v>
      </c>
      <c r="C333" s="0" t="n">
        <v>114001</v>
      </c>
      <c r="D333" s="0" t="n">
        <v>114001</v>
      </c>
      <c r="E333" s="0" t="s">
        <v>1815</v>
      </c>
      <c r="F333" s="0" t="s">
        <v>18</v>
      </c>
      <c r="G333" s="7" t="s">
        <v>3201</v>
      </c>
      <c r="H333" s="0" t="s">
        <v>3202</v>
      </c>
      <c r="I333" s="0" t="s">
        <v>124</v>
      </c>
      <c r="J333" s="0" t="s">
        <v>125</v>
      </c>
      <c r="K333" s="0" t="s">
        <v>1725</v>
      </c>
      <c r="L333" s="0" t="str">
        <f aca="false">IFERROR(VLOOKUP(K333,'Supplier list'!B:C,2,0),"")</f>
        <v>บริษัท พรีซิชั่นไลน์ จำกัด</v>
      </c>
      <c r="M333" s="1" t="n">
        <f aca="false">FALSE()</f>
        <v>0</v>
      </c>
      <c r="N333" s="2"/>
      <c r="O333" s="2" t="n">
        <v>565</v>
      </c>
    </row>
    <row r="334" customFormat="false" ht="16.4" hidden="false" customHeight="false" outlineLevel="0" collapsed="false">
      <c r="A334" s="0" t="s">
        <v>15</v>
      </c>
      <c r="B334" s="0" t="s">
        <v>3203</v>
      </c>
      <c r="C334" s="0" t="n">
        <v>114001</v>
      </c>
      <c r="D334" s="0" t="n">
        <v>114001</v>
      </c>
      <c r="E334" s="0" t="s">
        <v>1605</v>
      </c>
      <c r="F334" s="0" t="s">
        <v>18</v>
      </c>
      <c r="G334" s="7" t="s">
        <v>3204</v>
      </c>
      <c r="H334" s="0" t="s">
        <v>3205</v>
      </c>
      <c r="I334" s="0" t="s">
        <v>21</v>
      </c>
      <c r="J334" s="0" t="s">
        <v>22</v>
      </c>
      <c r="K334" s="0" t="s">
        <v>787</v>
      </c>
      <c r="L334" s="0" t="str">
        <f aca="false">IFERROR(VLOOKUP(K334,'Supplier list'!B:C,2,0),"")</f>
        <v>บริษัท ฟิวเจอร์เทค อินเตอร์มาร์เก็ตติ้ง จำกัด</v>
      </c>
      <c r="M334" s="1" t="n">
        <f aca="false">FALSE()</f>
        <v>0</v>
      </c>
      <c r="N334" s="2"/>
      <c r="O334" s="2" t="n">
        <v>10.5</v>
      </c>
    </row>
    <row r="335" customFormat="false" ht="16.4" hidden="false" customHeight="false" outlineLevel="0" collapsed="false">
      <c r="A335" s="0" t="s">
        <v>15</v>
      </c>
      <c r="B335" s="0" t="s">
        <v>3206</v>
      </c>
      <c r="C335" s="0" t="n">
        <v>114001</v>
      </c>
      <c r="D335" s="0" t="n">
        <v>114001</v>
      </c>
      <c r="E335" s="0" t="s">
        <v>1605</v>
      </c>
      <c r="F335" s="0" t="s">
        <v>18</v>
      </c>
      <c r="G335" s="7" t="s">
        <v>3207</v>
      </c>
      <c r="H335" s="0" t="s">
        <v>3208</v>
      </c>
      <c r="I335" s="0" t="s">
        <v>168</v>
      </c>
      <c r="J335" s="0" t="s">
        <v>169</v>
      </c>
      <c r="K335" s="0" t="s">
        <v>787</v>
      </c>
      <c r="L335" s="0" t="str">
        <f aca="false">IFERROR(VLOOKUP(K335,'Supplier list'!B:C,2,0),"")</f>
        <v>บริษัท ฟิวเจอร์เทค อินเตอร์มาร์เก็ตติ้ง จำกัด</v>
      </c>
      <c r="M335" s="1" t="n">
        <f aca="false">FALSE()</f>
        <v>0</v>
      </c>
      <c r="N335" s="2"/>
      <c r="O335" s="2" t="n">
        <v>420</v>
      </c>
    </row>
    <row r="336" customFormat="false" ht="16.4" hidden="false" customHeight="false" outlineLevel="0" collapsed="false">
      <c r="A336" s="0" t="s">
        <v>15</v>
      </c>
      <c r="B336" s="0" t="s">
        <v>3209</v>
      </c>
      <c r="C336" s="0" t="n">
        <v>114001</v>
      </c>
      <c r="D336" s="0" t="n">
        <v>114001</v>
      </c>
      <c r="E336" s="0" t="s">
        <v>1605</v>
      </c>
      <c r="F336" s="0" t="s">
        <v>18</v>
      </c>
      <c r="G336" s="7" t="s">
        <v>3210</v>
      </c>
      <c r="H336" s="0" t="s">
        <v>3211</v>
      </c>
      <c r="I336" s="0" t="s">
        <v>21</v>
      </c>
      <c r="J336" s="0" t="s">
        <v>22</v>
      </c>
      <c r="K336" s="0" t="s">
        <v>787</v>
      </c>
      <c r="L336" s="0" t="str">
        <f aca="false">IFERROR(VLOOKUP(K336,'Supplier list'!B:C,2,0),"")</f>
        <v>บริษัท ฟิวเจอร์เทค อินเตอร์มาร์เก็ตติ้ง จำกัด</v>
      </c>
      <c r="M336" s="1" t="n">
        <f aca="false">FALSE()</f>
        <v>0</v>
      </c>
      <c r="N336" s="2"/>
      <c r="O336" s="2" t="n">
        <v>21</v>
      </c>
    </row>
    <row r="337" customFormat="false" ht="16.4" hidden="false" customHeight="false" outlineLevel="0" collapsed="false">
      <c r="A337" s="0" t="s">
        <v>15</v>
      </c>
      <c r="B337" s="0" t="s">
        <v>3212</v>
      </c>
      <c r="C337" s="0" t="n">
        <v>114001</v>
      </c>
      <c r="D337" s="0" t="n">
        <v>114001</v>
      </c>
      <c r="E337" s="0" t="s">
        <v>2185</v>
      </c>
      <c r="F337" s="0" t="s">
        <v>18</v>
      </c>
      <c r="G337" s="7" t="s">
        <v>3213</v>
      </c>
      <c r="H337" s="0" t="s">
        <v>3214</v>
      </c>
      <c r="I337" s="0" t="s">
        <v>21</v>
      </c>
      <c r="J337" s="0" t="s">
        <v>22</v>
      </c>
      <c r="K337" s="0" t="s">
        <v>89</v>
      </c>
      <c r="L337" s="0" t="str">
        <f aca="false">IFERROR(VLOOKUP(K337,'Supplier list'!B:C,2,0),"")</f>
        <v>บริษัท เฮเฟเล่ (ประเทศไทย) จำกัด</v>
      </c>
      <c r="M337" s="1" t="n">
        <f aca="false">FALSE()</f>
        <v>0</v>
      </c>
      <c r="N337" s="2"/>
      <c r="O337" s="2" t="n">
        <v>655</v>
      </c>
    </row>
    <row r="338" customFormat="false" ht="16.4" hidden="false" customHeight="false" outlineLevel="0" collapsed="false">
      <c r="A338" s="0" t="s">
        <v>15</v>
      </c>
      <c r="B338" s="0" t="s">
        <v>3215</v>
      </c>
      <c r="C338" s="0" t="n">
        <v>114001</v>
      </c>
      <c r="D338" s="0" t="n">
        <v>114001</v>
      </c>
      <c r="E338" s="0" t="s">
        <v>1764</v>
      </c>
      <c r="F338" s="0" t="s">
        <v>18</v>
      </c>
      <c r="G338" s="7" t="s">
        <v>3216</v>
      </c>
      <c r="H338" s="0" t="s">
        <v>3217</v>
      </c>
      <c r="I338" s="0" t="s">
        <v>21</v>
      </c>
      <c r="J338" s="0" t="s">
        <v>22</v>
      </c>
      <c r="K338" s="0" t="s">
        <v>787</v>
      </c>
      <c r="L338" s="0" t="str">
        <f aca="false">IFERROR(VLOOKUP(K338,'Supplier list'!B:C,2,0),"")</f>
        <v>บริษัท ฟิวเจอร์เทค อินเตอร์มาร์เก็ตติ้ง จำกัด</v>
      </c>
      <c r="M338" s="1" t="n">
        <f aca="false">FALSE()</f>
        <v>0</v>
      </c>
      <c r="N338" s="2"/>
      <c r="O338" s="2" t="n">
        <v>60</v>
      </c>
    </row>
    <row r="339" customFormat="false" ht="16.4" hidden="false" customHeight="false" outlineLevel="0" collapsed="false">
      <c r="A339" s="0" t="s">
        <v>15</v>
      </c>
      <c r="B339" s="0" t="s">
        <v>3218</v>
      </c>
      <c r="C339" s="0" t="n">
        <v>114001</v>
      </c>
      <c r="D339" s="0" t="n">
        <v>114001</v>
      </c>
      <c r="E339" s="0" t="s">
        <v>1764</v>
      </c>
      <c r="F339" s="0" t="s">
        <v>18</v>
      </c>
      <c r="G339" s="7" t="s">
        <v>3219</v>
      </c>
      <c r="H339" s="0" t="s">
        <v>3220</v>
      </c>
      <c r="I339" s="0" t="s">
        <v>21</v>
      </c>
      <c r="J339" s="0" t="s">
        <v>22</v>
      </c>
      <c r="K339" s="0" t="s">
        <v>89</v>
      </c>
      <c r="L339" s="0" t="str">
        <f aca="false">IFERROR(VLOOKUP(K339,'Supplier list'!B:C,2,0),"")</f>
        <v>บริษัท เฮเฟเล่ (ประเทศไทย) จำกัด</v>
      </c>
      <c r="M339" s="1" t="n">
        <f aca="false">FALSE()</f>
        <v>0</v>
      </c>
      <c r="N339" s="2"/>
      <c r="O339" s="2" t="n">
        <v>460</v>
      </c>
    </row>
    <row r="340" customFormat="false" ht="16.4" hidden="false" customHeight="false" outlineLevel="0" collapsed="false">
      <c r="A340" s="0" t="s">
        <v>15</v>
      </c>
      <c r="B340" s="0" t="s">
        <v>3221</v>
      </c>
      <c r="C340" s="0" t="n">
        <v>114001</v>
      </c>
      <c r="D340" s="0" t="n">
        <v>114001</v>
      </c>
      <c r="E340" s="0" t="s">
        <v>1734</v>
      </c>
      <c r="F340" s="0" t="s">
        <v>18</v>
      </c>
      <c r="G340" s="7" t="s">
        <v>3222</v>
      </c>
      <c r="H340" s="0" t="s">
        <v>3223</v>
      </c>
      <c r="I340" s="0" t="s">
        <v>21</v>
      </c>
      <c r="J340" s="0" t="s">
        <v>22</v>
      </c>
      <c r="K340" s="0" t="s">
        <v>89</v>
      </c>
      <c r="L340" s="0" t="str">
        <f aca="false">IFERROR(VLOOKUP(K340,'Supplier list'!B:C,2,0),"")</f>
        <v>บริษัท เฮเฟเล่ (ประเทศไทย) จำกัด</v>
      </c>
      <c r="M340" s="1" t="n">
        <f aca="false">FALSE()</f>
        <v>0</v>
      </c>
      <c r="N340" s="2"/>
      <c r="O340" s="2" t="n">
        <v>720</v>
      </c>
    </row>
    <row r="341" customFormat="false" ht="16.4" hidden="false" customHeight="false" outlineLevel="0" collapsed="false">
      <c r="A341" s="0" t="s">
        <v>15</v>
      </c>
      <c r="B341" s="0" t="s">
        <v>3224</v>
      </c>
      <c r="C341" s="0" t="n">
        <v>114001</v>
      </c>
      <c r="D341" s="0" t="n">
        <v>114001</v>
      </c>
      <c r="E341" s="0" t="s">
        <v>1734</v>
      </c>
      <c r="F341" s="0" t="s">
        <v>18</v>
      </c>
      <c r="G341" s="7" t="s">
        <v>3225</v>
      </c>
      <c r="H341" s="0" t="s">
        <v>3226</v>
      </c>
      <c r="I341" s="0" t="s">
        <v>21</v>
      </c>
      <c r="J341" s="0" t="s">
        <v>22</v>
      </c>
      <c r="K341" s="0" t="s">
        <v>89</v>
      </c>
      <c r="L341" s="0" t="str">
        <f aca="false">IFERROR(VLOOKUP(K341,'Supplier list'!B:C,2,0),"")</f>
        <v>บริษัท เฮเฟเล่ (ประเทศไทย) จำกัด</v>
      </c>
      <c r="M341" s="1" t="n">
        <f aca="false">FALSE()</f>
        <v>0</v>
      </c>
      <c r="N341" s="2"/>
      <c r="O341" s="2" t="n">
        <v>160</v>
      </c>
    </row>
    <row r="342" customFormat="false" ht="16.4" hidden="false" customHeight="false" outlineLevel="0" collapsed="false">
      <c r="A342" s="0" t="s">
        <v>15</v>
      </c>
      <c r="B342" s="0" t="s">
        <v>3227</v>
      </c>
      <c r="C342" s="0" t="n">
        <v>114001</v>
      </c>
      <c r="D342" s="0" t="n">
        <v>114001</v>
      </c>
      <c r="E342" s="0" t="s">
        <v>1734</v>
      </c>
      <c r="F342" s="0" t="s">
        <v>18</v>
      </c>
      <c r="G342" s="7" t="s">
        <v>3228</v>
      </c>
      <c r="H342" s="0" t="s">
        <v>3229</v>
      </c>
      <c r="I342" s="0" t="s">
        <v>21</v>
      </c>
      <c r="J342" s="0" t="s">
        <v>22</v>
      </c>
      <c r="K342" s="0" t="s">
        <v>89</v>
      </c>
      <c r="L342" s="0" t="str">
        <f aca="false">IFERROR(VLOOKUP(K342,'Supplier list'!B:C,2,0),"")</f>
        <v>บริษัท เฮเฟเล่ (ประเทศไทย) จำกัด</v>
      </c>
      <c r="M342" s="1" t="n">
        <f aca="false">FALSE()</f>
        <v>0</v>
      </c>
      <c r="N342" s="2"/>
      <c r="O342" s="2" t="n">
        <v>170</v>
      </c>
    </row>
    <row r="343" customFormat="false" ht="16.4" hidden="false" customHeight="false" outlineLevel="0" collapsed="false">
      <c r="A343" s="0" t="s">
        <v>15</v>
      </c>
      <c r="B343" s="0" t="s">
        <v>3230</v>
      </c>
      <c r="C343" s="0" t="n">
        <v>114001</v>
      </c>
      <c r="D343" s="0" t="n">
        <v>114001</v>
      </c>
      <c r="E343" s="0" t="s">
        <v>1605</v>
      </c>
      <c r="F343" s="0" t="s">
        <v>18</v>
      </c>
      <c r="G343" s="7" t="s">
        <v>3231</v>
      </c>
      <c r="H343" s="0" t="s">
        <v>3232</v>
      </c>
      <c r="I343" s="0" t="s">
        <v>124</v>
      </c>
      <c r="J343" s="0" t="s">
        <v>125</v>
      </c>
      <c r="K343" s="0" t="s">
        <v>1725</v>
      </c>
      <c r="L343" s="0" t="str">
        <f aca="false">IFERROR(VLOOKUP(K343,'Supplier list'!B:C,2,0),"")</f>
        <v>บริษัท พรีซิชั่นไลน์ จำกัด</v>
      </c>
      <c r="M343" s="1" t="n">
        <f aca="false">TRUE()</f>
        <v>1</v>
      </c>
      <c r="N343" s="2" t="n">
        <v>20500</v>
      </c>
      <c r="O343" s="2" t="n">
        <v>15900</v>
      </c>
    </row>
    <row r="344" customFormat="false" ht="16.4" hidden="false" customHeight="false" outlineLevel="0" collapsed="false">
      <c r="A344" s="0" t="s">
        <v>15</v>
      </c>
      <c r="B344" s="0" t="s">
        <v>3233</v>
      </c>
      <c r="C344" s="0" t="n">
        <v>114001</v>
      </c>
      <c r="D344" s="0" t="n">
        <v>114001</v>
      </c>
      <c r="E344" s="0" t="s">
        <v>1804</v>
      </c>
      <c r="F344" s="0" t="s">
        <v>18</v>
      </c>
      <c r="G344" s="7" t="s">
        <v>3234</v>
      </c>
      <c r="H344" s="0" t="s">
        <v>3235</v>
      </c>
      <c r="I344" s="0" t="s">
        <v>124</v>
      </c>
      <c r="J344" s="0" t="s">
        <v>125</v>
      </c>
      <c r="K344" s="0" t="s">
        <v>787</v>
      </c>
      <c r="L344" s="0" t="str">
        <f aca="false">IFERROR(VLOOKUP(K344,'Supplier list'!B:C,2,0),"")</f>
        <v>บริษัท ฟิวเจอร์เทค อินเตอร์มาร์เก็ตติ้ง จำกัด</v>
      </c>
      <c r="M344" s="1" t="n">
        <f aca="false">FALSE()</f>
        <v>0</v>
      </c>
      <c r="N344" s="2"/>
      <c r="O344" s="2" t="n">
        <v>2100</v>
      </c>
    </row>
    <row r="345" customFormat="false" ht="16.4" hidden="false" customHeight="false" outlineLevel="0" collapsed="false">
      <c r="A345" s="0" t="s">
        <v>15</v>
      </c>
      <c r="B345" s="0" t="s">
        <v>3236</v>
      </c>
      <c r="C345" s="0" t="n">
        <v>114001</v>
      </c>
      <c r="D345" s="0" t="n">
        <v>114001</v>
      </c>
      <c r="E345" s="0" t="s">
        <v>1653</v>
      </c>
      <c r="F345" s="0" t="s">
        <v>18</v>
      </c>
      <c r="G345" s="7" t="s">
        <v>3237</v>
      </c>
      <c r="H345" s="0" t="s">
        <v>3238</v>
      </c>
      <c r="I345" s="0" t="s">
        <v>124</v>
      </c>
      <c r="J345" s="0" t="s">
        <v>125</v>
      </c>
      <c r="K345" s="0" t="s">
        <v>89</v>
      </c>
      <c r="L345" s="0" t="str">
        <f aca="false">IFERROR(VLOOKUP(K345,'Supplier list'!B:C,2,0),"")</f>
        <v>บริษัท เฮเฟเล่ (ประเทศไทย) จำกัด</v>
      </c>
      <c r="M345" s="1" t="n">
        <f aca="false">FALSE()</f>
        <v>0</v>
      </c>
      <c r="N345" s="2"/>
      <c r="O345" s="2" t="n">
        <v>2300</v>
      </c>
    </row>
    <row r="346" customFormat="false" ht="16.4" hidden="false" customHeight="false" outlineLevel="0" collapsed="false">
      <c r="A346" s="0" t="s">
        <v>15</v>
      </c>
      <c r="B346" s="0" t="s">
        <v>3239</v>
      </c>
      <c r="C346" s="0" t="n">
        <v>114001</v>
      </c>
      <c r="D346" s="0" t="n">
        <v>114001</v>
      </c>
      <c r="E346" s="0" t="s">
        <v>1684</v>
      </c>
      <c r="F346" s="0" t="s">
        <v>18</v>
      </c>
      <c r="G346" s="7" t="s">
        <v>3240</v>
      </c>
      <c r="H346" s="0" t="s">
        <v>3241</v>
      </c>
      <c r="I346" s="0" t="s">
        <v>396</v>
      </c>
      <c r="J346" s="0" t="s">
        <v>397</v>
      </c>
      <c r="K346" s="0" t="s">
        <v>89</v>
      </c>
      <c r="L346" s="0" t="str">
        <f aca="false">IFERROR(VLOOKUP(K346,'Supplier list'!B:C,2,0),"")</f>
        <v>บริษัท เฮเฟเล่ (ประเทศไทย) จำกัด</v>
      </c>
      <c r="M346" s="1" t="n">
        <f aca="false">TRUE()</f>
        <v>1</v>
      </c>
      <c r="N346" s="2" t="n">
        <v>1900</v>
      </c>
      <c r="O346" s="2" t="n">
        <f aca="false">3113/5</f>
        <v>622.6</v>
      </c>
    </row>
    <row r="347" customFormat="false" ht="16.4" hidden="false" customHeight="false" outlineLevel="0" collapsed="false">
      <c r="A347" s="0" t="s">
        <v>15</v>
      </c>
      <c r="B347" s="0" t="s">
        <v>3242</v>
      </c>
      <c r="C347" s="0" t="n">
        <v>114001</v>
      </c>
      <c r="D347" s="0" t="n">
        <v>114001</v>
      </c>
      <c r="E347" s="0" t="s">
        <v>1653</v>
      </c>
      <c r="F347" s="0" t="s">
        <v>18</v>
      </c>
      <c r="G347" s="7" t="s">
        <v>3243</v>
      </c>
      <c r="H347" s="0" t="s">
        <v>3244</v>
      </c>
      <c r="I347" s="0" t="s">
        <v>124</v>
      </c>
      <c r="J347" s="0" t="s">
        <v>125</v>
      </c>
      <c r="K347" s="0" t="s">
        <v>89</v>
      </c>
      <c r="L347" s="0" t="str">
        <f aca="false">IFERROR(VLOOKUP(K347,'Supplier list'!B:C,2,0),"")</f>
        <v>บริษัท เฮเฟเล่ (ประเทศไทย) จำกัด</v>
      </c>
      <c r="M347" s="1" t="n">
        <f aca="false">FALSE()</f>
        <v>0</v>
      </c>
      <c r="N347" s="2"/>
      <c r="O347" s="2" t="n">
        <v>1600</v>
      </c>
    </row>
    <row r="348" customFormat="false" ht="16.4" hidden="false" customHeight="false" outlineLevel="0" collapsed="false">
      <c r="A348" s="0" t="s">
        <v>15</v>
      </c>
      <c r="B348" s="0" t="s">
        <v>3245</v>
      </c>
      <c r="C348" s="0" t="n">
        <v>114001</v>
      </c>
      <c r="D348" s="0" t="n">
        <v>114001</v>
      </c>
      <c r="E348" s="0" t="s">
        <v>1653</v>
      </c>
      <c r="F348" s="0" t="s">
        <v>18</v>
      </c>
      <c r="G348" s="7" t="s">
        <v>3246</v>
      </c>
      <c r="H348" s="0" t="s">
        <v>3247</v>
      </c>
      <c r="I348" s="0" t="s">
        <v>124</v>
      </c>
      <c r="J348" s="0" t="s">
        <v>125</v>
      </c>
      <c r="K348" s="0" t="s">
        <v>89</v>
      </c>
      <c r="L348" s="0" t="str">
        <f aca="false">IFERROR(VLOOKUP(K348,'Supplier list'!B:C,2,0),"")</f>
        <v>บริษัท เฮเฟเล่ (ประเทศไทย) จำกัด</v>
      </c>
      <c r="M348" s="1" t="n">
        <f aca="false">FALSE()</f>
        <v>0</v>
      </c>
      <c r="N348" s="2"/>
      <c r="O348" s="2" t="n">
        <v>1700</v>
      </c>
    </row>
    <row r="349" customFormat="false" ht="16.4" hidden="false" customHeight="false" outlineLevel="0" collapsed="false">
      <c r="A349" s="0" t="s">
        <v>15</v>
      </c>
      <c r="B349" s="0" t="s">
        <v>3248</v>
      </c>
      <c r="C349" s="0" t="n">
        <v>114001</v>
      </c>
      <c r="D349" s="0" t="n">
        <v>114001</v>
      </c>
      <c r="E349" s="0" t="s">
        <v>961</v>
      </c>
      <c r="F349" s="0" t="s">
        <v>18</v>
      </c>
      <c r="G349" s="7" t="s">
        <v>3249</v>
      </c>
      <c r="H349" s="0" t="s">
        <v>3250</v>
      </c>
      <c r="I349" s="0" t="s">
        <v>124</v>
      </c>
      <c r="J349" s="0" t="s">
        <v>125</v>
      </c>
      <c r="K349" s="0" t="s">
        <v>89</v>
      </c>
      <c r="L349" s="0" t="str">
        <f aca="false">IFERROR(VLOOKUP(K349,'Supplier list'!B:C,2,0),"")</f>
        <v>บริษัท เฮเฟเล่ (ประเทศไทย) จำกัด</v>
      </c>
      <c r="M349" s="1" t="n">
        <f aca="false">FALSE()</f>
        <v>0</v>
      </c>
      <c r="N349" s="2"/>
      <c r="O349" s="2" t="n">
        <v>38</v>
      </c>
    </row>
    <row r="350" customFormat="false" ht="16.4" hidden="false" customHeight="false" outlineLevel="0" collapsed="false">
      <c r="A350" s="0" t="s">
        <v>15</v>
      </c>
      <c r="B350" s="0" t="s">
        <v>3251</v>
      </c>
      <c r="C350" s="0" t="n">
        <v>114001</v>
      </c>
      <c r="D350" s="0" t="n">
        <v>114001</v>
      </c>
      <c r="E350" s="0" t="s">
        <v>139</v>
      </c>
      <c r="F350" s="0" t="s">
        <v>18</v>
      </c>
      <c r="G350" s="7" t="s">
        <v>3252</v>
      </c>
      <c r="H350" s="0" t="s">
        <v>3253</v>
      </c>
      <c r="I350" s="0" t="s">
        <v>21</v>
      </c>
      <c r="J350" s="0" t="s">
        <v>22</v>
      </c>
      <c r="K350" s="0" t="s">
        <v>787</v>
      </c>
      <c r="L350" s="0" t="str">
        <f aca="false">IFERROR(VLOOKUP(K350,'Supplier list'!B:C,2,0),"")</f>
        <v>บริษัท ฟิวเจอร์เทค อินเตอร์มาร์เก็ตติ้ง จำกัด</v>
      </c>
      <c r="M350" s="1" t="n">
        <f aca="false">FALSE()</f>
        <v>0</v>
      </c>
      <c r="N350" s="2"/>
      <c r="O350" s="2" t="n">
        <v>10.5</v>
      </c>
    </row>
    <row r="351" customFormat="false" ht="16.4" hidden="false" customHeight="false" outlineLevel="0" collapsed="false">
      <c r="A351" s="0" t="s">
        <v>15</v>
      </c>
      <c r="B351" s="0" t="s">
        <v>3254</v>
      </c>
      <c r="C351" s="0" t="n">
        <v>114001</v>
      </c>
      <c r="D351" s="0" t="n">
        <v>114001</v>
      </c>
      <c r="E351" s="0" t="s">
        <v>961</v>
      </c>
      <c r="F351" s="0" t="s">
        <v>18</v>
      </c>
      <c r="G351" s="7" t="s">
        <v>3255</v>
      </c>
      <c r="H351" s="0" t="s">
        <v>2334</v>
      </c>
      <c r="I351" s="0" t="s">
        <v>21</v>
      </c>
      <c r="J351" s="0" t="s">
        <v>22</v>
      </c>
      <c r="K351" s="0" t="s">
        <v>89</v>
      </c>
      <c r="L351" s="0" t="str">
        <f aca="false">IFERROR(VLOOKUP(K351,'Supplier list'!B:C,2,0),"")</f>
        <v>บริษัท เฮเฟเล่ (ประเทศไทย) จำกัด</v>
      </c>
      <c r="M351" s="1" t="n">
        <f aca="false">FALSE()</f>
        <v>0</v>
      </c>
      <c r="N351" s="2"/>
      <c r="O351" s="2" t="n">
        <v>50</v>
      </c>
    </row>
    <row r="352" customFormat="false" ht="16.4" hidden="false" customHeight="false" outlineLevel="0" collapsed="false">
      <c r="A352" s="0" t="s">
        <v>15</v>
      </c>
      <c r="B352" s="0" t="s">
        <v>3256</v>
      </c>
      <c r="C352" s="0" t="n">
        <v>114001</v>
      </c>
      <c r="D352" s="0" t="n">
        <v>114001</v>
      </c>
      <c r="E352" s="0" t="s">
        <v>1605</v>
      </c>
      <c r="F352" s="0" t="s">
        <v>18</v>
      </c>
      <c r="G352" s="7" t="s">
        <v>3257</v>
      </c>
      <c r="H352" s="0" t="s">
        <v>3258</v>
      </c>
      <c r="I352" s="0" t="s">
        <v>124</v>
      </c>
      <c r="J352" s="0" t="s">
        <v>125</v>
      </c>
      <c r="K352" s="0" t="s">
        <v>89</v>
      </c>
      <c r="L352" s="0" t="str">
        <f aca="false">IFERROR(VLOOKUP(K352,'Supplier list'!B:C,2,0),"")</f>
        <v>บริษัท เฮเฟเล่ (ประเทศไทย) จำกัด</v>
      </c>
      <c r="M352" s="1" t="n">
        <f aca="false">FALSE()</f>
        <v>0</v>
      </c>
      <c r="N352" s="2"/>
      <c r="O352" s="2" t="n">
        <v>19</v>
      </c>
    </row>
    <row r="353" customFormat="false" ht="16.4" hidden="false" customHeight="false" outlineLevel="0" collapsed="false">
      <c r="A353" s="0" t="s">
        <v>15</v>
      </c>
      <c r="B353" s="0" t="s">
        <v>3259</v>
      </c>
      <c r="C353" s="0" t="n">
        <v>114001</v>
      </c>
      <c r="D353" s="0" t="n">
        <v>114001</v>
      </c>
      <c r="E353" s="0" t="s">
        <v>961</v>
      </c>
      <c r="F353" s="0" t="s">
        <v>18</v>
      </c>
      <c r="G353" s="7" t="s">
        <v>3260</v>
      </c>
      <c r="H353" s="0" t="s">
        <v>3261</v>
      </c>
      <c r="I353" s="0" t="s">
        <v>21</v>
      </c>
      <c r="J353" s="0" t="s">
        <v>22</v>
      </c>
      <c r="K353" s="0" t="s">
        <v>89</v>
      </c>
      <c r="L353" s="0" t="str">
        <f aca="false">IFERROR(VLOOKUP(K353,'Supplier list'!B:C,2,0),"")</f>
        <v>บริษัท เฮเฟเล่ (ประเทศไทย) จำกัด</v>
      </c>
      <c r="M353" s="1" t="n">
        <f aca="false">FALSE()</f>
        <v>0</v>
      </c>
      <c r="N353" s="2"/>
      <c r="O353" s="2" t="n">
        <v>299</v>
      </c>
    </row>
    <row r="354" customFormat="false" ht="16.4" hidden="false" customHeight="false" outlineLevel="0" collapsed="false">
      <c r="A354" s="0" t="s">
        <v>15</v>
      </c>
      <c r="B354" s="0" t="s">
        <v>3262</v>
      </c>
      <c r="C354" s="0" t="n">
        <v>114001</v>
      </c>
      <c r="D354" s="0" t="n">
        <v>114001</v>
      </c>
      <c r="E354" s="0" t="s">
        <v>961</v>
      </c>
      <c r="F354" s="0" t="s">
        <v>18</v>
      </c>
      <c r="G354" s="7" t="s">
        <v>3263</v>
      </c>
      <c r="H354" s="0" t="s">
        <v>3264</v>
      </c>
      <c r="I354" s="0" t="s">
        <v>21</v>
      </c>
      <c r="J354" s="0" t="s">
        <v>22</v>
      </c>
      <c r="K354" s="0" t="s">
        <v>89</v>
      </c>
      <c r="L354" s="0" t="str">
        <f aca="false">IFERROR(VLOOKUP(K354,'Supplier list'!B:C,2,0),"")</f>
        <v>บริษัท เฮเฟเล่ (ประเทศไทย) จำกัด</v>
      </c>
      <c r="M354" s="1" t="n">
        <f aca="false">FALSE()</f>
        <v>0</v>
      </c>
      <c r="N354" s="2"/>
      <c r="O354" s="2" t="n">
        <v>14</v>
      </c>
    </row>
    <row r="355" customFormat="false" ht="16.4" hidden="false" customHeight="false" outlineLevel="0" collapsed="false">
      <c r="A355" s="0" t="s">
        <v>15</v>
      </c>
      <c r="B355" s="0" t="s">
        <v>3265</v>
      </c>
      <c r="C355" s="0" t="n">
        <v>114001</v>
      </c>
      <c r="D355" s="0" t="n">
        <v>114001</v>
      </c>
      <c r="E355" s="0" t="s">
        <v>1605</v>
      </c>
      <c r="F355" s="0" t="s">
        <v>18</v>
      </c>
      <c r="G355" s="7" t="s">
        <v>3266</v>
      </c>
      <c r="H355" s="0" t="s">
        <v>3267</v>
      </c>
      <c r="I355" s="0" t="s">
        <v>21</v>
      </c>
      <c r="J355" s="0" t="s">
        <v>22</v>
      </c>
      <c r="K355" s="0" t="s">
        <v>787</v>
      </c>
      <c r="L355" s="0" t="str">
        <f aca="false">IFERROR(VLOOKUP(K355,'Supplier list'!B:C,2,0),"")</f>
        <v>บริษัท ฟิวเจอร์เทค อินเตอร์มาร์เก็ตติ้ง จำกัด</v>
      </c>
      <c r="M355" s="1" t="n">
        <f aca="false">FALSE()</f>
        <v>0</v>
      </c>
      <c r="N355" s="2"/>
      <c r="O355" s="2" t="n">
        <v>7</v>
      </c>
    </row>
    <row r="356" customFormat="false" ht="16.4" hidden="false" customHeight="false" outlineLevel="0" collapsed="false">
      <c r="A356" s="0" t="s">
        <v>15</v>
      </c>
      <c r="B356" s="0" t="s">
        <v>3268</v>
      </c>
      <c r="C356" s="0" t="n">
        <v>114001</v>
      </c>
      <c r="D356" s="0" t="n">
        <v>114001</v>
      </c>
      <c r="E356" s="0" t="s">
        <v>1605</v>
      </c>
      <c r="F356" s="0" t="s">
        <v>18</v>
      </c>
      <c r="G356" s="7" t="s">
        <v>3269</v>
      </c>
      <c r="H356" s="0" t="s">
        <v>3270</v>
      </c>
      <c r="I356" s="0" t="s">
        <v>21</v>
      </c>
      <c r="J356" s="0" t="s">
        <v>22</v>
      </c>
      <c r="K356" s="0" t="s">
        <v>787</v>
      </c>
      <c r="L356" s="0" t="str">
        <f aca="false">IFERROR(VLOOKUP(K356,'Supplier list'!B:C,2,0),"")</f>
        <v>บริษัท ฟิวเจอร์เทค อินเตอร์มาร์เก็ตติ้ง จำกัด</v>
      </c>
      <c r="M356" s="1" t="n">
        <f aca="false">FALSE()</f>
        <v>0</v>
      </c>
      <c r="N356" s="2"/>
      <c r="O356" s="2" t="n">
        <v>62</v>
      </c>
    </row>
    <row r="357" customFormat="false" ht="16.4" hidden="false" customHeight="false" outlineLevel="0" collapsed="false">
      <c r="A357" s="0" t="s">
        <v>15</v>
      </c>
      <c r="B357" s="0" t="s">
        <v>3271</v>
      </c>
      <c r="C357" s="0" t="n">
        <v>114001</v>
      </c>
      <c r="D357" s="0" t="n">
        <v>114001</v>
      </c>
      <c r="E357" s="0" t="s">
        <v>1605</v>
      </c>
      <c r="F357" s="0" t="s">
        <v>18</v>
      </c>
      <c r="G357" s="7" t="s">
        <v>3272</v>
      </c>
      <c r="H357" s="0" t="s">
        <v>3273</v>
      </c>
      <c r="I357" s="0" t="s">
        <v>21</v>
      </c>
      <c r="J357" s="0" t="s">
        <v>22</v>
      </c>
      <c r="K357" s="0" t="s">
        <v>787</v>
      </c>
      <c r="L357" s="0" t="str">
        <f aca="false">IFERROR(VLOOKUP(K357,'Supplier list'!B:C,2,0),"")</f>
        <v>บริษัท ฟิวเจอร์เทค อินเตอร์มาร์เก็ตติ้ง จำกัด</v>
      </c>
      <c r="M357" s="1" t="n">
        <f aca="false">FALSE()</f>
        <v>0</v>
      </c>
      <c r="N357" s="2"/>
      <c r="O357" s="2" t="n">
        <v>1.5</v>
      </c>
    </row>
    <row r="358" customFormat="false" ht="16.4" hidden="false" customHeight="false" outlineLevel="0" collapsed="false">
      <c r="A358" s="0" t="s">
        <v>15</v>
      </c>
      <c r="B358" s="0" t="s">
        <v>3274</v>
      </c>
      <c r="C358" s="0" t="n">
        <v>114001</v>
      </c>
      <c r="D358" s="0" t="n">
        <v>114001</v>
      </c>
      <c r="E358" s="0" t="s">
        <v>961</v>
      </c>
      <c r="F358" s="0" t="s">
        <v>18</v>
      </c>
      <c r="G358" s="7" t="s">
        <v>3275</v>
      </c>
      <c r="H358" s="0" t="s">
        <v>3276</v>
      </c>
      <c r="I358" s="0" t="s">
        <v>21</v>
      </c>
      <c r="J358" s="0" t="s">
        <v>22</v>
      </c>
      <c r="K358" s="0" t="s">
        <v>89</v>
      </c>
      <c r="L358" s="0" t="str">
        <f aca="false">IFERROR(VLOOKUP(K358,'Supplier list'!B:C,2,0),"")</f>
        <v>บริษัท เฮเฟเล่ (ประเทศไทย) จำกัด</v>
      </c>
      <c r="M358" s="1" t="n">
        <f aca="false">FALSE()</f>
        <v>0</v>
      </c>
      <c r="N358" s="2"/>
      <c r="O358" s="2" t="n">
        <v>39</v>
      </c>
    </row>
    <row r="359" customFormat="false" ht="16.4" hidden="false" customHeight="false" outlineLevel="0" collapsed="false">
      <c r="A359" s="0" t="s">
        <v>15</v>
      </c>
      <c r="B359" s="0" t="s">
        <v>3277</v>
      </c>
      <c r="C359" s="0" t="n">
        <v>114001</v>
      </c>
      <c r="D359" s="0" t="n">
        <v>114001</v>
      </c>
      <c r="E359" s="0" t="s">
        <v>1605</v>
      </c>
      <c r="F359" s="0" t="s">
        <v>18</v>
      </c>
      <c r="G359" s="7" t="s">
        <v>3278</v>
      </c>
      <c r="H359" s="0" t="s">
        <v>3279</v>
      </c>
      <c r="I359" s="0" t="s">
        <v>21</v>
      </c>
      <c r="J359" s="0" t="s">
        <v>22</v>
      </c>
      <c r="K359" s="0" t="s">
        <v>1725</v>
      </c>
      <c r="L359" s="0" t="str">
        <f aca="false">IFERROR(VLOOKUP(K359,'Supplier list'!B:C,2,0),"")</f>
        <v>บริษัท พรีซิชั่นไลน์ จำกัด</v>
      </c>
      <c r="M359" s="1" t="n">
        <f aca="false">FALSE()</f>
        <v>0</v>
      </c>
      <c r="N359" s="2"/>
      <c r="O359" s="2" t="n">
        <v>5.1</v>
      </c>
    </row>
    <row r="360" customFormat="false" ht="16.4" hidden="false" customHeight="false" outlineLevel="0" collapsed="false">
      <c r="A360" s="0" t="s">
        <v>15</v>
      </c>
      <c r="B360" s="0" t="s">
        <v>3280</v>
      </c>
      <c r="C360" s="0" t="n">
        <v>114001</v>
      </c>
      <c r="D360" s="0" t="n">
        <v>114001</v>
      </c>
      <c r="E360" s="0" t="s">
        <v>1605</v>
      </c>
      <c r="F360" s="0" t="s">
        <v>18</v>
      </c>
      <c r="G360" s="7" t="s">
        <v>3281</v>
      </c>
      <c r="H360" s="0" t="s">
        <v>3282</v>
      </c>
      <c r="I360" s="0" t="s">
        <v>21</v>
      </c>
      <c r="J360" s="0" t="s">
        <v>22</v>
      </c>
      <c r="K360" s="0" t="s">
        <v>1725</v>
      </c>
      <c r="L360" s="0" t="str">
        <f aca="false">IFERROR(VLOOKUP(K360,'Supplier list'!B:C,2,0),"")</f>
        <v>บริษัท พรีซิชั่นไลน์ จำกัด</v>
      </c>
      <c r="M360" s="1" t="n">
        <f aca="false">FALSE()</f>
        <v>0</v>
      </c>
      <c r="N360" s="2"/>
      <c r="O360" s="2" t="n">
        <v>3.85</v>
      </c>
    </row>
    <row r="361" customFormat="false" ht="16.4" hidden="false" customHeight="false" outlineLevel="0" collapsed="false">
      <c r="A361" s="0" t="s">
        <v>15</v>
      </c>
      <c r="B361" s="0" t="s">
        <v>3283</v>
      </c>
      <c r="C361" s="0" t="n">
        <v>114001</v>
      </c>
      <c r="D361" s="0" t="n">
        <v>114001</v>
      </c>
      <c r="E361" s="0" t="s">
        <v>1734</v>
      </c>
      <c r="F361" s="0" t="s">
        <v>18</v>
      </c>
      <c r="G361" s="7" t="s">
        <v>3284</v>
      </c>
      <c r="H361" s="0" t="s">
        <v>2176</v>
      </c>
      <c r="I361" s="0" t="s">
        <v>21</v>
      </c>
      <c r="J361" s="0" t="s">
        <v>22</v>
      </c>
      <c r="K361" s="0" t="s">
        <v>89</v>
      </c>
      <c r="L361" s="0" t="str">
        <f aca="false">IFERROR(VLOOKUP(K361,'Supplier list'!B:C,2,0),"")</f>
        <v>บริษัท เฮเฟเล่ (ประเทศไทย) จำกัด</v>
      </c>
      <c r="M361" s="1" t="n">
        <f aca="false">FALSE()</f>
        <v>0</v>
      </c>
      <c r="N361" s="2"/>
      <c r="O361" s="2" t="n">
        <v>206</v>
      </c>
    </row>
    <row r="362" customFormat="false" ht="16.4" hidden="false" customHeight="false" outlineLevel="0" collapsed="false">
      <c r="A362" s="0" t="s">
        <v>15</v>
      </c>
      <c r="B362" s="0" t="s">
        <v>3285</v>
      </c>
      <c r="C362" s="0" t="n">
        <v>114001</v>
      </c>
      <c r="D362" s="0" t="n">
        <v>114001</v>
      </c>
      <c r="E362" s="0" t="s">
        <v>3286</v>
      </c>
      <c r="F362" s="0" t="s">
        <v>18</v>
      </c>
      <c r="G362" s="7" t="s">
        <v>3287</v>
      </c>
      <c r="H362" s="0" t="s">
        <v>3288</v>
      </c>
      <c r="I362" s="0" t="s">
        <v>21</v>
      </c>
      <c r="J362" s="0" t="s">
        <v>22</v>
      </c>
      <c r="K362" s="0" t="s">
        <v>89</v>
      </c>
      <c r="L362" s="0" t="str">
        <f aca="false">IFERROR(VLOOKUP(K362,'Supplier list'!B:C,2,0),"")</f>
        <v>บริษัท เฮเฟเล่ (ประเทศไทย) จำกัด</v>
      </c>
      <c r="M362" s="1" t="n">
        <f aca="false">FALSE()</f>
        <v>0</v>
      </c>
      <c r="N362" s="2"/>
      <c r="O362" s="2" t="n">
        <v>7900</v>
      </c>
    </row>
    <row r="363" customFormat="false" ht="16.4" hidden="false" customHeight="false" outlineLevel="0" collapsed="false">
      <c r="A363" s="0" t="s">
        <v>15</v>
      </c>
      <c r="B363" s="0" t="s">
        <v>3289</v>
      </c>
      <c r="C363" s="0" t="n">
        <v>114001</v>
      </c>
      <c r="D363" s="0" t="n">
        <v>114001</v>
      </c>
      <c r="E363" s="0" t="s">
        <v>581</v>
      </c>
      <c r="F363" s="0" t="s">
        <v>18</v>
      </c>
      <c r="G363" s="7" t="s">
        <v>3290</v>
      </c>
      <c r="H363" s="0" t="s">
        <v>3291</v>
      </c>
      <c r="I363" s="0" t="s">
        <v>21</v>
      </c>
      <c r="J363" s="0" t="s">
        <v>22</v>
      </c>
      <c r="K363" s="0" t="s">
        <v>56</v>
      </c>
      <c r="L363" s="0" t="str">
        <f aca="false">IFERROR(VLOOKUP(K363,'Supplier list'!B:C,2,0),"")</f>
        <v>CO.,LTD QINGDAO NEW LIBERTY INT'L TRADING CO.LTD.</v>
      </c>
      <c r="M363" s="1" t="n">
        <f aca="false">FALSE()</f>
        <v>0</v>
      </c>
      <c r="N363" s="2"/>
      <c r="O363" s="2" t="n">
        <v>80</v>
      </c>
    </row>
    <row r="364" customFormat="false" ht="16.4" hidden="false" customHeight="false" outlineLevel="0" collapsed="false">
      <c r="A364" s="0" t="s">
        <v>15</v>
      </c>
      <c r="B364" s="0" t="s">
        <v>3292</v>
      </c>
      <c r="C364" s="0" t="n">
        <v>114001</v>
      </c>
      <c r="D364" s="0" t="n">
        <v>114001</v>
      </c>
      <c r="E364" s="0" t="s">
        <v>2596</v>
      </c>
      <c r="F364" s="0" t="s">
        <v>18</v>
      </c>
      <c r="G364" s="7" t="s">
        <v>3293</v>
      </c>
      <c r="H364" s="0" t="s">
        <v>3294</v>
      </c>
      <c r="I364" s="0" t="s">
        <v>21</v>
      </c>
      <c r="J364" s="0" t="s">
        <v>22</v>
      </c>
      <c r="K364" s="0" t="s">
        <v>89</v>
      </c>
      <c r="L364" s="0" t="str">
        <f aca="false">IFERROR(VLOOKUP(K364,'Supplier list'!B:C,2,0),"")</f>
        <v>บริษัท เฮเฟเล่ (ประเทศไทย) จำกัด</v>
      </c>
      <c r="M364" s="1" t="n">
        <f aca="false">TRUE()</f>
        <v>1</v>
      </c>
      <c r="N364" s="2" t="n">
        <v>1690</v>
      </c>
      <c r="O364" s="2" t="n">
        <v>795</v>
      </c>
    </row>
    <row r="365" customFormat="false" ht="16.4" hidden="false" customHeight="false" outlineLevel="0" collapsed="false">
      <c r="A365" s="0" t="s">
        <v>15</v>
      </c>
      <c r="B365" s="0" t="s">
        <v>3295</v>
      </c>
      <c r="C365" s="0" t="n">
        <v>114001</v>
      </c>
      <c r="D365" s="0" t="n">
        <v>114001</v>
      </c>
      <c r="E365" s="0" t="s">
        <v>2596</v>
      </c>
      <c r="F365" s="0" t="s">
        <v>18</v>
      </c>
      <c r="G365" s="7" t="s">
        <v>3296</v>
      </c>
      <c r="H365" s="0" t="s">
        <v>3297</v>
      </c>
      <c r="I365" s="0" t="s">
        <v>21</v>
      </c>
      <c r="J365" s="0" t="s">
        <v>22</v>
      </c>
      <c r="K365" s="0" t="s">
        <v>89</v>
      </c>
      <c r="L365" s="0" t="str">
        <f aca="false">IFERROR(VLOOKUP(K365,'Supplier list'!B:C,2,0),"")</f>
        <v>บริษัท เฮเฟเล่ (ประเทศไทย) จำกัด</v>
      </c>
      <c r="M365" s="1" t="n">
        <f aca="false">FALSE()</f>
        <v>0</v>
      </c>
      <c r="N365" s="2"/>
      <c r="O365" s="2" t="n">
        <v>85</v>
      </c>
    </row>
    <row r="366" customFormat="false" ht="16.4" hidden="false" customHeight="false" outlineLevel="0" collapsed="false">
      <c r="A366" s="0" t="s">
        <v>15</v>
      </c>
      <c r="B366" s="0" t="s">
        <v>3298</v>
      </c>
      <c r="C366" s="0" t="n">
        <v>114001</v>
      </c>
      <c r="D366" s="0" t="n">
        <v>114001</v>
      </c>
      <c r="E366" s="0" t="s">
        <v>1653</v>
      </c>
      <c r="F366" s="0" t="s">
        <v>18</v>
      </c>
      <c r="G366" s="7" t="s">
        <v>3299</v>
      </c>
      <c r="H366" s="0" t="s">
        <v>3300</v>
      </c>
      <c r="I366" s="0" t="s">
        <v>124</v>
      </c>
      <c r="J366" s="0" t="s">
        <v>125</v>
      </c>
      <c r="K366" s="0" t="s">
        <v>89</v>
      </c>
      <c r="L366" s="0" t="str">
        <f aca="false">IFERROR(VLOOKUP(K366,'Supplier list'!B:C,2,0),"")</f>
        <v>บริษัท เฮเฟเล่ (ประเทศไทย) จำกัด</v>
      </c>
      <c r="M366" s="1" t="n">
        <f aca="false">FALSE()</f>
        <v>0</v>
      </c>
      <c r="N366" s="2"/>
      <c r="O366" s="2" t="n">
        <v>3300</v>
      </c>
    </row>
    <row r="367" customFormat="false" ht="16.4" hidden="false" customHeight="false" outlineLevel="0" collapsed="false">
      <c r="A367" s="0" t="s">
        <v>15</v>
      </c>
      <c r="B367" s="0" t="s">
        <v>3301</v>
      </c>
      <c r="C367" s="0" t="n">
        <v>114001</v>
      </c>
      <c r="D367" s="0" t="n">
        <v>114001</v>
      </c>
      <c r="E367" s="0" t="s">
        <v>1653</v>
      </c>
      <c r="F367" s="0" t="s">
        <v>18</v>
      </c>
      <c r="G367" s="7" t="s">
        <v>3302</v>
      </c>
      <c r="H367" s="0" t="s">
        <v>3303</v>
      </c>
      <c r="I367" s="0" t="s">
        <v>124</v>
      </c>
      <c r="J367" s="0" t="s">
        <v>125</v>
      </c>
      <c r="K367" s="0" t="s">
        <v>89</v>
      </c>
      <c r="L367" s="0" t="str">
        <f aca="false">IFERROR(VLOOKUP(K367,'Supplier list'!B:C,2,0),"")</f>
        <v>บริษัท เฮเฟเล่ (ประเทศไทย) จำกัด</v>
      </c>
      <c r="M367" s="1" t="n">
        <f aca="false">FALSE()</f>
        <v>0</v>
      </c>
      <c r="N367" s="2"/>
      <c r="O367" s="2" t="n">
        <v>980</v>
      </c>
    </row>
    <row r="368" customFormat="false" ht="16.4" hidden="false" customHeight="false" outlineLevel="0" collapsed="false">
      <c r="A368" s="0" t="s">
        <v>15</v>
      </c>
      <c r="B368" s="0" t="s">
        <v>3304</v>
      </c>
      <c r="C368" s="0" t="n">
        <v>114001</v>
      </c>
      <c r="D368" s="0" t="n">
        <v>114001</v>
      </c>
      <c r="E368" s="0" t="s">
        <v>1605</v>
      </c>
      <c r="F368" s="0" t="s">
        <v>18</v>
      </c>
      <c r="G368" s="7" t="s">
        <v>3305</v>
      </c>
      <c r="H368" s="0" t="s">
        <v>3306</v>
      </c>
      <c r="I368" s="0" t="s">
        <v>21</v>
      </c>
      <c r="J368" s="0" t="s">
        <v>22</v>
      </c>
      <c r="K368" s="0" t="s">
        <v>787</v>
      </c>
      <c r="L368" s="0" t="str">
        <f aca="false">IFERROR(VLOOKUP(K368,'Supplier list'!B:C,2,0),"")</f>
        <v>บริษัท ฟิวเจอร์เทค อินเตอร์มาร์เก็ตติ้ง จำกัด</v>
      </c>
      <c r="M368" s="1" t="n">
        <f aca="false">FALSE()</f>
        <v>0</v>
      </c>
      <c r="N368" s="2"/>
      <c r="O368" s="2" t="n">
        <v>225</v>
      </c>
    </row>
    <row r="369" customFormat="false" ht="16.4" hidden="false" customHeight="false" outlineLevel="0" collapsed="false">
      <c r="A369" s="0" t="s">
        <v>15</v>
      </c>
      <c r="B369" s="0" t="s">
        <v>3307</v>
      </c>
      <c r="C369" s="0" t="n">
        <v>114001</v>
      </c>
      <c r="D369" s="0" t="n">
        <v>114001</v>
      </c>
      <c r="E369" s="0" t="s">
        <v>1815</v>
      </c>
      <c r="F369" s="0" t="s">
        <v>18</v>
      </c>
      <c r="G369" s="7" t="s">
        <v>3308</v>
      </c>
      <c r="H369" s="0" t="s">
        <v>3309</v>
      </c>
      <c r="I369" s="0" t="s">
        <v>517</v>
      </c>
      <c r="J369" s="0" t="s">
        <v>518</v>
      </c>
      <c r="K369" s="0" t="s">
        <v>89</v>
      </c>
      <c r="L369" s="0" t="str">
        <f aca="false">IFERROR(VLOOKUP(K369,'Supplier list'!B:C,2,0),"")</f>
        <v>บริษัท เฮเฟเล่ (ประเทศไทย) จำกัด</v>
      </c>
      <c r="M369" s="1" t="n">
        <f aca="false">FALSE()</f>
        <v>0</v>
      </c>
      <c r="N369" s="2"/>
      <c r="O369" s="2" t="n">
        <v>660</v>
      </c>
    </row>
    <row r="370" customFormat="false" ht="16.4" hidden="false" customHeight="false" outlineLevel="0" collapsed="false">
      <c r="A370" s="0" t="s">
        <v>15</v>
      </c>
      <c r="B370" s="0" t="s">
        <v>3310</v>
      </c>
      <c r="C370" s="0" t="n">
        <v>114001</v>
      </c>
      <c r="D370" s="0" t="n">
        <v>114001</v>
      </c>
      <c r="E370" s="0" t="s">
        <v>1764</v>
      </c>
      <c r="F370" s="0" t="s">
        <v>18</v>
      </c>
      <c r="G370" s="7" t="s">
        <v>3311</v>
      </c>
      <c r="H370" s="0" t="s">
        <v>3312</v>
      </c>
      <c r="I370" s="0" t="s">
        <v>168</v>
      </c>
      <c r="J370" s="0" t="s">
        <v>169</v>
      </c>
      <c r="K370" s="0" t="s">
        <v>89</v>
      </c>
      <c r="L370" s="0" t="str">
        <f aca="false">IFERROR(VLOOKUP(K370,'Supplier list'!B:C,2,0),"")</f>
        <v>บริษัท เฮเฟเล่ (ประเทศไทย) จำกัด</v>
      </c>
      <c r="M370" s="1" t="n">
        <f aca="false">FALSE()</f>
        <v>0</v>
      </c>
      <c r="N370" s="2"/>
      <c r="O370" s="2" t="n">
        <v>970</v>
      </c>
    </row>
    <row r="371" customFormat="false" ht="16.4" hidden="false" customHeight="false" outlineLevel="0" collapsed="false">
      <c r="A371" s="0" t="s">
        <v>15</v>
      </c>
      <c r="B371" s="0" t="s">
        <v>3313</v>
      </c>
      <c r="C371" s="0" t="n">
        <v>114001</v>
      </c>
      <c r="D371" s="0" t="n">
        <v>114001</v>
      </c>
      <c r="E371" s="0" t="s">
        <v>1764</v>
      </c>
      <c r="F371" s="0" t="s">
        <v>18</v>
      </c>
      <c r="G371" s="7" t="s">
        <v>3314</v>
      </c>
      <c r="H371" s="0" t="s">
        <v>3315</v>
      </c>
      <c r="I371" s="0" t="s">
        <v>21</v>
      </c>
      <c r="J371" s="0" t="s">
        <v>22</v>
      </c>
      <c r="K371" s="0" t="s">
        <v>787</v>
      </c>
      <c r="L371" s="0" t="str">
        <f aca="false">IFERROR(VLOOKUP(K371,'Supplier list'!B:C,2,0),"")</f>
        <v>บริษัท ฟิวเจอร์เทค อินเตอร์มาร์เก็ตติ้ง จำกัด</v>
      </c>
      <c r="M371" s="1" t="n">
        <f aca="false">FALSE()</f>
        <v>0</v>
      </c>
      <c r="N371" s="2"/>
      <c r="O371" s="2" t="n">
        <v>35</v>
      </c>
    </row>
    <row r="372" customFormat="false" ht="16.4" hidden="false" customHeight="false" outlineLevel="0" collapsed="false">
      <c r="A372" s="0" t="s">
        <v>15</v>
      </c>
      <c r="B372" s="0" t="s">
        <v>3316</v>
      </c>
      <c r="C372" s="0" t="n">
        <v>114001</v>
      </c>
      <c r="D372" s="0" t="n">
        <v>114001</v>
      </c>
      <c r="E372" s="0" t="s">
        <v>1605</v>
      </c>
      <c r="F372" s="0" t="s">
        <v>18</v>
      </c>
      <c r="G372" s="7" t="s">
        <v>3317</v>
      </c>
      <c r="H372" s="0" t="s">
        <v>3318</v>
      </c>
      <c r="I372" s="0" t="s">
        <v>21</v>
      </c>
      <c r="J372" s="0" t="s">
        <v>22</v>
      </c>
      <c r="K372" s="0" t="s">
        <v>787</v>
      </c>
      <c r="L372" s="0" t="str">
        <f aca="false">IFERROR(VLOOKUP(K372,'Supplier list'!B:C,2,0),"")</f>
        <v>บริษัท ฟิวเจอร์เทค อินเตอร์มาร์เก็ตติ้ง จำกัด</v>
      </c>
      <c r="M372" s="1" t="n">
        <f aca="false">FALSE()</f>
        <v>0</v>
      </c>
      <c r="N372" s="2"/>
      <c r="O372" s="2" t="n">
        <v>60</v>
      </c>
    </row>
    <row r="373" customFormat="false" ht="16.4" hidden="false" customHeight="false" outlineLevel="0" collapsed="false">
      <c r="A373" s="0" t="s">
        <v>15</v>
      </c>
      <c r="B373" s="0" t="s">
        <v>3319</v>
      </c>
      <c r="C373" s="0" t="n">
        <v>114001</v>
      </c>
      <c r="D373" s="0" t="n">
        <v>114001</v>
      </c>
      <c r="E373" s="0" t="s">
        <v>1605</v>
      </c>
      <c r="F373" s="0" t="s">
        <v>18</v>
      </c>
      <c r="G373" s="7" t="s">
        <v>3320</v>
      </c>
      <c r="H373" s="0" t="s">
        <v>3321</v>
      </c>
      <c r="I373" s="0" t="s">
        <v>21</v>
      </c>
      <c r="J373" s="0" t="s">
        <v>22</v>
      </c>
      <c r="K373" s="0" t="s">
        <v>3322</v>
      </c>
      <c r="L373" s="0" t="str">
        <f aca="false">IFERROR(VLOOKUP(K373,'Supplier list'!B:C,2,0),"")</f>
        <v>บริษัท แพนสยาม เมนูแฟคเจอริ่ง จำกัด</v>
      </c>
      <c r="M373" s="1" t="n">
        <f aca="false">FALSE()</f>
        <v>0</v>
      </c>
      <c r="N373" s="2"/>
      <c r="O373" s="2" t="n">
        <v>0.95</v>
      </c>
    </row>
    <row r="374" customFormat="false" ht="16.4" hidden="false" customHeight="false" outlineLevel="0" collapsed="false">
      <c r="A374" s="0" t="s">
        <v>15</v>
      </c>
      <c r="B374" s="0" t="s">
        <v>3323</v>
      </c>
      <c r="C374" s="0" t="n">
        <v>114001</v>
      </c>
      <c r="D374" s="0" t="n">
        <v>114001</v>
      </c>
      <c r="E374" s="0" t="s">
        <v>1605</v>
      </c>
      <c r="F374" s="0" t="s">
        <v>18</v>
      </c>
      <c r="G374" s="7" t="s">
        <v>3324</v>
      </c>
      <c r="H374" s="0" t="s">
        <v>3325</v>
      </c>
      <c r="I374" s="0" t="s">
        <v>21</v>
      </c>
      <c r="J374" s="0" t="s">
        <v>22</v>
      </c>
      <c r="K374" s="0" t="s">
        <v>3322</v>
      </c>
      <c r="L374" s="0" t="str">
        <f aca="false">IFERROR(VLOOKUP(K374,'Supplier list'!B:C,2,0),"")</f>
        <v>บริษัท แพนสยาม เมนูแฟคเจอริ่ง จำกัด</v>
      </c>
      <c r="M374" s="1" t="n">
        <f aca="false">FALSE()</f>
        <v>0</v>
      </c>
      <c r="N374" s="2"/>
      <c r="O374" s="2" t="n">
        <v>0.75</v>
      </c>
    </row>
    <row r="375" customFormat="false" ht="16.4" hidden="false" customHeight="false" outlineLevel="0" collapsed="false">
      <c r="A375" s="0" t="s">
        <v>15</v>
      </c>
      <c r="B375" s="0" t="s">
        <v>3326</v>
      </c>
      <c r="C375" s="0" t="n">
        <v>114001</v>
      </c>
      <c r="D375" s="0" t="n">
        <v>114001</v>
      </c>
      <c r="E375" s="0" t="s">
        <v>1764</v>
      </c>
      <c r="F375" s="0" t="s">
        <v>18</v>
      </c>
      <c r="G375" s="7" t="s">
        <v>3327</v>
      </c>
      <c r="H375" s="0" t="s">
        <v>3328</v>
      </c>
      <c r="I375" s="0" t="s">
        <v>21</v>
      </c>
      <c r="J375" s="0" t="s">
        <v>22</v>
      </c>
      <c r="K375" s="0" t="s">
        <v>89</v>
      </c>
      <c r="L375" s="0" t="str">
        <f aca="false">IFERROR(VLOOKUP(K375,'Supplier list'!B:C,2,0),"")</f>
        <v>บริษัท เฮเฟเล่ (ประเทศไทย) จำกัด</v>
      </c>
      <c r="M375" s="1" t="n">
        <f aca="false">FALSE()</f>
        <v>0</v>
      </c>
      <c r="N375" s="2"/>
      <c r="O375" s="2" t="n">
        <v>1620</v>
      </c>
    </row>
    <row r="376" customFormat="false" ht="16.4" hidden="false" customHeight="false" outlineLevel="0" collapsed="false">
      <c r="A376" s="0" t="s">
        <v>15</v>
      </c>
      <c r="B376" s="0" t="s">
        <v>3329</v>
      </c>
      <c r="C376" s="0" t="n">
        <v>114001</v>
      </c>
      <c r="D376" s="0" t="n">
        <v>114001</v>
      </c>
      <c r="E376" s="0" t="s">
        <v>1764</v>
      </c>
      <c r="F376" s="0" t="s">
        <v>18</v>
      </c>
      <c r="G376" s="7" t="s">
        <v>3330</v>
      </c>
      <c r="H376" s="0" t="s">
        <v>3331</v>
      </c>
      <c r="I376" s="0" t="s">
        <v>21</v>
      </c>
      <c r="J376" s="0" t="s">
        <v>22</v>
      </c>
      <c r="K376" s="0" t="s">
        <v>89</v>
      </c>
      <c r="L376" s="0" t="str">
        <f aca="false">IFERROR(VLOOKUP(K376,'Supplier list'!B:C,2,0),"")</f>
        <v>บริษัท เฮเฟเล่ (ประเทศไทย) จำกัด</v>
      </c>
      <c r="M376" s="1" t="n">
        <f aca="false">FALSE()</f>
        <v>0</v>
      </c>
      <c r="N376" s="2"/>
      <c r="O376" s="2" t="n">
        <v>1110</v>
      </c>
    </row>
    <row r="377" customFormat="false" ht="16.4" hidden="false" customHeight="false" outlineLevel="0" collapsed="false">
      <c r="A377" s="0" t="s">
        <v>15</v>
      </c>
      <c r="B377" s="0" t="s">
        <v>3332</v>
      </c>
      <c r="C377" s="0" t="n">
        <v>114001</v>
      </c>
      <c r="D377" s="0" t="n">
        <v>114001</v>
      </c>
      <c r="E377" s="0" t="s">
        <v>1764</v>
      </c>
      <c r="F377" s="0" t="s">
        <v>18</v>
      </c>
      <c r="G377" s="7" t="s">
        <v>3333</v>
      </c>
      <c r="H377" s="0" t="s">
        <v>3334</v>
      </c>
      <c r="I377" s="0" t="s">
        <v>21</v>
      </c>
      <c r="J377" s="0" t="s">
        <v>22</v>
      </c>
      <c r="K377" s="0" t="s">
        <v>89</v>
      </c>
      <c r="L377" s="0" t="str">
        <f aca="false">IFERROR(VLOOKUP(K377,'Supplier list'!B:C,2,0),"")</f>
        <v>บริษัท เฮเฟเล่ (ประเทศไทย) จำกัด</v>
      </c>
      <c r="M377" s="1" t="n">
        <f aca="false">FALSE()</f>
        <v>0</v>
      </c>
      <c r="N377" s="2"/>
      <c r="O377" s="2" t="n">
        <v>187</v>
      </c>
    </row>
    <row r="378" customFormat="false" ht="16.4" hidden="false" customHeight="false" outlineLevel="0" collapsed="false">
      <c r="A378" s="0" t="s">
        <v>15</v>
      </c>
      <c r="B378" s="0" t="s">
        <v>3335</v>
      </c>
      <c r="C378" s="0" t="n">
        <v>114001</v>
      </c>
      <c r="D378" s="0" t="n">
        <v>114001</v>
      </c>
      <c r="E378" s="0" t="s">
        <v>3336</v>
      </c>
      <c r="F378" s="0" t="s">
        <v>18</v>
      </c>
      <c r="G378" s="7" t="s">
        <v>3337</v>
      </c>
      <c r="H378" s="0" t="s">
        <v>3338</v>
      </c>
      <c r="I378" s="0" t="s">
        <v>21</v>
      </c>
      <c r="J378" s="0" t="s">
        <v>22</v>
      </c>
      <c r="K378" s="0" t="s">
        <v>787</v>
      </c>
      <c r="L378" s="0" t="str">
        <f aca="false">IFERROR(VLOOKUP(K378,'Supplier list'!B:C,2,0),"")</f>
        <v>บริษัท ฟิวเจอร์เทค อินเตอร์มาร์เก็ตติ้ง จำกัด</v>
      </c>
      <c r="M378" s="1" t="n">
        <f aca="false">FALSE()</f>
        <v>0</v>
      </c>
      <c r="N378" s="2"/>
      <c r="O378" s="2" t="n">
        <v>38.5</v>
      </c>
    </row>
    <row r="379" customFormat="false" ht="16.4" hidden="false" customHeight="false" outlineLevel="0" collapsed="false">
      <c r="A379" s="0" t="s">
        <v>15</v>
      </c>
      <c r="B379" s="0" t="s">
        <v>3339</v>
      </c>
      <c r="C379" s="0" t="n">
        <v>114001</v>
      </c>
      <c r="D379" s="0" t="n">
        <v>114001</v>
      </c>
      <c r="E379" s="0" t="s">
        <v>2035</v>
      </c>
      <c r="F379" s="0" t="s">
        <v>18</v>
      </c>
      <c r="G379" s="7" t="s">
        <v>3340</v>
      </c>
      <c r="H379" s="0" t="s">
        <v>3341</v>
      </c>
      <c r="I379" s="0" t="s">
        <v>21</v>
      </c>
      <c r="J379" s="0" t="s">
        <v>22</v>
      </c>
      <c r="K379" s="0" t="s">
        <v>89</v>
      </c>
      <c r="L379" s="0" t="str">
        <f aca="false">IFERROR(VLOOKUP(K379,'Supplier list'!B:C,2,0),"")</f>
        <v>บริษัท เฮเฟเล่ (ประเทศไทย) จำกัด</v>
      </c>
      <c r="M379" s="1" t="n">
        <f aca="false">FALSE()</f>
        <v>0</v>
      </c>
      <c r="N379" s="2"/>
      <c r="O379" s="2" t="n">
        <v>19439</v>
      </c>
    </row>
    <row r="380" customFormat="false" ht="16.4" hidden="false" customHeight="false" outlineLevel="0" collapsed="false">
      <c r="A380" s="0" t="s">
        <v>15</v>
      </c>
      <c r="B380" s="0" t="s">
        <v>3342</v>
      </c>
      <c r="C380" s="0" t="n">
        <v>114001</v>
      </c>
      <c r="D380" s="0" t="n">
        <v>114001</v>
      </c>
      <c r="E380" s="0" t="s">
        <v>1815</v>
      </c>
      <c r="F380" s="0" t="s">
        <v>18</v>
      </c>
      <c r="G380" s="7" t="s">
        <v>3343</v>
      </c>
      <c r="H380" s="0" t="s">
        <v>3344</v>
      </c>
      <c r="I380" s="0" t="s">
        <v>124</v>
      </c>
      <c r="J380" s="0" t="s">
        <v>125</v>
      </c>
      <c r="K380" s="0" t="s">
        <v>89</v>
      </c>
      <c r="L380" s="0" t="str">
        <f aca="false">IFERROR(VLOOKUP(K380,'Supplier list'!B:C,2,0),"")</f>
        <v>บริษัท เฮเฟเล่ (ประเทศไทย) จำกัด</v>
      </c>
      <c r="M380" s="1" t="n">
        <f aca="false">FALSE()</f>
        <v>0</v>
      </c>
      <c r="N380" s="2"/>
      <c r="O380" s="2" t="n">
        <v>630</v>
      </c>
    </row>
    <row r="381" customFormat="false" ht="16.4" hidden="false" customHeight="false" outlineLevel="0" collapsed="false">
      <c r="A381" s="0" t="s">
        <v>15</v>
      </c>
      <c r="B381" s="0" t="s">
        <v>3345</v>
      </c>
      <c r="C381" s="0" t="n">
        <v>114001</v>
      </c>
      <c r="D381" s="0" t="n">
        <v>114001</v>
      </c>
      <c r="E381" s="0" t="s">
        <v>3346</v>
      </c>
      <c r="F381" s="0" t="s">
        <v>18</v>
      </c>
      <c r="G381" s="7" t="s">
        <v>3347</v>
      </c>
      <c r="H381" s="0" t="s">
        <v>3288</v>
      </c>
      <c r="I381" s="0" t="s">
        <v>21</v>
      </c>
      <c r="J381" s="0" t="s">
        <v>22</v>
      </c>
      <c r="K381" s="0" t="s">
        <v>89</v>
      </c>
      <c r="L381" s="0" t="str">
        <f aca="false">IFERROR(VLOOKUP(K381,'Supplier list'!B:C,2,0),"")</f>
        <v>บริษัท เฮเฟเล่ (ประเทศไทย) จำกัด</v>
      </c>
      <c r="M381" s="1" t="n">
        <f aca="false">FALSE()</f>
        <v>0</v>
      </c>
      <c r="N381" s="2"/>
      <c r="O381" s="2" t="n">
        <v>7943</v>
      </c>
    </row>
    <row r="382" customFormat="false" ht="16.4" hidden="false" customHeight="false" outlineLevel="0" collapsed="false">
      <c r="A382" s="0" t="s">
        <v>15</v>
      </c>
      <c r="B382" s="0" t="s">
        <v>3348</v>
      </c>
      <c r="C382" s="0" t="n">
        <v>114001</v>
      </c>
      <c r="D382" s="0" t="n">
        <v>114001</v>
      </c>
      <c r="E382" s="0" t="s">
        <v>1653</v>
      </c>
      <c r="F382" s="0" t="s">
        <v>18</v>
      </c>
      <c r="G382" s="7" t="s">
        <v>3349</v>
      </c>
      <c r="H382" s="0" t="s">
        <v>3350</v>
      </c>
      <c r="I382" s="0" t="s">
        <v>124</v>
      </c>
      <c r="J382" s="0" t="s">
        <v>125</v>
      </c>
      <c r="K382" s="0" t="s">
        <v>89</v>
      </c>
      <c r="L382" s="0" t="str">
        <f aca="false">IFERROR(VLOOKUP(K382,'Supplier list'!B:C,2,0),"")</f>
        <v>บริษัท เฮเฟเล่ (ประเทศไทย) จำกัด</v>
      </c>
      <c r="M382" s="1" t="n">
        <f aca="false">FALSE()</f>
        <v>0</v>
      </c>
      <c r="N382" s="2"/>
      <c r="O382" s="2" t="n">
        <v>16750</v>
      </c>
    </row>
    <row r="383" customFormat="false" ht="16.4" hidden="false" customHeight="false" outlineLevel="0" collapsed="false">
      <c r="A383" s="0" t="s">
        <v>15</v>
      </c>
      <c r="B383" s="0" t="s">
        <v>3351</v>
      </c>
      <c r="C383" s="0" t="n">
        <v>114001</v>
      </c>
      <c r="D383" s="0" t="n">
        <v>114001</v>
      </c>
      <c r="E383" s="0" t="s">
        <v>1653</v>
      </c>
      <c r="F383" s="0" t="s">
        <v>18</v>
      </c>
      <c r="G383" s="7" t="s">
        <v>3352</v>
      </c>
      <c r="H383" s="0" t="s">
        <v>3353</v>
      </c>
      <c r="I383" s="0" t="s">
        <v>124</v>
      </c>
      <c r="J383" s="0" t="s">
        <v>125</v>
      </c>
      <c r="K383" s="0" t="s">
        <v>89</v>
      </c>
      <c r="L383" s="0" t="str">
        <f aca="false">IFERROR(VLOOKUP(K383,'Supplier list'!B:C,2,0),"")</f>
        <v>บริษัท เฮเฟเล่ (ประเทศไทย) จำกัด</v>
      </c>
      <c r="M383" s="1" t="n">
        <f aca="false">FALSE()</f>
        <v>0</v>
      </c>
      <c r="N383" s="2"/>
      <c r="O383" s="2" t="n">
        <v>2411</v>
      </c>
    </row>
    <row r="384" customFormat="false" ht="16.4" hidden="false" customHeight="false" outlineLevel="0" collapsed="false">
      <c r="A384" s="0" t="s">
        <v>15</v>
      </c>
      <c r="B384" s="0" t="s">
        <v>3354</v>
      </c>
      <c r="C384" s="0" t="n">
        <v>114001</v>
      </c>
      <c r="D384" s="0" t="n">
        <v>114001</v>
      </c>
      <c r="E384" s="0" t="s">
        <v>874</v>
      </c>
      <c r="F384" s="0" t="s">
        <v>18</v>
      </c>
      <c r="G384" s="7" t="s">
        <v>3355</v>
      </c>
      <c r="H384" s="0" t="s">
        <v>3356</v>
      </c>
      <c r="I384" s="0" t="s">
        <v>21</v>
      </c>
      <c r="J384" s="0" t="s">
        <v>22</v>
      </c>
      <c r="K384" s="0" t="s">
        <v>89</v>
      </c>
      <c r="L384" s="0" t="str">
        <f aca="false">IFERROR(VLOOKUP(K384,'Supplier list'!B:C,2,0),"")</f>
        <v>บริษัท เฮเฟเล่ (ประเทศไทย) จำกัด</v>
      </c>
      <c r="M384" s="1" t="n">
        <f aca="false">FALSE()</f>
        <v>0</v>
      </c>
      <c r="N384" s="2"/>
      <c r="O384" s="2" t="n">
        <v>975</v>
      </c>
    </row>
    <row r="385" customFormat="false" ht="16.4" hidden="false" customHeight="false" outlineLevel="0" collapsed="false">
      <c r="A385" s="0" t="s">
        <v>15</v>
      </c>
      <c r="B385" s="0" t="s">
        <v>3357</v>
      </c>
      <c r="C385" s="0" t="n">
        <v>114001</v>
      </c>
      <c r="D385" s="0" t="n">
        <v>114001</v>
      </c>
      <c r="E385" s="0" t="s">
        <v>874</v>
      </c>
      <c r="F385" s="0" t="s">
        <v>18</v>
      </c>
      <c r="G385" s="7" t="s">
        <v>3358</v>
      </c>
      <c r="H385" s="0" t="s">
        <v>3359</v>
      </c>
      <c r="I385" s="0" t="s">
        <v>21</v>
      </c>
      <c r="J385" s="0" t="s">
        <v>22</v>
      </c>
      <c r="K385" s="0" t="s">
        <v>89</v>
      </c>
      <c r="L385" s="0" t="str">
        <f aca="false">IFERROR(VLOOKUP(K385,'Supplier list'!B:C,2,0),"")</f>
        <v>บริษัท เฮเฟเล่ (ประเทศไทย) จำกัด</v>
      </c>
      <c r="M385" s="1" t="n">
        <f aca="false">FALSE()</f>
        <v>0</v>
      </c>
      <c r="N385" s="2"/>
      <c r="O385" s="2" t="n">
        <v>1870</v>
      </c>
    </row>
    <row r="386" customFormat="false" ht="16.4" hidden="false" customHeight="false" outlineLevel="0" collapsed="false">
      <c r="A386" s="0" t="s">
        <v>15</v>
      </c>
      <c r="B386" s="0" t="s">
        <v>3360</v>
      </c>
      <c r="C386" s="0" t="n">
        <v>114001</v>
      </c>
      <c r="D386" s="0" t="n">
        <v>114001</v>
      </c>
      <c r="E386" s="0" t="s">
        <v>2085</v>
      </c>
      <c r="F386" s="0" t="s">
        <v>18</v>
      </c>
      <c r="G386" s="7" t="s">
        <v>3361</v>
      </c>
      <c r="H386" s="0" t="s">
        <v>2087</v>
      </c>
      <c r="I386" s="0" t="s">
        <v>517</v>
      </c>
      <c r="J386" s="0" t="s">
        <v>518</v>
      </c>
      <c r="K386" s="0" t="s">
        <v>89</v>
      </c>
      <c r="L386" s="0" t="str">
        <f aca="false">IFERROR(VLOOKUP(K386,'Supplier list'!B:C,2,0),"")</f>
        <v>บริษัท เฮเฟเล่ (ประเทศไทย) จำกัด</v>
      </c>
      <c r="M386" s="1" t="n">
        <f aca="false">FALSE()</f>
        <v>0</v>
      </c>
      <c r="N386" s="2"/>
      <c r="O386" s="2" t="n">
        <v>46</v>
      </c>
    </row>
    <row r="387" customFormat="false" ht="16.4" hidden="false" customHeight="false" outlineLevel="0" collapsed="false">
      <c r="A387" s="0" t="s">
        <v>15</v>
      </c>
      <c r="B387" s="0" t="s">
        <v>3362</v>
      </c>
      <c r="C387" s="0" t="n">
        <v>114001</v>
      </c>
      <c r="D387" s="0" t="n">
        <v>114001</v>
      </c>
      <c r="E387" s="0" t="s">
        <v>1612</v>
      </c>
      <c r="F387" s="0" t="s">
        <v>18</v>
      </c>
      <c r="G387" s="7" t="s">
        <v>3363</v>
      </c>
      <c r="H387" s="0" t="s">
        <v>2090</v>
      </c>
      <c r="I387" s="0" t="s">
        <v>517</v>
      </c>
      <c r="J387" s="0" t="s">
        <v>518</v>
      </c>
      <c r="K387" s="0" t="s">
        <v>89</v>
      </c>
      <c r="L387" s="0" t="str">
        <f aca="false">IFERROR(VLOOKUP(K387,'Supplier list'!B:C,2,0),"")</f>
        <v>บริษัท เฮเฟเล่ (ประเทศไทย) จำกัด</v>
      </c>
      <c r="M387" s="1" t="n">
        <f aca="false">FALSE()</f>
        <v>0</v>
      </c>
      <c r="N387" s="2"/>
      <c r="O387" s="2" t="n">
        <v>46</v>
      </c>
    </row>
    <row r="388" customFormat="false" ht="16.4" hidden="false" customHeight="false" outlineLevel="0" collapsed="false">
      <c r="A388" s="0" t="s">
        <v>15</v>
      </c>
      <c r="B388" s="0" t="s">
        <v>3364</v>
      </c>
      <c r="C388" s="0" t="n">
        <v>114001</v>
      </c>
      <c r="D388" s="0" t="n">
        <v>114001</v>
      </c>
      <c r="E388" s="0" t="s">
        <v>3365</v>
      </c>
      <c r="F388" s="0" t="s">
        <v>18</v>
      </c>
      <c r="G388" s="7" t="s">
        <v>3366</v>
      </c>
      <c r="H388" s="0" t="s">
        <v>3367</v>
      </c>
      <c r="I388" s="0" t="s">
        <v>124</v>
      </c>
      <c r="J388" s="0" t="s">
        <v>125</v>
      </c>
      <c r="K388" s="0" t="s">
        <v>89</v>
      </c>
      <c r="L388" s="0" t="str">
        <f aca="false">IFERROR(VLOOKUP(K388,'Supplier list'!B:C,2,0),"")</f>
        <v>บริษัท เฮเฟเล่ (ประเทศไทย) จำกัด</v>
      </c>
      <c r="M388" s="1" t="n">
        <f aca="false">FALSE()</f>
        <v>0</v>
      </c>
      <c r="N388" s="2"/>
      <c r="O388" s="2" t="n">
        <v>243</v>
      </c>
    </row>
    <row r="389" customFormat="false" ht="16.4" hidden="false" customHeight="false" outlineLevel="0" collapsed="false">
      <c r="A389" s="0" t="s">
        <v>15</v>
      </c>
      <c r="B389" s="0" t="s">
        <v>3368</v>
      </c>
      <c r="C389" s="0" t="n">
        <v>114001</v>
      </c>
      <c r="D389" s="0" t="n">
        <v>114001</v>
      </c>
      <c r="E389" s="0" t="s">
        <v>1653</v>
      </c>
      <c r="F389" s="0" t="s">
        <v>18</v>
      </c>
      <c r="G389" s="7" t="s">
        <v>3369</v>
      </c>
      <c r="H389" s="0" t="s">
        <v>3370</v>
      </c>
      <c r="I389" s="0" t="s">
        <v>124</v>
      </c>
      <c r="J389" s="0" t="s">
        <v>125</v>
      </c>
      <c r="K389" s="0" t="s">
        <v>89</v>
      </c>
      <c r="L389" s="0" t="str">
        <f aca="false">IFERROR(VLOOKUP(K389,'Supplier list'!B:C,2,0),"")</f>
        <v>บริษัท เฮเฟเล่ (ประเทศไทย) จำกัด</v>
      </c>
      <c r="M389" s="1" t="n">
        <f aca="false">FALSE()</f>
        <v>0</v>
      </c>
      <c r="N389" s="2"/>
      <c r="O389" s="2" t="n">
        <v>1400</v>
      </c>
    </row>
    <row r="390" customFormat="false" ht="16.4" hidden="false" customHeight="false" outlineLevel="0" collapsed="false">
      <c r="A390" s="0" t="s">
        <v>15</v>
      </c>
      <c r="B390" s="0" t="s">
        <v>3371</v>
      </c>
      <c r="C390" s="0" t="n">
        <v>114001</v>
      </c>
      <c r="D390" s="0" t="n">
        <v>114001</v>
      </c>
      <c r="E390" s="0" t="s">
        <v>1653</v>
      </c>
      <c r="F390" s="0" t="s">
        <v>18</v>
      </c>
      <c r="G390" s="7" t="s">
        <v>3372</v>
      </c>
      <c r="H390" s="0" t="s">
        <v>3373</v>
      </c>
      <c r="I390" s="0" t="s">
        <v>124</v>
      </c>
      <c r="J390" s="0" t="s">
        <v>125</v>
      </c>
      <c r="K390" s="0" t="s">
        <v>89</v>
      </c>
      <c r="L390" s="0" t="str">
        <f aca="false">IFERROR(VLOOKUP(K390,'Supplier list'!B:C,2,0),"")</f>
        <v>บริษัท เฮเฟเล่ (ประเทศไทย) จำกัด</v>
      </c>
      <c r="M390" s="1" t="n">
        <f aca="false">FALSE()</f>
        <v>0</v>
      </c>
      <c r="N390" s="2"/>
      <c r="O390" s="2" t="n">
        <v>2800</v>
      </c>
    </row>
    <row r="391" customFormat="false" ht="16.4" hidden="false" customHeight="false" outlineLevel="0" collapsed="false">
      <c r="A391" s="0" t="s">
        <v>15</v>
      </c>
      <c r="B391" s="0" t="s">
        <v>3374</v>
      </c>
      <c r="C391" s="0" t="n">
        <v>114001</v>
      </c>
      <c r="D391" s="0" t="n">
        <v>114001</v>
      </c>
      <c r="E391" s="0" t="s">
        <v>1653</v>
      </c>
      <c r="F391" s="0" t="s">
        <v>18</v>
      </c>
      <c r="G391" s="7" t="s">
        <v>3375</v>
      </c>
      <c r="H391" s="0" t="s">
        <v>2644</v>
      </c>
      <c r="I391" s="0" t="s">
        <v>124</v>
      </c>
      <c r="J391" s="0" t="s">
        <v>125</v>
      </c>
      <c r="K391" s="0" t="s">
        <v>89</v>
      </c>
      <c r="L391" s="0" t="str">
        <f aca="false">IFERROR(VLOOKUP(K391,'Supplier list'!B:C,2,0),"")</f>
        <v>บริษัท เฮเฟเล่ (ประเทศไทย) จำกัด</v>
      </c>
      <c r="M391" s="1" t="n">
        <f aca="false">TRUE()</f>
        <v>1</v>
      </c>
      <c r="N391" s="2" t="n">
        <v>6500</v>
      </c>
      <c r="O391" s="2" t="n">
        <v>3200</v>
      </c>
    </row>
    <row r="392" customFormat="false" ht="16.4" hidden="false" customHeight="false" outlineLevel="0" collapsed="false">
      <c r="A392" s="0" t="s">
        <v>15</v>
      </c>
      <c r="B392" s="0" t="s">
        <v>3376</v>
      </c>
      <c r="C392" s="0" t="n">
        <v>114001</v>
      </c>
      <c r="D392" s="0" t="n">
        <v>114001</v>
      </c>
      <c r="E392" s="0" t="s">
        <v>961</v>
      </c>
      <c r="F392" s="0" t="s">
        <v>18</v>
      </c>
      <c r="G392" s="7" t="s">
        <v>3377</v>
      </c>
      <c r="H392" s="0" t="s">
        <v>3378</v>
      </c>
      <c r="I392" s="0" t="s">
        <v>124</v>
      </c>
      <c r="J392" s="0" t="s">
        <v>125</v>
      </c>
      <c r="K392" s="0" t="s">
        <v>89</v>
      </c>
      <c r="L392" s="0" t="str">
        <f aca="false">IFERROR(VLOOKUP(K392,'Supplier list'!B:C,2,0),"")</f>
        <v>บริษัท เฮเฟเล่ (ประเทศไทย) จำกัด</v>
      </c>
      <c r="M392" s="1" t="n">
        <f aca="false">FALSE()</f>
        <v>0</v>
      </c>
      <c r="N392" s="2"/>
      <c r="O392" s="2" t="n">
        <v>6589</v>
      </c>
    </row>
    <row r="393" customFormat="false" ht="16.4" hidden="false" customHeight="false" outlineLevel="0" collapsed="false">
      <c r="A393" s="0" t="s">
        <v>15</v>
      </c>
      <c r="B393" s="0" t="s">
        <v>3379</v>
      </c>
      <c r="C393" s="0" t="n">
        <v>114001</v>
      </c>
      <c r="D393" s="0" t="n">
        <v>114001</v>
      </c>
      <c r="E393" s="0" t="s">
        <v>1653</v>
      </c>
      <c r="F393" s="0" t="s">
        <v>18</v>
      </c>
      <c r="G393" s="7" t="s">
        <v>3380</v>
      </c>
      <c r="H393" s="0" t="s">
        <v>3381</v>
      </c>
      <c r="I393" s="0" t="s">
        <v>124</v>
      </c>
      <c r="J393" s="0" t="s">
        <v>125</v>
      </c>
      <c r="K393" s="0" t="s">
        <v>1725</v>
      </c>
      <c r="L393" s="0" t="str">
        <f aca="false">IFERROR(VLOOKUP(K393,'Supplier list'!B:C,2,0),"")</f>
        <v>บริษัท พรีซิชั่นไลน์ จำกัด</v>
      </c>
      <c r="M393" s="1" t="n">
        <f aca="false">FALSE()</f>
        <v>0</v>
      </c>
      <c r="N393" s="2"/>
      <c r="O393" s="2" t="n">
        <v>0</v>
      </c>
    </row>
    <row r="394" customFormat="false" ht="16.4" hidden="false" customHeight="false" outlineLevel="0" collapsed="false">
      <c r="A394" s="0" t="s">
        <v>15</v>
      </c>
      <c r="B394" s="0" t="s">
        <v>3382</v>
      </c>
      <c r="C394" s="0" t="n">
        <v>114001</v>
      </c>
      <c r="D394" s="0" t="n">
        <v>114001</v>
      </c>
      <c r="E394" s="0" t="s">
        <v>1653</v>
      </c>
      <c r="F394" s="0" t="s">
        <v>18</v>
      </c>
      <c r="G394" s="7" t="s">
        <v>3383</v>
      </c>
      <c r="H394" s="0" t="s">
        <v>2159</v>
      </c>
      <c r="I394" s="0" t="s">
        <v>124</v>
      </c>
      <c r="J394" s="0" t="s">
        <v>125</v>
      </c>
      <c r="K394" s="0" t="s">
        <v>89</v>
      </c>
      <c r="L394" s="0" t="str">
        <f aca="false">IFERROR(VLOOKUP(K394,'Supplier list'!B:C,2,0),"")</f>
        <v>บริษัท เฮเฟเล่ (ประเทศไทย) จำกัด</v>
      </c>
      <c r="M394" s="1" t="n">
        <f aca="false">TRUE()</f>
        <v>1</v>
      </c>
      <c r="N394" s="2" t="n">
        <v>5900</v>
      </c>
      <c r="O394" s="2" t="n">
        <v>2500</v>
      </c>
    </row>
    <row r="395" customFormat="false" ht="16.4" hidden="false" customHeight="false" outlineLevel="0" collapsed="false">
      <c r="A395" s="0" t="s">
        <v>15</v>
      </c>
      <c r="B395" s="0" t="s">
        <v>3384</v>
      </c>
      <c r="C395" s="0" t="n">
        <v>114001</v>
      </c>
      <c r="D395" s="0" t="n">
        <v>114001</v>
      </c>
      <c r="E395" s="0" t="s">
        <v>1815</v>
      </c>
      <c r="F395" s="0" t="s">
        <v>18</v>
      </c>
      <c r="G395" s="7" t="s">
        <v>3385</v>
      </c>
      <c r="H395" s="0" t="s">
        <v>3386</v>
      </c>
      <c r="I395" s="0" t="s">
        <v>517</v>
      </c>
      <c r="J395" s="0" t="s">
        <v>518</v>
      </c>
      <c r="K395" s="0" t="s">
        <v>89</v>
      </c>
      <c r="L395" s="0" t="str">
        <f aca="false">IFERROR(VLOOKUP(K395,'Supplier list'!B:C,2,0),"")</f>
        <v>บริษัท เฮเฟเล่ (ประเทศไทย) จำกัด</v>
      </c>
      <c r="M395" s="1" t="n">
        <f aca="false">FALSE()</f>
        <v>0</v>
      </c>
      <c r="N395" s="2"/>
      <c r="O395" s="2" t="n">
        <v>551</v>
      </c>
    </row>
    <row r="396" customFormat="false" ht="16.4" hidden="false" customHeight="false" outlineLevel="0" collapsed="false">
      <c r="A396" s="0" t="s">
        <v>15</v>
      </c>
      <c r="B396" s="0" t="s">
        <v>3387</v>
      </c>
      <c r="C396" s="0" t="n">
        <v>114001</v>
      </c>
      <c r="D396" s="0" t="n">
        <v>114001</v>
      </c>
      <c r="E396" s="0" t="s">
        <v>961</v>
      </c>
      <c r="F396" s="0" t="s">
        <v>18</v>
      </c>
      <c r="G396" s="7" t="s">
        <v>3388</v>
      </c>
      <c r="H396" s="0" t="s">
        <v>3389</v>
      </c>
      <c r="I396" s="0" t="s">
        <v>21</v>
      </c>
      <c r="J396" s="0" t="s">
        <v>22</v>
      </c>
      <c r="K396" s="0" t="s">
        <v>89</v>
      </c>
      <c r="L396" s="0" t="str">
        <f aca="false">IFERROR(VLOOKUP(K396,'Supplier list'!B:C,2,0),"")</f>
        <v>บริษัท เฮเฟเล่ (ประเทศไทย) จำกัด</v>
      </c>
      <c r="M396" s="1" t="n">
        <f aca="false">FALSE()</f>
        <v>0</v>
      </c>
      <c r="N396" s="2"/>
      <c r="O396" s="2" t="n">
        <v>8</v>
      </c>
    </row>
    <row r="397" customFormat="false" ht="16.4" hidden="false" customHeight="false" outlineLevel="0" collapsed="false">
      <c r="A397" s="0" t="s">
        <v>15</v>
      </c>
      <c r="B397" s="0" t="s">
        <v>3390</v>
      </c>
      <c r="C397" s="0" t="n">
        <v>114001</v>
      </c>
      <c r="D397" s="0" t="n">
        <v>114001</v>
      </c>
      <c r="E397" s="0" t="s">
        <v>2185</v>
      </c>
      <c r="F397" s="0" t="s">
        <v>18</v>
      </c>
      <c r="G397" s="7" t="s">
        <v>3391</v>
      </c>
      <c r="H397" s="0" t="s">
        <v>3392</v>
      </c>
      <c r="I397" s="0" t="s">
        <v>21</v>
      </c>
      <c r="J397" s="0" t="s">
        <v>22</v>
      </c>
      <c r="K397" s="0" t="s">
        <v>89</v>
      </c>
      <c r="L397" s="0" t="str">
        <f aca="false">IFERROR(VLOOKUP(K397,'Supplier list'!B:C,2,0),"")</f>
        <v>บริษัท เฮเฟเล่ (ประเทศไทย) จำกัด</v>
      </c>
      <c r="M397" s="1" t="n">
        <f aca="false">FALSE()</f>
        <v>0</v>
      </c>
      <c r="N397" s="2"/>
      <c r="O397" s="2" t="n">
        <v>672</v>
      </c>
    </row>
    <row r="398" customFormat="false" ht="16.4" hidden="false" customHeight="false" outlineLevel="0" collapsed="false">
      <c r="A398" s="0" t="s">
        <v>15</v>
      </c>
      <c r="B398" s="0" t="s">
        <v>3393</v>
      </c>
      <c r="C398" s="0" t="n">
        <v>114001</v>
      </c>
      <c r="D398" s="0" t="n">
        <v>114001</v>
      </c>
      <c r="E398" s="0" t="s">
        <v>1815</v>
      </c>
      <c r="F398" s="0" t="s">
        <v>18</v>
      </c>
      <c r="G398" s="7" t="s">
        <v>3394</v>
      </c>
      <c r="H398" s="0" t="s">
        <v>3395</v>
      </c>
      <c r="I398" s="0" t="s">
        <v>517</v>
      </c>
      <c r="J398" s="0" t="s">
        <v>518</v>
      </c>
      <c r="K398" s="0" t="s">
        <v>89</v>
      </c>
      <c r="L398" s="0" t="str">
        <f aca="false">IFERROR(VLOOKUP(K398,'Supplier list'!B:C,2,0),"")</f>
        <v>บริษัท เฮเฟเล่ (ประเทศไทย) จำกัด</v>
      </c>
      <c r="M398" s="1" t="n">
        <f aca="false">FALSE()</f>
        <v>0</v>
      </c>
      <c r="N398" s="2"/>
      <c r="O398" s="2" t="n">
        <v>588</v>
      </c>
    </row>
    <row r="399" customFormat="false" ht="16.4" hidden="false" customHeight="false" outlineLevel="0" collapsed="false">
      <c r="A399" s="0" t="s">
        <v>15</v>
      </c>
      <c r="B399" s="0" t="s">
        <v>3396</v>
      </c>
      <c r="C399" s="0" t="n">
        <v>114001</v>
      </c>
      <c r="D399" s="0" t="n">
        <v>114001</v>
      </c>
      <c r="E399" s="0" t="s">
        <v>2547</v>
      </c>
      <c r="F399" s="0" t="s">
        <v>18</v>
      </c>
      <c r="G399" s="7" t="s">
        <v>3397</v>
      </c>
      <c r="H399" s="0" t="s">
        <v>3398</v>
      </c>
      <c r="I399" s="0" t="s">
        <v>21</v>
      </c>
      <c r="J399" s="0" t="s">
        <v>22</v>
      </c>
      <c r="K399" s="0" t="s">
        <v>606</v>
      </c>
      <c r="L399" s="0" t="str">
        <f aca="false">IFERROR(VLOOKUP(K399,'Supplier list'!B:C,2,0),"")</f>
        <v/>
      </c>
      <c r="M399" s="1" t="n">
        <f aca="false">FALSE()</f>
        <v>0</v>
      </c>
      <c r="N399" s="2"/>
      <c r="O399" s="2" t="n">
        <v>68</v>
      </c>
    </row>
    <row r="400" customFormat="false" ht="16.4" hidden="false" customHeight="false" outlineLevel="0" collapsed="false">
      <c r="A400" s="0" t="s">
        <v>15</v>
      </c>
      <c r="B400" s="0" t="s">
        <v>3399</v>
      </c>
      <c r="C400" s="0" t="n">
        <v>114001</v>
      </c>
      <c r="D400" s="0" t="n">
        <v>114001</v>
      </c>
      <c r="E400" s="0" t="s">
        <v>2547</v>
      </c>
      <c r="F400" s="0" t="s">
        <v>18</v>
      </c>
      <c r="G400" s="7" t="s">
        <v>3400</v>
      </c>
      <c r="H400" s="0" t="s">
        <v>3401</v>
      </c>
      <c r="I400" s="0" t="s">
        <v>21</v>
      </c>
      <c r="J400" s="0" t="s">
        <v>22</v>
      </c>
      <c r="K400" s="0" t="s">
        <v>606</v>
      </c>
      <c r="L400" s="0" t="str">
        <f aca="false">IFERROR(VLOOKUP(K400,'Supplier list'!B:C,2,0),"")</f>
        <v/>
      </c>
      <c r="M400" s="1" t="n">
        <f aca="false">FALSE()</f>
        <v>0</v>
      </c>
      <c r="N400" s="2"/>
      <c r="O400" s="2" t="n">
        <v>50</v>
      </c>
    </row>
    <row r="401" customFormat="false" ht="16.4" hidden="false" customHeight="false" outlineLevel="0" collapsed="false">
      <c r="A401" s="0" t="s">
        <v>15</v>
      </c>
      <c r="B401" s="0" t="s">
        <v>3402</v>
      </c>
      <c r="C401" s="0" t="n">
        <v>114001</v>
      </c>
      <c r="D401" s="0" t="n">
        <v>114001</v>
      </c>
      <c r="E401" s="0" t="s">
        <v>2547</v>
      </c>
      <c r="F401" s="0" t="s">
        <v>18</v>
      </c>
      <c r="G401" s="7" t="s">
        <v>3403</v>
      </c>
      <c r="H401" s="0" t="s">
        <v>3404</v>
      </c>
      <c r="I401" s="0" t="s">
        <v>21</v>
      </c>
      <c r="J401" s="0" t="s">
        <v>22</v>
      </c>
      <c r="K401" s="0" t="s">
        <v>606</v>
      </c>
      <c r="L401" s="0" t="str">
        <f aca="false">IFERROR(VLOOKUP(K401,'Supplier list'!B:C,2,0),"")</f>
        <v/>
      </c>
      <c r="M401" s="1" t="n">
        <f aca="false">FALSE()</f>
        <v>0</v>
      </c>
      <c r="N401" s="2"/>
      <c r="O401" s="2" t="n">
        <v>39</v>
      </c>
    </row>
    <row r="402" customFormat="false" ht="16.4" hidden="false" customHeight="false" outlineLevel="0" collapsed="false">
      <c r="A402" s="0" t="s">
        <v>15</v>
      </c>
      <c r="B402" s="0" t="s">
        <v>3405</v>
      </c>
      <c r="C402" s="0" t="n">
        <v>114001</v>
      </c>
      <c r="D402" s="0" t="n">
        <v>114001</v>
      </c>
      <c r="E402" s="0" t="s">
        <v>1815</v>
      </c>
      <c r="F402" s="0" t="s">
        <v>18</v>
      </c>
      <c r="G402" s="7" t="s">
        <v>3406</v>
      </c>
      <c r="H402" s="0" t="s">
        <v>3407</v>
      </c>
      <c r="I402" s="0" t="s">
        <v>124</v>
      </c>
      <c r="J402" s="0" t="s">
        <v>125</v>
      </c>
      <c r="K402" s="0" t="s">
        <v>89</v>
      </c>
      <c r="L402" s="0" t="str">
        <f aca="false">IFERROR(VLOOKUP(K402,'Supplier list'!B:C,2,0),"")</f>
        <v>บริษัท เฮเฟเล่ (ประเทศไทย) จำกัด</v>
      </c>
      <c r="M402" s="1" t="n">
        <f aca="false">FALSE()</f>
        <v>0</v>
      </c>
      <c r="N402" s="2"/>
      <c r="O402" s="2" t="n">
        <v>2897</v>
      </c>
    </row>
    <row r="403" customFormat="false" ht="16.4" hidden="false" customHeight="false" outlineLevel="0" collapsed="false">
      <c r="A403" s="0" t="s">
        <v>15</v>
      </c>
      <c r="B403" s="0" t="s">
        <v>3408</v>
      </c>
      <c r="C403" s="0" t="n">
        <v>114001</v>
      </c>
      <c r="D403" s="0" t="n">
        <v>114001</v>
      </c>
      <c r="E403" s="0" t="s">
        <v>1653</v>
      </c>
      <c r="F403" s="0" t="s">
        <v>18</v>
      </c>
      <c r="G403" s="7" t="s">
        <v>3409</v>
      </c>
      <c r="H403" s="0" t="s">
        <v>3410</v>
      </c>
      <c r="I403" s="0" t="s">
        <v>124</v>
      </c>
      <c r="J403" s="0" t="s">
        <v>125</v>
      </c>
      <c r="K403" s="0" t="s">
        <v>89</v>
      </c>
      <c r="L403" s="0" t="str">
        <f aca="false">IFERROR(VLOOKUP(K403,'Supplier list'!B:C,2,0),"")</f>
        <v>บริษัท เฮเฟเล่ (ประเทศไทย) จำกัด</v>
      </c>
      <c r="M403" s="1" t="n">
        <f aca="false">FALSE()</f>
        <v>0</v>
      </c>
      <c r="N403" s="2"/>
      <c r="O403" s="2" t="n">
        <v>42056</v>
      </c>
    </row>
    <row r="404" customFormat="false" ht="16.4" hidden="false" customHeight="false" outlineLevel="0" collapsed="false">
      <c r="A404" s="0" t="s">
        <v>15</v>
      </c>
      <c r="B404" s="0" t="s">
        <v>3411</v>
      </c>
      <c r="C404" s="0" t="n">
        <v>114001</v>
      </c>
      <c r="D404" s="0" t="n">
        <v>114001</v>
      </c>
      <c r="E404" s="0" t="s">
        <v>1764</v>
      </c>
      <c r="F404" s="0" t="s">
        <v>18</v>
      </c>
      <c r="G404" s="7" t="s">
        <v>3412</v>
      </c>
      <c r="H404" s="0" t="s">
        <v>3413</v>
      </c>
      <c r="I404" s="0" t="s">
        <v>21</v>
      </c>
      <c r="J404" s="0" t="s">
        <v>22</v>
      </c>
      <c r="K404" s="0" t="s">
        <v>787</v>
      </c>
      <c r="L404" s="0" t="str">
        <f aca="false">IFERROR(VLOOKUP(K404,'Supplier list'!B:C,2,0),"")</f>
        <v>บริษัท ฟิวเจอร์เทค อินเตอร์มาร์เก็ตติ้ง จำกัด</v>
      </c>
      <c r="M404" s="1" t="n">
        <f aca="false">FALSE()</f>
        <v>0</v>
      </c>
      <c r="N404" s="2"/>
      <c r="O404" s="2" t="n">
        <v>42</v>
      </c>
    </row>
    <row r="405" customFormat="false" ht="16.4" hidden="false" customHeight="false" outlineLevel="0" collapsed="false">
      <c r="A405" s="0" t="s">
        <v>15</v>
      </c>
      <c r="B405" s="0" t="s">
        <v>3414</v>
      </c>
      <c r="C405" s="0" t="n">
        <v>114001</v>
      </c>
      <c r="D405" s="0" t="n">
        <v>114001</v>
      </c>
      <c r="E405" s="0" t="s">
        <v>1764</v>
      </c>
      <c r="F405" s="0" t="s">
        <v>18</v>
      </c>
      <c r="G405" s="7" t="s">
        <v>3415</v>
      </c>
      <c r="H405" s="0" t="s">
        <v>3416</v>
      </c>
      <c r="I405" s="0" t="s">
        <v>21</v>
      </c>
      <c r="J405" s="0" t="s">
        <v>22</v>
      </c>
      <c r="K405" s="0" t="s">
        <v>787</v>
      </c>
      <c r="L405" s="0" t="str">
        <f aca="false">IFERROR(VLOOKUP(K405,'Supplier list'!B:C,2,0),"")</f>
        <v>บริษัท ฟิวเจอร์เทค อินเตอร์มาร์เก็ตติ้ง จำกัด</v>
      </c>
      <c r="M405" s="1" t="n">
        <f aca="false">FALSE()</f>
        <v>0</v>
      </c>
      <c r="N405" s="2"/>
      <c r="O405" s="2" t="n">
        <v>56</v>
      </c>
    </row>
    <row r="406" customFormat="false" ht="16.4" hidden="false" customHeight="false" outlineLevel="0" collapsed="false">
      <c r="A406" s="0" t="s">
        <v>15</v>
      </c>
      <c r="B406" s="0" t="s">
        <v>3417</v>
      </c>
      <c r="C406" s="0" t="n">
        <v>114001</v>
      </c>
      <c r="D406" s="0" t="n">
        <v>114001</v>
      </c>
      <c r="E406" s="0" t="s">
        <v>1764</v>
      </c>
      <c r="F406" s="0" t="s">
        <v>18</v>
      </c>
      <c r="G406" s="7" t="s">
        <v>3418</v>
      </c>
      <c r="H406" s="0" t="s">
        <v>3419</v>
      </c>
      <c r="I406" s="0" t="s">
        <v>21</v>
      </c>
      <c r="J406" s="0" t="s">
        <v>22</v>
      </c>
      <c r="K406" s="0" t="s">
        <v>787</v>
      </c>
      <c r="L406" s="0" t="str">
        <f aca="false">IFERROR(VLOOKUP(K406,'Supplier list'!B:C,2,0),"")</f>
        <v>บริษัท ฟิวเจอร์เทค อินเตอร์มาร์เก็ตติ้ง จำกัด</v>
      </c>
      <c r="M406" s="1" t="n">
        <f aca="false">FALSE()</f>
        <v>0</v>
      </c>
      <c r="N406" s="2"/>
      <c r="O406" s="2" t="n">
        <v>77</v>
      </c>
    </row>
    <row r="407" customFormat="false" ht="16.4" hidden="false" customHeight="false" outlineLevel="0" collapsed="false">
      <c r="A407" s="0" t="s">
        <v>15</v>
      </c>
      <c r="B407" s="0" t="s">
        <v>3420</v>
      </c>
      <c r="C407" s="0" t="n">
        <v>114001</v>
      </c>
      <c r="D407" s="0" t="n">
        <v>114001</v>
      </c>
      <c r="E407" s="0" t="s">
        <v>1653</v>
      </c>
      <c r="F407" s="0" t="s">
        <v>18</v>
      </c>
      <c r="G407" s="7" t="s">
        <v>3421</v>
      </c>
      <c r="H407" s="0" t="s">
        <v>3422</v>
      </c>
      <c r="I407" s="0" t="s">
        <v>124</v>
      </c>
      <c r="J407" s="0" t="s">
        <v>125</v>
      </c>
      <c r="K407" s="0" t="s">
        <v>89</v>
      </c>
      <c r="L407" s="0" t="str">
        <f aca="false">IFERROR(VLOOKUP(K407,'Supplier list'!B:C,2,0),"")</f>
        <v>บริษัท เฮเฟเล่ (ประเทศไทย) จำกัด</v>
      </c>
      <c r="M407" s="1" t="n">
        <f aca="false">FALSE()</f>
        <v>0</v>
      </c>
      <c r="N407" s="2"/>
      <c r="O407" s="2" t="n">
        <v>17757</v>
      </c>
    </row>
    <row r="408" customFormat="false" ht="16.4" hidden="false" customHeight="false" outlineLevel="0" collapsed="false">
      <c r="A408" s="0" t="s">
        <v>15</v>
      </c>
      <c r="B408" s="0" t="s">
        <v>3423</v>
      </c>
      <c r="C408" s="0" t="n">
        <v>114001</v>
      </c>
      <c r="D408" s="0" t="n">
        <v>114001</v>
      </c>
      <c r="E408" s="0" t="s">
        <v>874</v>
      </c>
      <c r="F408" s="0" t="s">
        <v>18</v>
      </c>
      <c r="G408" s="7" t="s">
        <v>3424</v>
      </c>
      <c r="H408" s="0" t="s">
        <v>3425</v>
      </c>
      <c r="I408" s="0" t="s">
        <v>21</v>
      </c>
      <c r="J408" s="0" t="s">
        <v>22</v>
      </c>
      <c r="K408" s="0" t="s">
        <v>89</v>
      </c>
      <c r="L408" s="0" t="str">
        <f aca="false">IFERROR(VLOOKUP(K408,'Supplier list'!B:C,2,0),"")</f>
        <v>บริษัท เฮเฟเล่ (ประเทศไทย) จำกัด</v>
      </c>
      <c r="M408" s="1" t="n">
        <f aca="false">FALSE()</f>
        <v>0</v>
      </c>
      <c r="N408" s="2"/>
      <c r="O408" s="2" t="n">
        <v>6356</v>
      </c>
    </row>
    <row r="409" customFormat="false" ht="16.4" hidden="false" customHeight="false" outlineLevel="0" collapsed="false">
      <c r="A409" s="0" t="s">
        <v>15</v>
      </c>
      <c r="B409" s="0" t="s">
        <v>3426</v>
      </c>
      <c r="C409" s="0" t="n">
        <v>114001</v>
      </c>
      <c r="D409" s="0" t="n">
        <v>114001</v>
      </c>
      <c r="E409" s="0" t="s">
        <v>1653</v>
      </c>
      <c r="F409" s="0" t="s">
        <v>18</v>
      </c>
      <c r="G409" s="7" t="s">
        <v>3427</v>
      </c>
      <c r="H409" s="0" t="s">
        <v>3428</v>
      </c>
      <c r="I409" s="0" t="s">
        <v>21</v>
      </c>
      <c r="J409" s="0" t="s">
        <v>22</v>
      </c>
      <c r="K409" s="0" t="s">
        <v>89</v>
      </c>
      <c r="L409" s="0" t="str">
        <f aca="false">IFERROR(VLOOKUP(K409,'Supplier list'!B:C,2,0),"")</f>
        <v>บริษัท เฮเฟเล่ (ประเทศไทย) จำกัด</v>
      </c>
      <c r="M409" s="1" t="n">
        <f aca="false">FALSE()</f>
        <v>0</v>
      </c>
      <c r="N409" s="2"/>
      <c r="O409" s="2" t="n">
        <v>4112</v>
      </c>
    </row>
    <row r="410" customFormat="false" ht="16.4" hidden="false" customHeight="false" outlineLevel="0" collapsed="false">
      <c r="A410" s="0" t="s">
        <v>15</v>
      </c>
      <c r="B410" s="0" t="s">
        <v>3429</v>
      </c>
      <c r="C410" s="0" t="n">
        <v>114001</v>
      </c>
      <c r="D410" s="0" t="n">
        <v>114001</v>
      </c>
      <c r="E410" s="0" t="s">
        <v>1727</v>
      </c>
      <c r="F410" s="0" t="s">
        <v>18</v>
      </c>
      <c r="G410" s="7" t="s">
        <v>3430</v>
      </c>
      <c r="H410" s="0" t="s">
        <v>3431</v>
      </c>
      <c r="I410" s="0" t="s">
        <v>21</v>
      </c>
      <c r="J410" s="0" t="s">
        <v>22</v>
      </c>
      <c r="K410" s="0" t="s">
        <v>787</v>
      </c>
      <c r="L410" s="0" t="str">
        <f aca="false">IFERROR(VLOOKUP(K410,'Supplier list'!B:C,2,0),"")</f>
        <v>บริษัท ฟิวเจอร์เทค อินเตอร์มาร์เก็ตติ้ง จำกัด</v>
      </c>
      <c r="M410" s="1" t="n">
        <f aca="false">FALSE()</f>
        <v>0</v>
      </c>
      <c r="N410" s="2"/>
      <c r="O410" s="2" t="n">
        <v>140</v>
      </c>
    </row>
    <row r="411" customFormat="false" ht="16.4" hidden="false" customHeight="false" outlineLevel="0" collapsed="false">
      <c r="A411" s="0" t="s">
        <v>15</v>
      </c>
      <c r="B411" s="0" t="s">
        <v>3432</v>
      </c>
      <c r="C411" s="0" t="n">
        <v>114001</v>
      </c>
      <c r="D411" s="0" t="n">
        <v>114001</v>
      </c>
      <c r="E411" s="0" t="s">
        <v>1764</v>
      </c>
      <c r="F411" s="0" t="s">
        <v>18</v>
      </c>
      <c r="G411" s="7" t="s">
        <v>3433</v>
      </c>
      <c r="H411" s="0" t="s">
        <v>3434</v>
      </c>
      <c r="I411" s="0" t="s">
        <v>21</v>
      </c>
      <c r="J411" s="0" t="s">
        <v>22</v>
      </c>
      <c r="K411" s="0" t="s">
        <v>787</v>
      </c>
      <c r="L411" s="0" t="str">
        <f aca="false">IFERROR(VLOOKUP(K411,'Supplier list'!B:C,2,0),"")</f>
        <v>บริษัท ฟิวเจอร์เทค อินเตอร์มาร์เก็ตติ้ง จำกัด</v>
      </c>
      <c r="M411" s="1" t="n">
        <f aca="false">FALSE()</f>
        <v>0</v>
      </c>
      <c r="N411" s="2"/>
      <c r="O411" s="2" t="n">
        <v>38.5</v>
      </c>
    </row>
    <row r="412" customFormat="false" ht="16.4" hidden="false" customHeight="false" outlineLevel="0" collapsed="false">
      <c r="A412" s="0" t="s">
        <v>15</v>
      </c>
      <c r="B412" s="0" t="s">
        <v>3435</v>
      </c>
      <c r="C412" s="0" t="n">
        <v>114001</v>
      </c>
      <c r="D412" s="0" t="n">
        <v>114001</v>
      </c>
      <c r="E412" s="0" t="s">
        <v>1764</v>
      </c>
      <c r="F412" s="0" t="s">
        <v>18</v>
      </c>
      <c r="G412" s="7" t="s">
        <v>3436</v>
      </c>
      <c r="H412" s="0" t="s">
        <v>3437</v>
      </c>
      <c r="I412" s="0" t="s">
        <v>21</v>
      </c>
      <c r="J412" s="0" t="s">
        <v>22</v>
      </c>
      <c r="K412" s="0" t="s">
        <v>787</v>
      </c>
      <c r="L412" s="0" t="str">
        <f aca="false">IFERROR(VLOOKUP(K412,'Supplier list'!B:C,2,0),"")</f>
        <v>บริษัท ฟิวเจอร์เทค อินเตอร์มาร์เก็ตติ้ง จำกัด</v>
      </c>
      <c r="M412" s="1" t="n">
        <f aca="false">TRUE()</f>
        <v>1</v>
      </c>
      <c r="N412" s="2" t="n">
        <v>200</v>
      </c>
      <c r="O412" s="2" t="n">
        <v>58.5</v>
      </c>
    </row>
    <row r="413" customFormat="false" ht="16.4" hidden="false" customHeight="false" outlineLevel="0" collapsed="false">
      <c r="A413" s="0" t="s">
        <v>15</v>
      </c>
      <c r="B413" s="0" t="s">
        <v>3438</v>
      </c>
      <c r="C413" s="0" t="n">
        <v>114001</v>
      </c>
      <c r="D413" s="0" t="n">
        <v>114001</v>
      </c>
      <c r="E413" s="0" t="s">
        <v>1764</v>
      </c>
      <c r="F413" s="0" t="s">
        <v>18</v>
      </c>
      <c r="G413" s="7" t="s">
        <v>3439</v>
      </c>
      <c r="H413" s="0" t="s">
        <v>3440</v>
      </c>
      <c r="I413" s="0" t="s">
        <v>21</v>
      </c>
      <c r="J413" s="0" t="s">
        <v>22</v>
      </c>
      <c r="K413" s="0" t="s">
        <v>787</v>
      </c>
      <c r="L413" s="0" t="str">
        <f aca="false">IFERROR(VLOOKUP(K413,'Supplier list'!B:C,2,0),"")</f>
        <v>บริษัท ฟิวเจอร์เทค อินเตอร์มาร์เก็ตติ้ง จำกัด</v>
      </c>
      <c r="M413" s="1" t="n">
        <f aca="false">FALSE()</f>
        <v>0</v>
      </c>
      <c r="N413" s="2"/>
      <c r="O413" s="2" t="n">
        <v>70</v>
      </c>
    </row>
    <row r="414" customFormat="false" ht="16.4" hidden="false" customHeight="false" outlineLevel="0" collapsed="false">
      <c r="A414" s="0" t="s">
        <v>15</v>
      </c>
      <c r="B414" s="0" t="s">
        <v>3441</v>
      </c>
      <c r="C414" s="0" t="n">
        <v>114001</v>
      </c>
      <c r="D414" s="0" t="n">
        <v>114001</v>
      </c>
      <c r="E414" s="0" t="s">
        <v>197</v>
      </c>
      <c r="F414" s="0" t="s">
        <v>18</v>
      </c>
      <c r="G414" s="7" t="s">
        <v>3442</v>
      </c>
      <c r="H414" s="0" t="s">
        <v>3288</v>
      </c>
      <c r="I414" s="0" t="s">
        <v>21</v>
      </c>
      <c r="J414" s="0" t="s">
        <v>22</v>
      </c>
      <c r="K414" s="0" t="s">
        <v>89</v>
      </c>
      <c r="L414" s="0" t="str">
        <f aca="false">IFERROR(VLOOKUP(K414,'Supplier list'!B:C,2,0),"")</f>
        <v>บริษัท เฮเฟเล่ (ประเทศไทย) จำกัด</v>
      </c>
      <c r="M414" s="1" t="n">
        <f aca="false">FALSE()</f>
        <v>0</v>
      </c>
      <c r="N414" s="2"/>
      <c r="O414" s="2" t="n">
        <v>8318</v>
      </c>
    </row>
    <row r="415" customFormat="false" ht="16.4" hidden="false" customHeight="false" outlineLevel="0" collapsed="false">
      <c r="A415" s="0" t="s">
        <v>15</v>
      </c>
      <c r="B415" s="0" t="s">
        <v>3443</v>
      </c>
      <c r="C415" s="0" t="n">
        <v>114001</v>
      </c>
      <c r="D415" s="0" t="n">
        <v>114001</v>
      </c>
      <c r="E415" s="0" t="s">
        <v>197</v>
      </c>
      <c r="F415" s="0" t="s">
        <v>18</v>
      </c>
      <c r="G415" s="7" t="s">
        <v>3444</v>
      </c>
      <c r="H415" s="0" t="s">
        <v>3445</v>
      </c>
      <c r="I415" s="0" t="s">
        <v>21</v>
      </c>
      <c r="J415" s="0" t="s">
        <v>22</v>
      </c>
      <c r="K415" s="0" t="s">
        <v>787</v>
      </c>
      <c r="L415" s="0" t="str">
        <f aca="false">IFERROR(VLOOKUP(K415,'Supplier list'!B:C,2,0),"")</f>
        <v>บริษัท ฟิวเจอร์เทค อินเตอร์มาร์เก็ตติ้ง จำกัด</v>
      </c>
      <c r="M415" s="1" t="n">
        <f aca="false">FALSE()</f>
        <v>0</v>
      </c>
      <c r="N415" s="2"/>
      <c r="O415" s="2" t="n">
        <v>1050</v>
      </c>
    </row>
    <row r="416" customFormat="false" ht="16.4" hidden="false" customHeight="false" outlineLevel="0" collapsed="false">
      <c r="A416" s="0" t="s">
        <v>15</v>
      </c>
      <c r="B416" s="0" t="s">
        <v>3446</v>
      </c>
      <c r="C416" s="0" t="n">
        <v>114001</v>
      </c>
      <c r="D416" s="0" t="n">
        <v>114001</v>
      </c>
      <c r="E416" s="0" t="s">
        <v>1653</v>
      </c>
      <c r="F416" s="0" t="s">
        <v>18</v>
      </c>
      <c r="G416" s="7" t="s">
        <v>3447</v>
      </c>
      <c r="H416" s="0" t="s">
        <v>3448</v>
      </c>
      <c r="I416" s="0" t="s">
        <v>124</v>
      </c>
      <c r="J416" s="0" t="s">
        <v>125</v>
      </c>
      <c r="K416" s="0" t="s">
        <v>1725</v>
      </c>
      <c r="L416" s="0" t="str">
        <f aca="false">IFERROR(VLOOKUP(K416,'Supplier list'!B:C,2,0),"")</f>
        <v>บริษัท พรีซิชั่นไลน์ จำกัด</v>
      </c>
      <c r="M416" s="1" t="n">
        <f aca="false">FALSE()</f>
        <v>0</v>
      </c>
      <c r="N416" s="2"/>
      <c r="O416" s="2" t="n">
        <v>4850</v>
      </c>
    </row>
    <row r="417" customFormat="false" ht="16.4" hidden="false" customHeight="false" outlineLevel="0" collapsed="false">
      <c r="A417" s="0" t="s">
        <v>15</v>
      </c>
      <c r="B417" s="0" t="s">
        <v>3449</v>
      </c>
      <c r="C417" s="0" t="n">
        <v>114001</v>
      </c>
      <c r="D417" s="0" t="n">
        <v>114001</v>
      </c>
      <c r="E417" s="0" t="s">
        <v>1653</v>
      </c>
      <c r="F417" s="0" t="s">
        <v>18</v>
      </c>
      <c r="G417" s="7" t="s">
        <v>3450</v>
      </c>
      <c r="H417" s="0" t="s">
        <v>3451</v>
      </c>
      <c r="I417" s="0" t="s">
        <v>124</v>
      </c>
      <c r="J417" s="0" t="s">
        <v>125</v>
      </c>
      <c r="K417" s="0" t="s">
        <v>1725</v>
      </c>
      <c r="L417" s="0" t="str">
        <f aca="false">IFERROR(VLOOKUP(K417,'Supplier list'!B:C,2,0),"")</f>
        <v>บริษัท พรีซิชั่นไลน์ จำกัด</v>
      </c>
      <c r="M417" s="1" t="n">
        <f aca="false">FALSE()</f>
        <v>0</v>
      </c>
      <c r="N417" s="2"/>
      <c r="O417" s="2" t="n">
        <v>0</v>
      </c>
    </row>
    <row r="418" customFormat="false" ht="16.4" hidden="false" customHeight="false" outlineLevel="0" collapsed="false">
      <c r="A418" s="0" t="s">
        <v>15</v>
      </c>
      <c r="B418" s="0" t="s">
        <v>3452</v>
      </c>
      <c r="C418" s="0" t="n">
        <v>114001</v>
      </c>
      <c r="D418" s="0" t="n">
        <v>114001</v>
      </c>
      <c r="E418" s="0" t="s">
        <v>1653</v>
      </c>
      <c r="F418" s="0" t="s">
        <v>18</v>
      </c>
      <c r="G418" s="7" t="s">
        <v>3453</v>
      </c>
      <c r="H418" s="0" t="s">
        <v>3454</v>
      </c>
      <c r="I418" s="0" t="s">
        <v>124</v>
      </c>
      <c r="J418" s="0" t="s">
        <v>125</v>
      </c>
      <c r="K418" s="0" t="s">
        <v>1725</v>
      </c>
      <c r="L418" s="0" t="str">
        <f aca="false">IFERROR(VLOOKUP(K418,'Supplier list'!B:C,2,0),"")</f>
        <v>บริษัท พรีซิชั่นไลน์ จำกัด</v>
      </c>
      <c r="M418" s="1" t="n">
        <f aca="false">TRUE()</f>
        <v>1</v>
      </c>
      <c r="N418" s="2" t="n">
        <v>22500</v>
      </c>
      <c r="O418" s="2" t="n">
        <v>19600</v>
      </c>
    </row>
    <row r="419" customFormat="false" ht="16.4" hidden="false" customHeight="false" outlineLevel="0" collapsed="false">
      <c r="A419" s="0" t="s">
        <v>15</v>
      </c>
      <c r="B419" s="0" t="s">
        <v>3455</v>
      </c>
      <c r="C419" s="0" t="n">
        <v>114001</v>
      </c>
      <c r="D419" s="0" t="n">
        <v>114001</v>
      </c>
      <c r="E419" s="0" t="s">
        <v>1653</v>
      </c>
      <c r="F419" s="0" t="s">
        <v>18</v>
      </c>
      <c r="G419" s="7" t="s">
        <v>3456</v>
      </c>
      <c r="H419" s="0" t="s">
        <v>3457</v>
      </c>
      <c r="I419" s="0" t="s">
        <v>21</v>
      </c>
      <c r="J419" s="0" t="s">
        <v>22</v>
      </c>
      <c r="K419" s="0" t="s">
        <v>89</v>
      </c>
      <c r="L419" s="0" t="str">
        <f aca="false">IFERROR(VLOOKUP(K419,'Supplier list'!B:C,2,0),"")</f>
        <v>บริษัท เฮเฟเล่ (ประเทศไทย) จำกัด</v>
      </c>
      <c r="M419" s="1" t="n">
        <f aca="false">FALSE()</f>
        <v>0</v>
      </c>
      <c r="N419" s="2"/>
      <c r="O419" s="2" t="n">
        <v>13084</v>
      </c>
    </row>
    <row r="420" customFormat="false" ht="16.4" hidden="false" customHeight="false" outlineLevel="0" collapsed="false">
      <c r="A420" s="0" t="s">
        <v>15</v>
      </c>
      <c r="B420" s="0" t="s">
        <v>3458</v>
      </c>
      <c r="C420" s="0" t="n">
        <v>114001</v>
      </c>
      <c r="D420" s="0" t="n">
        <v>114001</v>
      </c>
      <c r="E420" s="0" t="s">
        <v>1764</v>
      </c>
      <c r="F420" s="0" t="s">
        <v>18</v>
      </c>
      <c r="G420" s="7" t="s">
        <v>3459</v>
      </c>
      <c r="H420" s="0" t="s">
        <v>3460</v>
      </c>
      <c r="I420" s="0" t="s">
        <v>21</v>
      </c>
      <c r="J420" s="0" t="s">
        <v>22</v>
      </c>
      <c r="K420" s="0" t="s">
        <v>787</v>
      </c>
      <c r="L420" s="0" t="str">
        <f aca="false">IFERROR(VLOOKUP(K420,'Supplier list'!B:C,2,0),"")</f>
        <v>บริษัท ฟิวเจอร์เทค อินเตอร์มาร์เก็ตติ้ง จำกัด</v>
      </c>
      <c r="M420" s="1" t="n">
        <f aca="false">FALSE()</f>
        <v>0</v>
      </c>
      <c r="N420" s="2"/>
      <c r="O420" s="2" t="n">
        <v>56</v>
      </c>
    </row>
    <row r="421" customFormat="false" ht="16.4" hidden="false" customHeight="false" outlineLevel="0" collapsed="false">
      <c r="A421" s="0" t="s">
        <v>15</v>
      </c>
      <c r="B421" s="0" t="s">
        <v>3461</v>
      </c>
      <c r="C421" s="0" t="n">
        <v>114001</v>
      </c>
      <c r="D421" s="0" t="n">
        <v>114001</v>
      </c>
      <c r="E421" s="0" t="s">
        <v>1764</v>
      </c>
      <c r="F421" s="0" t="s">
        <v>18</v>
      </c>
      <c r="G421" s="7" t="s">
        <v>3462</v>
      </c>
      <c r="H421" s="0" t="s">
        <v>3463</v>
      </c>
      <c r="I421" s="0" t="s">
        <v>21</v>
      </c>
      <c r="J421" s="0" t="s">
        <v>22</v>
      </c>
      <c r="K421" s="0" t="s">
        <v>787</v>
      </c>
      <c r="L421" s="0" t="str">
        <f aca="false">IFERROR(VLOOKUP(K421,'Supplier list'!B:C,2,0),"")</f>
        <v>บริษัท ฟิวเจอร์เทค อินเตอร์มาร์เก็ตติ้ง จำกัด</v>
      </c>
      <c r="M421" s="1" t="n">
        <f aca="false">FALSE()</f>
        <v>0</v>
      </c>
      <c r="N421" s="2"/>
      <c r="O421" s="2" t="n">
        <v>49</v>
      </c>
    </row>
    <row r="422" customFormat="false" ht="16.4" hidden="false" customHeight="false" outlineLevel="0" collapsed="false">
      <c r="A422" s="0" t="s">
        <v>15</v>
      </c>
      <c r="B422" s="0" t="s">
        <v>3464</v>
      </c>
      <c r="C422" s="0" t="n">
        <v>114001</v>
      </c>
      <c r="D422" s="0" t="n">
        <v>114001</v>
      </c>
      <c r="E422" s="0" t="s">
        <v>1764</v>
      </c>
      <c r="F422" s="0" t="s">
        <v>18</v>
      </c>
      <c r="G422" s="7" t="s">
        <v>3465</v>
      </c>
      <c r="H422" s="0" t="s">
        <v>3466</v>
      </c>
      <c r="I422" s="0" t="s">
        <v>21</v>
      </c>
      <c r="J422" s="0" t="s">
        <v>22</v>
      </c>
      <c r="K422" s="0" t="s">
        <v>787</v>
      </c>
      <c r="L422" s="0" t="str">
        <f aca="false">IFERROR(VLOOKUP(K422,'Supplier list'!B:C,2,0),"")</f>
        <v>บริษัท ฟิวเจอร์เทค อินเตอร์มาร์เก็ตติ้ง จำกัด</v>
      </c>
      <c r="M422" s="1" t="n">
        <f aca="false">TRUE()</f>
        <v>1</v>
      </c>
      <c r="N422" s="2" t="n">
        <v>150</v>
      </c>
      <c r="O422" s="2" t="n">
        <v>38.5</v>
      </c>
    </row>
    <row r="423" customFormat="false" ht="16.4" hidden="false" customHeight="false" outlineLevel="0" collapsed="false">
      <c r="A423" s="0" t="s">
        <v>15</v>
      </c>
      <c r="B423" s="0" t="s">
        <v>3467</v>
      </c>
      <c r="C423" s="0" t="n">
        <v>114001</v>
      </c>
      <c r="D423" s="0" t="n">
        <v>114001</v>
      </c>
      <c r="E423" s="0" t="s">
        <v>1764</v>
      </c>
      <c r="F423" s="0" t="s">
        <v>18</v>
      </c>
      <c r="G423" s="7" t="s">
        <v>3468</v>
      </c>
      <c r="H423" s="0" t="s">
        <v>3469</v>
      </c>
      <c r="I423" s="0" t="s">
        <v>21</v>
      </c>
      <c r="J423" s="0" t="s">
        <v>22</v>
      </c>
      <c r="K423" s="0" t="s">
        <v>787</v>
      </c>
      <c r="L423" s="0" t="str">
        <f aca="false">IFERROR(VLOOKUP(K423,'Supplier list'!B:C,2,0),"")</f>
        <v>บริษัท ฟิวเจอร์เทค อินเตอร์มาร์เก็ตติ้ง จำกัด</v>
      </c>
      <c r="M423" s="1" t="n">
        <f aca="false">FALSE()</f>
        <v>0</v>
      </c>
      <c r="N423" s="2"/>
      <c r="O423" s="2" t="n">
        <v>70</v>
      </c>
    </row>
    <row r="424" customFormat="false" ht="16.4" hidden="false" customHeight="false" outlineLevel="0" collapsed="false">
      <c r="A424" s="0" t="s">
        <v>15</v>
      </c>
      <c r="B424" s="0" t="s">
        <v>3470</v>
      </c>
      <c r="C424" s="0" t="n">
        <v>114001</v>
      </c>
      <c r="D424" s="0" t="n">
        <v>114001</v>
      </c>
      <c r="E424" s="0" t="s">
        <v>874</v>
      </c>
      <c r="F424" s="0" t="s">
        <v>18</v>
      </c>
      <c r="G424" s="7" t="s">
        <v>3471</v>
      </c>
      <c r="H424" s="0" t="s">
        <v>3472</v>
      </c>
      <c r="I424" s="0" t="s">
        <v>21</v>
      </c>
      <c r="J424" s="0" t="s">
        <v>22</v>
      </c>
      <c r="K424" s="0" t="s">
        <v>89</v>
      </c>
      <c r="L424" s="0" t="str">
        <f aca="false">IFERROR(VLOOKUP(K424,'Supplier list'!B:C,2,0),"")</f>
        <v>บริษัท เฮเฟเล่ (ประเทศไทย) จำกัด</v>
      </c>
      <c r="M424" s="1" t="n">
        <f aca="false">FALSE()</f>
        <v>0</v>
      </c>
      <c r="N424" s="2"/>
      <c r="O424" s="2" t="n">
        <v>1350</v>
      </c>
    </row>
    <row r="425" customFormat="false" ht="16.4" hidden="false" customHeight="false" outlineLevel="0" collapsed="false">
      <c r="A425" s="0" t="s">
        <v>15</v>
      </c>
      <c r="B425" s="0" t="s">
        <v>3473</v>
      </c>
      <c r="C425" s="0" t="n">
        <v>114001</v>
      </c>
      <c r="D425" s="0" t="n">
        <v>114001</v>
      </c>
      <c r="E425" s="0" t="s">
        <v>1653</v>
      </c>
      <c r="F425" s="0" t="s">
        <v>18</v>
      </c>
      <c r="G425" s="7" t="s">
        <v>3474</v>
      </c>
      <c r="H425" s="0" t="s">
        <v>3475</v>
      </c>
      <c r="I425" s="0" t="s">
        <v>124</v>
      </c>
      <c r="J425" s="0" t="s">
        <v>125</v>
      </c>
      <c r="K425" s="0" t="s">
        <v>89</v>
      </c>
      <c r="L425" s="0" t="str">
        <f aca="false">IFERROR(VLOOKUP(K425,'Supplier list'!B:C,2,0),"")</f>
        <v>บริษัท เฮเฟเล่ (ประเทศไทย) จำกัด</v>
      </c>
      <c r="M425" s="1" t="n">
        <f aca="false">FALSE()</f>
        <v>0</v>
      </c>
      <c r="N425" s="2"/>
      <c r="O425" s="2" t="n">
        <v>6600</v>
      </c>
    </row>
    <row r="426" customFormat="false" ht="16.4" hidden="false" customHeight="false" outlineLevel="0" collapsed="false">
      <c r="A426" s="0" t="s">
        <v>15</v>
      </c>
      <c r="B426" s="0" t="s">
        <v>3476</v>
      </c>
      <c r="C426" s="0" t="n">
        <v>114001</v>
      </c>
      <c r="D426" s="0" t="n">
        <v>114001</v>
      </c>
      <c r="E426" s="0" t="s">
        <v>1605</v>
      </c>
      <c r="F426" s="0" t="s">
        <v>18</v>
      </c>
      <c r="G426" s="7" t="s">
        <v>3477</v>
      </c>
      <c r="H426" s="0" t="s">
        <v>3478</v>
      </c>
      <c r="I426" s="0" t="s">
        <v>21</v>
      </c>
      <c r="J426" s="0" t="s">
        <v>22</v>
      </c>
      <c r="K426" s="0" t="s">
        <v>1725</v>
      </c>
      <c r="L426" s="0" t="str">
        <f aca="false">IFERROR(VLOOKUP(K426,'Supplier list'!B:C,2,0),"")</f>
        <v>บริษัท พรีซิชั่นไลน์ จำกัด</v>
      </c>
      <c r="M426" s="1" t="n">
        <f aca="false">FALSE()</f>
        <v>0</v>
      </c>
      <c r="N426" s="2"/>
      <c r="O426" s="2" t="n">
        <v>5.1</v>
      </c>
    </row>
    <row r="427" customFormat="false" ht="16.4" hidden="false" customHeight="false" outlineLevel="0" collapsed="false">
      <c r="A427" s="0" t="s">
        <v>15</v>
      </c>
      <c r="B427" s="0" t="s">
        <v>3479</v>
      </c>
      <c r="C427" s="0" t="n">
        <v>114001</v>
      </c>
      <c r="D427" s="0" t="n">
        <v>114001</v>
      </c>
      <c r="E427" s="0" t="s">
        <v>1764</v>
      </c>
      <c r="F427" s="0" t="s">
        <v>18</v>
      </c>
      <c r="G427" s="7" t="s">
        <v>3480</v>
      </c>
      <c r="H427" s="0" t="s">
        <v>3481</v>
      </c>
      <c r="I427" s="0" t="s">
        <v>21</v>
      </c>
      <c r="J427" s="0" t="s">
        <v>22</v>
      </c>
      <c r="K427" s="0" t="s">
        <v>787</v>
      </c>
      <c r="L427" s="0" t="str">
        <f aca="false">IFERROR(VLOOKUP(K427,'Supplier list'!B:C,2,0),"")</f>
        <v>บริษัท ฟิวเจอร์เทค อินเตอร์มาร์เก็ตติ้ง จำกัด</v>
      </c>
      <c r="M427" s="1" t="n">
        <f aca="false">FALSE()</f>
        <v>0</v>
      </c>
      <c r="N427" s="2"/>
      <c r="O427" s="2" t="n">
        <v>28</v>
      </c>
    </row>
    <row r="428" customFormat="false" ht="16.4" hidden="false" customHeight="false" outlineLevel="0" collapsed="false">
      <c r="A428" s="0" t="s">
        <v>15</v>
      </c>
      <c r="B428" s="0" t="s">
        <v>3482</v>
      </c>
      <c r="C428" s="0" t="n">
        <v>114001</v>
      </c>
      <c r="D428" s="0" t="n">
        <v>114001</v>
      </c>
      <c r="E428" s="0" t="s">
        <v>961</v>
      </c>
      <c r="F428" s="0" t="s">
        <v>18</v>
      </c>
      <c r="G428" s="7" t="s">
        <v>3483</v>
      </c>
      <c r="H428" s="0" t="s">
        <v>3484</v>
      </c>
      <c r="I428" s="0" t="s">
        <v>517</v>
      </c>
      <c r="J428" s="0" t="s">
        <v>518</v>
      </c>
      <c r="K428" s="0" t="s">
        <v>89</v>
      </c>
      <c r="L428" s="0" t="str">
        <f aca="false">IFERROR(VLOOKUP(K428,'Supplier list'!B:C,2,0),"")</f>
        <v>บริษัท เฮเฟเล่ (ประเทศไทย) จำกัด</v>
      </c>
      <c r="M428" s="1" t="n">
        <f aca="false">FALSE()</f>
        <v>0</v>
      </c>
      <c r="N428" s="2"/>
      <c r="O428" s="2" t="n">
        <v>233</v>
      </c>
    </row>
    <row r="429" customFormat="false" ht="16.4" hidden="false" customHeight="false" outlineLevel="0" collapsed="false">
      <c r="A429" s="0" t="s">
        <v>15</v>
      </c>
      <c r="B429" s="0" t="s">
        <v>3485</v>
      </c>
      <c r="C429" s="0" t="n">
        <v>114001</v>
      </c>
      <c r="D429" s="0" t="n">
        <v>114001</v>
      </c>
      <c r="E429" s="0" t="s">
        <v>1815</v>
      </c>
      <c r="F429" s="0" t="s">
        <v>18</v>
      </c>
      <c r="G429" s="7" t="s">
        <v>3486</v>
      </c>
      <c r="H429" s="0" t="s">
        <v>3487</v>
      </c>
      <c r="I429" s="0" t="s">
        <v>124</v>
      </c>
      <c r="J429" s="0" t="s">
        <v>125</v>
      </c>
      <c r="K429" s="0" t="s">
        <v>2065</v>
      </c>
      <c r="L429" s="0" t="str">
        <f aca="false">IFERROR(VLOOKUP(K429,'Supplier list'!B:C,2,0),"")</f>
        <v>บริษัท บลู อินเตอร์เนชั่นแนล จำกัด</v>
      </c>
      <c r="M429" s="1" t="n">
        <f aca="false">FALSE()</f>
        <v>0</v>
      </c>
      <c r="N429" s="2"/>
      <c r="O429" s="2" t="n">
        <v>2028</v>
      </c>
    </row>
    <row r="430" customFormat="false" ht="16.4" hidden="false" customHeight="false" outlineLevel="0" collapsed="false">
      <c r="A430" s="0" t="s">
        <v>15</v>
      </c>
      <c r="B430" s="0" t="s">
        <v>3488</v>
      </c>
      <c r="C430" s="0" t="n">
        <v>114001</v>
      </c>
      <c r="D430" s="0" t="n">
        <v>114001</v>
      </c>
      <c r="E430" s="0" t="s">
        <v>961</v>
      </c>
      <c r="F430" s="0" t="s">
        <v>18</v>
      </c>
      <c r="G430" s="7" t="s">
        <v>3489</v>
      </c>
      <c r="H430" s="0" t="s">
        <v>3490</v>
      </c>
      <c r="I430" s="0" t="s">
        <v>124</v>
      </c>
      <c r="J430" s="0" t="s">
        <v>125</v>
      </c>
      <c r="K430" s="0" t="s">
        <v>2065</v>
      </c>
      <c r="L430" s="0" t="str">
        <f aca="false">IFERROR(VLOOKUP(K430,'Supplier list'!B:C,2,0),"")</f>
        <v>บริษัท บลู อินเตอร์เนชั่นแนล จำกัด</v>
      </c>
      <c r="M430" s="1" t="n">
        <f aca="false">FALSE()</f>
        <v>0</v>
      </c>
      <c r="N430" s="2"/>
      <c r="O430" s="2" t="n">
        <v>145</v>
      </c>
    </row>
    <row r="431" customFormat="false" ht="16.4" hidden="false" customHeight="false" outlineLevel="0" collapsed="false">
      <c r="A431" s="0" t="s">
        <v>15</v>
      </c>
      <c r="B431" s="0" t="s">
        <v>3491</v>
      </c>
      <c r="C431" s="0" t="n">
        <v>114001</v>
      </c>
      <c r="D431" s="0" t="n">
        <v>114001</v>
      </c>
      <c r="E431" s="0" t="s">
        <v>1815</v>
      </c>
      <c r="F431" s="0" t="s">
        <v>18</v>
      </c>
      <c r="G431" s="7" t="s">
        <v>3492</v>
      </c>
      <c r="H431" s="0" t="s">
        <v>3493</v>
      </c>
      <c r="I431" s="0" t="s">
        <v>517</v>
      </c>
      <c r="J431" s="0" t="s">
        <v>518</v>
      </c>
      <c r="K431" s="0" t="s">
        <v>89</v>
      </c>
      <c r="L431" s="0" t="str">
        <f aca="false">IFERROR(VLOOKUP(K431,'Supplier list'!B:C,2,0),"")</f>
        <v>บริษัท เฮเฟเล่ (ประเทศไทย) จำกัด</v>
      </c>
      <c r="M431" s="1" t="n">
        <f aca="false">FALSE()</f>
        <v>0</v>
      </c>
      <c r="N431" s="2"/>
      <c r="O431" s="2" t="n">
        <v>430</v>
      </c>
    </row>
    <row r="432" customFormat="false" ht="16.4" hidden="false" customHeight="false" outlineLevel="0" collapsed="false">
      <c r="A432" s="0" t="s">
        <v>15</v>
      </c>
      <c r="B432" s="0" t="s">
        <v>3494</v>
      </c>
      <c r="C432" s="0" t="n">
        <v>114001</v>
      </c>
      <c r="D432" s="0" t="n">
        <v>114001</v>
      </c>
      <c r="E432" s="0" t="s">
        <v>1764</v>
      </c>
      <c r="F432" s="0" t="s">
        <v>18</v>
      </c>
      <c r="G432" s="7" t="s">
        <v>3495</v>
      </c>
      <c r="H432" s="0" t="s">
        <v>3496</v>
      </c>
      <c r="I432" s="0" t="s">
        <v>21</v>
      </c>
      <c r="J432" s="0" t="s">
        <v>22</v>
      </c>
      <c r="K432" s="0" t="s">
        <v>787</v>
      </c>
      <c r="L432" s="0" t="str">
        <f aca="false">IFERROR(VLOOKUP(K432,'Supplier list'!B:C,2,0),"")</f>
        <v>บริษัท ฟิวเจอร์เทค อินเตอร์มาร์เก็ตติ้ง จำกัด</v>
      </c>
      <c r="M432" s="1" t="n">
        <f aca="false">FALSE()</f>
        <v>0</v>
      </c>
      <c r="N432" s="2"/>
      <c r="O432" s="2" t="n">
        <v>66.5</v>
      </c>
    </row>
    <row r="433" customFormat="false" ht="16.4" hidden="false" customHeight="false" outlineLevel="0" collapsed="false">
      <c r="A433" s="0" t="s">
        <v>15</v>
      </c>
      <c r="B433" s="0" t="s">
        <v>3497</v>
      </c>
      <c r="C433" s="0" t="n">
        <v>114001</v>
      </c>
      <c r="D433" s="0" t="n">
        <v>114001</v>
      </c>
      <c r="E433" s="0" t="s">
        <v>1815</v>
      </c>
      <c r="F433" s="0" t="s">
        <v>18</v>
      </c>
      <c r="G433" s="7" t="s">
        <v>3498</v>
      </c>
      <c r="H433" s="0" t="s">
        <v>3499</v>
      </c>
      <c r="I433" s="0" t="s">
        <v>517</v>
      </c>
      <c r="J433" s="0" t="s">
        <v>518</v>
      </c>
      <c r="K433" s="0" t="s">
        <v>89</v>
      </c>
      <c r="L433" s="0" t="str">
        <f aca="false">IFERROR(VLOOKUP(K433,'Supplier list'!B:C,2,0),"")</f>
        <v>บริษัท เฮเฟเล่ (ประเทศไทย) จำกัด</v>
      </c>
      <c r="M433" s="1" t="n">
        <f aca="false">FALSE()</f>
        <v>0</v>
      </c>
      <c r="N433" s="2"/>
      <c r="O433" s="2" t="n">
        <v>560</v>
      </c>
    </row>
    <row r="434" customFormat="false" ht="16.4" hidden="false" customHeight="false" outlineLevel="0" collapsed="false">
      <c r="A434" s="0" t="s">
        <v>15</v>
      </c>
      <c r="B434" s="0" t="s">
        <v>3500</v>
      </c>
      <c r="C434" s="0" t="n">
        <v>114001</v>
      </c>
      <c r="D434" s="0" t="n">
        <v>114001</v>
      </c>
      <c r="E434" s="0" t="s">
        <v>1815</v>
      </c>
      <c r="F434" s="0" t="s">
        <v>18</v>
      </c>
      <c r="G434" s="7" t="s">
        <v>3501</v>
      </c>
      <c r="H434" s="0" t="s">
        <v>3502</v>
      </c>
      <c r="I434" s="0" t="s">
        <v>124</v>
      </c>
      <c r="J434" s="0" t="s">
        <v>125</v>
      </c>
      <c r="K434" s="0" t="s">
        <v>1725</v>
      </c>
      <c r="L434" s="0" t="str">
        <f aca="false">IFERROR(VLOOKUP(K434,'Supplier list'!B:C,2,0),"")</f>
        <v>บริษัท พรีซิชั่นไลน์ จำกัด</v>
      </c>
      <c r="M434" s="1" t="n">
        <f aca="false">FALSE()</f>
        <v>0</v>
      </c>
      <c r="N434" s="2"/>
      <c r="O434" s="2" t="n">
        <v>1115</v>
      </c>
    </row>
    <row r="435" customFormat="false" ht="16.4" hidden="false" customHeight="false" outlineLevel="0" collapsed="false">
      <c r="A435" s="0" t="s">
        <v>15</v>
      </c>
      <c r="B435" s="0" t="s">
        <v>3503</v>
      </c>
      <c r="C435" s="0" t="n">
        <v>114001</v>
      </c>
      <c r="D435" s="0" t="n">
        <v>114001</v>
      </c>
      <c r="E435" s="0" t="s">
        <v>1764</v>
      </c>
      <c r="F435" s="0" t="s">
        <v>18</v>
      </c>
      <c r="G435" s="7" t="s">
        <v>3504</v>
      </c>
      <c r="H435" s="0" t="s">
        <v>3505</v>
      </c>
      <c r="I435" s="0" t="s">
        <v>21</v>
      </c>
      <c r="J435" s="0" t="s">
        <v>22</v>
      </c>
      <c r="K435" s="0" t="s">
        <v>787</v>
      </c>
      <c r="L435" s="0" t="str">
        <f aca="false">IFERROR(VLOOKUP(K435,'Supplier list'!B:C,2,0),"")</f>
        <v>บริษัท ฟิวเจอร์เทค อินเตอร์มาร์เก็ตติ้ง จำกัด</v>
      </c>
      <c r="M435" s="1" t="n">
        <f aca="false">FALSE()</f>
        <v>0</v>
      </c>
      <c r="N435" s="2"/>
      <c r="O435" s="2" t="n">
        <v>56.5</v>
      </c>
    </row>
    <row r="436" customFormat="false" ht="16.4" hidden="false" customHeight="false" outlineLevel="0" collapsed="false">
      <c r="A436" s="0" t="s">
        <v>15</v>
      </c>
      <c r="B436" s="0" t="s">
        <v>3506</v>
      </c>
      <c r="C436" s="0" t="n">
        <v>114001</v>
      </c>
      <c r="D436" s="0" t="n">
        <v>114001</v>
      </c>
      <c r="E436" s="0" t="s">
        <v>1601</v>
      </c>
      <c r="F436" s="0" t="s">
        <v>18</v>
      </c>
      <c r="G436" s="7" t="s">
        <v>3507</v>
      </c>
      <c r="H436" s="0" t="s">
        <v>3508</v>
      </c>
      <c r="I436" s="0" t="s">
        <v>168</v>
      </c>
      <c r="J436" s="0" t="s">
        <v>169</v>
      </c>
      <c r="K436" s="0" t="s">
        <v>787</v>
      </c>
      <c r="L436" s="0" t="str">
        <f aca="false">IFERROR(VLOOKUP(K436,'Supplier list'!B:C,2,0),"")</f>
        <v>บริษัท ฟิวเจอร์เทค อินเตอร์มาร์เก็ตติ้ง จำกัด</v>
      </c>
      <c r="M436" s="1" t="n">
        <f aca="false">FALSE()</f>
        <v>0</v>
      </c>
      <c r="N436" s="2"/>
      <c r="O436" s="2" t="n">
        <v>490</v>
      </c>
    </row>
    <row r="437" customFormat="false" ht="16.4" hidden="false" customHeight="false" outlineLevel="0" collapsed="false">
      <c r="A437" s="0" t="s">
        <v>15</v>
      </c>
      <c r="B437" s="0" t="s">
        <v>3509</v>
      </c>
      <c r="C437" s="0" t="n">
        <v>114001</v>
      </c>
      <c r="D437" s="0" t="n">
        <v>114001</v>
      </c>
      <c r="E437" s="0" t="s">
        <v>1764</v>
      </c>
      <c r="F437" s="0" t="s">
        <v>18</v>
      </c>
      <c r="G437" s="7" t="s">
        <v>3510</v>
      </c>
      <c r="H437" s="0" t="s">
        <v>3511</v>
      </c>
      <c r="I437" s="0" t="s">
        <v>21</v>
      </c>
      <c r="J437" s="0" t="s">
        <v>22</v>
      </c>
      <c r="K437" s="0" t="s">
        <v>787</v>
      </c>
      <c r="L437" s="0" t="str">
        <f aca="false">IFERROR(VLOOKUP(K437,'Supplier list'!B:C,2,0),"")</f>
        <v>บริษัท ฟิวเจอร์เทค อินเตอร์มาร์เก็ตติ้ง จำกัด</v>
      </c>
      <c r="M437" s="1" t="n">
        <f aca="false">FALSE()</f>
        <v>0</v>
      </c>
      <c r="N437" s="2"/>
      <c r="O437" s="2" t="n">
        <v>10</v>
      </c>
    </row>
    <row r="438" customFormat="false" ht="16.4" hidden="false" customHeight="false" outlineLevel="0" collapsed="false">
      <c r="A438" s="0" t="s">
        <v>15</v>
      </c>
      <c r="B438" s="0" t="s">
        <v>3512</v>
      </c>
      <c r="C438" s="0" t="n">
        <v>114001</v>
      </c>
      <c r="D438" s="0" t="n">
        <v>114001</v>
      </c>
      <c r="E438" s="0" t="s">
        <v>1764</v>
      </c>
      <c r="F438" s="0" t="s">
        <v>18</v>
      </c>
      <c r="G438" s="7" t="s">
        <v>3513</v>
      </c>
      <c r="H438" s="0" t="s">
        <v>3514</v>
      </c>
      <c r="I438" s="0" t="s">
        <v>21</v>
      </c>
      <c r="J438" s="0" t="s">
        <v>22</v>
      </c>
      <c r="K438" s="0" t="s">
        <v>787</v>
      </c>
      <c r="L438" s="0" t="str">
        <f aca="false">IFERROR(VLOOKUP(K438,'Supplier list'!B:C,2,0),"")</f>
        <v>บริษัท ฟิวเจอร์เทค อินเตอร์มาร์เก็ตติ้ง จำกัด</v>
      </c>
      <c r="M438" s="1" t="n">
        <f aca="false">FALSE()</f>
        <v>0</v>
      </c>
      <c r="N438" s="2"/>
      <c r="O438" s="2" t="n">
        <v>45</v>
      </c>
    </row>
    <row r="439" customFormat="false" ht="16.4" hidden="false" customHeight="false" outlineLevel="0" collapsed="false">
      <c r="A439" s="0" t="s">
        <v>15</v>
      </c>
      <c r="B439" s="0" t="s">
        <v>3515</v>
      </c>
      <c r="C439" s="0" t="n">
        <v>114001</v>
      </c>
      <c r="D439" s="0" t="n">
        <v>114001</v>
      </c>
      <c r="E439" s="0" t="s">
        <v>961</v>
      </c>
      <c r="F439" s="0" t="s">
        <v>18</v>
      </c>
      <c r="G439" s="7" t="s">
        <v>3516</v>
      </c>
      <c r="H439" s="0" t="s">
        <v>3517</v>
      </c>
      <c r="I439" s="0" t="s">
        <v>21</v>
      </c>
      <c r="J439" s="0" t="s">
        <v>22</v>
      </c>
      <c r="K439" s="0" t="s">
        <v>567</v>
      </c>
      <c r="L439" s="0" t="str">
        <f aca="false">IFERROR(VLOOKUP(K439,'Supplier list'!B:C,2,0),"")</f>
        <v>บริษัท ไทย เมก้าแคบ จำกัด</v>
      </c>
      <c r="M439" s="1" t="n">
        <f aca="false">FALSE()</f>
        <v>0</v>
      </c>
      <c r="N439" s="2"/>
      <c r="O439" s="2" t="n">
        <v>43.69</v>
      </c>
    </row>
    <row r="440" customFormat="false" ht="16.4" hidden="false" customHeight="false" outlineLevel="0" collapsed="false">
      <c r="A440" s="0" t="s">
        <v>15</v>
      </c>
      <c r="B440" s="0" t="s">
        <v>3518</v>
      </c>
      <c r="C440" s="0" t="n">
        <v>114001</v>
      </c>
      <c r="D440" s="0" t="n">
        <v>114001</v>
      </c>
      <c r="E440" s="0" t="s">
        <v>961</v>
      </c>
      <c r="F440" s="0" t="s">
        <v>18</v>
      </c>
      <c r="G440" s="7" t="s">
        <v>3519</v>
      </c>
      <c r="H440" s="0" t="s">
        <v>3520</v>
      </c>
      <c r="I440" s="0" t="s">
        <v>21</v>
      </c>
      <c r="J440" s="0" t="s">
        <v>22</v>
      </c>
      <c r="K440" s="0" t="s">
        <v>567</v>
      </c>
      <c r="L440" s="0" t="str">
        <f aca="false">IFERROR(VLOOKUP(K440,'Supplier list'!B:C,2,0),"")</f>
        <v>บริษัท ไทย เมก้าแคบ จำกัด</v>
      </c>
      <c r="M440" s="1" t="n">
        <f aca="false">FALSE()</f>
        <v>0</v>
      </c>
      <c r="N440" s="2"/>
      <c r="O440" s="2" t="n">
        <v>28.19</v>
      </c>
    </row>
    <row r="441" customFormat="false" ht="16.4" hidden="false" customHeight="false" outlineLevel="0" collapsed="false">
      <c r="A441" s="0" t="s">
        <v>15</v>
      </c>
      <c r="B441" s="0" t="s">
        <v>3521</v>
      </c>
      <c r="C441" s="0" t="n">
        <v>114001</v>
      </c>
      <c r="D441" s="0" t="n">
        <v>114001</v>
      </c>
      <c r="E441" s="0" t="s">
        <v>1764</v>
      </c>
      <c r="F441" s="0" t="s">
        <v>18</v>
      </c>
      <c r="G441" s="7" t="s">
        <v>3522</v>
      </c>
      <c r="H441" s="0" t="s">
        <v>3523</v>
      </c>
      <c r="I441" s="0" t="s">
        <v>21</v>
      </c>
      <c r="J441" s="0" t="s">
        <v>22</v>
      </c>
      <c r="K441" s="0" t="s">
        <v>787</v>
      </c>
      <c r="L441" s="0" t="str">
        <f aca="false">IFERROR(VLOOKUP(K441,'Supplier list'!B:C,2,0),"")</f>
        <v>บริษัท ฟิวเจอร์เทค อินเตอร์มาร์เก็ตติ้ง จำกัด</v>
      </c>
      <c r="M441" s="1" t="n">
        <f aca="false">TRUE()</f>
        <v>1</v>
      </c>
      <c r="N441" s="2" t="n">
        <v>190</v>
      </c>
      <c r="O441" s="2" t="n">
        <v>48.75</v>
      </c>
    </row>
    <row r="442" customFormat="false" ht="16.4" hidden="false" customHeight="false" outlineLevel="0" collapsed="false">
      <c r="A442" s="0" t="s">
        <v>15</v>
      </c>
      <c r="B442" s="0" t="s">
        <v>3524</v>
      </c>
      <c r="C442" s="0" t="n">
        <v>114001</v>
      </c>
      <c r="D442" s="0" t="n">
        <v>114001</v>
      </c>
      <c r="E442" s="0" t="s">
        <v>1764</v>
      </c>
      <c r="F442" s="0" t="s">
        <v>18</v>
      </c>
      <c r="G442" s="7" t="s">
        <v>3525</v>
      </c>
      <c r="H442" s="0" t="s">
        <v>3526</v>
      </c>
      <c r="I442" s="0" t="s">
        <v>21</v>
      </c>
      <c r="J442" s="0" t="s">
        <v>22</v>
      </c>
      <c r="K442" s="0" t="s">
        <v>787</v>
      </c>
      <c r="L442" s="0" t="str">
        <f aca="false">IFERROR(VLOOKUP(K442,'Supplier list'!B:C,2,0),"")</f>
        <v>บริษัท ฟิวเจอร์เทค อินเตอร์มาร์เก็ตติ้ง จำกัด</v>
      </c>
      <c r="M442" s="1" t="n">
        <f aca="false">FALSE()</f>
        <v>0</v>
      </c>
      <c r="N442" s="2"/>
      <c r="O442" s="2" t="n">
        <v>84</v>
      </c>
    </row>
    <row r="443" customFormat="false" ht="16.4" hidden="false" customHeight="false" outlineLevel="0" collapsed="false">
      <c r="A443" s="0" t="s">
        <v>15</v>
      </c>
      <c r="B443" s="0" t="s">
        <v>3527</v>
      </c>
      <c r="C443" s="0" t="n">
        <v>114001</v>
      </c>
      <c r="D443" s="0" t="n">
        <v>114001</v>
      </c>
      <c r="E443" s="0" t="s">
        <v>1727</v>
      </c>
      <c r="F443" s="0" t="s">
        <v>18</v>
      </c>
      <c r="G443" s="7" t="s">
        <v>3528</v>
      </c>
      <c r="H443" s="0" t="s">
        <v>3529</v>
      </c>
      <c r="I443" s="0" t="s">
        <v>21</v>
      </c>
      <c r="J443" s="0" t="s">
        <v>22</v>
      </c>
      <c r="K443" s="0" t="s">
        <v>89</v>
      </c>
      <c r="L443" s="0" t="str">
        <f aca="false">IFERROR(VLOOKUP(K443,'Supplier list'!B:C,2,0),"")</f>
        <v>บริษัท เฮเฟเล่ (ประเทศไทย) จำกัด</v>
      </c>
      <c r="M443" s="1" t="n">
        <f aca="false">FALSE()</f>
        <v>0</v>
      </c>
      <c r="N443" s="2"/>
      <c r="O443" s="2" t="n">
        <v>1429</v>
      </c>
    </row>
    <row r="444" customFormat="false" ht="16.4" hidden="false" customHeight="false" outlineLevel="0" collapsed="false">
      <c r="A444" s="0" t="s">
        <v>15</v>
      </c>
      <c r="B444" s="0" t="s">
        <v>3530</v>
      </c>
      <c r="C444" s="0" t="n">
        <v>114001</v>
      </c>
      <c r="D444" s="0" t="n">
        <v>114001</v>
      </c>
      <c r="E444" s="0" t="s">
        <v>1727</v>
      </c>
      <c r="F444" s="0" t="s">
        <v>18</v>
      </c>
      <c r="G444" s="7" t="s">
        <v>3531</v>
      </c>
      <c r="H444" s="0" t="s">
        <v>3532</v>
      </c>
      <c r="I444" s="0" t="s">
        <v>21</v>
      </c>
      <c r="J444" s="0" t="s">
        <v>22</v>
      </c>
      <c r="K444" s="0" t="s">
        <v>89</v>
      </c>
      <c r="L444" s="0" t="str">
        <f aca="false">IFERROR(VLOOKUP(K444,'Supplier list'!B:C,2,0),"")</f>
        <v>บริษัท เฮเฟเล่ (ประเทศไทย) จำกัด</v>
      </c>
      <c r="M444" s="1" t="n">
        <f aca="false">FALSE()</f>
        <v>0</v>
      </c>
      <c r="N444" s="2"/>
      <c r="O444" s="2" t="n">
        <v>537</v>
      </c>
    </row>
    <row r="445" customFormat="false" ht="16.4" hidden="false" customHeight="false" outlineLevel="0" collapsed="false">
      <c r="A445" s="0" t="s">
        <v>15</v>
      </c>
      <c r="B445" s="0" t="s">
        <v>3533</v>
      </c>
      <c r="C445" s="0" t="n">
        <v>114001</v>
      </c>
      <c r="D445" s="0" t="n">
        <v>114001</v>
      </c>
      <c r="E445" s="0" t="s">
        <v>1653</v>
      </c>
      <c r="F445" s="0" t="s">
        <v>18</v>
      </c>
      <c r="G445" s="7" t="s">
        <v>3534</v>
      </c>
      <c r="H445" s="0" t="s">
        <v>3535</v>
      </c>
      <c r="I445" s="0" t="s">
        <v>21</v>
      </c>
      <c r="J445" s="0" t="s">
        <v>22</v>
      </c>
      <c r="K445" s="0" t="s">
        <v>89</v>
      </c>
      <c r="L445" s="0" t="str">
        <f aca="false">IFERROR(VLOOKUP(K445,'Supplier list'!B:C,2,0),"")</f>
        <v>บริษัท เฮเฟเล่ (ประเทศไทย) จำกัด</v>
      </c>
      <c r="M445" s="1" t="n">
        <f aca="false">FALSE()</f>
        <v>0</v>
      </c>
      <c r="N445" s="2"/>
      <c r="O445" s="2" t="n">
        <v>2300</v>
      </c>
    </row>
    <row r="446" customFormat="false" ht="16.4" hidden="false" customHeight="false" outlineLevel="0" collapsed="false">
      <c r="A446" s="0" t="s">
        <v>15</v>
      </c>
      <c r="B446" s="0" t="s">
        <v>3536</v>
      </c>
      <c r="C446" s="0" t="n">
        <v>114001</v>
      </c>
      <c r="D446" s="0" t="n">
        <v>114001</v>
      </c>
      <c r="E446" s="0" t="s">
        <v>1764</v>
      </c>
      <c r="F446" s="0" t="s">
        <v>18</v>
      </c>
      <c r="G446" s="7" t="s">
        <v>3537</v>
      </c>
      <c r="H446" s="0" t="s">
        <v>3538</v>
      </c>
      <c r="I446" s="0" t="s">
        <v>21</v>
      </c>
      <c r="J446" s="0" t="s">
        <v>22</v>
      </c>
      <c r="K446" s="0" t="s">
        <v>787</v>
      </c>
      <c r="L446" s="0" t="str">
        <f aca="false">IFERROR(VLOOKUP(K446,'Supplier list'!B:C,2,0),"")</f>
        <v>บริษัท ฟิวเจอร์เทค อินเตอร์มาร์เก็ตติ้ง จำกัด</v>
      </c>
      <c r="M446" s="1" t="n">
        <f aca="false">FALSE()</f>
        <v>0</v>
      </c>
      <c r="N446" s="2"/>
      <c r="O446" s="2" t="n">
        <v>49</v>
      </c>
    </row>
    <row r="447" customFormat="false" ht="16.4" hidden="false" customHeight="false" outlineLevel="0" collapsed="false">
      <c r="A447" s="0" t="s">
        <v>15</v>
      </c>
      <c r="B447" s="0" t="s">
        <v>3539</v>
      </c>
      <c r="C447" s="0" t="n">
        <v>114001</v>
      </c>
      <c r="D447" s="0" t="n">
        <v>114001</v>
      </c>
      <c r="E447" s="0" t="s">
        <v>2056</v>
      </c>
      <c r="F447" s="0" t="s">
        <v>18</v>
      </c>
      <c r="G447" s="7" t="s">
        <v>3540</v>
      </c>
      <c r="H447" s="0" t="s">
        <v>3541</v>
      </c>
      <c r="I447" s="0" t="s">
        <v>21</v>
      </c>
      <c r="J447" s="0" t="s">
        <v>22</v>
      </c>
      <c r="K447" s="0" t="s">
        <v>787</v>
      </c>
      <c r="L447" s="0" t="str">
        <f aca="false">IFERROR(VLOOKUP(K447,'Supplier list'!B:C,2,0),"")</f>
        <v>บริษัท ฟิวเจอร์เทค อินเตอร์มาร์เก็ตติ้ง จำกัด</v>
      </c>
      <c r="M447" s="1" t="n">
        <f aca="false">FALSE()</f>
        <v>0</v>
      </c>
      <c r="N447" s="2"/>
      <c r="O447" s="2" t="n">
        <v>70</v>
      </c>
    </row>
    <row r="448" customFormat="false" ht="16.4" hidden="false" customHeight="false" outlineLevel="0" collapsed="false">
      <c r="A448" s="0" t="s">
        <v>15</v>
      </c>
      <c r="B448" s="0" t="s">
        <v>3542</v>
      </c>
      <c r="C448" s="0" t="n">
        <v>114001</v>
      </c>
      <c r="D448" s="0" t="n">
        <v>114001</v>
      </c>
      <c r="E448" s="0" t="s">
        <v>1653</v>
      </c>
      <c r="F448" s="0" t="s">
        <v>18</v>
      </c>
      <c r="G448" s="7" t="s">
        <v>3543</v>
      </c>
      <c r="H448" s="0" t="s">
        <v>3544</v>
      </c>
      <c r="I448" s="0" t="s">
        <v>124</v>
      </c>
      <c r="J448" s="0" t="s">
        <v>125</v>
      </c>
      <c r="K448" s="0" t="s">
        <v>89</v>
      </c>
      <c r="L448" s="0" t="str">
        <f aca="false">IFERROR(VLOOKUP(K448,'Supplier list'!B:C,2,0),"")</f>
        <v>บริษัท เฮเฟเล่ (ประเทศไทย) จำกัด</v>
      </c>
      <c r="M448" s="1" t="n">
        <f aca="false">TRUE()</f>
        <v>1</v>
      </c>
      <c r="N448" s="2" t="n">
        <v>22500</v>
      </c>
      <c r="O448" s="2" t="n">
        <v>12500</v>
      </c>
    </row>
    <row r="449" customFormat="false" ht="16.4" hidden="false" customHeight="false" outlineLevel="0" collapsed="false">
      <c r="A449" s="0" t="s">
        <v>15</v>
      </c>
      <c r="B449" s="0" t="s">
        <v>3545</v>
      </c>
      <c r="C449" s="0" t="n">
        <v>114001</v>
      </c>
      <c r="D449" s="0" t="n">
        <v>114001</v>
      </c>
      <c r="E449" s="0" t="s">
        <v>1764</v>
      </c>
      <c r="F449" s="0" t="s">
        <v>18</v>
      </c>
      <c r="G449" s="7" t="s">
        <v>3546</v>
      </c>
      <c r="H449" s="0" t="s">
        <v>3547</v>
      </c>
      <c r="I449" s="0" t="s">
        <v>21</v>
      </c>
      <c r="J449" s="0" t="s">
        <v>22</v>
      </c>
      <c r="K449" s="0" t="s">
        <v>787</v>
      </c>
      <c r="L449" s="0" t="str">
        <f aca="false">IFERROR(VLOOKUP(K449,'Supplier list'!B:C,2,0),"")</f>
        <v>บริษัท ฟิวเจอร์เทค อินเตอร์มาร์เก็ตติ้ง จำกัด</v>
      </c>
      <c r="M449" s="1" t="n">
        <f aca="false">FALSE()</f>
        <v>0</v>
      </c>
      <c r="N449" s="2"/>
      <c r="O449" s="2" t="n">
        <v>31.5</v>
      </c>
    </row>
    <row r="450" customFormat="false" ht="16.4" hidden="false" customHeight="false" outlineLevel="0" collapsed="false">
      <c r="A450" s="0" t="s">
        <v>15</v>
      </c>
      <c r="B450" s="0" t="s">
        <v>3548</v>
      </c>
      <c r="C450" s="0" t="n">
        <v>114001</v>
      </c>
      <c r="D450" s="0" t="n">
        <v>114001</v>
      </c>
      <c r="E450" s="0" t="s">
        <v>1764</v>
      </c>
      <c r="F450" s="0" t="s">
        <v>18</v>
      </c>
      <c r="G450" s="7" t="s">
        <v>3549</v>
      </c>
      <c r="H450" s="0" t="s">
        <v>3550</v>
      </c>
      <c r="I450" s="0" t="s">
        <v>21</v>
      </c>
      <c r="J450" s="0" t="s">
        <v>22</v>
      </c>
      <c r="K450" s="0" t="s">
        <v>787</v>
      </c>
      <c r="L450" s="0" t="str">
        <f aca="false">IFERROR(VLOOKUP(K450,'Supplier list'!B:C,2,0),"")</f>
        <v>บริษัท ฟิวเจอร์เทค อินเตอร์มาร์เก็ตติ้ง จำกัด</v>
      </c>
      <c r="M450" s="1" t="n">
        <f aca="false">FALSE()</f>
        <v>0</v>
      </c>
      <c r="N450" s="2"/>
      <c r="O450" s="2" t="n">
        <v>66.5</v>
      </c>
    </row>
    <row r="451" customFormat="false" ht="16.4" hidden="false" customHeight="false" outlineLevel="0" collapsed="false">
      <c r="A451" s="0" t="s">
        <v>15</v>
      </c>
      <c r="B451" s="0" t="s">
        <v>3551</v>
      </c>
      <c r="C451" s="0" t="n">
        <v>114001</v>
      </c>
      <c r="D451" s="0" t="n">
        <v>114001</v>
      </c>
      <c r="E451" s="0" t="s">
        <v>961</v>
      </c>
      <c r="F451" s="0" t="s">
        <v>18</v>
      </c>
      <c r="G451" s="7" t="s">
        <v>3552</v>
      </c>
      <c r="H451" s="0" t="s">
        <v>3553</v>
      </c>
      <c r="I451" s="0" t="s">
        <v>124</v>
      </c>
      <c r="J451" s="0" t="s">
        <v>125</v>
      </c>
      <c r="K451" s="0" t="s">
        <v>89</v>
      </c>
      <c r="L451" s="0" t="str">
        <f aca="false">IFERROR(VLOOKUP(K451,'Supplier list'!B:C,2,0),"")</f>
        <v>บริษัท เฮเฟเล่ (ประเทศไทย) จำกัด</v>
      </c>
      <c r="M451" s="1" t="n">
        <f aca="false">FALSE()</f>
        <v>0</v>
      </c>
      <c r="N451" s="2"/>
      <c r="O451" s="2" t="n">
        <v>4205</v>
      </c>
    </row>
    <row r="452" customFormat="false" ht="16.4" hidden="false" customHeight="false" outlineLevel="0" collapsed="false">
      <c r="A452" s="0" t="s">
        <v>15</v>
      </c>
      <c r="B452" s="0" t="s">
        <v>3554</v>
      </c>
      <c r="C452" s="0" t="n">
        <v>114001</v>
      </c>
      <c r="D452" s="0" t="n">
        <v>114001</v>
      </c>
      <c r="E452" s="0" t="s">
        <v>1605</v>
      </c>
      <c r="F452" s="0" t="s">
        <v>18</v>
      </c>
      <c r="G452" s="7" t="s">
        <v>3555</v>
      </c>
      <c r="H452" s="0" t="s">
        <v>3556</v>
      </c>
      <c r="I452" s="0" t="s">
        <v>168</v>
      </c>
      <c r="J452" s="0" t="s">
        <v>169</v>
      </c>
      <c r="K452" s="0" t="s">
        <v>1753</v>
      </c>
      <c r="L452" s="0" t="str">
        <f aca="false">IFERROR(VLOOKUP(K452,'Supplier list'!B:C,2,0),"")</f>
        <v>บริษัท ไอ.โอ.ดีไซน์ แอนด์ โฮม จำกัด</v>
      </c>
      <c r="M452" s="1" t="n">
        <f aca="false">FALSE()</f>
        <v>0</v>
      </c>
      <c r="N452" s="2"/>
      <c r="O452" s="2" t="n">
        <v>203</v>
      </c>
    </row>
    <row r="453" customFormat="false" ht="16.4" hidden="false" customHeight="false" outlineLevel="0" collapsed="false">
      <c r="A453" s="0" t="s">
        <v>15</v>
      </c>
      <c r="B453" s="0" t="s">
        <v>3557</v>
      </c>
      <c r="C453" s="0" t="n">
        <v>114001</v>
      </c>
      <c r="D453" s="0" t="n">
        <v>114001</v>
      </c>
      <c r="E453" s="0" t="s">
        <v>3558</v>
      </c>
      <c r="F453" s="0" t="s">
        <v>18</v>
      </c>
      <c r="G453" s="7" t="s">
        <v>3559</v>
      </c>
      <c r="H453" s="0" t="s">
        <v>3560</v>
      </c>
      <c r="I453" s="0" t="s">
        <v>168</v>
      </c>
      <c r="J453" s="0" t="s">
        <v>169</v>
      </c>
      <c r="K453" s="0" t="s">
        <v>787</v>
      </c>
      <c r="L453" s="0" t="str">
        <f aca="false">IFERROR(VLOOKUP(K453,'Supplier list'!B:C,2,0),"")</f>
        <v>บริษัท ฟิวเจอร์เทค อินเตอร์มาร์เก็ตติ้ง จำกัด</v>
      </c>
      <c r="M453" s="1" t="n">
        <f aca="false">FALSE()</f>
        <v>0</v>
      </c>
      <c r="N453" s="2"/>
      <c r="O453" s="2" t="n">
        <v>300</v>
      </c>
    </row>
    <row r="454" customFormat="false" ht="16.4" hidden="false" customHeight="false" outlineLevel="0" collapsed="false">
      <c r="A454" s="0" t="s">
        <v>15</v>
      </c>
      <c r="B454" s="0" t="s">
        <v>3561</v>
      </c>
      <c r="C454" s="0" t="n">
        <v>114001</v>
      </c>
      <c r="D454" s="0" t="n">
        <v>114001</v>
      </c>
      <c r="E454" s="0" t="s">
        <v>1815</v>
      </c>
      <c r="F454" s="0" t="s">
        <v>18</v>
      </c>
      <c r="G454" s="7" t="s">
        <v>3562</v>
      </c>
      <c r="H454" s="0" t="s">
        <v>3563</v>
      </c>
      <c r="I454" s="0" t="s">
        <v>124</v>
      </c>
      <c r="J454" s="0" t="s">
        <v>125</v>
      </c>
      <c r="K454" s="0" t="s">
        <v>2065</v>
      </c>
      <c r="L454" s="0" t="str">
        <f aca="false">IFERROR(VLOOKUP(K454,'Supplier list'!B:C,2,0),"")</f>
        <v>บริษัท บลู อินเตอร์เนชั่นแนล จำกัด</v>
      </c>
      <c r="M454" s="1" t="n">
        <f aca="false">FALSE()</f>
        <v>0</v>
      </c>
      <c r="N454" s="2"/>
      <c r="O454" s="2" t="n">
        <v>460</v>
      </c>
    </row>
    <row r="455" customFormat="false" ht="16.4" hidden="false" customHeight="false" outlineLevel="0" collapsed="false">
      <c r="A455" s="0" t="s">
        <v>15</v>
      </c>
      <c r="B455" s="0" t="s">
        <v>3564</v>
      </c>
      <c r="C455" s="0" t="n">
        <v>114001</v>
      </c>
      <c r="D455" s="0" t="n">
        <v>114001</v>
      </c>
      <c r="E455" s="0" t="s">
        <v>1815</v>
      </c>
      <c r="F455" s="0" t="s">
        <v>18</v>
      </c>
      <c r="G455" s="7" t="s">
        <v>3565</v>
      </c>
      <c r="H455" s="0" t="s">
        <v>3566</v>
      </c>
      <c r="I455" s="0" t="s">
        <v>124</v>
      </c>
      <c r="J455" s="0" t="s">
        <v>125</v>
      </c>
      <c r="K455" s="0" t="s">
        <v>2065</v>
      </c>
      <c r="L455" s="0" t="str">
        <f aca="false">IFERROR(VLOOKUP(K455,'Supplier list'!B:C,2,0),"")</f>
        <v>บริษัท บลู อินเตอร์เนชั่นแนล จำกัด</v>
      </c>
      <c r="M455" s="1" t="n">
        <f aca="false">FALSE()</f>
        <v>0</v>
      </c>
      <c r="N455" s="2"/>
      <c r="O455" s="2" t="n">
        <v>289</v>
      </c>
    </row>
    <row r="456" customFormat="false" ht="16.4" hidden="false" customHeight="false" outlineLevel="0" collapsed="false">
      <c r="A456" s="0" t="s">
        <v>15</v>
      </c>
      <c r="B456" s="0" t="s">
        <v>3567</v>
      </c>
      <c r="C456" s="0" t="n">
        <v>114001</v>
      </c>
      <c r="D456" s="0" t="n">
        <v>114001</v>
      </c>
      <c r="E456" s="0" t="s">
        <v>267</v>
      </c>
      <c r="F456" s="0" t="s">
        <v>18</v>
      </c>
      <c r="G456" s="7" t="s">
        <v>3568</v>
      </c>
      <c r="H456" s="0" t="s">
        <v>3569</v>
      </c>
      <c r="I456" s="0" t="s">
        <v>124</v>
      </c>
      <c r="J456" s="0" t="s">
        <v>125</v>
      </c>
      <c r="K456" s="0" t="s">
        <v>2065</v>
      </c>
      <c r="L456" s="0" t="str">
        <f aca="false">IFERROR(VLOOKUP(K456,'Supplier list'!B:C,2,0),"")</f>
        <v>บริษัท บลู อินเตอร์เนชั่นแนล จำกัด</v>
      </c>
      <c r="M456" s="1" t="n">
        <f aca="false">FALSE()</f>
        <v>0</v>
      </c>
      <c r="N456" s="2"/>
      <c r="O456" s="2" t="n">
        <v>240</v>
      </c>
    </row>
    <row r="457" customFormat="false" ht="16.4" hidden="false" customHeight="false" outlineLevel="0" collapsed="false">
      <c r="A457" s="0" t="s">
        <v>15</v>
      </c>
      <c r="B457" s="0" t="s">
        <v>3570</v>
      </c>
      <c r="C457" s="0" t="n">
        <v>114001</v>
      </c>
      <c r="D457" s="0" t="n">
        <v>114001</v>
      </c>
      <c r="E457" s="0" t="s">
        <v>1815</v>
      </c>
      <c r="F457" s="0" t="s">
        <v>18</v>
      </c>
      <c r="G457" s="7" t="s">
        <v>3571</v>
      </c>
      <c r="H457" s="0" t="s">
        <v>3572</v>
      </c>
      <c r="I457" s="0" t="s">
        <v>124</v>
      </c>
      <c r="J457" s="0" t="s">
        <v>125</v>
      </c>
      <c r="K457" s="0" t="s">
        <v>1725</v>
      </c>
      <c r="L457" s="0" t="str">
        <f aca="false">IFERROR(VLOOKUP(K457,'Supplier list'!B:C,2,0),"")</f>
        <v>บริษัท พรีซิชั่นไลน์ จำกัด</v>
      </c>
      <c r="M457" s="1" t="n">
        <f aca="false">FALSE()</f>
        <v>0</v>
      </c>
      <c r="N457" s="2"/>
      <c r="O457" s="2" t="n">
        <v>1160</v>
      </c>
    </row>
    <row r="458" customFormat="false" ht="16.4" hidden="false" customHeight="false" outlineLevel="0" collapsed="false">
      <c r="A458" s="0" t="s">
        <v>15</v>
      </c>
      <c r="B458" s="0" t="s">
        <v>3573</v>
      </c>
      <c r="C458" s="0" t="n">
        <v>114001</v>
      </c>
      <c r="D458" s="0" t="n">
        <v>114001</v>
      </c>
      <c r="E458" s="0" t="s">
        <v>961</v>
      </c>
      <c r="F458" s="0" t="s">
        <v>18</v>
      </c>
      <c r="G458" s="7" t="s">
        <v>3574</v>
      </c>
      <c r="H458" s="0" t="s">
        <v>3575</v>
      </c>
      <c r="I458" s="0" t="s">
        <v>124</v>
      </c>
      <c r="J458" s="0" t="s">
        <v>125</v>
      </c>
      <c r="K458" s="0" t="s">
        <v>89</v>
      </c>
      <c r="L458" s="0" t="str">
        <f aca="false">IFERROR(VLOOKUP(K458,'Supplier list'!B:C,2,0),"")</f>
        <v>บริษัท เฮเฟเล่ (ประเทศไทย) จำกัด</v>
      </c>
      <c r="M458" s="1" t="n">
        <f aca="false">FALSE()</f>
        <v>0</v>
      </c>
      <c r="N458" s="2"/>
      <c r="O458" s="2" t="n">
        <v>359</v>
      </c>
    </row>
    <row r="459" customFormat="false" ht="16.4" hidden="false" customHeight="false" outlineLevel="0" collapsed="false">
      <c r="A459" s="0" t="s">
        <v>15</v>
      </c>
      <c r="B459" s="0" t="s">
        <v>3576</v>
      </c>
      <c r="C459" s="0" t="n">
        <v>114001</v>
      </c>
      <c r="D459" s="0" t="n">
        <v>114001</v>
      </c>
      <c r="E459" s="0" t="s">
        <v>961</v>
      </c>
      <c r="F459" s="0" t="s">
        <v>18</v>
      </c>
      <c r="G459" s="7" t="s">
        <v>3577</v>
      </c>
      <c r="H459" s="0" t="s">
        <v>3578</v>
      </c>
      <c r="I459" s="0" t="s">
        <v>124</v>
      </c>
      <c r="J459" s="0" t="s">
        <v>125</v>
      </c>
      <c r="K459" s="0" t="s">
        <v>787</v>
      </c>
      <c r="L459" s="0" t="str">
        <f aca="false">IFERROR(VLOOKUP(K459,'Supplier list'!B:C,2,0),"")</f>
        <v>บริษัท ฟิวเจอร์เทค อินเตอร์มาร์เก็ตติ้ง จำกัด</v>
      </c>
      <c r="M459" s="1" t="n">
        <f aca="false">FALSE()</f>
        <v>0</v>
      </c>
      <c r="N459" s="2"/>
      <c r="O459" s="2" t="n">
        <v>840</v>
      </c>
    </row>
    <row r="460" customFormat="false" ht="16.4" hidden="false" customHeight="false" outlineLevel="0" collapsed="false">
      <c r="A460" s="0" t="s">
        <v>15</v>
      </c>
      <c r="B460" s="0" t="s">
        <v>3579</v>
      </c>
      <c r="C460" s="0" t="n">
        <v>114001</v>
      </c>
      <c r="D460" s="0" t="n">
        <v>114001</v>
      </c>
      <c r="E460" s="0" t="s">
        <v>1653</v>
      </c>
      <c r="F460" s="0" t="s">
        <v>18</v>
      </c>
      <c r="G460" s="7" t="s">
        <v>3580</v>
      </c>
      <c r="H460" s="0" t="s">
        <v>3581</v>
      </c>
      <c r="I460" s="0" t="s">
        <v>124</v>
      </c>
      <c r="J460" s="0" t="s">
        <v>125</v>
      </c>
      <c r="K460" s="0" t="s">
        <v>1725</v>
      </c>
      <c r="L460" s="0" t="str">
        <f aca="false">IFERROR(VLOOKUP(K460,'Supplier list'!B:C,2,0),"")</f>
        <v>บริษัท พรีซิชั่นไลน์ จำกัด</v>
      </c>
      <c r="M460" s="1" t="n">
        <f aca="false">FALSE()</f>
        <v>0</v>
      </c>
      <c r="N460" s="2"/>
      <c r="O460" s="2" t="n">
        <v>24400</v>
      </c>
    </row>
    <row r="461" customFormat="false" ht="16.4" hidden="false" customHeight="false" outlineLevel="0" collapsed="false">
      <c r="A461" s="0" t="s">
        <v>15</v>
      </c>
      <c r="B461" s="0" t="s">
        <v>3582</v>
      </c>
      <c r="C461" s="0" t="n">
        <v>114001</v>
      </c>
      <c r="D461" s="0" t="n">
        <v>114001</v>
      </c>
      <c r="E461" s="0" t="s">
        <v>1764</v>
      </c>
      <c r="F461" s="0" t="s">
        <v>18</v>
      </c>
      <c r="G461" s="7" t="s">
        <v>3583</v>
      </c>
      <c r="H461" s="0" t="s">
        <v>3584</v>
      </c>
      <c r="I461" s="0" t="s">
        <v>21</v>
      </c>
      <c r="J461" s="0" t="s">
        <v>22</v>
      </c>
      <c r="K461" s="0" t="s">
        <v>787</v>
      </c>
      <c r="L461" s="0" t="str">
        <f aca="false">IFERROR(VLOOKUP(K461,'Supplier list'!B:C,2,0),"")</f>
        <v>บริษัท ฟิวเจอร์เทค อินเตอร์มาร์เก็ตติ้ง จำกัด</v>
      </c>
      <c r="M461" s="1" t="n">
        <f aca="false">FALSE()</f>
        <v>0</v>
      </c>
      <c r="N461" s="2"/>
      <c r="O461" s="2" t="n">
        <v>63</v>
      </c>
    </row>
    <row r="462" customFormat="false" ht="16.4" hidden="false" customHeight="false" outlineLevel="0" collapsed="false">
      <c r="A462" s="0" t="s">
        <v>15</v>
      </c>
      <c r="B462" s="0" t="s">
        <v>3585</v>
      </c>
      <c r="C462" s="0" t="n">
        <v>114001</v>
      </c>
      <c r="D462" s="0" t="n">
        <v>114001</v>
      </c>
      <c r="E462" s="0" t="s">
        <v>1653</v>
      </c>
      <c r="F462" s="0" t="s">
        <v>18</v>
      </c>
      <c r="G462" s="7" t="s">
        <v>3586</v>
      </c>
      <c r="H462" s="0" t="s">
        <v>2845</v>
      </c>
      <c r="I462" s="0" t="s">
        <v>124</v>
      </c>
      <c r="J462" s="0" t="s">
        <v>125</v>
      </c>
      <c r="K462" s="0" t="s">
        <v>89</v>
      </c>
      <c r="L462" s="0" t="str">
        <f aca="false">IFERROR(VLOOKUP(K462,'Supplier list'!B:C,2,0),"")</f>
        <v>บริษัท เฮเฟเล่ (ประเทศไทย) จำกัด</v>
      </c>
      <c r="M462" s="1" t="n">
        <f aca="false">FALSE()</f>
        <v>0</v>
      </c>
      <c r="N462" s="2"/>
      <c r="O462" s="2" t="n">
        <v>6200</v>
      </c>
    </row>
    <row r="463" customFormat="false" ht="16.4" hidden="false" customHeight="false" outlineLevel="0" collapsed="false">
      <c r="A463" s="0" t="s">
        <v>15</v>
      </c>
      <c r="B463" s="0" t="s">
        <v>3587</v>
      </c>
      <c r="C463" s="0" t="n">
        <v>114001</v>
      </c>
      <c r="D463" s="0" t="n">
        <v>114001</v>
      </c>
      <c r="E463" s="0" t="s">
        <v>1653</v>
      </c>
      <c r="F463" s="0" t="s">
        <v>18</v>
      </c>
      <c r="G463" s="7" t="s">
        <v>3588</v>
      </c>
      <c r="H463" s="0" t="s">
        <v>3475</v>
      </c>
      <c r="I463" s="0" t="s">
        <v>124</v>
      </c>
      <c r="J463" s="0" t="s">
        <v>125</v>
      </c>
      <c r="K463" s="0" t="s">
        <v>89</v>
      </c>
      <c r="L463" s="0" t="str">
        <f aca="false">IFERROR(VLOOKUP(K463,'Supplier list'!B:C,2,0),"")</f>
        <v>บริษัท เฮเฟเล่ (ประเทศไทย) จำกัด</v>
      </c>
      <c r="M463" s="1" t="n">
        <f aca="false">FALSE()</f>
        <v>0</v>
      </c>
      <c r="N463" s="2"/>
      <c r="O463" s="2" t="n">
        <v>6600</v>
      </c>
    </row>
    <row r="464" customFormat="false" ht="16.4" hidden="false" customHeight="false" outlineLevel="0" collapsed="false">
      <c r="A464" s="0" t="s">
        <v>15</v>
      </c>
      <c r="B464" s="0" t="s">
        <v>3589</v>
      </c>
      <c r="C464" s="0" t="n">
        <v>114001</v>
      </c>
      <c r="D464" s="0" t="n">
        <v>114001</v>
      </c>
      <c r="E464" s="0" t="s">
        <v>1653</v>
      </c>
      <c r="F464" s="0" t="s">
        <v>18</v>
      </c>
      <c r="G464" s="7" t="s">
        <v>3590</v>
      </c>
      <c r="H464" s="0" t="s">
        <v>2997</v>
      </c>
      <c r="I464" s="0" t="s">
        <v>124</v>
      </c>
      <c r="J464" s="0" t="s">
        <v>125</v>
      </c>
      <c r="K464" s="0" t="s">
        <v>89</v>
      </c>
      <c r="L464" s="0" t="str">
        <f aca="false">IFERROR(VLOOKUP(K464,'Supplier list'!B:C,2,0),"")</f>
        <v>บริษัท เฮเฟเล่ (ประเทศไทย) จำกัด</v>
      </c>
      <c r="M464" s="1" t="n">
        <f aca="false">FALSE()</f>
        <v>0</v>
      </c>
      <c r="N464" s="2"/>
      <c r="O464" s="2" t="n">
        <v>6900</v>
      </c>
    </row>
    <row r="465" customFormat="false" ht="16.4" hidden="false" customHeight="false" outlineLevel="0" collapsed="false">
      <c r="A465" s="0" t="s">
        <v>15</v>
      </c>
      <c r="B465" s="0" t="s">
        <v>3591</v>
      </c>
      <c r="C465" s="0" t="n">
        <v>114001</v>
      </c>
      <c r="D465" s="0" t="n">
        <v>114001</v>
      </c>
      <c r="E465" s="0" t="s">
        <v>1653</v>
      </c>
      <c r="F465" s="0" t="s">
        <v>18</v>
      </c>
      <c r="G465" s="7" t="s">
        <v>3592</v>
      </c>
      <c r="H465" s="0" t="s">
        <v>2842</v>
      </c>
      <c r="I465" s="0" t="s">
        <v>124</v>
      </c>
      <c r="J465" s="0" t="s">
        <v>125</v>
      </c>
      <c r="K465" s="0" t="s">
        <v>89</v>
      </c>
      <c r="L465" s="0" t="str">
        <f aca="false">IFERROR(VLOOKUP(K465,'Supplier list'!B:C,2,0),"")</f>
        <v>บริษัท เฮเฟเล่ (ประเทศไทย) จำกัด</v>
      </c>
      <c r="M465" s="1" t="n">
        <f aca="false">FALSE()</f>
        <v>0</v>
      </c>
      <c r="N465" s="2"/>
      <c r="O465" s="2" t="n">
        <v>3000</v>
      </c>
    </row>
    <row r="466" customFormat="false" ht="16.4" hidden="false" customHeight="false" outlineLevel="0" collapsed="false">
      <c r="A466" s="0" t="s">
        <v>15</v>
      </c>
      <c r="B466" s="0" t="s">
        <v>3593</v>
      </c>
      <c r="C466" s="0" t="n">
        <v>114001</v>
      </c>
      <c r="D466" s="0" t="n">
        <v>114001</v>
      </c>
      <c r="E466" s="0" t="s">
        <v>1653</v>
      </c>
      <c r="F466" s="0" t="s">
        <v>18</v>
      </c>
      <c r="G466" s="7" t="s">
        <v>3594</v>
      </c>
      <c r="H466" s="0" t="s">
        <v>3595</v>
      </c>
      <c r="I466" s="0" t="s">
        <v>124</v>
      </c>
      <c r="J466" s="0" t="s">
        <v>125</v>
      </c>
      <c r="K466" s="0" t="s">
        <v>89</v>
      </c>
      <c r="L466" s="0" t="str">
        <f aca="false">IFERROR(VLOOKUP(K466,'Supplier list'!B:C,2,0),"")</f>
        <v>บริษัท เฮเฟเล่ (ประเทศไทย) จำกัด</v>
      </c>
      <c r="M466" s="1" t="n">
        <f aca="false">TRUE()</f>
        <v>1</v>
      </c>
      <c r="N466" s="2" t="n">
        <v>5500</v>
      </c>
      <c r="O466" s="2" t="n">
        <v>2700</v>
      </c>
    </row>
    <row r="467" customFormat="false" ht="16.4" hidden="false" customHeight="false" outlineLevel="0" collapsed="false">
      <c r="A467" s="0" t="s">
        <v>15</v>
      </c>
      <c r="B467" s="0" t="s">
        <v>3596</v>
      </c>
      <c r="C467" s="0" t="n">
        <v>114001</v>
      </c>
      <c r="D467" s="0" t="n">
        <v>114001</v>
      </c>
      <c r="E467" s="0" t="s">
        <v>1653</v>
      </c>
      <c r="F467" s="0" t="s">
        <v>18</v>
      </c>
      <c r="G467" s="7" t="s">
        <v>3597</v>
      </c>
      <c r="H467" s="0" t="s">
        <v>3598</v>
      </c>
      <c r="I467" s="0" t="s">
        <v>124</v>
      </c>
      <c r="J467" s="0" t="s">
        <v>125</v>
      </c>
      <c r="K467" s="0" t="s">
        <v>89</v>
      </c>
      <c r="L467" s="0" t="str">
        <f aca="false">IFERROR(VLOOKUP(K467,'Supplier list'!B:C,2,0),"")</f>
        <v>บริษัท เฮเฟเล่ (ประเทศไทย) จำกัด</v>
      </c>
      <c r="M467" s="1" t="n">
        <f aca="false">FALSE()</f>
        <v>0</v>
      </c>
      <c r="N467" s="2"/>
      <c r="O467" s="2" t="n">
        <v>2500</v>
      </c>
    </row>
    <row r="468" customFormat="false" ht="16.4" hidden="false" customHeight="false" outlineLevel="0" collapsed="false">
      <c r="A468" s="0" t="s">
        <v>15</v>
      </c>
      <c r="B468" s="0" t="s">
        <v>3599</v>
      </c>
      <c r="C468" s="0" t="n">
        <v>114001</v>
      </c>
      <c r="D468" s="0" t="n">
        <v>114001</v>
      </c>
      <c r="E468" s="0" t="s">
        <v>961</v>
      </c>
      <c r="F468" s="0" t="s">
        <v>18</v>
      </c>
      <c r="G468" s="7" t="s">
        <v>3600</v>
      </c>
      <c r="H468" s="0" t="s">
        <v>3601</v>
      </c>
      <c r="I468" s="0" t="s">
        <v>21</v>
      </c>
      <c r="J468" s="0" t="s">
        <v>22</v>
      </c>
      <c r="K468" s="0" t="s">
        <v>89</v>
      </c>
      <c r="L468" s="0" t="str">
        <f aca="false">IFERROR(VLOOKUP(K468,'Supplier list'!B:C,2,0),"")</f>
        <v>บริษัท เฮเฟเล่ (ประเทศไทย) จำกัด</v>
      </c>
      <c r="M468" s="1" t="n">
        <f aca="false">FALSE()</f>
        <v>0</v>
      </c>
      <c r="N468" s="2"/>
      <c r="O468" s="2" t="n">
        <v>420</v>
      </c>
    </row>
    <row r="469" customFormat="false" ht="16.4" hidden="false" customHeight="false" outlineLevel="0" collapsed="false">
      <c r="A469" s="0" t="s">
        <v>15</v>
      </c>
      <c r="B469" s="0" t="s">
        <v>3602</v>
      </c>
      <c r="C469" s="0" t="n">
        <v>114001</v>
      </c>
      <c r="D469" s="0" t="n">
        <v>114001</v>
      </c>
      <c r="E469" s="0" t="s">
        <v>2596</v>
      </c>
      <c r="F469" s="0" t="s">
        <v>18</v>
      </c>
      <c r="G469" s="7" t="s">
        <v>3603</v>
      </c>
      <c r="H469" s="0" t="s">
        <v>3604</v>
      </c>
      <c r="I469" s="0" t="s">
        <v>21</v>
      </c>
      <c r="J469" s="0" t="s">
        <v>22</v>
      </c>
      <c r="K469" s="0" t="s">
        <v>89</v>
      </c>
      <c r="L469" s="0" t="str">
        <f aca="false">IFERROR(VLOOKUP(K469,'Supplier list'!B:C,2,0),"")</f>
        <v>บริษัท เฮเฟเล่ (ประเทศไทย) จำกัด</v>
      </c>
      <c r="M469" s="1" t="n">
        <f aca="false">FALSE()</f>
        <v>0</v>
      </c>
      <c r="N469" s="2"/>
      <c r="O469" s="2" t="n">
        <v>504</v>
      </c>
    </row>
    <row r="470" customFormat="false" ht="16.4" hidden="false" customHeight="false" outlineLevel="0" collapsed="false">
      <c r="A470" s="0" t="s">
        <v>15</v>
      </c>
      <c r="B470" s="0" t="s">
        <v>3605</v>
      </c>
      <c r="C470" s="0" t="n">
        <v>114001</v>
      </c>
      <c r="D470" s="0" t="n">
        <v>114001</v>
      </c>
      <c r="E470" s="0" t="s">
        <v>2596</v>
      </c>
      <c r="F470" s="0" t="s">
        <v>18</v>
      </c>
      <c r="G470" s="7" t="s">
        <v>3606</v>
      </c>
      <c r="H470" s="0" t="s">
        <v>3607</v>
      </c>
      <c r="I470" s="0" t="s">
        <v>21</v>
      </c>
      <c r="J470" s="0" t="s">
        <v>22</v>
      </c>
      <c r="K470" s="0" t="s">
        <v>89</v>
      </c>
      <c r="L470" s="0" t="str">
        <f aca="false">IFERROR(VLOOKUP(K470,'Supplier list'!B:C,2,0),"")</f>
        <v>บริษัท เฮเฟเล่ (ประเทศไทย) จำกัด</v>
      </c>
      <c r="M470" s="1" t="n">
        <f aca="false">FALSE()</f>
        <v>0</v>
      </c>
      <c r="N470" s="2"/>
      <c r="O470" s="2" t="n">
        <v>70</v>
      </c>
    </row>
    <row r="471" customFormat="false" ht="16.4" hidden="false" customHeight="false" outlineLevel="0" collapsed="false">
      <c r="A471" s="0" t="s">
        <v>15</v>
      </c>
      <c r="B471" s="0" t="s">
        <v>3608</v>
      </c>
      <c r="C471" s="0" t="n">
        <v>114001</v>
      </c>
      <c r="D471" s="0" t="n">
        <v>114001</v>
      </c>
      <c r="E471" s="0" t="s">
        <v>1605</v>
      </c>
      <c r="F471" s="0" t="s">
        <v>18</v>
      </c>
      <c r="G471" s="7" t="s">
        <v>3609</v>
      </c>
      <c r="H471" s="0" t="s">
        <v>3610</v>
      </c>
      <c r="I471" s="0" t="s">
        <v>21</v>
      </c>
      <c r="J471" s="0" t="s">
        <v>22</v>
      </c>
      <c r="K471" s="0" t="s">
        <v>56</v>
      </c>
      <c r="L471" s="0" t="str">
        <f aca="false">IFERROR(VLOOKUP(K471,'Supplier list'!B:C,2,0),"")</f>
        <v>CO.,LTD QINGDAO NEW LIBERTY INT'L TRADING CO.LTD.</v>
      </c>
      <c r="M471" s="1" t="n">
        <f aca="false">FALSE()</f>
        <v>0</v>
      </c>
      <c r="N471" s="2"/>
      <c r="O471" s="2" t="n">
        <v>7</v>
      </c>
    </row>
    <row r="472" customFormat="false" ht="16.4" hidden="false" customHeight="false" outlineLevel="0" collapsed="false">
      <c r="A472" s="0" t="s">
        <v>15</v>
      </c>
      <c r="B472" s="0" t="s">
        <v>3611</v>
      </c>
      <c r="C472" s="0" t="n">
        <v>114001</v>
      </c>
      <c r="D472" s="0" t="n">
        <v>114001</v>
      </c>
      <c r="E472" s="0" t="s">
        <v>1605</v>
      </c>
      <c r="F472" s="0" t="s">
        <v>18</v>
      </c>
      <c r="G472" s="7" t="s">
        <v>3612</v>
      </c>
      <c r="H472" s="0" t="s">
        <v>3613</v>
      </c>
      <c r="I472" s="0" t="s">
        <v>21</v>
      </c>
      <c r="J472" s="0" t="s">
        <v>22</v>
      </c>
      <c r="L472" s="0" t="str">
        <f aca="false">IFERROR(VLOOKUP(K472,'Supplier list'!B:C,2,0),"")</f>
        <v/>
      </c>
      <c r="M472" s="1" t="n">
        <f aca="false">FALSE()</f>
        <v>0</v>
      </c>
      <c r="N472" s="2"/>
      <c r="O472" s="2" t="n">
        <v>0</v>
      </c>
    </row>
    <row r="473" customFormat="false" ht="16.4" hidden="false" customHeight="false" outlineLevel="0" collapsed="false">
      <c r="A473" s="0" t="s">
        <v>15</v>
      </c>
      <c r="B473" s="0" t="s">
        <v>3614</v>
      </c>
      <c r="C473" s="0" t="n">
        <v>114001</v>
      </c>
      <c r="D473" s="0" t="n">
        <v>114001</v>
      </c>
      <c r="E473" s="0" t="s">
        <v>1605</v>
      </c>
      <c r="F473" s="0" t="s">
        <v>18</v>
      </c>
      <c r="G473" s="7" t="s">
        <v>3615</v>
      </c>
      <c r="H473" s="0" t="s">
        <v>3616</v>
      </c>
      <c r="I473" s="0" t="s">
        <v>21</v>
      </c>
      <c r="J473" s="0" t="s">
        <v>22</v>
      </c>
      <c r="L473" s="0" t="str">
        <f aca="false">IFERROR(VLOOKUP(K473,'Supplier list'!B:C,2,0),"")</f>
        <v/>
      </c>
      <c r="M473" s="1" t="n">
        <f aca="false">FALSE()</f>
        <v>0</v>
      </c>
      <c r="N473" s="2"/>
      <c r="O473" s="2" t="n">
        <v>0</v>
      </c>
    </row>
    <row r="474" customFormat="false" ht="16.4" hidden="false" customHeight="false" outlineLevel="0" collapsed="false">
      <c r="A474" s="0" t="s">
        <v>15</v>
      </c>
      <c r="B474" s="0" t="s">
        <v>3617</v>
      </c>
      <c r="C474" s="0" t="n">
        <v>114001</v>
      </c>
      <c r="D474" s="0" t="n">
        <v>114001</v>
      </c>
      <c r="E474" s="0" t="s">
        <v>1605</v>
      </c>
      <c r="F474" s="0" t="s">
        <v>18</v>
      </c>
      <c r="G474" s="7" t="s">
        <v>3618</v>
      </c>
      <c r="H474" s="0" t="s">
        <v>3619</v>
      </c>
      <c r="I474" s="0" t="s">
        <v>21</v>
      </c>
      <c r="J474" s="0" t="s">
        <v>22</v>
      </c>
      <c r="L474" s="0" t="str">
        <f aca="false">IFERROR(VLOOKUP(K474,'Supplier list'!B:C,2,0),"")</f>
        <v/>
      </c>
      <c r="M474" s="1" t="n">
        <f aca="false">FALSE()</f>
        <v>0</v>
      </c>
      <c r="N474" s="2"/>
      <c r="O474" s="2" t="n">
        <v>0</v>
      </c>
    </row>
    <row r="475" customFormat="false" ht="16.4" hidden="false" customHeight="false" outlineLevel="0" collapsed="false">
      <c r="A475" s="0" t="s">
        <v>15</v>
      </c>
      <c r="B475" s="0" t="s">
        <v>3620</v>
      </c>
      <c r="C475" s="0" t="n">
        <v>114001</v>
      </c>
      <c r="D475" s="0" t="n">
        <v>114001</v>
      </c>
      <c r="E475" s="0" t="s">
        <v>1605</v>
      </c>
      <c r="F475" s="0" t="s">
        <v>18</v>
      </c>
      <c r="G475" s="7" t="s">
        <v>3621</v>
      </c>
      <c r="H475" s="0" t="s">
        <v>3622</v>
      </c>
      <c r="I475" s="0" t="s">
        <v>21</v>
      </c>
      <c r="J475" s="0" t="s">
        <v>22</v>
      </c>
      <c r="L475" s="0" t="str">
        <f aca="false">IFERROR(VLOOKUP(K475,'Supplier list'!B:C,2,0),"")</f>
        <v/>
      </c>
      <c r="M475" s="1" t="n">
        <f aca="false">FALSE()</f>
        <v>0</v>
      </c>
      <c r="N475" s="2"/>
      <c r="O475" s="2" t="n">
        <v>0</v>
      </c>
    </row>
    <row r="476" customFormat="false" ht="16.4" hidden="false" customHeight="false" outlineLevel="0" collapsed="false">
      <c r="A476" s="0" t="s">
        <v>15</v>
      </c>
      <c r="B476" s="0" t="s">
        <v>3623</v>
      </c>
      <c r="C476" s="0" t="n">
        <v>114001</v>
      </c>
      <c r="D476" s="0" t="n">
        <v>114001</v>
      </c>
      <c r="E476" s="0" t="s">
        <v>961</v>
      </c>
      <c r="F476" s="0" t="s">
        <v>18</v>
      </c>
      <c r="G476" s="7" t="s">
        <v>3624</v>
      </c>
      <c r="H476" s="0" t="s">
        <v>3625</v>
      </c>
      <c r="I476" s="0" t="s">
        <v>124</v>
      </c>
      <c r="J476" s="0" t="s">
        <v>125</v>
      </c>
      <c r="K476" s="0" t="s">
        <v>89</v>
      </c>
      <c r="L476" s="0" t="str">
        <f aca="false">IFERROR(VLOOKUP(K476,'Supplier list'!B:C,2,0),"")</f>
        <v>บริษัท เฮเฟเล่ (ประเทศไทย) จำกัด</v>
      </c>
      <c r="M476" s="1" t="n">
        <f aca="false">FALSE()</f>
        <v>0</v>
      </c>
      <c r="N476" s="2"/>
      <c r="O476" s="2" t="n">
        <v>1364</v>
      </c>
    </row>
    <row r="477" customFormat="false" ht="16.4" hidden="false" customHeight="false" outlineLevel="0" collapsed="false">
      <c r="A477" s="0" t="s">
        <v>15</v>
      </c>
      <c r="B477" s="0" t="s">
        <v>3626</v>
      </c>
      <c r="C477" s="0" t="n">
        <v>114001</v>
      </c>
      <c r="D477" s="0" t="n">
        <v>114001</v>
      </c>
      <c r="E477" s="0" t="s">
        <v>3627</v>
      </c>
      <c r="F477" s="0" t="s">
        <v>18</v>
      </c>
      <c r="G477" s="7" t="s">
        <v>3628</v>
      </c>
      <c r="H477" s="0" t="s">
        <v>3628</v>
      </c>
      <c r="I477" s="0" t="s">
        <v>21</v>
      </c>
      <c r="J477" s="0" t="s">
        <v>22</v>
      </c>
      <c r="K477" s="0" t="s">
        <v>3629</v>
      </c>
      <c r="L477" s="0" t="str">
        <f aca="false">IFERROR(VLOOKUP(K477,'Supplier list'!B:C,2,0),"")</f>
        <v>บริษัท เตก้า (ประเทศไทย) จำกัด</v>
      </c>
      <c r="M477" s="1" t="n">
        <f aca="false">TRUE()</f>
        <v>1</v>
      </c>
      <c r="N477" s="2"/>
      <c r="O477" s="2" t="n">
        <v>11000</v>
      </c>
    </row>
    <row r="478" customFormat="false" ht="16.4" hidden="false" customHeight="false" outlineLevel="0" collapsed="false">
      <c r="A478" s="0" t="s">
        <v>15</v>
      </c>
      <c r="B478" s="0" t="s">
        <v>3630</v>
      </c>
      <c r="C478" s="0" t="n">
        <v>114001</v>
      </c>
      <c r="D478" s="0" t="n">
        <v>114001</v>
      </c>
      <c r="E478" s="0" t="s">
        <v>3627</v>
      </c>
      <c r="F478" s="0" t="s">
        <v>18</v>
      </c>
      <c r="G478" s="7" t="s">
        <v>3631</v>
      </c>
      <c r="H478" s="0" t="s">
        <v>3631</v>
      </c>
      <c r="I478" s="0" t="s">
        <v>21</v>
      </c>
      <c r="J478" s="0" t="s">
        <v>22</v>
      </c>
      <c r="K478" s="0" t="s">
        <v>3629</v>
      </c>
      <c r="L478" s="0" t="str">
        <f aca="false">IFERROR(VLOOKUP(K478,'Supplier list'!B:C,2,0),"")</f>
        <v>บริษัท เตก้า (ประเทศไทย) จำกัด</v>
      </c>
      <c r="M478" s="1" t="n">
        <f aca="false">TRUE()</f>
        <v>1</v>
      </c>
      <c r="N478" s="2"/>
      <c r="O478" s="2" t="n">
        <v>14600</v>
      </c>
    </row>
    <row r="479" customFormat="false" ht="16.4" hidden="false" customHeight="false" outlineLevel="0" collapsed="false">
      <c r="A479" s="0" t="s">
        <v>15</v>
      </c>
      <c r="B479" s="0" t="s">
        <v>3632</v>
      </c>
      <c r="C479" s="0" t="n">
        <v>114001</v>
      </c>
      <c r="D479" s="0" t="n">
        <v>114001</v>
      </c>
      <c r="E479" s="0" t="s">
        <v>3627</v>
      </c>
      <c r="F479" s="0" t="s">
        <v>18</v>
      </c>
      <c r="G479" s="7" t="s">
        <v>3633</v>
      </c>
      <c r="H479" s="0" t="s">
        <v>3633</v>
      </c>
      <c r="I479" s="0" t="s">
        <v>21</v>
      </c>
      <c r="J479" s="0" t="s">
        <v>22</v>
      </c>
      <c r="K479" s="0" t="s">
        <v>3629</v>
      </c>
      <c r="L479" s="0" t="str">
        <f aca="false">IFERROR(VLOOKUP(K479,'Supplier list'!B:C,2,0),"")</f>
        <v>บริษัท เตก้า (ประเทศไทย) จำกัด</v>
      </c>
      <c r="M479" s="1" t="n">
        <f aca="false">TRUE()</f>
        <v>1</v>
      </c>
      <c r="N479" s="2"/>
      <c r="O479" s="2" t="n">
        <v>14925</v>
      </c>
    </row>
    <row r="480" customFormat="false" ht="16.4" hidden="false" customHeight="false" outlineLevel="0" collapsed="false">
      <c r="A480" s="0" t="s">
        <v>15</v>
      </c>
      <c r="B480" s="0" t="s">
        <v>3634</v>
      </c>
      <c r="C480" s="0" t="n">
        <v>114001</v>
      </c>
      <c r="D480" s="0" t="n">
        <v>114001</v>
      </c>
      <c r="E480" s="0" t="s">
        <v>3627</v>
      </c>
      <c r="F480" s="0" t="s">
        <v>18</v>
      </c>
      <c r="G480" s="7" t="s">
        <v>3635</v>
      </c>
      <c r="H480" s="0" t="s">
        <v>3635</v>
      </c>
      <c r="I480" s="0" t="s">
        <v>21</v>
      </c>
      <c r="J480" s="0" t="s">
        <v>22</v>
      </c>
      <c r="K480" s="0" t="s">
        <v>3629</v>
      </c>
      <c r="L480" s="0" t="str">
        <f aca="false">IFERROR(VLOOKUP(K480,'Supplier list'!B:C,2,0),"")</f>
        <v>บริษัท เตก้า (ประเทศไทย) จำกัด</v>
      </c>
      <c r="M480" s="1" t="n">
        <f aca="false">TRUE()</f>
        <v>1</v>
      </c>
      <c r="N480" s="2"/>
      <c r="O480" s="2" t="n">
        <v>19000</v>
      </c>
    </row>
    <row r="481" customFormat="false" ht="16.4" hidden="false" customHeight="false" outlineLevel="0" collapsed="false">
      <c r="A481" s="0" t="s">
        <v>15</v>
      </c>
      <c r="B481" s="0" t="s">
        <v>3636</v>
      </c>
      <c r="C481" s="0" t="n">
        <v>114001</v>
      </c>
      <c r="D481" s="0" t="n">
        <v>114001</v>
      </c>
      <c r="E481" s="0" t="s">
        <v>3627</v>
      </c>
      <c r="F481" s="0" t="s">
        <v>18</v>
      </c>
      <c r="G481" s="7" t="s">
        <v>3637</v>
      </c>
      <c r="H481" s="0" t="s">
        <v>3637</v>
      </c>
      <c r="I481" s="0" t="s">
        <v>21</v>
      </c>
      <c r="J481" s="0" t="s">
        <v>22</v>
      </c>
      <c r="K481" s="0" t="s">
        <v>3629</v>
      </c>
      <c r="L481" s="0" t="str">
        <f aca="false">IFERROR(VLOOKUP(K481,'Supplier list'!B:C,2,0),"")</f>
        <v>บริษัท เตก้า (ประเทศไทย) จำกัด</v>
      </c>
      <c r="M481" s="1" t="n">
        <f aca="false">TRUE()</f>
        <v>1</v>
      </c>
      <c r="N481" s="2"/>
      <c r="O481" s="2" t="n">
        <v>33600</v>
      </c>
    </row>
    <row r="482" customFormat="false" ht="16.4" hidden="false" customHeight="false" outlineLevel="0" collapsed="false">
      <c r="A482" s="0" t="s">
        <v>15</v>
      </c>
      <c r="B482" s="0" t="s">
        <v>3638</v>
      </c>
      <c r="C482" s="0" t="n">
        <v>114001</v>
      </c>
      <c r="D482" s="0" t="n">
        <v>114001</v>
      </c>
      <c r="E482" s="0" t="s">
        <v>3627</v>
      </c>
      <c r="F482" s="0" t="s">
        <v>18</v>
      </c>
      <c r="G482" s="7" t="s">
        <v>3639</v>
      </c>
      <c r="H482" s="0" t="s">
        <v>3639</v>
      </c>
      <c r="I482" s="0" t="s">
        <v>21</v>
      </c>
      <c r="J482" s="0" t="s">
        <v>22</v>
      </c>
      <c r="K482" s="0" t="s">
        <v>3629</v>
      </c>
      <c r="L482" s="0" t="str">
        <f aca="false">IFERROR(VLOOKUP(K482,'Supplier list'!B:C,2,0),"")</f>
        <v>บริษัท เตก้า (ประเทศไทย) จำกัด</v>
      </c>
      <c r="M482" s="1" t="n">
        <f aca="false">TRUE()</f>
        <v>1</v>
      </c>
      <c r="N482" s="2"/>
      <c r="O482" s="2" t="n">
        <v>24675</v>
      </c>
    </row>
    <row r="483" customFormat="false" ht="16.4" hidden="false" customHeight="false" outlineLevel="0" collapsed="false">
      <c r="A483" s="0" t="s">
        <v>15</v>
      </c>
      <c r="B483" s="0" t="s">
        <v>3640</v>
      </c>
      <c r="C483" s="0" t="n">
        <v>114001</v>
      </c>
      <c r="D483" s="0" t="n">
        <v>114001</v>
      </c>
      <c r="E483" s="0" t="s">
        <v>1328</v>
      </c>
      <c r="F483" s="0" t="s">
        <v>18</v>
      </c>
      <c r="G483" s="7" t="s">
        <v>3641</v>
      </c>
      <c r="H483" s="0" t="s">
        <v>3641</v>
      </c>
      <c r="I483" s="0" t="s">
        <v>21</v>
      </c>
      <c r="J483" s="0" t="s">
        <v>22</v>
      </c>
      <c r="K483" s="0" t="s">
        <v>3629</v>
      </c>
      <c r="L483" s="0" t="str">
        <f aca="false">IFERROR(VLOOKUP(K483,'Supplier list'!B:C,2,0),"")</f>
        <v>บริษัท เตก้า (ประเทศไทย) จำกัด</v>
      </c>
      <c r="M483" s="1" t="n">
        <f aca="false">FALSE()</f>
        <v>0</v>
      </c>
      <c r="N483" s="2"/>
      <c r="O483" s="2" t="n">
        <v>18000</v>
      </c>
    </row>
    <row r="484" customFormat="false" ht="16.4" hidden="false" customHeight="false" outlineLevel="0" collapsed="false">
      <c r="A484" s="0" t="s">
        <v>15</v>
      </c>
      <c r="B484" s="0" t="s">
        <v>3642</v>
      </c>
      <c r="C484" s="0" t="n">
        <v>114001</v>
      </c>
      <c r="D484" s="0" t="n">
        <v>114001</v>
      </c>
      <c r="E484" s="0" t="s">
        <v>874</v>
      </c>
      <c r="F484" s="0" t="s">
        <v>18</v>
      </c>
      <c r="G484" s="7" t="s">
        <v>3643</v>
      </c>
      <c r="H484" s="0" t="s">
        <v>3643</v>
      </c>
      <c r="I484" s="0" t="s">
        <v>21</v>
      </c>
      <c r="J484" s="0" t="s">
        <v>22</v>
      </c>
      <c r="K484" s="0" t="s">
        <v>3629</v>
      </c>
      <c r="L484" s="0" t="str">
        <f aca="false">IFERROR(VLOOKUP(K484,'Supplier list'!B:C,2,0),"")</f>
        <v>บริษัท เตก้า (ประเทศไทย) จำกัด</v>
      </c>
      <c r="M484" s="1" t="n">
        <f aca="false">FALSE()</f>
        <v>0</v>
      </c>
      <c r="N484" s="2"/>
      <c r="O484" s="2" t="n">
        <v>3600</v>
      </c>
    </row>
    <row r="485" customFormat="false" ht="16.4" hidden="false" customHeight="false" outlineLevel="0" collapsed="false">
      <c r="A485" s="0" t="s">
        <v>15</v>
      </c>
      <c r="B485" s="0" t="s">
        <v>3644</v>
      </c>
      <c r="C485" s="0" t="n">
        <v>114001</v>
      </c>
      <c r="D485" s="0" t="n">
        <v>114001</v>
      </c>
      <c r="E485" s="0" t="s">
        <v>1328</v>
      </c>
      <c r="F485" s="0" t="s">
        <v>18</v>
      </c>
      <c r="G485" s="7" t="s">
        <v>3645</v>
      </c>
      <c r="H485" s="0" t="s">
        <v>3646</v>
      </c>
      <c r="I485" s="0" t="s">
        <v>21</v>
      </c>
      <c r="J485" s="0" t="s">
        <v>22</v>
      </c>
      <c r="K485" s="0" t="s">
        <v>89</v>
      </c>
      <c r="L485" s="0" t="str">
        <f aca="false">IFERROR(VLOOKUP(K485,'Supplier list'!B:C,2,0),"")</f>
        <v>บริษัท เฮเฟเล่ (ประเทศไทย) จำกัด</v>
      </c>
      <c r="M485" s="1" t="n">
        <f aca="false">FALSE()</f>
        <v>0</v>
      </c>
      <c r="N485" s="2"/>
      <c r="O485" s="2" t="n">
        <v>6400</v>
      </c>
    </row>
    <row r="486" customFormat="false" ht="16.4" hidden="false" customHeight="false" outlineLevel="0" collapsed="false">
      <c r="A486" s="0" t="s">
        <v>15</v>
      </c>
      <c r="B486" s="0" t="s">
        <v>3647</v>
      </c>
      <c r="C486" s="0" t="n">
        <v>114001</v>
      </c>
      <c r="D486" s="0" t="n">
        <v>114001</v>
      </c>
      <c r="E486" s="0" t="s">
        <v>1653</v>
      </c>
      <c r="F486" s="0" t="s">
        <v>18</v>
      </c>
      <c r="G486" s="7" t="s">
        <v>3648</v>
      </c>
      <c r="H486" s="0" t="s">
        <v>3649</v>
      </c>
      <c r="I486" s="0" t="s">
        <v>124</v>
      </c>
      <c r="J486" s="0" t="s">
        <v>125</v>
      </c>
      <c r="K486" s="0" t="s">
        <v>89</v>
      </c>
      <c r="L486" s="0" t="str">
        <f aca="false">IFERROR(VLOOKUP(K486,'Supplier list'!B:C,2,0),"")</f>
        <v>บริษัท เฮเฟเล่ (ประเทศไทย) จำกัด</v>
      </c>
      <c r="M486" s="1" t="n">
        <f aca="false">FALSE()</f>
        <v>0</v>
      </c>
      <c r="N486" s="2"/>
      <c r="O486" s="2" t="n">
        <v>2300</v>
      </c>
    </row>
    <row r="487" customFormat="false" ht="16.4" hidden="false" customHeight="false" outlineLevel="0" collapsed="false">
      <c r="A487" s="0" t="s">
        <v>15</v>
      </c>
      <c r="B487" s="0" t="s">
        <v>3650</v>
      </c>
      <c r="C487" s="0" t="n">
        <v>114001</v>
      </c>
      <c r="D487" s="0" t="n">
        <v>114001</v>
      </c>
      <c r="E487" s="0" t="s">
        <v>1764</v>
      </c>
      <c r="F487" s="0" t="s">
        <v>18</v>
      </c>
      <c r="G487" s="7" t="s">
        <v>3651</v>
      </c>
      <c r="H487" s="0" t="s">
        <v>3652</v>
      </c>
      <c r="I487" s="0" t="s">
        <v>21</v>
      </c>
      <c r="J487" s="0" t="s">
        <v>22</v>
      </c>
      <c r="K487" s="0" t="s">
        <v>787</v>
      </c>
      <c r="L487" s="0" t="str">
        <f aca="false">IFERROR(VLOOKUP(K487,'Supplier list'!B:C,2,0),"")</f>
        <v>บริษัท ฟิวเจอร์เทค อินเตอร์มาร์เก็ตติ้ง จำกัด</v>
      </c>
      <c r="M487" s="1" t="n">
        <f aca="false">TRUE()</f>
        <v>1</v>
      </c>
      <c r="N487" s="2" t="n">
        <v>590</v>
      </c>
      <c r="O487" s="2" t="n">
        <v>65</v>
      </c>
    </row>
    <row r="488" customFormat="false" ht="16.4" hidden="false" customHeight="false" outlineLevel="0" collapsed="false">
      <c r="A488" s="0" t="s">
        <v>15</v>
      </c>
      <c r="B488" s="0" t="s">
        <v>3653</v>
      </c>
      <c r="C488" s="0" t="n">
        <v>114001</v>
      </c>
      <c r="D488" s="0" t="n">
        <v>114001</v>
      </c>
      <c r="E488" s="0" t="s">
        <v>1727</v>
      </c>
      <c r="F488" s="0" t="s">
        <v>18</v>
      </c>
      <c r="G488" s="7" t="s">
        <v>3654</v>
      </c>
      <c r="H488" s="0" t="s">
        <v>3655</v>
      </c>
      <c r="I488" s="0" t="s">
        <v>21</v>
      </c>
      <c r="J488" s="0" t="s">
        <v>22</v>
      </c>
      <c r="K488" s="0" t="s">
        <v>787</v>
      </c>
      <c r="L488" s="0" t="str">
        <f aca="false">IFERROR(VLOOKUP(K488,'Supplier list'!B:C,2,0),"")</f>
        <v>บริษัท ฟิวเจอร์เทค อินเตอร์มาร์เก็ตติ้ง จำกัด</v>
      </c>
      <c r="M488" s="1" t="n">
        <f aca="false">FALSE()</f>
        <v>0</v>
      </c>
      <c r="N488" s="2"/>
      <c r="O488" s="2" t="n">
        <v>245</v>
      </c>
    </row>
    <row r="489" customFormat="false" ht="16.4" hidden="false" customHeight="false" outlineLevel="0" collapsed="false">
      <c r="A489" s="0" t="s">
        <v>15</v>
      </c>
      <c r="B489" s="0" t="s">
        <v>3656</v>
      </c>
      <c r="C489" s="0" t="n">
        <v>114001</v>
      </c>
      <c r="D489" s="0" t="n">
        <v>114001</v>
      </c>
      <c r="E489" s="0" t="s">
        <v>1634</v>
      </c>
      <c r="F489" s="0" t="s">
        <v>18</v>
      </c>
      <c r="G489" s="7" t="s">
        <v>3657</v>
      </c>
      <c r="H489" s="0" t="s">
        <v>3658</v>
      </c>
      <c r="I489" s="0" t="s">
        <v>21</v>
      </c>
      <c r="J489" s="0" t="s">
        <v>22</v>
      </c>
      <c r="K489" s="0" t="s">
        <v>89</v>
      </c>
      <c r="L489" s="0" t="str">
        <f aca="false">IFERROR(VLOOKUP(K489,'Supplier list'!B:C,2,0),"")</f>
        <v>บริษัท เฮเฟเล่ (ประเทศไทย) จำกัด</v>
      </c>
      <c r="M489" s="1" t="n">
        <f aca="false">FALSE()</f>
        <v>0</v>
      </c>
      <c r="N489" s="2"/>
      <c r="O489" s="2" t="n">
        <v>1214</v>
      </c>
    </row>
    <row r="490" customFormat="false" ht="16.4" hidden="false" customHeight="false" outlineLevel="0" collapsed="false">
      <c r="A490" s="0" t="s">
        <v>15</v>
      </c>
      <c r="B490" s="0" t="s">
        <v>3659</v>
      </c>
      <c r="C490" s="0" t="n">
        <v>114001</v>
      </c>
      <c r="D490" s="0" t="n">
        <v>114001</v>
      </c>
      <c r="E490" s="0" t="s">
        <v>1815</v>
      </c>
      <c r="F490" s="0" t="s">
        <v>18</v>
      </c>
      <c r="G490" s="7" t="s">
        <v>3660</v>
      </c>
      <c r="H490" s="0" t="s">
        <v>3661</v>
      </c>
      <c r="I490" s="0" t="s">
        <v>396</v>
      </c>
      <c r="J490" s="0" t="s">
        <v>397</v>
      </c>
      <c r="K490" s="0" t="s">
        <v>89</v>
      </c>
      <c r="L490" s="0" t="str">
        <f aca="false">IFERROR(VLOOKUP(K490,'Supplier list'!B:C,2,0),"")</f>
        <v>บริษัท เฮเฟเล่ (ประเทศไทย) จำกัด</v>
      </c>
      <c r="M490" s="1" t="n">
        <f aca="false">FALSE()</f>
        <v>0</v>
      </c>
      <c r="N490" s="2"/>
      <c r="O490" s="2" t="n">
        <v>803</v>
      </c>
    </row>
    <row r="491" customFormat="false" ht="16.4" hidden="false" customHeight="false" outlineLevel="0" collapsed="false">
      <c r="A491" s="0" t="s">
        <v>15</v>
      </c>
      <c r="B491" s="0" t="s">
        <v>3662</v>
      </c>
      <c r="C491" s="0" t="n">
        <v>114001</v>
      </c>
      <c r="D491" s="0" t="n">
        <v>114001</v>
      </c>
      <c r="E491" s="0" t="s">
        <v>1815</v>
      </c>
      <c r="F491" s="0" t="s">
        <v>18</v>
      </c>
      <c r="G491" s="7" t="s">
        <v>3663</v>
      </c>
      <c r="H491" s="0" t="s">
        <v>3664</v>
      </c>
      <c r="I491" s="0" t="s">
        <v>396</v>
      </c>
      <c r="J491" s="0" t="s">
        <v>397</v>
      </c>
      <c r="K491" s="0" t="s">
        <v>89</v>
      </c>
      <c r="L491" s="0" t="str">
        <f aca="false">IFERROR(VLOOKUP(K491,'Supplier list'!B:C,2,0),"")</f>
        <v>บริษัท เฮเฟเล่ (ประเทศไทย) จำกัด</v>
      </c>
      <c r="M491" s="1" t="n">
        <f aca="false">FALSE()</f>
        <v>0</v>
      </c>
      <c r="N491" s="2"/>
      <c r="O491" s="2" t="n">
        <v>495</v>
      </c>
    </row>
    <row r="492" customFormat="false" ht="16.4" hidden="false" customHeight="false" outlineLevel="0" collapsed="false">
      <c r="A492" s="0" t="s">
        <v>15</v>
      </c>
      <c r="B492" s="0" t="s">
        <v>3665</v>
      </c>
      <c r="C492" s="0" t="n">
        <v>114001</v>
      </c>
      <c r="D492" s="0" t="n">
        <v>114001</v>
      </c>
      <c r="E492" s="0" t="s">
        <v>1764</v>
      </c>
      <c r="F492" s="0" t="s">
        <v>18</v>
      </c>
      <c r="G492" s="7" t="s">
        <v>3666</v>
      </c>
      <c r="H492" s="0" t="s">
        <v>3667</v>
      </c>
      <c r="I492" s="0" t="s">
        <v>21</v>
      </c>
      <c r="J492" s="0" t="s">
        <v>22</v>
      </c>
      <c r="K492" s="0" t="s">
        <v>787</v>
      </c>
      <c r="L492" s="0" t="str">
        <f aca="false">IFERROR(VLOOKUP(K492,'Supplier list'!B:C,2,0),"")</f>
        <v>บริษัท ฟิวเจอร์เทค อินเตอร์มาร์เก็ตติ้ง จำกัด</v>
      </c>
      <c r="M492" s="1" t="n">
        <f aca="false">FALSE()</f>
        <v>0</v>
      </c>
      <c r="N492" s="2"/>
      <c r="O492" s="2" t="n">
        <v>275</v>
      </c>
    </row>
    <row r="493" customFormat="false" ht="16.4" hidden="false" customHeight="false" outlineLevel="0" collapsed="false">
      <c r="A493" s="0" t="s">
        <v>15</v>
      </c>
      <c r="B493" s="0" t="s">
        <v>3668</v>
      </c>
      <c r="C493" s="0" t="n">
        <v>114001</v>
      </c>
      <c r="D493" s="0" t="n">
        <v>114001</v>
      </c>
      <c r="E493" s="0" t="s">
        <v>267</v>
      </c>
      <c r="F493" s="0" t="s">
        <v>18</v>
      </c>
      <c r="G493" s="7" t="s">
        <v>3669</v>
      </c>
      <c r="H493" s="0" t="s">
        <v>3670</v>
      </c>
      <c r="I493" s="0" t="s">
        <v>21</v>
      </c>
      <c r="J493" s="0" t="s">
        <v>22</v>
      </c>
      <c r="K493" s="0" t="s">
        <v>1725</v>
      </c>
      <c r="L493" s="0" t="str">
        <f aca="false">IFERROR(VLOOKUP(K493,'Supplier list'!B:C,2,0),"")</f>
        <v>บริษัท พรีซิชั่นไลน์ จำกัด</v>
      </c>
      <c r="M493" s="1" t="n">
        <f aca="false">FALSE()</f>
        <v>0</v>
      </c>
      <c r="N493" s="2"/>
      <c r="O493" s="2" t="n">
        <v>260</v>
      </c>
    </row>
    <row r="494" customFormat="false" ht="16.4" hidden="false" customHeight="false" outlineLevel="0" collapsed="false">
      <c r="A494" s="0" t="s">
        <v>15</v>
      </c>
      <c r="B494" s="0" t="s">
        <v>3671</v>
      </c>
      <c r="C494" s="0" t="n">
        <v>114001</v>
      </c>
      <c r="D494" s="0" t="n">
        <v>114001</v>
      </c>
      <c r="E494" s="0" t="s">
        <v>1727</v>
      </c>
      <c r="F494" s="0" t="s">
        <v>18</v>
      </c>
      <c r="G494" s="7" t="s">
        <v>3672</v>
      </c>
      <c r="H494" s="0" t="s">
        <v>3673</v>
      </c>
      <c r="I494" s="0" t="s">
        <v>124</v>
      </c>
      <c r="J494" s="0" t="s">
        <v>125</v>
      </c>
      <c r="K494" s="0" t="s">
        <v>1725</v>
      </c>
      <c r="L494" s="0" t="str">
        <f aca="false">IFERROR(VLOOKUP(K494,'Supplier list'!B:C,2,0),"")</f>
        <v>บริษัท พรีซิชั่นไลน์ จำกัด</v>
      </c>
      <c r="M494" s="1" t="n">
        <f aca="false">FALSE()</f>
        <v>0</v>
      </c>
      <c r="N494" s="2"/>
      <c r="O494" s="2" t="n">
        <v>5750</v>
      </c>
    </row>
    <row r="495" customFormat="false" ht="16.4" hidden="false" customHeight="false" outlineLevel="0" collapsed="false">
      <c r="A495" s="0" t="s">
        <v>15</v>
      </c>
      <c r="B495" s="0" t="s">
        <v>3674</v>
      </c>
      <c r="C495" s="0" t="n">
        <v>114001</v>
      </c>
      <c r="D495" s="0" t="n">
        <v>114001</v>
      </c>
      <c r="E495" s="0" t="s">
        <v>1653</v>
      </c>
      <c r="F495" s="0" t="s">
        <v>18</v>
      </c>
      <c r="G495" s="7" t="s">
        <v>3675</v>
      </c>
      <c r="H495" s="0" t="s">
        <v>3676</v>
      </c>
      <c r="I495" s="0" t="s">
        <v>21</v>
      </c>
      <c r="J495" s="0" t="s">
        <v>22</v>
      </c>
      <c r="K495" s="0" t="s">
        <v>89</v>
      </c>
      <c r="L495" s="0" t="str">
        <f aca="false">IFERROR(VLOOKUP(K495,'Supplier list'!B:C,2,0),"")</f>
        <v>บริษัท เฮเฟเล่ (ประเทศไทย) จำกัด</v>
      </c>
      <c r="M495" s="1" t="n">
        <f aca="false">FALSE()</f>
        <v>0</v>
      </c>
      <c r="N495" s="2"/>
      <c r="O495" s="2" t="n">
        <v>485</v>
      </c>
    </row>
    <row r="496" customFormat="false" ht="16.4" hidden="false" customHeight="false" outlineLevel="0" collapsed="false">
      <c r="A496" s="0" t="s">
        <v>15</v>
      </c>
      <c r="B496" s="0" t="s">
        <v>3677</v>
      </c>
      <c r="C496" s="0" t="n">
        <v>114001</v>
      </c>
      <c r="D496" s="0" t="n">
        <v>114001</v>
      </c>
      <c r="E496" s="0" t="s">
        <v>3678</v>
      </c>
      <c r="F496" s="0" t="s">
        <v>18</v>
      </c>
      <c r="G496" s="7" t="s">
        <v>3679</v>
      </c>
      <c r="H496" s="0" t="s">
        <v>3680</v>
      </c>
      <c r="I496" s="0" t="s">
        <v>168</v>
      </c>
      <c r="J496" s="0" t="s">
        <v>169</v>
      </c>
      <c r="K496" s="0" t="s">
        <v>787</v>
      </c>
      <c r="L496" s="0" t="str">
        <f aca="false">IFERROR(VLOOKUP(K496,'Supplier list'!B:C,2,0),"")</f>
        <v>บริษัท ฟิวเจอร์เทค อินเตอร์มาร์เก็ตติ้ง จำกัด</v>
      </c>
      <c r="M496" s="1" t="n">
        <f aca="false">FALSE()</f>
        <v>0</v>
      </c>
      <c r="N496" s="2"/>
      <c r="O496" s="2" t="n">
        <v>600</v>
      </c>
    </row>
    <row r="497" customFormat="false" ht="16.4" hidden="false" customHeight="false" outlineLevel="0" collapsed="false">
      <c r="A497" s="0" t="s">
        <v>15</v>
      </c>
      <c r="B497" s="0" t="s">
        <v>3681</v>
      </c>
      <c r="C497" s="0" t="n">
        <v>114001</v>
      </c>
      <c r="D497" s="0" t="n">
        <v>114001</v>
      </c>
      <c r="E497" s="0" t="s">
        <v>3678</v>
      </c>
      <c r="F497" s="0" t="s">
        <v>18</v>
      </c>
      <c r="G497" s="7" t="s">
        <v>3682</v>
      </c>
      <c r="H497" s="0" t="s">
        <v>3683</v>
      </c>
      <c r="I497" s="0" t="s">
        <v>168</v>
      </c>
      <c r="J497" s="0" t="s">
        <v>169</v>
      </c>
      <c r="K497" s="0" t="s">
        <v>787</v>
      </c>
      <c r="L497" s="0" t="str">
        <f aca="false">IFERROR(VLOOKUP(K497,'Supplier list'!B:C,2,0),"")</f>
        <v>บริษัท ฟิวเจอร์เทค อินเตอร์มาร์เก็ตติ้ง จำกัด</v>
      </c>
      <c r="M497" s="1" t="n">
        <f aca="false">FALSE()</f>
        <v>0</v>
      </c>
      <c r="N497" s="2"/>
      <c r="O497" s="2" t="n">
        <v>900</v>
      </c>
    </row>
    <row r="498" customFormat="false" ht="16.4" hidden="false" customHeight="false" outlineLevel="0" collapsed="false">
      <c r="A498" s="0" t="s">
        <v>15</v>
      </c>
      <c r="B498" s="0" t="s">
        <v>3684</v>
      </c>
      <c r="C498" s="0" t="n">
        <v>114001</v>
      </c>
      <c r="D498" s="0" t="n">
        <v>114001</v>
      </c>
      <c r="E498" s="0" t="s">
        <v>1653</v>
      </c>
      <c r="F498" s="0" t="s">
        <v>18</v>
      </c>
      <c r="G498" s="7" t="s">
        <v>3685</v>
      </c>
      <c r="H498" s="0" t="s">
        <v>3686</v>
      </c>
      <c r="I498" s="0" t="s">
        <v>21</v>
      </c>
      <c r="J498" s="0" t="s">
        <v>22</v>
      </c>
      <c r="L498" s="0" t="str">
        <f aca="false">IFERROR(VLOOKUP(K498,'Supplier list'!B:C,2,0),"")</f>
        <v/>
      </c>
      <c r="M498" s="1" t="n">
        <f aca="false">TRUE()</f>
        <v>1</v>
      </c>
      <c r="N498" s="2" t="n">
        <v>5500</v>
      </c>
      <c r="O498" s="2" t="n">
        <v>0</v>
      </c>
    </row>
    <row r="499" customFormat="false" ht="16.4" hidden="false" customHeight="false" outlineLevel="0" collapsed="false">
      <c r="A499" s="0" t="s">
        <v>15</v>
      </c>
      <c r="B499" s="0" t="s">
        <v>3687</v>
      </c>
      <c r="C499" s="0" t="n">
        <v>114001</v>
      </c>
      <c r="D499" s="0" t="n">
        <v>114001</v>
      </c>
      <c r="E499" s="0" t="s">
        <v>1653</v>
      </c>
      <c r="F499" s="0" t="s">
        <v>18</v>
      </c>
      <c r="G499" s="7" t="s">
        <v>3688</v>
      </c>
      <c r="H499" s="0" t="s">
        <v>3689</v>
      </c>
      <c r="I499" s="0" t="s">
        <v>21</v>
      </c>
      <c r="J499" s="0" t="s">
        <v>22</v>
      </c>
      <c r="L499" s="0" t="str">
        <f aca="false">IFERROR(VLOOKUP(K499,'Supplier list'!B:C,2,0),"")</f>
        <v/>
      </c>
      <c r="M499" s="1" t="n">
        <f aca="false">TRUE()</f>
        <v>1</v>
      </c>
      <c r="N499" s="2" t="n">
        <v>4900</v>
      </c>
      <c r="O499" s="2" t="n">
        <v>0</v>
      </c>
    </row>
    <row r="500" customFormat="false" ht="16.4" hidden="false" customHeight="false" outlineLevel="0" collapsed="false">
      <c r="A500" s="0" t="s">
        <v>15</v>
      </c>
      <c r="B500" s="0" t="s">
        <v>3690</v>
      </c>
      <c r="C500" s="0" t="n">
        <v>114001</v>
      </c>
      <c r="D500" s="0" t="n">
        <v>114001</v>
      </c>
      <c r="E500" s="0" t="s">
        <v>1727</v>
      </c>
      <c r="F500" s="0" t="s">
        <v>18</v>
      </c>
      <c r="G500" s="7" t="s">
        <v>3691</v>
      </c>
      <c r="H500" s="0" t="s">
        <v>3692</v>
      </c>
      <c r="I500" s="0" t="s">
        <v>21</v>
      </c>
      <c r="J500" s="0" t="s">
        <v>22</v>
      </c>
      <c r="L500" s="0" t="str">
        <f aca="false">IFERROR(VLOOKUP(K500,'Supplier list'!B:C,2,0),"")</f>
        <v/>
      </c>
      <c r="M500" s="1" t="n">
        <f aca="false">TRUE()</f>
        <v>1</v>
      </c>
      <c r="N500" s="2" t="n">
        <v>4900</v>
      </c>
      <c r="O500" s="2" t="n">
        <v>0</v>
      </c>
    </row>
    <row r="501" customFormat="false" ht="16.4" hidden="false" customHeight="false" outlineLevel="0" collapsed="false">
      <c r="A501" s="0" t="s">
        <v>15</v>
      </c>
      <c r="B501" s="0" t="s">
        <v>3693</v>
      </c>
      <c r="C501" s="0" t="n">
        <v>114001</v>
      </c>
      <c r="D501" s="0" t="n">
        <v>114001</v>
      </c>
      <c r="E501" s="0" t="s">
        <v>1653</v>
      </c>
      <c r="F501" s="0" t="s">
        <v>18</v>
      </c>
      <c r="G501" s="7" t="s">
        <v>3694</v>
      </c>
      <c r="H501" s="0" t="s">
        <v>3695</v>
      </c>
      <c r="I501" s="0" t="s">
        <v>21</v>
      </c>
      <c r="J501" s="0" t="s">
        <v>22</v>
      </c>
      <c r="L501" s="0" t="str">
        <f aca="false">IFERROR(VLOOKUP(K501,'Supplier list'!B:C,2,0),"")</f>
        <v/>
      </c>
      <c r="M501" s="1" t="n">
        <f aca="false">TRUE()</f>
        <v>1</v>
      </c>
      <c r="N501" s="2" t="n">
        <v>3900</v>
      </c>
      <c r="O501" s="2" t="n">
        <v>0</v>
      </c>
    </row>
    <row r="502" customFormat="false" ht="16.4" hidden="false" customHeight="false" outlineLevel="0" collapsed="false">
      <c r="A502" s="0" t="s">
        <v>15</v>
      </c>
      <c r="B502" s="0" t="s">
        <v>3696</v>
      </c>
      <c r="C502" s="0" t="n">
        <v>114001</v>
      </c>
      <c r="D502" s="0" t="n">
        <v>114001</v>
      </c>
      <c r="E502" s="0" t="s">
        <v>1653</v>
      </c>
      <c r="F502" s="0" t="s">
        <v>18</v>
      </c>
      <c r="G502" s="7" t="s">
        <v>3697</v>
      </c>
      <c r="H502" s="0" t="s">
        <v>3698</v>
      </c>
      <c r="I502" s="0" t="s">
        <v>21</v>
      </c>
      <c r="J502" s="0" t="s">
        <v>22</v>
      </c>
      <c r="L502" s="0" t="str">
        <f aca="false">IFERROR(VLOOKUP(K502,'Supplier list'!B:C,2,0),"")</f>
        <v/>
      </c>
      <c r="M502" s="1" t="n">
        <f aca="false">TRUE()</f>
        <v>1</v>
      </c>
      <c r="N502" s="2" t="n">
        <v>3500</v>
      </c>
      <c r="O502" s="2" t="n">
        <v>0</v>
      </c>
    </row>
    <row r="503" customFormat="false" ht="16.4" hidden="false" customHeight="false" outlineLevel="0" collapsed="false">
      <c r="A503" s="0" t="s">
        <v>15</v>
      </c>
      <c r="B503" s="0" t="s">
        <v>3699</v>
      </c>
      <c r="C503" s="0" t="n">
        <v>114001</v>
      </c>
      <c r="D503" s="0" t="n">
        <v>114001</v>
      </c>
      <c r="E503" s="0" t="s">
        <v>1653</v>
      </c>
      <c r="F503" s="0" t="s">
        <v>18</v>
      </c>
      <c r="G503" s="7" t="s">
        <v>3700</v>
      </c>
      <c r="H503" s="0" t="s">
        <v>3701</v>
      </c>
      <c r="I503" s="0" t="s">
        <v>21</v>
      </c>
      <c r="J503" s="0" t="s">
        <v>22</v>
      </c>
      <c r="L503" s="0" t="str">
        <f aca="false">IFERROR(VLOOKUP(K503,'Supplier list'!B:C,2,0),"")</f>
        <v/>
      </c>
      <c r="M503" s="1" t="n">
        <f aca="false">TRUE()</f>
        <v>1</v>
      </c>
      <c r="N503" s="2" t="n">
        <v>4500</v>
      </c>
      <c r="O503" s="2" t="n">
        <v>0</v>
      </c>
    </row>
    <row r="504" customFormat="false" ht="16.4" hidden="false" customHeight="false" outlineLevel="0" collapsed="false">
      <c r="A504" s="0" t="s">
        <v>15</v>
      </c>
      <c r="B504" s="0" t="s">
        <v>3702</v>
      </c>
      <c r="C504" s="0" t="n">
        <v>114001</v>
      </c>
      <c r="D504" s="0" t="n">
        <v>114001</v>
      </c>
      <c r="E504" s="0" t="s">
        <v>1653</v>
      </c>
      <c r="F504" s="0" t="s">
        <v>18</v>
      </c>
      <c r="G504" s="7" t="s">
        <v>3703</v>
      </c>
      <c r="H504" s="0" t="s">
        <v>3704</v>
      </c>
      <c r="I504" s="0" t="s">
        <v>21</v>
      </c>
      <c r="J504" s="0" t="s">
        <v>22</v>
      </c>
      <c r="K504" s="0" t="s">
        <v>56</v>
      </c>
      <c r="L504" s="0" t="str">
        <f aca="false">IFERROR(VLOOKUP(K504,'Supplier list'!B:C,2,0),"")</f>
        <v>CO.,LTD QINGDAO NEW LIBERTY INT'L TRADING CO.LTD.</v>
      </c>
      <c r="M504" s="1" t="n">
        <f aca="false">TRUE()</f>
        <v>1</v>
      </c>
      <c r="N504" s="2" t="n">
        <v>10900</v>
      </c>
      <c r="O504" s="2" t="n">
        <v>0</v>
      </c>
    </row>
    <row r="505" customFormat="false" ht="16.4" hidden="false" customHeight="false" outlineLevel="0" collapsed="false">
      <c r="A505" s="0" t="s">
        <v>15</v>
      </c>
      <c r="B505" s="0" t="s">
        <v>3705</v>
      </c>
      <c r="C505" s="0" t="n">
        <v>114001</v>
      </c>
      <c r="D505" s="0" t="n">
        <v>114001</v>
      </c>
      <c r="E505" s="0" t="s">
        <v>1653</v>
      </c>
      <c r="F505" s="0" t="s">
        <v>18</v>
      </c>
      <c r="G505" s="7" t="s">
        <v>3706</v>
      </c>
      <c r="H505" s="0" t="s">
        <v>3707</v>
      </c>
      <c r="I505" s="0" t="s">
        <v>21</v>
      </c>
      <c r="J505" s="0" t="s">
        <v>22</v>
      </c>
      <c r="L505" s="0" t="str">
        <f aca="false">IFERROR(VLOOKUP(K505,'Supplier list'!B:C,2,0),"")</f>
        <v/>
      </c>
      <c r="M505" s="1" t="n">
        <f aca="false">FALSE()</f>
        <v>0</v>
      </c>
      <c r="N505" s="2"/>
      <c r="O505" s="2" t="n">
        <v>0</v>
      </c>
    </row>
    <row r="506" customFormat="false" ht="16.4" hidden="false" customHeight="false" outlineLevel="0" collapsed="false">
      <c r="A506" s="0" t="s">
        <v>15</v>
      </c>
      <c r="B506" s="0" t="s">
        <v>3708</v>
      </c>
      <c r="C506" s="0" t="n">
        <v>114001</v>
      </c>
      <c r="D506" s="0" t="n">
        <v>114001</v>
      </c>
      <c r="E506" s="0" t="s">
        <v>1653</v>
      </c>
      <c r="F506" s="0" t="s">
        <v>18</v>
      </c>
      <c r="G506" s="7" t="s">
        <v>3709</v>
      </c>
      <c r="H506" s="0" t="s">
        <v>3710</v>
      </c>
      <c r="I506" s="0" t="s">
        <v>21</v>
      </c>
      <c r="J506" s="0" t="s">
        <v>22</v>
      </c>
      <c r="L506" s="0" t="str">
        <f aca="false">IFERROR(VLOOKUP(K506,'Supplier list'!B:C,2,0),"")</f>
        <v/>
      </c>
      <c r="M506" s="1" t="n">
        <f aca="false">FALSE()</f>
        <v>0</v>
      </c>
      <c r="N506" s="2"/>
      <c r="O506" s="2" t="n">
        <v>0</v>
      </c>
    </row>
    <row r="507" customFormat="false" ht="16.4" hidden="false" customHeight="false" outlineLevel="0" collapsed="false">
      <c r="A507" s="0" t="s">
        <v>15</v>
      </c>
      <c r="B507" s="0" t="s">
        <v>3711</v>
      </c>
      <c r="C507" s="0" t="n">
        <v>114001</v>
      </c>
      <c r="D507" s="0" t="n">
        <v>114001</v>
      </c>
      <c r="E507" s="0" t="s">
        <v>1764</v>
      </c>
      <c r="F507" s="0" t="s">
        <v>18</v>
      </c>
      <c r="G507" s="7" t="s">
        <v>3712</v>
      </c>
      <c r="H507" s="0" t="s">
        <v>3713</v>
      </c>
      <c r="I507" s="0" t="s">
        <v>21</v>
      </c>
      <c r="J507" s="0" t="s">
        <v>22</v>
      </c>
      <c r="K507" s="0" t="s">
        <v>787</v>
      </c>
      <c r="L507" s="0" t="str">
        <f aca="false">IFERROR(VLOOKUP(K507,'Supplier list'!B:C,2,0),"")</f>
        <v>บริษัท ฟิวเจอร์เทค อินเตอร์มาร์เก็ตติ้ง จำกัด</v>
      </c>
      <c r="M507" s="1" t="n">
        <f aca="false">TRUE()</f>
        <v>1</v>
      </c>
      <c r="N507" s="2" t="n">
        <v>150</v>
      </c>
      <c r="O507" s="2" t="n">
        <v>38.5</v>
      </c>
    </row>
    <row r="508" customFormat="false" ht="16.4" hidden="false" customHeight="false" outlineLevel="0" collapsed="false">
      <c r="A508" s="0" t="s">
        <v>15</v>
      </c>
      <c r="B508" s="0" t="s">
        <v>3714</v>
      </c>
      <c r="C508" s="0" t="n">
        <v>114001</v>
      </c>
      <c r="D508" s="0" t="n">
        <v>114001</v>
      </c>
      <c r="E508" s="0" t="s">
        <v>1764</v>
      </c>
      <c r="F508" s="0" t="s">
        <v>18</v>
      </c>
      <c r="G508" s="7" t="s">
        <v>3715</v>
      </c>
      <c r="H508" s="0" t="s">
        <v>3716</v>
      </c>
      <c r="I508" s="0" t="s">
        <v>21</v>
      </c>
      <c r="J508" s="0" t="s">
        <v>22</v>
      </c>
      <c r="K508" s="0" t="s">
        <v>787</v>
      </c>
      <c r="L508" s="0" t="str">
        <f aca="false">IFERROR(VLOOKUP(K508,'Supplier list'!B:C,2,0),"")</f>
        <v>บริษัท ฟิวเจอร์เทค อินเตอร์มาร์เก็ตติ้ง จำกัด</v>
      </c>
      <c r="M508" s="1" t="n">
        <f aca="false">FALSE()</f>
        <v>0</v>
      </c>
      <c r="N508" s="2"/>
      <c r="O508" s="2" t="n">
        <v>84</v>
      </c>
    </row>
    <row r="509" customFormat="false" ht="16.4" hidden="false" customHeight="false" outlineLevel="0" collapsed="false">
      <c r="A509" s="0" t="s">
        <v>15</v>
      </c>
      <c r="B509" s="0" t="s">
        <v>3717</v>
      </c>
      <c r="C509" s="0" t="n">
        <v>114001</v>
      </c>
      <c r="D509" s="0" t="n">
        <v>114001</v>
      </c>
      <c r="E509" s="0" t="s">
        <v>961</v>
      </c>
      <c r="F509" s="0" t="s">
        <v>18</v>
      </c>
      <c r="G509" s="7" t="s">
        <v>3718</v>
      </c>
      <c r="H509" s="0" t="s">
        <v>3553</v>
      </c>
      <c r="I509" s="0" t="s">
        <v>124</v>
      </c>
      <c r="J509" s="0" t="s">
        <v>125</v>
      </c>
      <c r="K509" s="0" t="s">
        <v>89</v>
      </c>
      <c r="L509" s="0" t="str">
        <f aca="false">IFERROR(VLOOKUP(K509,'Supplier list'!B:C,2,0),"")</f>
        <v>บริษัท เฮเฟเล่ (ประเทศไทย) จำกัด</v>
      </c>
      <c r="M509" s="1" t="n">
        <f aca="false">FALSE()</f>
        <v>0</v>
      </c>
      <c r="N509" s="2"/>
      <c r="O509" s="2" t="n">
        <v>4206</v>
      </c>
    </row>
    <row r="510" customFormat="false" ht="16.4" hidden="false" customHeight="false" outlineLevel="0" collapsed="false">
      <c r="A510" s="0" t="s">
        <v>15</v>
      </c>
      <c r="B510" s="0" t="s">
        <v>3719</v>
      </c>
      <c r="C510" s="0" t="n">
        <v>114001</v>
      </c>
      <c r="D510" s="0" t="n">
        <v>114001</v>
      </c>
      <c r="E510" s="0" t="s">
        <v>1653</v>
      </c>
      <c r="F510" s="0" t="s">
        <v>18</v>
      </c>
      <c r="G510" s="7" t="s">
        <v>3720</v>
      </c>
      <c r="H510" s="0" t="s">
        <v>3721</v>
      </c>
      <c r="I510" s="0" t="s">
        <v>21</v>
      </c>
      <c r="J510" s="0" t="s">
        <v>22</v>
      </c>
      <c r="K510" s="0" t="s">
        <v>89</v>
      </c>
      <c r="L510" s="0" t="str">
        <f aca="false">IFERROR(VLOOKUP(K510,'Supplier list'!B:C,2,0),"")</f>
        <v>บริษัท เฮเฟเล่ (ประเทศไทย) จำกัด</v>
      </c>
      <c r="M510" s="1" t="n">
        <f aca="false">FALSE()</f>
        <v>0</v>
      </c>
      <c r="N510" s="2"/>
      <c r="O510" s="2" t="n">
        <v>3500</v>
      </c>
    </row>
    <row r="511" customFormat="false" ht="16.4" hidden="false" customHeight="false" outlineLevel="0" collapsed="false">
      <c r="A511" s="0" t="s">
        <v>15</v>
      </c>
      <c r="B511" s="0" t="s">
        <v>3722</v>
      </c>
      <c r="C511" s="0" t="n">
        <v>114001</v>
      </c>
      <c r="D511" s="0" t="n">
        <v>114001</v>
      </c>
      <c r="E511" s="0" t="s">
        <v>1653</v>
      </c>
      <c r="F511" s="0" t="s">
        <v>18</v>
      </c>
      <c r="G511" s="7" t="s">
        <v>3723</v>
      </c>
      <c r="H511" s="0" t="s">
        <v>3724</v>
      </c>
      <c r="I511" s="0" t="s">
        <v>21</v>
      </c>
      <c r="J511" s="0" t="s">
        <v>22</v>
      </c>
      <c r="K511" s="0" t="s">
        <v>89</v>
      </c>
      <c r="L511" s="0" t="str">
        <f aca="false">IFERROR(VLOOKUP(K511,'Supplier list'!B:C,2,0),"")</f>
        <v>บริษัท เฮเฟเล่ (ประเทศไทย) จำกัด</v>
      </c>
      <c r="M511" s="1" t="n">
        <f aca="false">FALSE()</f>
        <v>0</v>
      </c>
      <c r="N511" s="2"/>
      <c r="O511" s="2" t="n">
        <v>5074</v>
      </c>
    </row>
    <row r="512" customFormat="false" ht="16.4" hidden="false" customHeight="false" outlineLevel="0" collapsed="false">
      <c r="A512" s="0" t="s">
        <v>15</v>
      </c>
      <c r="B512" s="0" t="s">
        <v>3725</v>
      </c>
      <c r="C512" s="0" t="n">
        <v>114001</v>
      </c>
      <c r="D512" s="0" t="n">
        <v>114001</v>
      </c>
      <c r="E512" s="0" t="s">
        <v>1653</v>
      </c>
      <c r="F512" s="0" t="s">
        <v>18</v>
      </c>
      <c r="G512" s="7" t="s">
        <v>3726</v>
      </c>
      <c r="H512" s="0" t="s">
        <v>3727</v>
      </c>
      <c r="I512" s="0" t="s">
        <v>124</v>
      </c>
      <c r="J512" s="0" t="s">
        <v>125</v>
      </c>
      <c r="K512" s="0" t="s">
        <v>1725</v>
      </c>
      <c r="L512" s="0" t="str">
        <f aca="false">IFERROR(VLOOKUP(K512,'Supplier list'!B:C,2,0),"")</f>
        <v>บริษัท พรีซิชั่นไลน์ จำกัด</v>
      </c>
      <c r="M512" s="1" t="n">
        <f aca="false">FALSE()</f>
        <v>0</v>
      </c>
      <c r="N512" s="2"/>
      <c r="O512" s="2" t="n">
        <v>41300</v>
      </c>
    </row>
    <row r="513" customFormat="false" ht="16.4" hidden="false" customHeight="false" outlineLevel="0" collapsed="false">
      <c r="A513" s="0" t="s">
        <v>15</v>
      </c>
      <c r="B513" s="0" t="s">
        <v>3728</v>
      </c>
      <c r="C513" s="0" t="n">
        <v>114001</v>
      </c>
      <c r="D513" s="0" t="n">
        <v>114001</v>
      </c>
      <c r="E513" s="0" t="s">
        <v>2171</v>
      </c>
      <c r="F513" s="0" t="s">
        <v>18</v>
      </c>
      <c r="G513" s="7" t="s">
        <v>3729</v>
      </c>
      <c r="H513" s="0" t="s">
        <v>3730</v>
      </c>
      <c r="I513" s="0" t="s">
        <v>124</v>
      </c>
      <c r="J513" s="0" t="s">
        <v>125</v>
      </c>
      <c r="K513" s="0" t="s">
        <v>787</v>
      </c>
      <c r="L513" s="0" t="str">
        <f aca="false">IFERROR(VLOOKUP(K513,'Supplier list'!B:C,2,0),"")</f>
        <v>บริษัท ฟิวเจอร์เทค อินเตอร์มาร์เก็ตติ้ง จำกัด</v>
      </c>
      <c r="M513" s="1" t="n">
        <f aca="false">FALSE()</f>
        <v>0</v>
      </c>
      <c r="N513" s="2"/>
      <c r="O513" s="2" t="n">
        <v>90</v>
      </c>
    </row>
    <row r="514" customFormat="false" ht="16.4" hidden="false" customHeight="false" outlineLevel="0" collapsed="false">
      <c r="A514" s="0" t="s">
        <v>15</v>
      </c>
      <c r="B514" s="0" t="s">
        <v>3731</v>
      </c>
      <c r="C514" s="0" t="n">
        <v>114001</v>
      </c>
      <c r="D514" s="0" t="n">
        <v>114001</v>
      </c>
      <c r="E514" s="0" t="s">
        <v>2171</v>
      </c>
      <c r="F514" s="0" t="s">
        <v>18</v>
      </c>
      <c r="G514" s="7" t="s">
        <v>3732</v>
      </c>
      <c r="H514" s="0" t="s">
        <v>3733</v>
      </c>
      <c r="I514" s="0" t="s">
        <v>21</v>
      </c>
      <c r="J514" s="0" t="s">
        <v>22</v>
      </c>
      <c r="K514" s="0" t="s">
        <v>787</v>
      </c>
      <c r="L514" s="0" t="str">
        <f aca="false">IFERROR(VLOOKUP(K514,'Supplier list'!B:C,2,0),"")</f>
        <v>บริษัท ฟิวเจอร์เทค อินเตอร์มาร์เก็ตติ้ง จำกัด</v>
      </c>
      <c r="M514" s="1" t="n">
        <f aca="false">FALSE()</f>
        <v>0</v>
      </c>
      <c r="N514" s="2"/>
      <c r="O514" s="2" t="n">
        <v>35</v>
      </c>
    </row>
    <row r="515" customFormat="false" ht="16.4" hidden="false" customHeight="false" outlineLevel="0" collapsed="false">
      <c r="A515" s="0" t="s">
        <v>15</v>
      </c>
      <c r="B515" s="0" t="s">
        <v>3734</v>
      </c>
      <c r="C515" s="0" t="n">
        <v>114001</v>
      </c>
      <c r="D515" s="0" t="n">
        <v>114001</v>
      </c>
      <c r="E515" s="0" t="s">
        <v>1764</v>
      </c>
      <c r="F515" s="0" t="s">
        <v>18</v>
      </c>
      <c r="G515" s="7" t="s">
        <v>3735</v>
      </c>
      <c r="H515" s="0" t="s">
        <v>3736</v>
      </c>
      <c r="I515" s="0" t="s">
        <v>21</v>
      </c>
      <c r="J515" s="0" t="s">
        <v>22</v>
      </c>
      <c r="K515" s="0" t="s">
        <v>787</v>
      </c>
      <c r="L515" s="0" t="str">
        <f aca="false">IFERROR(VLOOKUP(K515,'Supplier list'!B:C,2,0),"")</f>
        <v>บริษัท ฟิวเจอร์เทค อินเตอร์มาร์เก็ตติ้ง จำกัด</v>
      </c>
      <c r="M515" s="1" t="n">
        <f aca="false">FALSE()</f>
        <v>0</v>
      </c>
      <c r="N515" s="2"/>
      <c r="O515" s="2" t="n">
        <v>180</v>
      </c>
    </row>
    <row r="516" customFormat="false" ht="16.4" hidden="false" customHeight="false" outlineLevel="0" collapsed="false">
      <c r="A516" s="0" t="s">
        <v>15</v>
      </c>
      <c r="B516" s="0" t="s">
        <v>3737</v>
      </c>
      <c r="C516" s="0" t="n">
        <v>114001</v>
      </c>
      <c r="D516" s="0" t="n">
        <v>114001</v>
      </c>
      <c r="E516" s="0" t="s">
        <v>1605</v>
      </c>
      <c r="F516" s="0" t="s">
        <v>18</v>
      </c>
      <c r="G516" s="7" t="s">
        <v>3738</v>
      </c>
      <c r="H516" s="0" t="s">
        <v>3739</v>
      </c>
      <c r="I516" s="0" t="s">
        <v>1696</v>
      </c>
      <c r="J516" s="0" t="s">
        <v>1697</v>
      </c>
      <c r="L516" s="0" t="str">
        <f aca="false">IFERROR(VLOOKUP(K516,'Supplier list'!B:C,2,0),"")</f>
        <v/>
      </c>
      <c r="M516" s="1" t="n">
        <f aca="false">FALSE()</f>
        <v>0</v>
      </c>
      <c r="N516" s="2"/>
      <c r="O516" s="2" t="n">
        <v>0</v>
      </c>
    </row>
    <row r="517" customFormat="false" ht="16.4" hidden="false" customHeight="false" outlineLevel="0" collapsed="false">
      <c r="A517" s="0" t="s">
        <v>15</v>
      </c>
      <c r="B517" s="0" t="s">
        <v>3740</v>
      </c>
      <c r="C517" s="0" t="n">
        <v>114001</v>
      </c>
      <c r="D517" s="0" t="n">
        <v>114001</v>
      </c>
      <c r="E517" s="0" t="s">
        <v>1653</v>
      </c>
      <c r="F517" s="0" t="s">
        <v>18</v>
      </c>
      <c r="G517" s="7" t="s">
        <v>3741</v>
      </c>
      <c r="H517" s="0" t="s">
        <v>2568</v>
      </c>
      <c r="I517" s="0" t="s">
        <v>124</v>
      </c>
      <c r="J517" s="0" t="s">
        <v>125</v>
      </c>
      <c r="K517" s="0" t="s">
        <v>89</v>
      </c>
      <c r="L517" s="0" t="str">
        <f aca="false">IFERROR(VLOOKUP(K517,'Supplier list'!B:C,2,0),"")</f>
        <v>บริษัท เฮเฟเล่ (ประเทศไทย) จำกัด</v>
      </c>
      <c r="M517" s="1" t="n">
        <f aca="false">FALSE()</f>
        <v>0</v>
      </c>
      <c r="N517" s="2"/>
      <c r="O517" s="2" t="n">
        <v>23300</v>
      </c>
    </row>
    <row r="518" customFormat="false" ht="16.4" hidden="false" customHeight="false" outlineLevel="0" collapsed="false">
      <c r="A518" s="0" t="s">
        <v>15</v>
      </c>
      <c r="B518" s="0" t="s">
        <v>3742</v>
      </c>
      <c r="C518" s="0" t="n">
        <v>114001</v>
      </c>
      <c r="D518" s="0" t="n">
        <v>114001</v>
      </c>
      <c r="E518" s="0" t="s">
        <v>961</v>
      </c>
      <c r="F518" s="0" t="s">
        <v>18</v>
      </c>
      <c r="G518" s="7" t="s">
        <v>3743</v>
      </c>
      <c r="H518" s="0" t="s">
        <v>3744</v>
      </c>
      <c r="I518" s="0" t="s">
        <v>21</v>
      </c>
      <c r="J518" s="0" t="s">
        <v>22</v>
      </c>
      <c r="K518" s="0" t="s">
        <v>89</v>
      </c>
      <c r="L518" s="0" t="str">
        <f aca="false">IFERROR(VLOOKUP(K518,'Supplier list'!B:C,2,0),"")</f>
        <v>บริษัท เฮเฟเล่ (ประเทศไทย) จำกัด</v>
      </c>
      <c r="M518" s="1" t="n">
        <f aca="false">FALSE()</f>
        <v>0</v>
      </c>
      <c r="N518" s="2"/>
      <c r="O518" s="2" t="n">
        <v>654</v>
      </c>
    </row>
    <row r="519" customFormat="false" ht="16.4" hidden="false" customHeight="false" outlineLevel="0" collapsed="false">
      <c r="A519" s="0" t="s">
        <v>15</v>
      </c>
      <c r="B519" s="0" t="s">
        <v>3745</v>
      </c>
      <c r="C519" s="0" t="n">
        <v>114001</v>
      </c>
      <c r="D519" s="0" t="n">
        <v>114001</v>
      </c>
      <c r="E519" s="0" t="s">
        <v>1764</v>
      </c>
      <c r="F519" s="0" t="s">
        <v>18</v>
      </c>
      <c r="G519" s="7" t="s">
        <v>3746</v>
      </c>
      <c r="H519" s="0" t="s">
        <v>3747</v>
      </c>
      <c r="I519" s="0" t="s">
        <v>21</v>
      </c>
      <c r="J519" s="0" t="s">
        <v>22</v>
      </c>
      <c r="K519" s="0" t="s">
        <v>787</v>
      </c>
      <c r="L519" s="0" t="str">
        <f aca="false">IFERROR(VLOOKUP(K519,'Supplier list'!B:C,2,0),"")</f>
        <v>บริษัท ฟิวเจอร์เทค อินเตอร์มาร์เก็ตติ้ง จำกัด</v>
      </c>
      <c r="M519" s="1" t="n">
        <f aca="false">FALSE()</f>
        <v>0</v>
      </c>
      <c r="N519" s="2"/>
      <c r="O519" s="2" t="n">
        <v>20</v>
      </c>
    </row>
    <row r="520" customFormat="false" ht="16.4" hidden="false" customHeight="false" outlineLevel="0" collapsed="false">
      <c r="A520" s="0" t="s">
        <v>15</v>
      </c>
      <c r="B520" s="0" t="s">
        <v>3748</v>
      </c>
      <c r="C520" s="0" t="n">
        <v>114001</v>
      </c>
      <c r="D520" s="0" t="n">
        <v>114001</v>
      </c>
      <c r="E520" s="0" t="s">
        <v>1764</v>
      </c>
      <c r="F520" s="0" t="s">
        <v>18</v>
      </c>
      <c r="G520" s="7" t="s">
        <v>3749</v>
      </c>
      <c r="H520" s="0" t="s">
        <v>3750</v>
      </c>
      <c r="I520" s="0" t="s">
        <v>168</v>
      </c>
      <c r="J520" s="0" t="s">
        <v>169</v>
      </c>
      <c r="K520" s="0" t="s">
        <v>1753</v>
      </c>
      <c r="L520" s="0" t="str">
        <f aca="false">IFERROR(VLOOKUP(K520,'Supplier list'!B:C,2,0),"")</f>
        <v>บริษัท ไอ.โอ.ดีไซน์ แอนด์ โฮม จำกัด</v>
      </c>
      <c r="M520" s="1" t="n">
        <f aca="false">FALSE()</f>
        <v>0</v>
      </c>
      <c r="N520" s="2"/>
      <c r="O520" s="2" t="n">
        <v>720</v>
      </c>
    </row>
    <row r="521" customFormat="false" ht="16.4" hidden="false" customHeight="false" outlineLevel="0" collapsed="false">
      <c r="A521" s="0" t="s">
        <v>15</v>
      </c>
      <c r="B521" s="0" t="s">
        <v>3751</v>
      </c>
      <c r="C521" s="0" t="n">
        <v>114001</v>
      </c>
      <c r="D521" s="0" t="n">
        <v>114001</v>
      </c>
      <c r="E521" s="0" t="s">
        <v>1764</v>
      </c>
      <c r="F521" s="0" t="s">
        <v>18</v>
      </c>
      <c r="G521" s="7" t="s">
        <v>3752</v>
      </c>
      <c r="H521" s="0" t="s">
        <v>3753</v>
      </c>
      <c r="I521" s="0" t="s">
        <v>21</v>
      </c>
      <c r="J521" s="0" t="s">
        <v>22</v>
      </c>
      <c r="K521" s="0" t="s">
        <v>787</v>
      </c>
      <c r="L521" s="0" t="str">
        <f aca="false">IFERROR(VLOOKUP(K521,'Supplier list'!B:C,2,0),"")</f>
        <v>บริษัท ฟิวเจอร์เทค อินเตอร์มาร์เก็ตติ้ง จำกัด</v>
      </c>
      <c r="M521" s="1" t="n">
        <f aca="false">FALSE()</f>
        <v>0</v>
      </c>
      <c r="N521" s="2"/>
      <c r="O521" s="2" t="n">
        <v>560</v>
      </c>
    </row>
    <row r="522" customFormat="false" ht="16.4" hidden="false" customHeight="false" outlineLevel="0" collapsed="false">
      <c r="A522" s="0" t="s">
        <v>15</v>
      </c>
      <c r="B522" s="0" t="s">
        <v>3754</v>
      </c>
      <c r="C522" s="0" t="n">
        <v>114001</v>
      </c>
      <c r="D522" s="0" t="n">
        <v>114001</v>
      </c>
      <c r="E522" s="0" t="s">
        <v>2363</v>
      </c>
      <c r="F522" s="0" t="s">
        <v>18</v>
      </c>
      <c r="G522" s="7" t="s">
        <v>3755</v>
      </c>
      <c r="H522" s="0" t="s">
        <v>3756</v>
      </c>
      <c r="I522" s="0" t="s">
        <v>21</v>
      </c>
      <c r="J522" s="0" t="s">
        <v>22</v>
      </c>
      <c r="K522" s="0" t="s">
        <v>787</v>
      </c>
      <c r="L522" s="0" t="str">
        <f aca="false">IFERROR(VLOOKUP(K522,'Supplier list'!B:C,2,0),"")</f>
        <v>บริษัท ฟิวเจอร์เทค อินเตอร์มาร์เก็ตติ้ง จำกัด</v>
      </c>
      <c r="M522" s="1" t="n">
        <f aca="false">FALSE()</f>
        <v>0</v>
      </c>
      <c r="N522" s="2"/>
      <c r="O522" s="2" t="n">
        <v>28</v>
      </c>
    </row>
    <row r="523" customFormat="false" ht="16.4" hidden="false" customHeight="false" outlineLevel="0" collapsed="false">
      <c r="A523" s="0" t="s">
        <v>15</v>
      </c>
      <c r="B523" s="0" t="s">
        <v>3757</v>
      </c>
      <c r="C523" s="0" t="n">
        <v>114001</v>
      </c>
      <c r="D523" s="0" t="n">
        <v>114001</v>
      </c>
      <c r="E523" s="0" t="s">
        <v>1764</v>
      </c>
      <c r="F523" s="0" t="s">
        <v>18</v>
      </c>
      <c r="G523" s="7" t="s">
        <v>3758</v>
      </c>
      <c r="H523" s="0" t="s">
        <v>3759</v>
      </c>
      <c r="I523" s="0" t="s">
        <v>168</v>
      </c>
      <c r="J523" s="0" t="s">
        <v>169</v>
      </c>
      <c r="K523" s="0" t="s">
        <v>787</v>
      </c>
      <c r="L523" s="0" t="str">
        <f aca="false">IFERROR(VLOOKUP(K523,'Supplier list'!B:C,2,0),"")</f>
        <v>บริษัท ฟิวเจอร์เทค อินเตอร์มาร์เก็ตติ้ง จำกัด</v>
      </c>
      <c r="M523" s="1" t="n">
        <f aca="false">FALSE()</f>
        <v>0</v>
      </c>
      <c r="N523" s="2"/>
      <c r="O523" s="2" t="n">
        <v>770</v>
      </c>
    </row>
    <row r="524" customFormat="false" ht="16.4" hidden="false" customHeight="false" outlineLevel="0" collapsed="false">
      <c r="A524" s="0" t="s">
        <v>15</v>
      </c>
      <c r="B524" s="0" t="s">
        <v>3760</v>
      </c>
      <c r="C524" s="0" t="n">
        <v>114001</v>
      </c>
      <c r="D524" s="0" t="n">
        <v>114001</v>
      </c>
      <c r="E524" s="0" t="s">
        <v>1653</v>
      </c>
      <c r="F524" s="0" t="s">
        <v>18</v>
      </c>
      <c r="G524" s="7" t="s">
        <v>3761</v>
      </c>
      <c r="H524" s="0" t="s">
        <v>3762</v>
      </c>
      <c r="I524" s="0" t="s">
        <v>124</v>
      </c>
      <c r="J524" s="0" t="s">
        <v>125</v>
      </c>
      <c r="K524" s="0" t="s">
        <v>89</v>
      </c>
      <c r="L524" s="0" t="str">
        <f aca="false">IFERROR(VLOOKUP(K524,'Supplier list'!B:C,2,0),"")</f>
        <v>บริษัท เฮเฟเล่ (ประเทศไทย) จำกัด</v>
      </c>
      <c r="M524" s="1" t="n">
        <f aca="false">FALSE()</f>
        <v>0</v>
      </c>
      <c r="N524" s="2"/>
      <c r="O524" s="2" t="n">
        <v>4663</v>
      </c>
    </row>
    <row r="525" customFormat="false" ht="16.4" hidden="false" customHeight="false" outlineLevel="0" collapsed="false">
      <c r="A525" s="0" t="s">
        <v>15</v>
      </c>
      <c r="B525" s="0" t="s">
        <v>3763</v>
      </c>
      <c r="C525" s="0" t="n">
        <v>114001</v>
      </c>
      <c r="D525" s="0" t="n">
        <v>114001</v>
      </c>
      <c r="E525" s="0" t="s">
        <v>1653</v>
      </c>
      <c r="F525" s="0" t="s">
        <v>18</v>
      </c>
      <c r="G525" s="7" t="s">
        <v>3764</v>
      </c>
      <c r="H525" s="0" t="s">
        <v>3765</v>
      </c>
      <c r="I525" s="0" t="s">
        <v>124</v>
      </c>
      <c r="J525" s="0" t="s">
        <v>125</v>
      </c>
      <c r="K525" s="0" t="s">
        <v>89</v>
      </c>
      <c r="L525" s="0" t="str">
        <f aca="false">IFERROR(VLOOKUP(K525,'Supplier list'!B:C,2,0),"")</f>
        <v>บริษัท เฮเฟเล่ (ประเทศไทย) จำกัด</v>
      </c>
      <c r="M525" s="1" t="n">
        <f aca="false">FALSE()</f>
        <v>0</v>
      </c>
      <c r="N525" s="2"/>
      <c r="O525" s="2" t="n">
        <v>4112</v>
      </c>
    </row>
    <row r="526" customFormat="false" ht="16.4" hidden="false" customHeight="false" outlineLevel="0" collapsed="false">
      <c r="A526" s="0" t="s">
        <v>15</v>
      </c>
      <c r="B526" s="0" t="s">
        <v>3766</v>
      </c>
      <c r="C526" s="0" t="n">
        <v>114001</v>
      </c>
      <c r="D526" s="0" t="n">
        <v>114001</v>
      </c>
      <c r="E526" s="0" t="s">
        <v>1764</v>
      </c>
      <c r="F526" s="0" t="s">
        <v>18</v>
      </c>
      <c r="G526" s="7" t="s">
        <v>3767</v>
      </c>
      <c r="H526" s="0" t="s">
        <v>3768</v>
      </c>
      <c r="I526" s="0" t="s">
        <v>21</v>
      </c>
      <c r="J526" s="0" t="s">
        <v>22</v>
      </c>
      <c r="K526" s="0" t="s">
        <v>787</v>
      </c>
      <c r="L526" s="0" t="str">
        <f aca="false">IFERROR(VLOOKUP(K526,'Supplier list'!B:C,2,0),"")</f>
        <v>บริษัท ฟิวเจอร์เทค อินเตอร์มาร์เก็ตติ้ง จำกัด</v>
      </c>
      <c r="M526" s="1" t="n">
        <f aca="false">TRUE()</f>
        <v>1</v>
      </c>
      <c r="N526" s="2" t="n">
        <v>200</v>
      </c>
      <c r="O526" s="2" t="n">
        <v>58.5</v>
      </c>
    </row>
    <row r="527" customFormat="false" ht="16.4" hidden="false" customHeight="false" outlineLevel="0" collapsed="false">
      <c r="A527" s="0" t="s">
        <v>15</v>
      </c>
      <c r="B527" s="0" t="s">
        <v>3769</v>
      </c>
      <c r="C527" s="0" t="n">
        <v>114001</v>
      </c>
      <c r="D527" s="0" t="n">
        <v>114001</v>
      </c>
      <c r="E527" s="0" t="s">
        <v>3558</v>
      </c>
      <c r="F527" s="0" t="s">
        <v>18</v>
      </c>
      <c r="G527" s="7" t="s">
        <v>3770</v>
      </c>
      <c r="H527" s="0" t="s">
        <v>3771</v>
      </c>
      <c r="I527" s="0" t="s">
        <v>21</v>
      </c>
      <c r="J527" s="0" t="s">
        <v>22</v>
      </c>
      <c r="K527" s="0" t="s">
        <v>1753</v>
      </c>
      <c r="L527" s="0" t="str">
        <f aca="false">IFERROR(VLOOKUP(K527,'Supplier list'!B:C,2,0),"")</f>
        <v>บริษัท ไอ.โอ.ดีไซน์ แอนด์ โฮม จำกัด</v>
      </c>
      <c r="M527" s="1" t="n">
        <f aca="false">FALSE()</f>
        <v>0</v>
      </c>
      <c r="N527" s="2"/>
      <c r="O527" s="2" t="n">
        <v>216</v>
      </c>
    </row>
    <row r="528" customFormat="false" ht="16.4" hidden="false" customHeight="false" outlineLevel="0" collapsed="false">
      <c r="A528" s="0" t="s">
        <v>15</v>
      </c>
      <c r="B528" s="0" t="s">
        <v>3772</v>
      </c>
      <c r="C528" s="0" t="n">
        <v>114001</v>
      </c>
      <c r="D528" s="0" t="n">
        <v>114001</v>
      </c>
      <c r="E528" s="0" t="s">
        <v>1653</v>
      </c>
      <c r="F528" s="0" t="s">
        <v>18</v>
      </c>
      <c r="G528" s="7" t="s">
        <v>3773</v>
      </c>
      <c r="H528" s="0" t="s">
        <v>3774</v>
      </c>
      <c r="I528" s="0" t="s">
        <v>124</v>
      </c>
      <c r="J528" s="0" t="s">
        <v>125</v>
      </c>
      <c r="K528" s="0" t="s">
        <v>89</v>
      </c>
      <c r="L528" s="0" t="str">
        <f aca="false">IFERROR(VLOOKUP(K528,'Supplier list'!B:C,2,0),"")</f>
        <v>บริษัท เฮเฟเล่ (ประเทศไทย) จำกัด</v>
      </c>
      <c r="M528" s="1" t="n">
        <f aca="false">FALSE()</f>
        <v>0</v>
      </c>
      <c r="N528" s="2"/>
      <c r="O528" s="2" t="n">
        <v>2100</v>
      </c>
    </row>
    <row r="529" customFormat="false" ht="16.4" hidden="false" customHeight="false" outlineLevel="0" collapsed="false">
      <c r="A529" s="0" t="s">
        <v>15</v>
      </c>
      <c r="B529" s="0" t="s">
        <v>3775</v>
      </c>
      <c r="C529" s="0" t="n">
        <v>114001</v>
      </c>
      <c r="D529" s="0" t="n">
        <v>114001</v>
      </c>
      <c r="E529" s="0" t="s">
        <v>1653</v>
      </c>
      <c r="F529" s="0" t="s">
        <v>18</v>
      </c>
      <c r="G529" s="7" t="s">
        <v>3776</v>
      </c>
      <c r="H529" s="0" t="s">
        <v>3777</v>
      </c>
      <c r="I529" s="0" t="s">
        <v>124</v>
      </c>
      <c r="J529" s="0" t="s">
        <v>125</v>
      </c>
      <c r="K529" s="0" t="s">
        <v>89</v>
      </c>
      <c r="L529" s="0" t="str">
        <f aca="false">IFERROR(VLOOKUP(K529,'Supplier list'!B:C,2,0),"")</f>
        <v>บริษัท เฮเฟเล่ (ประเทศไทย) จำกัด</v>
      </c>
      <c r="M529" s="1" t="n">
        <f aca="false">FALSE()</f>
        <v>0</v>
      </c>
      <c r="N529" s="2"/>
      <c r="O529" s="2" t="n">
        <v>10250</v>
      </c>
    </row>
    <row r="530" customFormat="false" ht="16.4" hidden="false" customHeight="false" outlineLevel="0" collapsed="false">
      <c r="A530" s="0" t="s">
        <v>15</v>
      </c>
      <c r="B530" s="0" t="s">
        <v>3778</v>
      </c>
      <c r="C530" s="0" t="n">
        <v>114001</v>
      </c>
      <c r="D530" s="0" t="n">
        <v>114001</v>
      </c>
      <c r="E530" s="0" t="s">
        <v>1653</v>
      </c>
      <c r="F530" s="0" t="s">
        <v>18</v>
      </c>
      <c r="G530" s="7" t="s">
        <v>3779</v>
      </c>
      <c r="H530" s="0" t="s">
        <v>3780</v>
      </c>
      <c r="I530" s="0" t="s">
        <v>124</v>
      </c>
      <c r="J530" s="0" t="s">
        <v>125</v>
      </c>
      <c r="K530" s="0" t="s">
        <v>89</v>
      </c>
      <c r="L530" s="0" t="str">
        <f aca="false">IFERROR(VLOOKUP(K530,'Supplier list'!B:C,2,0),"")</f>
        <v>บริษัท เฮเฟเล่ (ประเทศไทย) จำกัด</v>
      </c>
      <c r="M530" s="1" t="n">
        <f aca="false">FALSE()</f>
        <v>0</v>
      </c>
      <c r="N530" s="2"/>
      <c r="O530" s="2" t="n">
        <v>3000</v>
      </c>
    </row>
    <row r="531" customFormat="false" ht="16.4" hidden="false" customHeight="false" outlineLevel="0" collapsed="false">
      <c r="A531" s="0" t="s">
        <v>15</v>
      </c>
      <c r="B531" s="0" t="s">
        <v>3781</v>
      </c>
      <c r="C531" s="0" t="n">
        <v>114001</v>
      </c>
      <c r="D531" s="0" t="n">
        <v>114001</v>
      </c>
      <c r="E531" s="0" t="s">
        <v>961</v>
      </c>
      <c r="F531" s="0" t="s">
        <v>18</v>
      </c>
      <c r="G531" s="7" t="s">
        <v>3782</v>
      </c>
      <c r="H531" s="0" t="s">
        <v>3783</v>
      </c>
      <c r="I531" s="0" t="s">
        <v>124</v>
      </c>
      <c r="J531" s="0" t="s">
        <v>125</v>
      </c>
      <c r="K531" s="0" t="s">
        <v>89</v>
      </c>
      <c r="L531" s="0" t="str">
        <f aca="false">IFERROR(VLOOKUP(K531,'Supplier list'!B:C,2,0),"")</f>
        <v>บริษัท เฮเฟเล่ (ประเทศไทย) จำกัด</v>
      </c>
      <c r="M531" s="1" t="n">
        <f aca="false">FALSE()</f>
        <v>0</v>
      </c>
      <c r="N531" s="2"/>
      <c r="O531" s="2" t="n">
        <v>1364</v>
      </c>
    </row>
    <row r="532" customFormat="false" ht="16.4" hidden="false" customHeight="false" outlineLevel="0" collapsed="false">
      <c r="A532" s="0" t="s">
        <v>15</v>
      </c>
      <c r="B532" s="0" t="s">
        <v>3784</v>
      </c>
      <c r="C532" s="0" t="n">
        <v>114001</v>
      </c>
      <c r="D532" s="0" t="n">
        <v>114001</v>
      </c>
      <c r="E532" s="0" t="s">
        <v>1653</v>
      </c>
      <c r="F532" s="0" t="s">
        <v>18</v>
      </c>
      <c r="G532" s="7" t="s">
        <v>3785</v>
      </c>
      <c r="H532" s="0" t="s">
        <v>3786</v>
      </c>
      <c r="I532" s="0" t="s">
        <v>124</v>
      </c>
      <c r="J532" s="0" t="s">
        <v>125</v>
      </c>
      <c r="K532" s="0" t="s">
        <v>89</v>
      </c>
      <c r="L532" s="0" t="str">
        <f aca="false">IFERROR(VLOOKUP(K532,'Supplier list'!B:C,2,0),"")</f>
        <v>บริษัท เฮเฟเล่ (ประเทศไทย) จำกัด</v>
      </c>
      <c r="M532" s="1" t="n">
        <f aca="false">FALSE()</f>
        <v>0</v>
      </c>
      <c r="N532" s="2"/>
      <c r="O532" s="2" t="n">
        <v>7318</v>
      </c>
    </row>
    <row r="533" customFormat="false" ht="16.4" hidden="false" customHeight="false" outlineLevel="0" collapsed="false">
      <c r="A533" s="0" t="s">
        <v>15</v>
      </c>
      <c r="B533" s="0" t="s">
        <v>3787</v>
      </c>
      <c r="C533" s="0" t="n">
        <v>114001</v>
      </c>
      <c r="D533" s="0" t="n">
        <v>114001</v>
      </c>
      <c r="E533" s="0" t="s">
        <v>1764</v>
      </c>
      <c r="F533" s="0" t="s">
        <v>18</v>
      </c>
      <c r="G533" s="7" t="s">
        <v>3788</v>
      </c>
      <c r="H533" s="0" t="s">
        <v>3789</v>
      </c>
      <c r="I533" s="0" t="s">
        <v>21</v>
      </c>
      <c r="J533" s="0" t="s">
        <v>22</v>
      </c>
      <c r="K533" s="0" t="s">
        <v>787</v>
      </c>
      <c r="L533" s="0" t="str">
        <f aca="false">IFERROR(VLOOKUP(K533,'Supplier list'!B:C,2,0),"")</f>
        <v>บริษัท ฟิวเจอร์เทค อินเตอร์มาร์เก็ตติ้ง จำกัด</v>
      </c>
      <c r="M533" s="1" t="n">
        <f aca="false">FALSE()</f>
        <v>0</v>
      </c>
      <c r="N533" s="2"/>
      <c r="O533" s="2" t="n">
        <v>59.5</v>
      </c>
    </row>
    <row r="534" customFormat="false" ht="16.4" hidden="false" customHeight="false" outlineLevel="0" collapsed="false">
      <c r="A534" s="0" t="s">
        <v>15</v>
      </c>
      <c r="B534" s="0" t="s">
        <v>3790</v>
      </c>
      <c r="C534" s="0" t="n">
        <v>114001</v>
      </c>
      <c r="D534" s="0" t="n">
        <v>114001</v>
      </c>
      <c r="E534" s="0" t="s">
        <v>1764</v>
      </c>
      <c r="F534" s="0" t="s">
        <v>18</v>
      </c>
      <c r="G534" s="7" t="s">
        <v>3791</v>
      </c>
      <c r="H534" s="0" t="s">
        <v>3792</v>
      </c>
      <c r="I534" s="0" t="s">
        <v>21</v>
      </c>
      <c r="J534" s="0" t="s">
        <v>22</v>
      </c>
      <c r="K534" s="0" t="s">
        <v>787</v>
      </c>
      <c r="L534" s="0" t="str">
        <f aca="false">IFERROR(VLOOKUP(K534,'Supplier list'!B:C,2,0),"")</f>
        <v>บริษัท ฟิวเจอร์เทค อินเตอร์มาร์เก็ตติ้ง จำกัด</v>
      </c>
      <c r="M534" s="1" t="n">
        <f aca="false">FALSE()</f>
        <v>0</v>
      </c>
      <c r="N534" s="2"/>
      <c r="O534" s="2" t="n">
        <v>45</v>
      </c>
    </row>
    <row r="535" customFormat="false" ht="16.4" hidden="false" customHeight="false" outlineLevel="0" collapsed="false">
      <c r="A535" s="0" t="s">
        <v>15</v>
      </c>
      <c r="B535" s="0" t="s">
        <v>3793</v>
      </c>
      <c r="C535" s="0" t="n">
        <v>114001</v>
      </c>
      <c r="D535" s="0" t="n">
        <v>114001</v>
      </c>
      <c r="E535" s="0" t="s">
        <v>1634</v>
      </c>
      <c r="F535" s="0" t="s">
        <v>18</v>
      </c>
      <c r="G535" s="7" t="s">
        <v>3794</v>
      </c>
      <c r="H535" s="0" t="s">
        <v>3795</v>
      </c>
      <c r="I535" s="0" t="s">
        <v>21</v>
      </c>
      <c r="J535" s="0" t="s">
        <v>22</v>
      </c>
      <c r="K535" s="0" t="s">
        <v>89</v>
      </c>
      <c r="L535" s="0" t="str">
        <f aca="false">IFERROR(VLOOKUP(K535,'Supplier list'!B:C,2,0),"")</f>
        <v>บริษัท เฮเฟเล่ (ประเทศไทย) จำกัด</v>
      </c>
      <c r="M535" s="1" t="n">
        <f aca="false">FALSE()</f>
        <v>0</v>
      </c>
      <c r="N535" s="2"/>
      <c r="O535" s="2" t="n">
        <v>1589</v>
      </c>
    </row>
    <row r="536" customFormat="false" ht="16.4" hidden="false" customHeight="false" outlineLevel="0" collapsed="false">
      <c r="A536" s="0" t="s">
        <v>15</v>
      </c>
      <c r="B536" s="0" t="s">
        <v>3796</v>
      </c>
      <c r="C536" s="0" t="n">
        <v>114001</v>
      </c>
      <c r="D536" s="0" t="n">
        <v>114001</v>
      </c>
      <c r="E536" s="0" t="s">
        <v>1764</v>
      </c>
      <c r="F536" s="0" t="s">
        <v>18</v>
      </c>
      <c r="G536" s="7" t="s">
        <v>3797</v>
      </c>
      <c r="H536" s="0" t="s">
        <v>3798</v>
      </c>
      <c r="I536" s="0" t="s">
        <v>21</v>
      </c>
      <c r="J536" s="0" t="s">
        <v>22</v>
      </c>
      <c r="K536" s="0" t="s">
        <v>787</v>
      </c>
      <c r="L536" s="0" t="str">
        <f aca="false">IFERROR(VLOOKUP(K536,'Supplier list'!B:C,2,0),"")</f>
        <v>บริษัท ฟิวเจอร์เทค อินเตอร์มาร์เก็ตติ้ง จำกัด</v>
      </c>
      <c r="M536" s="1" t="n">
        <f aca="false">FALSE()</f>
        <v>0</v>
      </c>
      <c r="N536" s="2"/>
      <c r="O536" s="2" t="n">
        <v>52.5</v>
      </c>
    </row>
    <row r="537" customFormat="false" ht="16.4" hidden="false" customHeight="false" outlineLevel="0" collapsed="false">
      <c r="A537" s="0" t="s">
        <v>15</v>
      </c>
      <c r="B537" s="0" t="s">
        <v>3799</v>
      </c>
      <c r="C537" s="0" t="n">
        <v>114001</v>
      </c>
      <c r="D537" s="0" t="n">
        <v>114001</v>
      </c>
      <c r="E537" s="0" t="s">
        <v>3800</v>
      </c>
      <c r="F537" s="0" t="s">
        <v>18</v>
      </c>
      <c r="G537" s="7" t="s">
        <v>3801</v>
      </c>
      <c r="H537" s="0" t="s">
        <v>3802</v>
      </c>
      <c r="I537" s="0" t="s">
        <v>21</v>
      </c>
      <c r="J537" s="0" t="s">
        <v>22</v>
      </c>
      <c r="K537" s="0" t="s">
        <v>787</v>
      </c>
      <c r="L537" s="0" t="str">
        <f aca="false">IFERROR(VLOOKUP(K537,'Supplier list'!B:C,2,0),"")</f>
        <v>บริษัท ฟิวเจอร์เทค อินเตอร์มาร์เก็ตติ้ง จำกัด</v>
      </c>
      <c r="M537" s="1" t="n">
        <f aca="false">FALSE()</f>
        <v>0</v>
      </c>
      <c r="N537" s="2"/>
      <c r="O537" s="2" t="n">
        <v>56</v>
      </c>
    </row>
    <row r="538" customFormat="false" ht="16.4" hidden="false" customHeight="false" outlineLevel="0" collapsed="false">
      <c r="A538" s="0" t="s">
        <v>15</v>
      </c>
      <c r="B538" s="0" t="s">
        <v>3803</v>
      </c>
      <c r="C538" s="0" t="n">
        <v>114001</v>
      </c>
      <c r="D538" s="0" t="n">
        <v>114001</v>
      </c>
      <c r="E538" s="0" t="s">
        <v>3804</v>
      </c>
      <c r="F538" s="0" t="s">
        <v>18</v>
      </c>
      <c r="G538" s="7" t="s">
        <v>3805</v>
      </c>
      <c r="H538" s="0" t="s">
        <v>3806</v>
      </c>
      <c r="I538" s="0" t="s">
        <v>21</v>
      </c>
      <c r="J538" s="0" t="s">
        <v>22</v>
      </c>
      <c r="K538" s="0" t="s">
        <v>787</v>
      </c>
      <c r="L538" s="0" t="str">
        <f aca="false">IFERROR(VLOOKUP(K538,'Supplier list'!B:C,2,0),"")</f>
        <v>บริษัท ฟิวเจอร์เทค อินเตอร์มาร์เก็ตติ้ง จำกัด</v>
      </c>
      <c r="M538" s="1" t="n">
        <f aca="false">FALSE()</f>
        <v>0</v>
      </c>
      <c r="N538" s="2"/>
      <c r="O538" s="2" t="n">
        <v>115</v>
      </c>
    </row>
    <row r="539" customFormat="false" ht="16.4" hidden="false" customHeight="false" outlineLevel="0" collapsed="false">
      <c r="A539" s="0" t="s">
        <v>15</v>
      </c>
      <c r="B539" s="0" t="s">
        <v>3807</v>
      </c>
      <c r="C539" s="0" t="n">
        <v>114001</v>
      </c>
      <c r="D539" s="0" t="n">
        <v>114001</v>
      </c>
      <c r="E539" s="0" t="s">
        <v>1815</v>
      </c>
      <c r="F539" s="0" t="s">
        <v>18</v>
      </c>
      <c r="G539" s="7" t="s">
        <v>3808</v>
      </c>
      <c r="H539" s="0" t="s">
        <v>3809</v>
      </c>
      <c r="I539" s="0" t="s">
        <v>517</v>
      </c>
      <c r="J539" s="0" t="s">
        <v>518</v>
      </c>
      <c r="K539" s="0" t="s">
        <v>89</v>
      </c>
      <c r="L539" s="0" t="str">
        <f aca="false">IFERROR(VLOOKUP(K539,'Supplier list'!B:C,2,0),"")</f>
        <v>บริษัท เฮเฟเล่ (ประเทศไทย) จำกัด</v>
      </c>
      <c r="M539" s="1" t="n">
        <f aca="false">FALSE()</f>
        <v>0</v>
      </c>
      <c r="N539" s="2"/>
      <c r="O539" s="2" t="n">
        <v>518</v>
      </c>
    </row>
    <row r="540" customFormat="false" ht="16.4" hidden="false" customHeight="false" outlineLevel="0" collapsed="false">
      <c r="A540" s="0" t="s">
        <v>15</v>
      </c>
      <c r="B540" s="0" t="s">
        <v>3810</v>
      </c>
      <c r="C540" s="0" t="n">
        <v>114001</v>
      </c>
      <c r="D540" s="0" t="n">
        <v>114001</v>
      </c>
      <c r="E540" s="0" t="s">
        <v>1815</v>
      </c>
      <c r="F540" s="0" t="s">
        <v>18</v>
      </c>
      <c r="G540" s="7" t="s">
        <v>3811</v>
      </c>
      <c r="H540" s="0" t="s">
        <v>3812</v>
      </c>
      <c r="I540" s="0" t="s">
        <v>517</v>
      </c>
      <c r="J540" s="0" t="s">
        <v>518</v>
      </c>
      <c r="K540" s="0" t="s">
        <v>89</v>
      </c>
      <c r="L540" s="0" t="str">
        <f aca="false">IFERROR(VLOOKUP(K540,'Supplier list'!B:C,2,0),"")</f>
        <v>บริษัท เฮเฟเล่ (ประเทศไทย) จำกัด</v>
      </c>
      <c r="M540" s="1" t="n">
        <f aca="false">FALSE()</f>
        <v>0</v>
      </c>
      <c r="N540" s="2"/>
      <c r="O540" s="2" t="n">
        <v>528</v>
      </c>
    </row>
    <row r="541" customFormat="false" ht="16.4" hidden="false" customHeight="false" outlineLevel="0" collapsed="false">
      <c r="A541" s="0" t="s">
        <v>15</v>
      </c>
      <c r="B541" s="0" t="s">
        <v>3813</v>
      </c>
      <c r="C541" s="0" t="n">
        <v>114001</v>
      </c>
      <c r="D541" s="0" t="n">
        <v>114001</v>
      </c>
      <c r="E541" s="0" t="s">
        <v>1815</v>
      </c>
      <c r="F541" s="0" t="s">
        <v>18</v>
      </c>
      <c r="G541" s="7" t="s">
        <v>3814</v>
      </c>
      <c r="H541" s="0" t="s">
        <v>3815</v>
      </c>
      <c r="I541" s="0" t="s">
        <v>517</v>
      </c>
      <c r="J541" s="0" t="s">
        <v>518</v>
      </c>
      <c r="K541" s="0" t="s">
        <v>89</v>
      </c>
      <c r="L541" s="0" t="str">
        <f aca="false">IFERROR(VLOOKUP(K541,'Supplier list'!B:C,2,0),"")</f>
        <v>บริษัท เฮเฟเล่ (ประเทศไทย) จำกัด</v>
      </c>
      <c r="M541" s="1" t="n">
        <f aca="false">FALSE()</f>
        <v>0</v>
      </c>
      <c r="N541" s="2"/>
      <c r="O541" s="2" t="n">
        <v>542</v>
      </c>
    </row>
    <row r="542" customFormat="false" ht="16.4" hidden="false" customHeight="false" outlineLevel="0" collapsed="false">
      <c r="A542" s="0" t="s">
        <v>15</v>
      </c>
      <c r="B542" s="0" t="s">
        <v>3816</v>
      </c>
      <c r="C542" s="0" t="n">
        <v>114001</v>
      </c>
      <c r="D542" s="0" t="n">
        <v>114001</v>
      </c>
      <c r="E542" s="0" t="s">
        <v>961</v>
      </c>
      <c r="F542" s="0" t="s">
        <v>18</v>
      </c>
      <c r="G542" s="7" t="s">
        <v>3817</v>
      </c>
      <c r="H542" s="0" t="s">
        <v>3818</v>
      </c>
      <c r="I542" s="0" t="s">
        <v>21</v>
      </c>
      <c r="J542" s="0" t="s">
        <v>22</v>
      </c>
      <c r="K542" s="0" t="s">
        <v>89</v>
      </c>
      <c r="L542" s="0" t="str">
        <f aca="false">IFERROR(VLOOKUP(K542,'Supplier list'!B:C,2,0),"")</f>
        <v>บริษัท เฮเฟเล่ (ประเทศไทย) จำกัด</v>
      </c>
      <c r="M542" s="1" t="n">
        <f aca="false">FALSE()</f>
        <v>0</v>
      </c>
      <c r="N542" s="2"/>
      <c r="O542" s="2" t="n">
        <v>84</v>
      </c>
    </row>
    <row r="543" customFormat="false" ht="16.4" hidden="false" customHeight="false" outlineLevel="0" collapsed="false">
      <c r="A543" s="0" t="s">
        <v>15</v>
      </c>
      <c r="B543" s="0" t="s">
        <v>3819</v>
      </c>
      <c r="C543" s="0" t="n">
        <v>114001</v>
      </c>
      <c r="D543" s="0" t="n">
        <v>114001</v>
      </c>
      <c r="E543" s="0" t="s">
        <v>1727</v>
      </c>
      <c r="F543" s="0" t="s">
        <v>18</v>
      </c>
      <c r="G543" s="7" t="s">
        <v>3820</v>
      </c>
      <c r="H543" s="0" t="s">
        <v>3821</v>
      </c>
      <c r="I543" s="0" t="s">
        <v>21</v>
      </c>
      <c r="J543" s="0" t="s">
        <v>22</v>
      </c>
      <c r="K543" s="0" t="s">
        <v>787</v>
      </c>
      <c r="L543" s="0" t="str">
        <f aca="false">IFERROR(VLOOKUP(K543,'Supplier list'!B:C,2,0),"")</f>
        <v>บริษัท ฟิวเจอร์เทค อินเตอร์มาร์เก็ตติ้ง จำกัด</v>
      </c>
      <c r="M543" s="1" t="n">
        <f aca="false">FALSE()</f>
        <v>0</v>
      </c>
      <c r="N543" s="2"/>
      <c r="O543" s="2" t="n">
        <v>265</v>
      </c>
    </row>
    <row r="544" customFormat="false" ht="16.4" hidden="false" customHeight="false" outlineLevel="0" collapsed="false">
      <c r="A544" s="0" t="s">
        <v>15</v>
      </c>
      <c r="B544" s="0" t="s">
        <v>3822</v>
      </c>
      <c r="C544" s="0" t="n">
        <v>114001</v>
      </c>
      <c r="D544" s="0" t="n">
        <v>114001</v>
      </c>
      <c r="E544" s="0" t="s">
        <v>1605</v>
      </c>
      <c r="F544" s="0" t="s">
        <v>18</v>
      </c>
      <c r="G544" s="7" t="s">
        <v>3823</v>
      </c>
      <c r="H544" s="0" t="s">
        <v>3824</v>
      </c>
      <c r="I544" s="0" t="s">
        <v>124</v>
      </c>
      <c r="J544" s="0" t="s">
        <v>125</v>
      </c>
      <c r="L544" s="0" t="str">
        <f aca="false">IFERROR(VLOOKUP(K544,'Supplier list'!B:C,2,0),"")</f>
        <v/>
      </c>
      <c r="M544" s="1" t="n">
        <f aca="false">FALSE()</f>
        <v>0</v>
      </c>
      <c r="N544" s="2"/>
      <c r="O544" s="2" t="n">
        <v>0</v>
      </c>
    </row>
    <row r="545" customFormat="false" ht="16.4" hidden="false" customHeight="false" outlineLevel="0" collapsed="false">
      <c r="A545" s="0" t="s">
        <v>15</v>
      </c>
      <c r="B545" s="0" t="s">
        <v>3825</v>
      </c>
      <c r="C545" s="0" t="n">
        <v>114001</v>
      </c>
      <c r="D545" s="0" t="n">
        <v>114001</v>
      </c>
      <c r="E545" s="0" t="s">
        <v>1653</v>
      </c>
      <c r="F545" s="0" t="s">
        <v>18</v>
      </c>
      <c r="G545" s="7" t="s">
        <v>3826</v>
      </c>
      <c r="H545" s="0" t="s">
        <v>3827</v>
      </c>
      <c r="I545" s="0" t="s">
        <v>124</v>
      </c>
      <c r="J545" s="0" t="s">
        <v>125</v>
      </c>
      <c r="K545" s="0" t="s">
        <v>89</v>
      </c>
      <c r="L545" s="0" t="str">
        <f aca="false">IFERROR(VLOOKUP(K545,'Supplier list'!B:C,2,0),"")</f>
        <v>บริษัท เฮเฟเล่ (ประเทศไทย) จำกัด</v>
      </c>
      <c r="M545" s="1" t="n">
        <f aca="false">TRUE()</f>
        <v>1</v>
      </c>
      <c r="N545" s="2" t="n">
        <v>22500</v>
      </c>
      <c r="O545" s="2" t="n">
        <v>12500</v>
      </c>
    </row>
    <row r="546" customFormat="false" ht="16.4" hidden="false" customHeight="false" outlineLevel="0" collapsed="false">
      <c r="A546" s="0" t="s">
        <v>15</v>
      </c>
      <c r="B546" s="0" t="s">
        <v>3828</v>
      </c>
      <c r="C546" s="0" t="n">
        <v>114001</v>
      </c>
      <c r="D546" s="0" t="n">
        <v>114001</v>
      </c>
      <c r="E546" s="0" t="s">
        <v>1653</v>
      </c>
      <c r="F546" s="0" t="s">
        <v>18</v>
      </c>
      <c r="G546" s="7" t="s">
        <v>3829</v>
      </c>
      <c r="H546" s="0" t="s">
        <v>3830</v>
      </c>
      <c r="I546" s="0" t="s">
        <v>124</v>
      </c>
      <c r="J546" s="0" t="s">
        <v>125</v>
      </c>
      <c r="K546" s="0" t="s">
        <v>787</v>
      </c>
      <c r="L546" s="0" t="str">
        <f aca="false">IFERROR(VLOOKUP(K546,'Supplier list'!B:C,2,0),"")</f>
        <v>บริษัท ฟิวเจอร์เทค อินเตอร์มาร์เก็ตติ้ง จำกัด</v>
      </c>
      <c r="M546" s="1" t="n">
        <f aca="false">FALSE()</f>
        <v>0</v>
      </c>
      <c r="N546" s="2"/>
      <c r="O546" s="2" t="n">
        <v>525</v>
      </c>
    </row>
    <row r="547" customFormat="false" ht="16.4" hidden="false" customHeight="false" outlineLevel="0" collapsed="false">
      <c r="A547" s="0" t="s">
        <v>15</v>
      </c>
      <c r="B547" s="0" t="s">
        <v>3831</v>
      </c>
      <c r="C547" s="0" t="n">
        <v>114001</v>
      </c>
      <c r="D547" s="0" t="n">
        <v>114001</v>
      </c>
      <c r="E547" s="0" t="s">
        <v>1605</v>
      </c>
      <c r="F547" s="0" t="s">
        <v>18</v>
      </c>
      <c r="G547" s="7" t="s">
        <v>3832</v>
      </c>
      <c r="H547" s="0" t="s">
        <v>3833</v>
      </c>
      <c r="I547" s="0" t="s">
        <v>21</v>
      </c>
      <c r="J547" s="0" t="s">
        <v>22</v>
      </c>
      <c r="K547" s="0" t="s">
        <v>89</v>
      </c>
      <c r="L547" s="0" t="str">
        <f aca="false">IFERROR(VLOOKUP(K547,'Supplier list'!B:C,2,0),"")</f>
        <v>บริษัท เฮเฟเล่ (ประเทศไทย) จำกัด</v>
      </c>
      <c r="M547" s="1" t="n">
        <f aca="false">FALSE()</f>
        <v>0</v>
      </c>
      <c r="N547" s="2"/>
      <c r="O547" s="2" t="n">
        <v>1280</v>
      </c>
    </row>
    <row r="548" customFormat="false" ht="16.4" hidden="false" customHeight="false" outlineLevel="0" collapsed="false">
      <c r="A548" s="0" t="s">
        <v>15</v>
      </c>
      <c r="B548" s="0" t="s">
        <v>3834</v>
      </c>
      <c r="C548" s="0" t="n">
        <v>114001</v>
      </c>
      <c r="D548" s="0" t="n">
        <v>114001</v>
      </c>
      <c r="E548" s="0" t="s">
        <v>1815</v>
      </c>
      <c r="F548" s="0" t="s">
        <v>18</v>
      </c>
      <c r="G548" s="7" t="s">
        <v>3835</v>
      </c>
      <c r="H548" s="0" t="s">
        <v>3836</v>
      </c>
      <c r="I548" s="0" t="s">
        <v>124</v>
      </c>
      <c r="J548" s="0" t="s">
        <v>125</v>
      </c>
      <c r="K548" s="0" t="s">
        <v>89</v>
      </c>
      <c r="L548" s="0" t="str">
        <f aca="false">IFERROR(VLOOKUP(K548,'Supplier list'!B:C,2,0),"")</f>
        <v>บริษัท เฮเฟเล่ (ประเทศไทย) จำกัด</v>
      </c>
      <c r="M548" s="1" t="n">
        <f aca="false">FALSE()</f>
        <v>0</v>
      </c>
      <c r="N548" s="2"/>
      <c r="O548" s="2" t="n">
        <v>520</v>
      </c>
    </row>
    <row r="549" customFormat="false" ht="16.4" hidden="false" customHeight="false" outlineLevel="0" collapsed="false">
      <c r="A549" s="0" t="s">
        <v>15</v>
      </c>
      <c r="B549" s="0" t="s">
        <v>3837</v>
      </c>
      <c r="C549" s="0" t="n">
        <v>114001</v>
      </c>
      <c r="D549" s="0" t="n">
        <v>114001</v>
      </c>
      <c r="E549" s="0" t="s">
        <v>1815</v>
      </c>
      <c r="F549" s="0" t="s">
        <v>18</v>
      </c>
      <c r="G549" s="7" t="s">
        <v>3838</v>
      </c>
      <c r="H549" s="0" t="s">
        <v>3839</v>
      </c>
      <c r="I549" s="0" t="s">
        <v>517</v>
      </c>
      <c r="J549" s="0" t="s">
        <v>518</v>
      </c>
      <c r="K549" s="0" t="s">
        <v>89</v>
      </c>
      <c r="L549" s="0" t="str">
        <f aca="false">IFERROR(VLOOKUP(K549,'Supplier list'!B:C,2,0),"")</f>
        <v>บริษัท เฮเฟเล่ (ประเทศไทย) จำกัด</v>
      </c>
      <c r="M549" s="1" t="n">
        <f aca="false">FALSE()</f>
        <v>0</v>
      </c>
      <c r="N549" s="2"/>
      <c r="O549" s="2" t="n">
        <v>617</v>
      </c>
    </row>
    <row r="550" customFormat="false" ht="16.4" hidden="false" customHeight="false" outlineLevel="0" collapsed="false">
      <c r="A550" s="0" t="s">
        <v>15</v>
      </c>
      <c r="B550" s="0" t="s">
        <v>3840</v>
      </c>
      <c r="C550" s="0" t="n">
        <v>114001</v>
      </c>
      <c r="D550" s="0" t="n">
        <v>114001</v>
      </c>
      <c r="E550" s="0" t="s">
        <v>3558</v>
      </c>
      <c r="F550" s="0" t="s">
        <v>18</v>
      </c>
      <c r="G550" s="7" t="s">
        <v>3841</v>
      </c>
      <c r="H550" s="0" t="s">
        <v>3842</v>
      </c>
      <c r="I550" s="0" t="s">
        <v>168</v>
      </c>
      <c r="J550" s="0" t="s">
        <v>169</v>
      </c>
      <c r="K550" s="0" t="s">
        <v>787</v>
      </c>
      <c r="L550" s="0" t="str">
        <f aca="false">IFERROR(VLOOKUP(K550,'Supplier list'!B:C,2,0),"")</f>
        <v>บริษัท ฟิวเจอร์เทค อินเตอร์มาร์เก็ตติ้ง จำกัด</v>
      </c>
      <c r="M550" s="1" t="n">
        <f aca="false">FALSE()</f>
        <v>0</v>
      </c>
      <c r="N550" s="2"/>
      <c r="O550" s="2" t="n">
        <v>300</v>
      </c>
    </row>
    <row r="551" customFormat="false" ht="16.4" hidden="false" customHeight="false" outlineLevel="0" collapsed="false">
      <c r="A551" s="0" t="s">
        <v>15</v>
      </c>
      <c r="B551" s="0" t="s">
        <v>3843</v>
      </c>
      <c r="C551" s="0" t="n">
        <v>114001</v>
      </c>
      <c r="D551" s="0" t="n">
        <v>114001</v>
      </c>
      <c r="E551" s="0" t="s">
        <v>3844</v>
      </c>
      <c r="F551" s="0" t="s">
        <v>18</v>
      </c>
      <c r="G551" s="7" t="s">
        <v>3845</v>
      </c>
      <c r="H551" s="0" t="s">
        <v>3846</v>
      </c>
      <c r="I551" s="0" t="s">
        <v>124</v>
      </c>
      <c r="J551" s="0" t="s">
        <v>125</v>
      </c>
      <c r="K551" s="0" t="s">
        <v>787</v>
      </c>
      <c r="L551" s="0" t="str">
        <f aca="false">IFERROR(VLOOKUP(K551,'Supplier list'!B:C,2,0),"")</f>
        <v>บริษัท ฟิวเจอร์เทค อินเตอร์มาร์เก็ตติ้ง จำกัด</v>
      </c>
      <c r="M551" s="1" t="n">
        <f aca="false">FALSE()</f>
        <v>0</v>
      </c>
      <c r="N551" s="2"/>
      <c r="O551" s="2" t="n">
        <v>2520</v>
      </c>
    </row>
    <row r="552" customFormat="false" ht="16.4" hidden="false" customHeight="false" outlineLevel="0" collapsed="false">
      <c r="A552" s="0" t="s">
        <v>15</v>
      </c>
      <c r="B552" s="0" t="s">
        <v>3847</v>
      </c>
      <c r="C552" s="0" t="n">
        <v>114001</v>
      </c>
      <c r="D552" s="0" t="n">
        <v>114001</v>
      </c>
      <c r="E552" s="0" t="s">
        <v>1601</v>
      </c>
      <c r="F552" s="0" t="s">
        <v>18</v>
      </c>
      <c r="G552" s="7" t="s">
        <v>3848</v>
      </c>
      <c r="H552" s="0" t="s">
        <v>3849</v>
      </c>
      <c r="I552" s="0" t="s">
        <v>168</v>
      </c>
      <c r="J552" s="0" t="s">
        <v>169</v>
      </c>
      <c r="K552" s="0" t="s">
        <v>787</v>
      </c>
      <c r="L552" s="0" t="str">
        <f aca="false">IFERROR(VLOOKUP(K552,'Supplier list'!B:C,2,0),"")</f>
        <v>บริษัท ฟิวเจอร์เทค อินเตอร์มาร์เก็ตติ้ง จำกัด</v>
      </c>
      <c r="M552" s="1" t="n">
        <f aca="false">FALSE()</f>
        <v>0</v>
      </c>
      <c r="N552" s="2"/>
      <c r="O552" s="2" t="n">
        <v>360</v>
      </c>
    </row>
    <row r="553" customFormat="false" ht="16.4" hidden="false" customHeight="false" outlineLevel="0" collapsed="false">
      <c r="A553" s="0" t="s">
        <v>15</v>
      </c>
      <c r="B553" s="0" t="s">
        <v>3850</v>
      </c>
      <c r="C553" s="0" t="n">
        <v>114001</v>
      </c>
      <c r="D553" s="0" t="n">
        <v>114001</v>
      </c>
      <c r="E553" s="0" t="s">
        <v>1764</v>
      </c>
      <c r="F553" s="0" t="s">
        <v>18</v>
      </c>
      <c r="G553" s="7" t="s">
        <v>3851</v>
      </c>
      <c r="H553" s="0" t="s">
        <v>3852</v>
      </c>
      <c r="I553" s="0" t="s">
        <v>517</v>
      </c>
      <c r="J553" s="0" t="s">
        <v>518</v>
      </c>
      <c r="K553" s="0" t="s">
        <v>787</v>
      </c>
      <c r="L553" s="0" t="str">
        <f aca="false">IFERROR(VLOOKUP(K553,'Supplier list'!B:C,2,0),"")</f>
        <v>บริษัท ฟิวเจอร์เทค อินเตอร์มาร์เก็ตติ้ง จำกัด</v>
      </c>
      <c r="M553" s="1" t="n">
        <f aca="false">FALSE()</f>
        <v>0</v>
      </c>
      <c r="N553" s="2"/>
      <c r="O553" s="2" t="n">
        <v>140</v>
      </c>
    </row>
    <row r="554" customFormat="false" ht="16.4" hidden="false" customHeight="false" outlineLevel="0" collapsed="false">
      <c r="A554" s="0" t="s">
        <v>15</v>
      </c>
      <c r="B554" s="0" t="s">
        <v>3853</v>
      </c>
      <c r="C554" s="0" t="n">
        <v>114001</v>
      </c>
      <c r="D554" s="0" t="n">
        <v>114001</v>
      </c>
      <c r="E554" s="0" t="s">
        <v>961</v>
      </c>
      <c r="F554" s="0" t="s">
        <v>18</v>
      </c>
      <c r="G554" s="7" t="s">
        <v>3854</v>
      </c>
      <c r="H554" s="0" t="s">
        <v>3855</v>
      </c>
      <c r="I554" s="0" t="s">
        <v>21</v>
      </c>
      <c r="J554" s="0" t="s">
        <v>22</v>
      </c>
      <c r="K554" s="0" t="s">
        <v>787</v>
      </c>
      <c r="L554" s="0" t="str">
        <f aca="false">IFERROR(VLOOKUP(K554,'Supplier list'!B:C,2,0),"")</f>
        <v>บริษัท ฟิวเจอร์เทค อินเตอร์มาร์เก็ตติ้ง จำกัด</v>
      </c>
      <c r="M554" s="1" t="n">
        <f aca="false">FALSE()</f>
        <v>0</v>
      </c>
      <c r="N554" s="2"/>
      <c r="O554" s="2" t="n">
        <v>290</v>
      </c>
    </row>
    <row r="555" customFormat="false" ht="16.4" hidden="false" customHeight="false" outlineLevel="0" collapsed="false">
      <c r="A555" s="0" t="s">
        <v>15</v>
      </c>
      <c r="B555" s="0" t="s">
        <v>3856</v>
      </c>
      <c r="C555" s="0" t="n">
        <v>114001</v>
      </c>
      <c r="D555" s="0" t="n">
        <v>114001</v>
      </c>
      <c r="E555" s="0" t="s">
        <v>1764</v>
      </c>
      <c r="F555" s="0" t="s">
        <v>18</v>
      </c>
      <c r="G555" s="7" t="s">
        <v>3857</v>
      </c>
      <c r="H555" s="0" t="s">
        <v>3858</v>
      </c>
      <c r="I555" s="0" t="s">
        <v>21</v>
      </c>
      <c r="J555" s="0" t="s">
        <v>22</v>
      </c>
      <c r="K555" s="0" t="s">
        <v>787</v>
      </c>
      <c r="L555" s="0" t="str">
        <f aca="false">IFERROR(VLOOKUP(K555,'Supplier list'!B:C,2,0),"")</f>
        <v>บริษัท ฟิวเจอร์เทค อินเตอร์มาร์เก็ตติ้ง จำกัด</v>
      </c>
      <c r="M555" s="1" t="n">
        <f aca="false">FALSE()</f>
        <v>0</v>
      </c>
      <c r="N555" s="2"/>
      <c r="O555" s="2" t="n">
        <v>70</v>
      </c>
    </row>
    <row r="556" customFormat="false" ht="16.4" hidden="false" customHeight="false" outlineLevel="0" collapsed="false">
      <c r="A556" s="0" t="s">
        <v>15</v>
      </c>
      <c r="B556" s="0" t="s">
        <v>3859</v>
      </c>
      <c r="C556" s="0" t="n">
        <v>114001</v>
      </c>
      <c r="D556" s="0" t="n">
        <v>114001</v>
      </c>
      <c r="E556" s="0" t="s">
        <v>3860</v>
      </c>
      <c r="F556" s="0" t="s">
        <v>18</v>
      </c>
      <c r="G556" s="7" t="s">
        <v>3861</v>
      </c>
      <c r="H556" s="0" t="s">
        <v>3862</v>
      </c>
      <c r="I556" s="0" t="s">
        <v>21</v>
      </c>
      <c r="J556" s="0" t="s">
        <v>22</v>
      </c>
      <c r="K556" s="0" t="s">
        <v>787</v>
      </c>
      <c r="L556" s="0" t="str">
        <f aca="false">IFERROR(VLOOKUP(K556,'Supplier list'!B:C,2,0),"")</f>
        <v>บริษัท ฟิวเจอร์เทค อินเตอร์มาร์เก็ตติ้ง จำกัด</v>
      </c>
      <c r="M556" s="1" t="n">
        <f aca="false">FALSE()</f>
        <v>0</v>
      </c>
      <c r="N556" s="2"/>
      <c r="O556" s="2" t="n">
        <v>49</v>
      </c>
    </row>
    <row r="557" customFormat="false" ht="16.4" hidden="false" customHeight="false" outlineLevel="0" collapsed="false">
      <c r="A557" s="0" t="s">
        <v>15</v>
      </c>
      <c r="B557" s="0" t="s">
        <v>3863</v>
      </c>
      <c r="C557" s="0" t="n">
        <v>114001</v>
      </c>
      <c r="D557" s="0" t="n">
        <v>114001</v>
      </c>
      <c r="E557" s="0" t="s">
        <v>1815</v>
      </c>
      <c r="F557" s="0" t="s">
        <v>18</v>
      </c>
      <c r="G557" s="7" t="s">
        <v>3864</v>
      </c>
      <c r="H557" s="0" t="s">
        <v>3865</v>
      </c>
      <c r="I557" s="0" t="s">
        <v>517</v>
      </c>
      <c r="J557" s="0" t="s">
        <v>518</v>
      </c>
      <c r="K557" s="0" t="s">
        <v>89</v>
      </c>
      <c r="L557" s="0" t="str">
        <f aca="false">IFERROR(VLOOKUP(K557,'Supplier list'!B:C,2,0),"")</f>
        <v>บริษัท เฮเฟเล่ (ประเทศไทย) จำกัด</v>
      </c>
      <c r="M557" s="1" t="n">
        <f aca="false">TRUE()</f>
        <v>1</v>
      </c>
      <c r="N557" s="2" t="n">
        <v>2000</v>
      </c>
      <c r="O557" s="2" t="n">
        <v>823</v>
      </c>
    </row>
    <row r="558" customFormat="false" ht="16.4" hidden="false" customHeight="false" outlineLevel="0" collapsed="false">
      <c r="A558" s="0" t="s">
        <v>15</v>
      </c>
      <c r="B558" s="0" t="s">
        <v>3866</v>
      </c>
      <c r="C558" s="0" t="n">
        <v>114001</v>
      </c>
      <c r="D558" s="0" t="n">
        <v>114001</v>
      </c>
      <c r="E558" s="0" t="s">
        <v>1815</v>
      </c>
      <c r="F558" s="0" t="s">
        <v>18</v>
      </c>
      <c r="G558" s="7" t="s">
        <v>3867</v>
      </c>
      <c r="H558" s="0" t="s">
        <v>3868</v>
      </c>
      <c r="I558" s="0" t="s">
        <v>517</v>
      </c>
      <c r="J558" s="0" t="s">
        <v>518</v>
      </c>
      <c r="K558" s="0" t="s">
        <v>89</v>
      </c>
      <c r="L558" s="0" t="str">
        <f aca="false">IFERROR(VLOOKUP(K558,'Supplier list'!B:C,2,0),"")</f>
        <v>บริษัท เฮเฟเล่ (ประเทศไทย) จำกัด</v>
      </c>
      <c r="M558" s="1" t="n">
        <f aca="false">TRUE()</f>
        <v>1</v>
      </c>
      <c r="N558" s="2" t="n">
        <v>2200</v>
      </c>
      <c r="O558" s="2" t="n">
        <v>879</v>
      </c>
    </row>
    <row r="559" customFormat="false" ht="16.4" hidden="false" customHeight="false" outlineLevel="0" collapsed="false">
      <c r="A559" s="0" t="s">
        <v>15</v>
      </c>
      <c r="B559" s="0" t="s">
        <v>3869</v>
      </c>
      <c r="C559" s="0" t="n">
        <v>114001</v>
      </c>
      <c r="D559" s="0" t="n">
        <v>114001</v>
      </c>
      <c r="E559" s="0" t="s">
        <v>267</v>
      </c>
      <c r="F559" s="0" t="s">
        <v>18</v>
      </c>
      <c r="G559" s="7" t="s">
        <v>3870</v>
      </c>
      <c r="H559" s="0" t="s">
        <v>3871</v>
      </c>
      <c r="I559" s="0" t="s">
        <v>124</v>
      </c>
      <c r="J559" s="0" t="s">
        <v>125</v>
      </c>
      <c r="K559" s="0" t="s">
        <v>89</v>
      </c>
      <c r="L559" s="0" t="str">
        <f aca="false">IFERROR(VLOOKUP(K559,'Supplier list'!B:C,2,0),"")</f>
        <v>บริษัท เฮเฟเล่ (ประเทศไทย) จำกัด</v>
      </c>
      <c r="M559" s="1" t="n">
        <f aca="false">FALSE()</f>
        <v>0</v>
      </c>
      <c r="N559" s="2" t="n">
        <v>1500</v>
      </c>
      <c r="O559" s="2" t="n">
        <v>853.6</v>
      </c>
    </row>
    <row r="560" customFormat="false" ht="16.4" hidden="false" customHeight="false" outlineLevel="0" collapsed="false">
      <c r="A560" s="0" t="s">
        <v>15</v>
      </c>
      <c r="B560" s="0" t="s">
        <v>3872</v>
      </c>
      <c r="C560" s="0" t="n">
        <v>114001</v>
      </c>
      <c r="D560" s="0" t="n">
        <v>114001</v>
      </c>
      <c r="E560" s="0" t="s">
        <v>267</v>
      </c>
      <c r="F560" s="0" t="s">
        <v>18</v>
      </c>
      <c r="G560" s="7" t="s">
        <v>3873</v>
      </c>
      <c r="H560" s="0" t="s">
        <v>3874</v>
      </c>
      <c r="I560" s="0" t="s">
        <v>124</v>
      </c>
      <c r="J560" s="0" t="s">
        <v>125</v>
      </c>
      <c r="K560" s="0" t="s">
        <v>89</v>
      </c>
      <c r="L560" s="0" t="str">
        <f aca="false">IFERROR(VLOOKUP(K560,'Supplier list'!B:C,2,0),"")</f>
        <v>บริษัท เฮเฟเล่ (ประเทศไทย) จำกัด</v>
      </c>
      <c r="M560" s="1" t="n">
        <f aca="false">TRUE()</f>
        <v>1</v>
      </c>
      <c r="N560" s="2" t="n">
        <v>1900</v>
      </c>
      <c r="O560" s="2" t="n">
        <v>1748</v>
      </c>
    </row>
    <row r="561" customFormat="false" ht="16.4" hidden="false" customHeight="false" outlineLevel="0" collapsed="false">
      <c r="A561" s="0" t="s">
        <v>15</v>
      </c>
      <c r="B561" s="0" t="s">
        <v>3875</v>
      </c>
      <c r="C561" s="0" t="n">
        <v>114001</v>
      </c>
      <c r="D561" s="0" t="n">
        <v>114001</v>
      </c>
      <c r="E561" s="0" t="s">
        <v>1684</v>
      </c>
      <c r="F561" s="0" t="s">
        <v>18</v>
      </c>
      <c r="G561" s="7" t="s">
        <v>3876</v>
      </c>
      <c r="H561" s="0" t="s">
        <v>3876</v>
      </c>
      <c r="I561" s="0" t="s">
        <v>248</v>
      </c>
      <c r="J561" s="0" t="s">
        <v>249</v>
      </c>
      <c r="K561" s="0" t="s">
        <v>89</v>
      </c>
      <c r="L561" s="0" t="str">
        <f aca="false">IFERROR(VLOOKUP(K561,'Supplier list'!B:C,2,0),"")</f>
        <v>บริษัท เฮเฟเล่ (ประเทศไทย) จำกัด</v>
      </c>
      <c r="M561" s="1" t="n">
        <f aca="false">TRUE()</f>
        <v>1</v>
      </c>
      <c r="N561" s="2" t="n">
        <v>1900</v>
      </c>
      <c r="O561" s="2" t="n">
        <f aca="false">3113/5</f>
        <v>622.6</v>
      </c>
    </row>
    <row r="562" customFormat="false" ht="16.4" hidden="false" customHeight="false" outlineLevel="0" collapsed="false">
      <c r="A562" s="0" t="s">
        <v>15</v>
      </c>
      <c r="B562" s="0" t="s">
        <v>3877</v>
      </c>
      <c r="C562" s="0" t="n">
        <v>114001</v>
      </c>
      <c r="D562" s="0" t="n">
        <v>114001</v>
      </c>
      <c r="E562" s="0" t="s">
        <v>1815</v>
      </c>
      <c r="F562" s="0" t="s">
        <v>18</v>
      </c>
      <c r="G562" s="7" t="s">
        <v>3878</v>
      </c>
      <c r="H562" s="0" t="s">
        <v>3879</v>
      </c>
      <c r="I562" s="0" t="s">
        <v>517</v>
      </c>
      <c r="J562" s="0" t="s">
        <v>518</v>
      </c>
      <c r="K562" s="0" t="s">
        <v>89</v>
      </c>
      <c r="L562" s="0" t="str">
        <f aca="false">IFERROR(VLOOKUP(K562,'Supplier list'!B:C,2,0),"")</f>
        <v>บริษัท เฮเฟเล่ (ประเทศไทย) จำกัด</v>
      </c>
      <c r="M562" s="1" t="n">
        <f aca="false">TRUE()</f>
        <v>1</v>
      </c>
      <c r="N562" s="2" t="n">
        <v>1800</v>
      </c>
      <c r="O562" s="2" t="n">
        <v>711</v>
      </c>
    </row>
    <row r="563" customFormat="false" ht="16.4" hidden="false" customHeight="false" outlineLevel="0" collapsed="false">
      <c r="A563" s="0" t="s">
        <v>15</v>
      </c>
      <c r="B563" s="0" t="s">
        <v>3880</v>
      </c>
      <c r="C563" s="0" t="n">
        <v>114001</v>
      </c>
      <c r="D563" s="0" t="n">
        <v>114001</v>
      </c>
      <c r="E563" s="0" t="s">
        <v>1815</v>
      </c>
      <c r="F563" s="0" t="s">
        <v>18</v>
      </c>
      <c r="G563" s="7" t="s">
        <v>3881</v>
      </c>
      <c r="H563" s="0" t="s">
        <v>3881</v>
      </c>
      <c r="I563" s="0" t="s">
        <v>517</v>
      </c>
      <c r="J563" s="0" t="s">
        <v>518</v>
      </c>
      <c r="K563" s="0" t="s">
        <v>89</v>
      </c>
      <c r="L563" s="0" t="str">
        <f aca="false">IFERROR(VLOOKUP(K563,'Supplier list'!B:C,2,0),"")</f>
        <v>บริษัท เฮเฟเล่ (ประเทศไทย) จำกัด</v>
      </c>
      <c r="M563" s="1" t="n">
        <f aca="false">FALSE()</f>
        <v>0</v>
      </c>
      <c r="N563" s="2"/>
      <c r="O563" s="2" t="n">
        <v>520</v>
      </c>
    </row>
    <row r="564" customFormat="false" ht="16.4" hidden="false" customHeight="false" outlineLevel="0" collapsed="false">
      <c r="A564" s="0" t="s">
        <v>15</v>
      </c>
      <c r="B564" s="0" t="s">
        <v>3882</v>
      </c>
      <c r="C564" s="0" t="n">
        <v>114001</v>
      </c>
      <c r="D564" s="0" t="n">
        <v>114001</v>
      </c>
      <c r="E564" s="0" t="s">
        <v>1891</v>
      </c>
      <c r="F564" s="0" t="s">
        <v>18</v>
      </c>
      <c r="G564" s="7" t="s">
        <v>3883</v>
      </c>
      <c r="H564" s="0" t="s">
        <v>3884</v>
      </c>
      <c r="I564" s="0" t="s">
        <v>21</v>
      </c>
      <c r="J564" s="0" t="s">
        <v>22</v>
      </c>
      <c r="K564" s="0" t="s">
        <v>89</v>
      </c>
      <c r="L564" s="0" t="str">
        <f aca="false">IFERROR(VLOOKUP(K564,'Supplier list'!B:C,2,0),"")</f>
        <v>บริษัท เฮเฟเล่ (ประเทศไทย) จำกัด</v>
      </c>
      <c r="M564" s="1" t="n">
        <f aca="false">FALSE()</f>
        <v>0</v>
      </c>
      <c r="N564" s="2"/>
      <c r="O564" s="2" t="n">
        <v>60</v>
      </c>
    </row>
    <row r="565" customFormat="false" ht="16.4" hidden="false" customHeight="false" outlineLevel="0" collapsed="false">
      <c r="A565" s="0" t="s">
        <v>15</v>
      </c>
      <c r="B565" s="0" t="s">
        <v>3885</v>
      </c>
      <c r="C565" s="0" t="n">
        <v>114001</v>
      </c>
      <c r="D565" s="0" t="n">
        <v>114001</v>
      </c>
      <c r="E565" s="0" t="s">
        <v>3886</v>
      </c>
      <c r="F565" s="0" t="s">
        <v>18</v>
      </c>
      <c r="G565" s="7" t="s">
        <v>3887</v>
      </c>
      <c r="H565" s="0" t="s">
        <v>3888</v>
      </c>
      <c r="I565" s="0" t="s">
        <v>517</v>
      </c>
      <c r="J565" s="0" t="s">
        <v>518</v>
      </c>
      <c r="K565" s="0" t="s">
        <v>89</v>
      </c>
      <c r="L565" s="0" t="str">
        <f aca="false">IFERROR(VLOOKUP(K565,'Supplier list'!B:C,2,0),"")</f>
        <v>บริษัท เฮเฟเล่ (ประเทศไทย) จำกัด</v>
      </c>
      <c r="M565" s="1" t="n">
        <f aca="false">FALSE()</f>
        <v>0</v>
      </c>
      <c r="N565" s="2"/>
      <c r="O565" s="2" t="n">
        <v>281</v>
      </c>
    </row>
    <row r="566" customFormat="false" ht="16.4" hidden="false" customHeight="false" outlineLevel="0" collapsed="false">
      <c r="A566" s="0" t="s">
        <v>15</v>
      </c>
      <c r="B566" s="0" t="s">
        <v>3889</v>
      </c>
      <c r="C566" s="0" t="n">
        <v>114001</v>
      </c>
      <c r="D566" s="0" t="n">
        <v>114001</v>
      </c>
      <c r="E566" s="0" t="s">
        <v>3886</v>
      </c>
      <c r="F566" s="0" t="s">
        <v>18</v>
      </c>
      <c r="G566" s="7" t="s">
        <v>3890</v>
      </c>
      <c r="H566" s="0" t="s">
        <v>3891</v>
      </c>
      <c r="I566" s="0" t="s">
        <v>21</v>
      </c>
      <c r="J566" s="0" t="s">
        <v>22</v>
      </c>
      <c r="K566" s="0" t="s">
        <v>89</v>
      </c>
      <c r="L566" s="0" t="str">
        <f aca="false">IFERROR(VLOOKUP(K566,'Supplier list'!B:C,2,0),"")</f>
        <v>บริษัท เฮเฟเล่ (ประเทศไทย) จำกัด</v>
      </c>
      <c r="M566" s="1" t="n">
        <f aca="false">FALSE()</f>
        <v>0</v>
      </c>
      <c r="N566" s="2"/>
      <c r="O566" s="2" t="n">
        <v>290</v>
      </c>
    </row>
    <row r="567" customFormat="false" ht="16.4" hidden="false" customHeight="false" outlineLevel="0" collapsed="false">
      <c r="A567" s="0" t="s">
        <v>15</v>
      </c>
      <c r="B567" s="0" t="s">
        <v>3892</v>
      </c>
      <c r="C567" s="0" t="n">
        <v>114001</v>
      </c>
      <c r="D567" s="0" t="n">
        <v>114001</v>
      </c>
      <c r="E567" s="0" t="s">
        <v>3886</v>
      </c>
      <c r="F567" s="0" t="s">
        <v>18</v>
      </c>
      <c r="G567" s="7" t="s">
        <v>3893</v>
      </c>
      <c r="H567" s="0" t="s">
        <v>3894</v>
      </c>
      <c r="I567" s="0" t="s">
        <v>21</v>
      </c>
      <c r="J567" s="0" t="s">
        <v>22</v>
      </c>
      <c r="K567" s="0" t="s">
        <v>89</v>
      </c>
      <c r="L567" s="0" t="str">
        <f aca="false">IFERROR(VLOOKUP(K567,'Supplier list'!B:C,2,0),"")</f>
        <v>บริษัท เฮเฟเล่ (ประเทศไทย) จำกัด</v>
      </c>
      <c r="M567" s="1" t="n">
        <f aca="false">FALSE()</f>
        <v>0</v>
      </c>
      <c r="N567" s="2"/>
      <c r="O567" s="2" t="n">
        <v>113</v>
      </c>
    </row>
    <row r="568" customFormat="false" ht="16.4" hidden="false" customHeight="false" outlineLevel="0" collapsed="false">
      <c r="A568" s="0" t="s">
        <v>15</v>
      </c>
      <c r="B568" s="0" t="s">
        <v>3895</v>
      </c>
      <c r="C568" s="0" t="n">
        <v>114001</v>
      </c>
      <c r="D568" s="0" t="n">
        <v>114001</v>
      </c>
      <c r="E568" s="0" t="s">
        <v>2596</v>
      </c>
      <c r="F568" s="0" t="s">
        <v>18</v>
      </c>
      <c r="G568" s="7" t="s">
        <v>3896</v>
      </c>
      <c r="H568" s="0" t="s">
        <v>3897</v>
      </c>
      <c r="I568" s="0" t="s">
        <v>21</v>
      </c>
      <c r="J568" s="0" t="s">
        <v>22</v>
      </c>
      <c r="K568" s="0" t="s">
        <v>89</v>
      </c>
      <c r="L568" s="0" t="str">
        <f aca="false">IFERROR(VLOOKUP(K568,'Supplier list'!B:C,2,0),"")</f>
        <v>บริษัท เฮเฟเล่ (ประเทศไทย) จำกัด</v>
      </c>
      <c r="M568" s="1" t="n">
        <f aca="false">FALSE()</f>
        <v>0</v>
      </c>
      <c r="N568" s="2"/>
      <c r="O568" s="2" t="n">
        <v>439</v>
      </c>
    </row>
    <row r="569" customFormat="false" ht="16.4" hidden="false" customHeight="false" outlineLevel="0" collapsed="false">
      <c r="A569" s="0" t="s">
        <v>15</v>
      </c>
      <c r="B569" s="0" t="s">
        <v>3898</v>
      </c>
      <c r="C569" s="0" t="n">
        <v>114001</v>
      </c>
      <c r="D569" s="0" t="n">
        <v>114001</v>
      </c>
      <c r="E569" s="0" t="s">
        <v>1815</v>
      </c>
      <c r="F569" s="0" t="s">
        <v>18</v>
      </c>
      <c r="G569" s="7" t="s">
        <v>3899</v>
      </c>
      <c r="H569" s="0" t="s">
        <v>3900</v>
      </c>
      <c r="I569" s="0" t="s">
        <v>517</v>
      </c>
      <c r="J569" s="0" t="s">
        <v>518</v>
      </c>
      <c r="K569" s="0" t="s">
        <v>89</v>
      </c>
      <c r="L569" s="0" t="str">
        <f aca="false">IFERROR(VLOOKUP(K569,'Supplier list'!B:C,2,0),"")</f>
        <v>บริษัท เฮเฟเล่ (ประเทศไทย) จำกัด</v>
      </c>
      <c r="M569" s="1" t="n">
        <f aca="false">FALSE()</f>
        <v>0</v>
      </c>
      <c r="N569" s="2"/>
      <c r="O569" s="2" t="n">
        <v>588</v>
      </c>
    </row>
    <row r="570" customFormat="false" ht="16.4" hidden="false" customHeight="false" outlineLevel="0" collapsed="false">
      <c r="A570" s="0" t="s">
        <v>15</v>
      </c>
      <c r="B570" s="0" t="s">
        <v>3901</v>
      </c>
      <c r="C570" s="0" t="n">
        <v>114001</v>
      </c>
      <c r="D570" s="0" t="n">
        <v>114001</v>
      </c>
      <c r="E570" s="0" t="s">
        <v>1764</v>
      </c>
      <c r="F570" s="0" t="s">
        <v>18</v>
      </c>
      <c r="G570" s="7" t="s">
        <v>3902</v>
      </c>
      <c r="H570" s="0" t="s">
        <v>3903</v>
      </c>
      <c r="I570" s="0" t="s">
        <v>21</v>
      </c>
      <c r="J570" s="0" t="s">
        <v>22</v>
      </c>
      <c r="K570" s="0" t="s">
        <v>787</v>
      </c>
      <c r="L570" s="0" t="str">
        <f aca="false">IFERROR(VLOOKUP(K570,'Supplier list'!B:C,2,0),"")</f>
        <v>บริษัท ฟิวเจอร์เทค อินเตอร์มาร์เก็ตติ้ง จำกัด</v>
      </c>
      <c r="M570" s="1" t="n">
        <f aca="false">FALSE()</f>
        <v>0</v>
      </c>
      <c r="N570" s="2"/>
      <c r="O570" s="2" t="n">
        <v>38.5</v>
      </c>
    </row>
    <row r="571" customFormat="false" ht="16.4" hidden="false" customHeight="false" outlineLevel="0" collapsed="false">
      <c r="A571" s="0" t="s">
        <v>15</v>
      </c>
      <c r="B571" s="0" t="s">
        <v>3904</v>
      </c>
      <c r="C571" s="0" t="n">
        <v>114001</v>
      </c>
      <c r="D571" s="0" t="n">
        <v>114001</v>
      </c>
      <c r="E571" s="0" t="s">
        <v>1764</v>
      </c>
      <c r="F571" s="0" t="s">
        <v>18</v>
      </c>
      <c r="G571" s="7" t="s">
        <v>3905</v>
      </c>
      <c r="H571" s="0" t="s">
        <v>3906</v>
      </c>
      <c r="I571" s="0" t="s">
        <v>21</v>
      </c>
      <c r="J571" s="0" t="s">
        <v>22</v>
      </c>
      <c r="K571" s="0" t="s">
        <v>787</v>
      </c>
      <c r="L571" s="0" t="str">
        <f aca="false">IFERROR(VLOOKUP(K571,'Supplier list'!B:C,2,0),"")</f>
        <v>บริษัท ฟิวเจอร์เทค อินเตอร์มาร์เก็ตติ้ง จำกัด</v>
      </c>
      <c r="M571" s="1" t="n">
        <f aca="false">FALSE()</f>
        <v>0</v>
      </c>
      <c r="N571" s="2"/>
      <c r="O571" s="2" t="n">
        <v>12</v>
      </c>
    </row>
    <row r="572" customFormat="false" ht="16.4" hidden="false" customHeight="false" outlineLevel="0" collapsed="false">
      <c r="A572" s="0" t="s">
        <v>15</v>
      </c>
      <c r="B572" s="0" t="s">
        <v>3907</v>
      </c>
      <c r="C572" s="0" t="n">
        <v>114001</v>
      </c>
      <c r="D572" s="0" t="n">
        <v>114001</v>
      </c>
      <c r="E572" s="0" t="s">
        <v>2596</v>
      </c>
      <c r="F572" s="0" t="s">
        <v>18</v>
      </c>
      <c r="G572" s="7" t="s">
        <v>3908</v>
      </c>
      <c r="H572" s="0" t="s">
        <v>3909</v>
      </c>
      <c r="I572" s="0" t="s">
        <v>21</v>
      </c>
      <c r="J572" s="0" t="s">
        <v>22</v>
      </c>
      <c r="K572" s="0" t="s">
        <v>89</v>
      </c>
      <c r="L572" s="0" t="str">
        <f aca="false">IFERROR(VLOOKUP(K572,'Supplier list'!B:C,2,0),"")</f>
        <v>บริษัท เฮเฟเล่ (ประเทศไทย) จำกัด</v>
      </c>
      <c r="M572" s="1" t="n">
        <f aca="false">FALSE()</f>
        <v>0</v>
      </c>
      <c r="N572" s="2"/>
      <c r="O572" s="2" t="n">
        <v>440</v>
      </c>
    </row>
    <row r="573" customFormat="false" ht="16.4" hidden="false" customHeight="false" outlineLevel="0" collapsed="false">
      <c r="A573" s="0" t="s">
        <v>15</v>
      </c>
      <c r="B573" s="0" t="s">
        <v>3910</v>
      </c>
      <c r="C573" s="0" t="n">
        <v>114001</v>
      </c>
      <c r="D573" s="0" t="n">
        <v>114001</v>
      </c>
      <c r="E573" s="0" t="s">
        <v>1727</v>
      </c>
      <c r="F573" s="0" t="s">
        <v>18</v>
      </c>
      <c r="G573" s="7" t="s">
        <v>3911</v>
      </c>
      <c r="H573" s="0" t="s">
        <v>3912</v>
      </c>
      <c r="I573" s="0" t="s">
        <v>21</v>
      </c>
      <c r="J573" s="0" t="s">
        <v>22</v>
      </c>
      <c r="K573" s="0" t="s">
        <v>787</v>
      </c>
      <c r="L573" s="0" t="str">
        <f aca="false">IFERROR(VLOOKUP(K573,'Supplier list'!B:C,2,0),"")</f>
        <v>บริษัท ฟิวเจอร์เทค อินเตอร์มาร์เก็ตติ้ง จำกัด</v>
      </c>
      <c r="M573" s="1" t="n">
        <f aca="false">FALSE()</f>
        <v>0</v>
      </c>
      <c r="N573" s="2"/>
      <c r="O573" s="2" t="n">
        <v>220</v>
      </c>
    </row>
    <row r="574" customFormat="false" ht="16.4" hidden="false" customHeight="false" outlineLevel="0" collapsed="false">
      <c r="A574" s="0" t="s">
        <v>15</v>
      </c>
      <c r="B574" s="0" t="s">
        <v>3913</v>
      </c>
      <c r="C574" s="0" t="n">
        <v>114001</v>
      </c>
      <c r="D574" s="0" t="n">
        <v>114001</v>
      </c>
      <c r="E574" s="0" t="s">
        <v>3914</v>
      </c>
      <c r="F574" s="0" t="s">
        <v>18</v>
      </c>
      <c r="G574" s="7" t="s">
        <v>3915</v>
      </c>
      <c r="H574" s="0" t="s">
        <v>3916</v>
      </c>
      <c r="I574" s="0" t="s">
        <v>21</v>
      </c>
      <c r="J574" s="0" t="s">
        <v>22</v>
      </c>
      <c r="K574" s="0" t="s">
        <v>787</v>
      </c>
      <c r="L574" s="0" t="str">
        <f aca="false">IFERROR(VLOOKUP(K574,'Supplier list'!B:C,2,0),"")</f>
        <v>บริษัท ฟิวเจอร์เทค อินเตอร์มาร์เก็ตติ้ง จำกัด</v>
      </c>
      <c r="M574" s="1" t="n">
        <f aca="false">FALSE()</f>
        <v>0</v>
      </c>
      <c r="N574" s="2"/>
      <c r="O574" s="2" t="n">
        <v>140</v>
      </c>
    </row>
    <row r="575" customFormat="false" ht="16.4" hidden="false" customHeight="false" outlineLevel="0" collapsed="false">
      <c r="A575" s="0" t="s">
        <v>15</v>
      </c>
      <c r="B575" s="0" t="s">
        <v>3917</v>
      </c>
      <c r="C575" s="0" t="n">
        <v>114001</v>
      </c>
      <c r="D575" s="0" t="n">
        <v>114001</v>
      </c>
      <c r="E575" s="0" t="s">
        <v>1653</v>
      </c>
      <c r="F575" s="0" t="s">
        <v>18</v>
      </c>
      <c r="G575" s="7" t="s">
        <v>3918</v>
      </c>
      <c r="H575" s="0" t="s">
        <v>3919</v>
      </c>
      <c r="I575" s="0" t="s">
        <v>21</v>
      </c>
      <c r="J575" s="0" t="s">
        <v>22</v>
      </c>
      <c r="K575" s="0" t="s">
        <v>89</v>
      </c>
      <c r="L575" s="0" t="str">
        <f aca="false">IFERROR(VLOOKUP(K575,'Supplier list'!B:C,2,0),"")</f>
        <v>บริษัท เฮเฟเล่ (ประเทศไทย) จำกัด</v>
      </c>
      <c r="M575" s="1" t="n">
        <f aca="false">FALSE()</f>
        <v>0</v>
      </c>
      <c r="N575" s="2"/>
      <c r="O575" s="2" t="n">
        <v>2300</v>
      </c>
    </row>
    <row r="576" customFormat="false" ht="16.4" hidden="false" customHeight="false" outlineLevel="0" collapsed="false">
      <c r="A576" s="0" t="s">
        <v>15</v>
      </c>
      <c r="B576" s="0" t="s">
        <v>3920</v>
      </c>
      <c r="C576" s="0" t="n">
        <v>114001</v>
      </c>
      <c r="D576" s="0" t="n">
        <v>114001</v>
      </c>
      <c r="E576" s="0" t="s">
        <v>298</v>
      </c>
      <c r="F576" s="0" t="s">
        <v>18</v>
      </c>
      <c r="G576" s="7" t="s">
        <v>3921</v>
      </c>
      <c r="H576" s="0" t="s">
        <v>3922</v>
      </c>
      <c r="I576" s="0" t="s">
        <v>301</v>
      </c>
      <c r="J576" s="0" t="s">
        <v>302</v>
      </c>
      <c r="L576" s="0" t="str">
        <f aca="false">IFERROR(VLOOKUP(K576,'Supplier list'!B:C,2,0),"")</f>
        <v/>
      </c>
      <c r="M576" s="1" t="n">
        <f aca="false">FALSE()</f>
        <v>0</v>
      </c>
      <c r="N576" s="2"/>
      <c r="O576" s="2" t="n">
        <v>0</v>
      </c>
    </row>
    <row r="577" customFormat="false" ht="16.4" hidden="false" customHeight="false" outlineLevel="0" collapsed="false">
      <c r="A577" s="0" t="s">
        <v>15</v>
      </c>
      <c r="B577" s="0" t="s">
        <v>3923</v>
      </c>
      <c r="C577" s="0" t="n">
        <v>114001</v>
      </c>
      <c r="D577" s="0" t="n">
        <v>114001</v>
      </c>
      <c r="E577" s="0" t="s">
        <v>298</v>
      </c>
      <c r="F577" s="0" t="s">
        <v>18</v>
      </c>
      <c r="G577" s="7" t="s">
        <v>3924</v>
      </c>
      <c r="H577" s="0" t="s">
        <v>3925</v>
      </c>
      <c r="I577" s="0" t="s">
        <v>301</v>
      </c>
      <c r="J577" s="0" t="s">
        <v>302</v>
      </c>
      <c r="L577" s="0" t="str">
        <f aca="false">IFERROR(VLOOKUP(K577,'Supplier list'!B:C,2,0),"")</f>
        <v/>
      </c>
      <c r="M577" s="1" t="n">
        <f aca="false">FALSE()</f>
        <v>0</v>
      </c>
      <c r="N577" s="2"/>
      <c r="O577" s="2" t="n">
        <v>0</v>
      </c>
    </row>
    <row r="578" customFormat="false" ht="16.4" hidden="false" customHeight="false" outlineLevel="0" collapsed="false">
      <c r="A578" s="0" t="s">
        <v>15</v>
      </c>
      <c r="B578" s="0" t="s">
        <v>3926</v>
      </c>
      <c r="C578" s="0" t="n">
        <v>114001</v>
      </c>
      <c r="D578" s="0" t="n">
        <v>114001</v>
      </c>
      <c r="E578" s="0" t="s">
        <v>298</v>
      </c>
      <c r="F578" s="0" t="s">
        <v>18</v>
      </c>
      <c r="G578" s="7" t="s">
        <v>3927</v>
      </c>
      <c r="H578" s="0" t="s">
        <v>3928</v>
      </c>
      <c r="I578" s="0" t="s">
        <v>301</v>
      </c>
      <c r="J578" s="0" t="s">
        <v>302</v>
      </c>
      <c r="L578" s="0" t="str">
        <f aca="false">IFERROR(VLOOKUP(K578,'Supplier list'!B:C,2,0),"")</f>
        <v/>
      </c>
      <c r="M578" s="1" t="n">
        <f aca="false">FALSE()</f>
        <v>0</v>
      </c>
      <c r="N578" s="2"/>
      <c r="O578" s="2" t="n">
        <v>0</v>
      </c>
    </row>
    <row r="579" customFormat="false" ht="16.4" hidden="false" customHeight="false" outlineLevel="0" collapsed="false">
      <c r="A579" s="0" t="s">
        <v>15</v>
      </c>
      <c r="B579" s="0" t="s">
        <v>3929</v>
      </c>
      <c r="C579" s="0" t="n">
        <v>114001</v>
      </c>
      <c r="D579" s="0" t="n">
        <v>114001</v>
      </c>
      <c r="E579" s="0" t="s">
        <v>298</v>
      </c>
      <c r="F579" s="0" t="s">
        <v>18</v>
      </c>
      <c r="G579" s="7" t="s">
        <v>3930</v>
      </c>
      <c r="H579" s="0" t="s">
        <v>3931</v>
      </c>
      <c r="I579" s="0" t="s">
        <v>301</v>
      </c>
      <c r="J579" s="0" t="s">
        <v>302</v>
      </c>
      <c r="L579" s="0" t="str">
        <f aca="false">IFERROR(VLOOKUP(K579,'Supplier list'!B:C,2,0),"")</f>
        <v/>
      </c>
      <c r="M579" s="1" t="n">
        <f aca="false">FALSE()</f>
        <v>0</v>
      </c>
      <c r="N579" s="2"/>
      <c r="O579" s="2" t="n">
        <v>0</v>
      </c>
    </row>
    <row r="580" customFormat="false" ht="16.4" hidden="false" customHeight="false" outlineLevel="0" collapsed="false">
      <c r="A580" s="0" t="s">
        <v>15</v>
      </c>
      <c r="B580" s="0" t="s">
        <v>3932</v>
      </c>
      <c r="C580" s="0" t="n">
        <v>114001</v>
      </c>
      <c r="D580" s="0" t="n">
        <v>114001</v>
      </c>
      <c r="E580" s="0" t="s">
        <v>298</v>
      </c>
      <c r="F580" s="0" t="s">
        <v>18</v>
      </c>
      <c r="G580" s="7" t="s">
        <v>3933</v>
      </c>
      <c r="H580" s="0" t="s">
        <v>3934</v>
      </c>
      <c r="I580" s="0" t="s">
        <v>301</v>
      </c>
      <c r="J580" s="0" t="s">
        <v>302</v>
      </c>
      <c r="L580" s="0" t="str">
        <f aca="false">IFERROR(VLOOKUP(K580,'Supplier list'!B:C,2,0),"")</f>
        <v/>
      </c>
      <c r="M580" s="1" t="n">
        <f aca="false">FALSE()</f>
        <v>0</v>
      </c>
      <c r="N580" s="2"/>
      <c r="O580" s="2" t="n">
        <v>0</v>
      </c>
    </row>
    <row r="581" customFormat="false" ht="16.4" hidden="false" customHeight="false" outlineLevel="0" collapsed="false">
      <c r="A581" s="0" t="s">
        <v>15</v>
      </c>
      <c r="B581" s="0" t="s">
        <v>3935</v>
      </c>
      <c r="C581" s="0" t="n">
        <v>114001</v>
      </c>
      <c r="D581" s="0" t="n">
        <v>114001</v>
      </c>
      <c r="E581" s="0" t="s">
        <v>1653</v>
      </c>
      <c r="F581" s="0" t="s">
        <v>18</v>
      </c>
      <c r="G581" s="7" t="s">
        <v>3936</v>
      </c>
      <c r="H581" s="0" t="s">
        <v>3937</v>
      </c>
      <c r="I581" s="0" t="s">
        <v>124</v>
      </c>
      <c r="J581" s="0" t="s">
        <v>125</v>
      </c>
      <c r="K581" s="0" t="s">
        <v>89</v>
      </c>
      <c r="L581" s="0" t="str">
        <f aca="false">IFERROR(VLOOKUP(K581,'Supplier list'!B:C,2,0),"")</f>
        <v>บริษัท เฮเฟเล่ (ประเทศไทย) จำกัด</v>
      </c>
      <c r="M581" s="1" t="n">
        <f aca="false">TRUE()</f>
        <v>1</v>
      </c>
      <c r="N581" s="2" t="n">
        <v>23900</v>
      </c>
      <c r="O581" s="2" t="n">
        <v>13000</v>
      </c>
    </row>
    <row r="582" customFormat="false" ht="14.9" hidden="false" customHeight="false" outlineLevel="0" collapsed="false">
      <c r="A582" s="0" t="s">
        <v>15</v>
      </c>
      <c r="B582" s="0" t="s">
        <v>3938</v>
      </c>
      <c r="C582" s="0" t="n">
        <v>114001</v>
      </c>
      <c r="D582" s="0" t="n">
        <v>114001</v>
      </c>
      <c r="E582" s="0" t="s">
        <v>3939</v>
      </c>
      <c r="F582" s="0" t="s">
        <v>18</v>
      </c>
      <c r="G582" s="7" t="s">
        <v>3940</v>
      </c>
      <c r="H582" s="0" t="s">
        <v>3940</v>
      </c>
      <c r="I582" s="0" t="s">
        <v>904</v>
      </c>
      <c r="J582" s="0" t="s">
        <v>905</v>
      </c>
      <c r="K582" s="0" t="s">
        <v>3941</v>
      </c>
      <c r="L582" s="0" t="str">
        <f aca="false">IFERROR(VLOOKUP(K582,'Supplier list'!B:C,2,0),"")</f>
        <v/>
      </c>
      <c r="M582" s="1" t="n">
        <f aca="false">FALSE()</f>
        <v>0</v>
      </c>
      <c r="N582" s="2"/>
      <c r="O582" s="2" t="n">
        <v>8071.92</v>
      </c>
    </row>
    <row r="583" customFormat="false" ht="16.4" hidden="false" customHeight="false" outlineLevel="0" collapsed="false">
      <c r="A583" s="0" t="s">
        <v>15</v>
      </c>
      <c r="B583" s="0" t="s">
        <v>3942</v>
      </c>
      <c r="C583" s="0" t="n">
        <v>114001</v>
      </c>
      <c r="D583" s="0" t="n">
        <v>114001</v>
      </c>
      <c r="E583" s="0" t="s">
        <v>1653</v>
      </c>
      <c r="F583" s="0" t="s">
        <v>18</v>
      </c>
      <c r="G583" s="7" t="s">
        <v>3943</v>
      </c>
      <c r="H583" s="0" t="s">
        <v>3937</v>
      </c>
      <c r="I583" s="0" t="s">
        <v>124</v>
      </c>
      <c r="J583" s="0" t="s">
        <v>125</v>
      </c>
      <c r="K583" s="0" t="s">
        <v>89</v>
      </c>
      <c r="L583" s="0" t="str">
        <f aca="false">IFERROR(VLOOKUP(K583,'Supplier list'!B:C,2,0),"")</f>
        <v>บริษัท เฮเฟเล่ (ประเทศไทย) จำกัด</v>
      </c>
      <c r="M583" s="1" t="n">
        <f aca="false">FALSE()</f>
        <v>0</v>
      </c>
      <c r="N583" s="2"/>
      <c r="O583" s="2" t="n">
        <v>11700</v>
      </c>
    </row>
    <row r="584" customFormat="false" ht="14.9" hidden="false" customHeight="false" outlineLevel="0" collapsed="false">
      <c r="A584" s="0" t="s">
        <v>15</v>
      </c>
      <c r="B584" s="0" t="s">
        <v>3944</v>
      </c>
      <c r="C584" s="0" t="n">
        <v>114001</v>
      </c>
      <c r="D584" s="0" t="n">
        <v>114001</v>
      </c>
      <c r="E584" s="0" t="s">
        <v>3939</v>
      </c>
      <c r="F584" s="0" t="s">
        <v>18</v>
      </c>
      <c r="G584" s="7" t="s">
        <v>3945</v>
      </c>
      <c r="H584" s="0" t="s">
        <v>3945</v>
      </c>
      <c r="I584" s="0" t="s">
        <v>904</v>
      </c>
      <c r="J584" s="0" t="s">
        <v>905</v>
      </c>
      <c r="K584" s="0" t="s">
        <v>3941</v>
      </c>
      <c r="L584" s="0" t="str">
        <f aca="false">IFERROR(VLOOKUP(K584,'Supplier list'!B:C,2,0),"")</f>
        <v/>
      </c>
      <c r="M584" s="1" t="n">
        <f aca="false">FALSE()</f>
        <v>0</v>
      </c>
      <c r="N584" s="2"/>
      <c r="O584" s="2" t="n">
        <v>8071.92</v>
      </c>
    </row>
    <row r="585" customFormat="false" ht="14.9" hidden="false" customHeight="false" outlineLevel="0" collapsed="false">
      <c r="A585" s="0" t="s">
        <v>15</v>
      </c>
      <c r="B585" s="0" t="s">
        <v>3946</v>
      </c>
      <c r="C585" s="0" t="n">
        <v>114001</v>
      </c>
      <c r="D585" s="0" t="n">
        <v>114001</v>
      </c>
      <c r="E585" s="0" t="s">
        <v>3939</v>
      </c>
      <c r="F585" s="0" t="s">
        <v>18</v>
      </c>
      <c r="G585" s="7" t="s">
        <v>3947</v>
      </c>
      <c r="H585" s="0" t="s">
        <v>3947</v>
      </c>
      <c r="I585" s="0" t="s">
        <v>904</v>
      </c>
      <c r="J585" s="0" t="s">
        <v>905</v>
      </c>
      <c r="K585" s="0" t="s">
        <v>3941</v>
      </c>
      <c r="L585" s="0" t="str">
        <f aca="false">IFERROR(VLOOKUP(K585,'Supplier list'!B:C,2,0),"")</f>
        <v/>
      </c>
      <c r="M585" s="1" t="n">
        <f aca="false">FALSE()</f>
        <v>0</v>
      </c>
      <c r="N585" s="2"/>
      <c r="O585" s="2" t="n">
        <v>8071.92</v>
      </c>
    </row>
    <row r="586" customFormat="false" ht="14.9" hidden="false" customHeight="false" outlineLevel="0" collapsed="false">
      <c r="A586" s="0" t="s">
        <v>15</v>
      </c>
      <c r="B586" s="0" t="s">
        <v>3948</v>
      </c>
      <c r="C586" s="0" t="n">
        <v>114001</v>
      </c>
      <c r="D586" s="0" t="n">
        <v>114001</v>
      </c>
      <c r="E586" s="0" t="s">
        <v>3939</v>
      </c>
      <c r="F586" s="0" t="s">
        <v>18</v>
      </c>
      <c r="G586" s="7" t="s">
        <v>3949</v>
      </c>
      <c r="H586" s="0" t="s">
        <v>3949</v>
      </c>
      <c r="I586" s="0" t="s">
        <v>904</v>
      </c>
      <c r="J586" s="0" t="s">
        <v>905</v>
      </c>
      <c r="K586" s="0" t="s">
        <v>3941</v>
      </c>
      <c r="L586" s="0" t="str">
        <f aca="false">IFERROR(VLOOKUP(K586,'Supplier list'!B:C,2,0),"")</f>
        <v/>
      </c>
      <c r="M586" s="1" t="n">
        <f aca="false">FALSE()</f>
        <v>0</v>
      </c>
      <c r="N586" s="2"/>
      <c r="O586" s="2" t="n">
        <v>8071.92</v>
      </c>
    </row>
    <row r="587" customFormat="false" ht="14.9" hidden="false" customHeight="false" outlineLevel="0" collapsed="false">
      <c r="A587" s="0" t="s">
        <v>15</v>
      </c>
      <c r="B587" s="0" t="s">
        <v>3950</v>
      </c>
      <c r="C587" s="0" t="n">
        <v>114001</v>
      </c>
      <c r="D587" s="0" t="n">
        <v>114001</v>
      </c>
      <c r="E587" s="0" t="s">
        <v>3939</v>
      </c>
      <c r="F587" s="0" t="s">
        <v>18</v>
      </c>
      <c r="G587" s="7" t="s">
        <v>3951</v>
      </c>
      <c r="H587" s="0" t="s">
        <v>3951</v>
      </c>
      <c r="I587" s="0" t="s">
        <v>904</v>
      </c>
      <c r="J587" s="0" t="s">
        <v>905</v>
      </c>
      <c r="K587" s="0" t="s">
        <v>3941</v>
      </c>
      <c r="L587" s="0" t="str">
        <f aca="false">IFERROR(VLOOKUP(K587,'Supplier list'!B:C,2,0),"")</f>
        <v/>
      </c>
      <c r="M587" s="1" t="n">
        <f aca="false">FALSE()</f>
        <v>0</v>
      </c>
      <c r="N587" s="2"/>
      <c r="O587" s="2" t="n">
        <v>8071.92</v>
      </c>
    </row>
    <row r="588" customFormat="false" ht="14.9" hidden="false" customHeight="false" outlineLevel="0" collapsed="false">
      <c r="A588" s="0" t="s">
        <v>15</v>
      </c>
      <c r="B588" s="0" t="s">
        <v>3952</v>
      </c>
      <c r="C588" s="0" t="n">
        <v>114001</v>
      </c>
      <c r="D588" s="0" t="n">
        <v>114001</v>
      </c>
      <c r="E588" s="0" t="s">
        <v>3939</v>
      </c>
      <c r="F588" s="0" t="s">
        <v>18</v>
      </c>
      <c r="G588" s="7" t="s">
        <v>3953</v>
      </c>
      <c r="H588" s="0" t="s">
        <v>3953</v>
      </c>
      <c r="I588" s="0" t="s">
        <v>904</v>
      </c>
      <c r="J588" s="0" t="s">
        <v>905</v>
      </c>
      <c r="K588" s="0" t="s">
        <v>3941</v>
      </c>
      <c r="L588" s="0" t="str">
        <f aca="false">IFERROR(VLOOKUP(K588,'Supplier list'!B:C,2,0),"")</f>
        <v/>
      </c>
      <c r="M588" s="1" t="n">
        <f aca="false">FALSE()</f>
        <v>0</v>
      </c>
      <c r="N588" s="2"/>
      <c r="O588" s="2" t="n">
        <v>8071.92</v>
      </c>
    </row>
    <row r="589" customFormat="false" ht="14.9" hidden="false" customHeight="false" outlineLevel="0" collapsed="false">
      <c r="A589" s="0" t="s">
        <v>15</v>
      </c>
      <c r="B589" s="0" t="s">
        <v>3954</v>
      </c>
      <c r="C589" s="0" t="n">
        <v>114001</v>
      </c>
      <c r="D589" s="0" t="n">
        <v>114001</v>
      </c>
      <c r="E589" s="0" t="s">
        <v>3939</v>
      </c>
      <c r="F589" s="0" t="s">
        <v>18</v>
      </c>
      <c r="G589" s="7" t="s">
        <v>3955</v>
      </c>
      <c r="H589" s="0" t="s">
        <v>3955</v>
      </c>
      <c r="I589" s="0" t="s">
        <v>904</v>
      </c>
      <c r="J589" s="0" t="s">
        <v>905</v>
      </c>
      <c r="K589" s="0" t="s">
        <v>3941</v>
      </c>
      <c r="L589" s="0" t="str">
        <f aca="false">IFERROR(VLOOKUP(K589,'Supplier list'!B:C,2,0),"")</f>
        <v/>
      </c>
      <c r="M589" s="1" t="n">
        <f aca="false">FALSE()</f>
        <v>0</v>
      </c>
      <c r="N589" s="2"/>
      <c r="O589" s="2" t="n">
        <v>8071.92</v>
      </c>
    </row>
    <row r="590" customFormat="false" ht="14.9" hidden="false" customHeight="false" outlineLevel="0" collapsed="false">
      <c r="A590" s="0" t="s">
        <v>15</v>
      </c>
      <c r="B590" s="0" t="s">
        <v>3956</v>
      </c>
      <c r="C590" s="0" t="n">
        <v>114001</v>
      </c>
      <c r="D590" s="0" t="n">
        <v>114001</v>
      </c>
      <c r="E590" s="0" t="s">
        <v>3939</v>
      </c>
      <c r="F590" s="0" t="s">
        <v>18</v>
      </c>
      <c r="G590" s="7" t="s">
        <v>3957</v>
      </c>
      <c r="H590" s="0" t="s">
        <v>3957</v>
      </c>
      <c r="I590" s="0" t="s">
        <v>904</v>
      </c>
      <c r="J590" s="0" t="s">
        <v>905</v>
      </c>
      <c r="K590" s="0" t="s">
        <v>3941</v>
      </c>
      <c r="L590" s="0" t="str">
        <f aca="false">IFERROR(VLOOKUP(K590,'Supplier list'!B:C,2,0),"")</f>
        <v/>
      </c>
      <c r="M590" s="1" t="n">
        <f aca="false">FALSE()</f>
        <v>0</v>
      </c>
      <c r="N590" s="2"/>
      <c r="O590" s="2" t="n">
        <v>8071.92</v>
      </c>
    </row>
    <row r="591" customFormat="false" ht="16.4" hidden="false" customHeight="false" outlineLevel="0" collapsed="false">
      <c r="A591" s="0" t="s">
        <v>15</v>
      </c>
      <c r="B591" s="0" t="s">
        <v>3958</v>
      </c>
      <c r="C591" s="0" t="n">
        <v>114001</v>
      </c>
      <c r="D591" s="0" t="n">
        <v>114001</v>
      </c>
      <c r="E591" s="0" t="s">
        <v>2596</v>
      </c>
      <c r="F591" s="0" t="s">
        <v>18</v>
      </c>
      <c r="G591" s="7" t="s">
        <v>3959</v>
      </c>
      <c r="H591" s="0" t="s">
        <v>3960</v>
      </c>
      <c r="I591" s="0" t="s">
        <v>21</v>
      </c>
      <c r="J591" s="0" t="s">
        <v>22</v>
      </c>
      <c r="K591" s="0" t="s">
        <v>89</v>
      </c>
      <c r="L591" s="0" t="str">
        <f aca="false">IFERROR(VLOOKUP(K591,'Supplier list'!B:C,2,0),"")</f>
        <v>บริษัท เฮเฟเล่ (ประเทศไทย) จำกัด</v>
      </c>
      <c r="M591" s="1" t="n">
        <f aca="false">FALSE()</f>
        <v>0</v>
      </c>
      <c r="N591" s="2"/>
      <c r="O591" s="2" t="n">
        <v>468</v>
      </c>
    </row>
    <row r="592" customFormat="false" ht="16.4" hidden="false" customHeight="false" outlineLevel="0" collapsed="false">
      <c r="A592" s="0" t="s">
        <v>15</v>
      </c>
      <c r="B592" s="0" t="s">
        <v>3961</v>
      </c>
      <c r="C592" s="0" t="n">
        <v>114001</v>
      </c>
      <c r="D592" s="0" t="n">
        <v>114001</v>
      </c>
      <c r="E592" s="0" t="s">
        <v>1815</v>
      </c>
      <c r="F592" s="0" t="s">
        <v>18</v>
      </c>
      <c r="G592" s="7" t="s">
        <v>3962</v>
      </c>
      <c r="H592" s="0" t="s">
        <v>3963</v>
      </c>
      <c r="I592" s="0" t="s">
        <v>124</v>
      </c>
      <c r="J592" s="0" t="s">
        <v>125</v>
      </c>
      <c r="K592" s="0" t="s">
        <v>2065</v>
      </c>
      <c r="L592" s="0" t="str">
        <f aca="false">IFERROR(VLOOKUP(K592,'Supplier list'!B:C,2,0),"")</f>
        <v>บริษัท บลู อินเตอร์เนชั่นแนล จำกัด</v>
      </c>
      <c r="M592" s="1" t="n">
        <f aca="false">FALSE()</f>
        <v>0</v>
      </c>
      <c r="N592" s="2"/>
      <c r="O592" s="2" t="n">
        <v>1980</v>
      </c>
    </row>
    <row r="593" customFormat="false" ht="16.4" hidden="false" customHeight="false" outlineLevel="0" collapsed="false">
      <c r="A593" s="0" t="s">
        <v>15</v>
      </c>
      <c r="B593" s="0" t="s">
        <v>3964</v>
      </c>
      <c r="C593" s="0" t="n">
        <v>114001</v>
      </c>
      <c r="D593" s="0" t="n">
        <v>114001</v>
      </c>
      <c r="E593" s="0" t="s">
        <v>1764</v>
      </c>
      <c r="F593" s="0" t="s">
        <v>18</v>
      </c>
      <c r="G593" s="7" t="s">
        <v>3965</v>
      </c>
      <c r="H593" s="0" t="s">
        <v>3966</v>
      </c>
      <c r="I593" s="0" t="s">
        <v>21</v>
      </c>
      <c r="J593" s="0" t="s">
        <v>22</v>
      </c>
      <c r="K593" s="0" t="s">
        <v>787</v>
      </c>
      <c r="L593" s="0" t="str">
        <f aca="false">IFERROR(VLOOKUP(K593,'Supplier list'!B:C,2,0),"")</f>
        <v>บริษัท ฟิวเจอร์เทค อินเตอร์มาร์เก็ตติ้ง จำกัด</v>
      </c>
      <c r="M593" s="1" t="n">
        <f aca="false">FALSE()</f>
        <v>0</v>
      </c>
      <c r="N593" s="2"/>
      <c r="O593" s="2" t="n">
        <v>63</v>
      </c>
    </row>
    <row r="594" customFormat="false" ht="16.4" hidden="false" customHeight="false" outlineLevel="0" collapsed="false">
      <c r="A594" s="0" t="s">
        <v>15</v>
      </c>
      <c r="B594" s="0" t="s">
        <v>3967</v>
      </c>
      <c r="C594" s="0" t="n">
        <v>114001</v>
      </c>
      <c r="D594" s="0" t="n">
        <v>114001</v>
      </c>
      <c r="E594" s="0" t="s">
        <v>1764</v>
      </c>
      <c r="F594" s="0" t="s">
        <v>18</v>
      </c>
      <c r="G594" s="7" t="s">
        <v>3968</v>
      </c>
      <c r="H594" s="0" t="s">
        <v>3969</v>
      </c>
      <c r="I594" s="0" t="s">
        <v>21</v>
      </c>
      <c r="J594" s="0" t="s">
        <v>22</v>
      </c>
      <c r="K594" s="0" t="s">
        <v>787</v>
      </c>
      <c r="L594" s="0" t="str">
        <f aca="false">IFERROR(VLOOKUP(K594,'Supplier list'!B:C,2,0),"")</f>
        <v>บริษัท ฟิวเจอร์เทค อินเตอร์มาร์เก็ตติ้ง จำกัด</v>
      </c>
      <c r="M594" s="1" t="n">
        <f aca="false">FALSE()</f>
        <v>0</v>
      </c>
      <c r="N594" s="2"/>
      <c r="O594" s="2" t="n">
        <v>49</v>
      </c>
    </row>
    <row r="595" customFormat="false" ht="16.4" hidden="false" customHeight="false" outlineLevel="0" collapsed="false">
      <c r="A595" s="0" t="s">
        <v>15</v>
      </c>
      <c r="B595" s="0" t="s">
        <v>3970</v>
      </c>
      <c r="C595" s="0" t="n">
        <v>114001</v>
      </c>
      <c r="D595" s="0" t="n">
        <v>114001</v>
      </c>
      <c r="E595" s="0" t="s">
        <v>1815</v>
      </c>
      <c r="F595" s="0" t="s">
        <v>18</v>
      </c>
      <c r="G595" s="7" t="s">
        <v>3971</v>
      </c>
      <c r="H595" s="0" t="s">
        <v>3972</v>
      </c>
      <c r="I595" s="0" t="s">
        <v>168</v>
      </c>
      <c r="J595" s="0" t="s">
        <v>169</v>
      </c>
      <c r="K595" s="0" t="s">
        <v>787</v>
      </c>
      <c r="L595" s="0" t="str">
        <f aca="false">IFERROR(VLOOKUP(K595,'Supplier list'!B:C,2,0),"")</f>
        <v>บริษัท ฟิวเจอร์เทค อินเตอร์มาร์เก็ตติ้ง จำกัด</v>
      </c>
      <c r="M595" s="1" t="n">
        <f aca="false">FALSE()</f>
        <v>0</v>
      </c>
      <c r="N595" s="2"/>
      <c r="O595" s="2" t="n">
        <v>595</v>
      </c>
    </row>
    <row r="596" customFormat="false" ht="16.4" hidden="false" customHeight="false" outlineLevel="0" collapsed="false">
      <c r="A596" s="0" t="s">
        <v>15</v>
      </c>
      <c r="B596" s="0" t="s">
        <v>3973</v>
      </c>
      <c r="C596" s="0" t="n">
        <v>114001</v>
      </c>
      <c r="D596" s="0" t="n">
        <v>114001</v>
      </c>
      <c r="E596" s="0" t="s">
        <v>1815</v>
      </c>
      <c r="F596" s="0" t="s">
        <v>18</v>
      </c>
      <c r="G596" s="7" t="s">
        <v>3974</v>
      </c>
      <c r="H596" s="0" t="s">
        <v>3975</v>
      </c>
      <c r="I596" s="0" t="s">
        <v>168</v>
      </c>
      <c r="J596" s="0" t="s">
        <v>169</v>
      </c>
      <c r="K596" s="0" t="s">
        <v>787</v>
      </c>
      <c r="L596" s="0" t="str">
        <f aca="false">IFERROR(VLOOKUP(K596,'Supplier list'!B:C,2,0),"")</f>
        <v>บริษัท ฟิวเจอร์เทค อินเตอร์มาร์เก็ตติ้ง จำกัด</v>
      </c>
      <c r="M596" s="1" t="n">
        <f aca="false">FALSE()</f>
        <v>0</v>
      </c>
      <c r="N596" s="2"/>
      <c r="O596" s="2" t="n">
        <v>460</v>
      </c>
    </row>
    <row r="597" customFormat="false" ht="16.4" hidden="false" customHeight="false" outlineLevel="0" collapsed="false">
      <c r="A597" s="0" t="s">
        <v>15</v>
      </c>
      <c r="B597" s="0" t="s">
        <v>3976</v>
      </c>
      <c r="C597" s="0" t="n">
        <v>114001</v>
      </c>
      <c r="D597" s="0" t="n">
        <v>114001</v>
      </c>
      <c r="E597" s="0" t="s">
        <v>1815</v>
      </c>
      <c r="F597" s="0" t="s">
        <v>18</v>
      </c>
      <c r="G597" s="7" t="s">
        <v>3977</v>
      </c>
      <c r="H597" s="0" t="s">
        <v>3978</v>
      </c>
      <c r="I597" s="0" t="s">
        <v>517</v>
      </c>
      <c r="J597" s="0" t="s">
        <v>518</v>
      </c>
      <c r="K597" s="0" t="s">
        <v>89</v>
      </c>
      <c r="L597" s="0" t="str">
        <f aca="false">IFERROR(VLOOKUP(K597,'Supplier list'!B:C,2,0),"")</f>
        <v>บริษัท เฮเฟเล่ (ประเทศไทย) จำกัด</v>
      </c>
      <c r="M597" s="1" t="n">
        <f aca="false">TRUE()</f>
        <v>1</v>
      </c>
      <c r="N597" s="2" t="n">
        <v>2100</v>
      </c>
      <c r="O597" s="2" t="n">
        <v>804</v>
      </c>
    </row>
    <row r="598" customFormat="false" ht="16.4" hidden="false" customHeight="false" outlineLevel="0" collapsed="false">
      <c r="A598" s="0" t="s">
        <v>15</v>
      </c>
      <c r="B598" s="0" t="s">
        <v>3979</v>
      </c>
      <c r="C598" s="0" t="n">
        <v>114001</v>
      </c>
      <c r="D598" s="0" t="n">
        <v>114001</v>
      </c>
      <c r="E598" s="0" t="s">
        <v>1815</v>
      </c>
      <c r="F598" s="0" t="s">
        <v>18</v>
      </c>
      <c r="G598" s="7" t="s">
        <v>3980</v>
      </c>
      <c r="H598" s="0" t="s">
        <v>3981</v>
      </c>
      <c r="I598" s="0" t="s">
        <v>517</v>
      </c>
      <c r="J598" s="0" t="s">
        <v>518</v>
      </c>
      <c r="K598" s="0" t="s">
        <v>89</v>
      </c>
      <c r="L598" s="0" t="str">
        <f aca="false">IFERROR(VLOOKUP(K598,'Supplier list'!B:C,2,0),"")</f>
        <v>บริษัท เฮเฟเล่ (ประเทศไทย) จำกัด</v>
      </c>
      <c r="M598" s="1" t="n">
        <f aca="false">TRUE()</f>
        <v>1</v>
      </c>
      <c r="N598" s="2" t="n">
        <v>1300</v>
      </c>
      <c r="O598" s="2" t="n">
        <v>402</v>
      </c>
    </row>
    <row r="599" customFormat="false" ht="16.4" hidden="false" customHeight="false" outlineLevel="0" collapsed="false">
      <c r="A599" s="0" t="s">
        <v>15</v>
      </c>
      <c r="B599" s="0" t="s">
        <v>3982</v>
      </c>
      <c r="C599" s="0" t="n">
        <v>114001</v>
      </c>
      <c r="D599" s="0" t="n">
        <v>114001</v>
      </c>
      <c r="E599" s="0" t="s">
        <v>1764</v>
      </c>
      <c r="F599" s="0" t="s">
        <v>18</v>
      </c>
      <c r="G599" s="7" t="s">
        <v>3983</v>
      </c>
      <c r="H599" s="0" t="s">
        <v>3984</v>
      </c>
      <c r="I599" s="0" t="s">
        <v>21</v>
      </c>
      <c r="J599" s="0" t="s">
        <v>22</v>
      </c>
      <c r="K599" s="0" t="s">
        <v>787</v>
      </c>
      <c r="L599" s="0" t="str">
        <f aca="false">IFERROR(VLOOKUP(K599,'Supplier list'!B:C,2,0),"")</f>
        <v>บริษัท ฟิวเจอร์เทค อินเตอร์มาร์เก็ตติ้ง จำกัด</v>
      </c>
      <c r="M599" s="1" t="n">
        <f aca="false">TRUE()</f>
        <v>1</v>
      </c>
      <c r="N599" s="2" t="n">
        <v>190</v>
      </c>
      <c r="O599" s="2" t="n">
        <v>48.75</v>
      </c>
    </row>
    <row r="600" customFormat="false" ht="16.4" hidden="false" customHeight="false" outlineLevel="0" collapsed="false">
      <c r="A600" s="0" t="s">
        <v>15</v>
      </c>
      <c r="B600" s="0" t="s">
        <v>3985</v>
      </c>
      <c r="C600" s="0" t="n">
        <v>114001</v>
      </c>
      <c r="D600" s="0" t="n">
        <v>114001</v>
      </c>
      <c r="E600" s="0" t="s">
        <v>1764</v>
      </c>
      <c r="F600" s="0" t="s">
        <v>18</v>
      </c>
      <c r="G600" s="7" t="s">
        <v>3986</v>
      </c>
      <c r="H600" s="0" t="s">
        <v>3987</v>
      </c>
      <c r="I600" s="0" t="s">
        <v>21</v>
      </c>
      <c r="J600" s="0" t="s">
        <v>22</v>
      </c>
      <c r="K600" s="0" t="s">
        <v>787</v>
      </c>
      <c r="L600" s="0" t="str">
        <f aca="false">IFERROR(VLOOKUP(K600,'Supplier list'!B:C,2,0),"")</f>
        <v>บริษัท ฟิวเจอร์เทค อินเตอร์มาร์เก็ตติ้ง จำกัด</v>
      </c>
      <c r="M600" s="1" t="n">
        <f aca="false">TRUE()</f>
        <v>1</v>
      </c>
      <c r="N600" s="2" t="n">
        <v>300</v>
      </c>
      <c r="O600" s="2" t="n">
        <v>130</v>
      </c>
    </row>
    <row r="601" customFormat="false" ht="16.4" hidden="false" customHeight="false" outlineLevel="0" collapsed="false">
      <c r="A601" s="0" t="s">
        <v>15</v>
      </c>
      <c r="B601" s="0" t="s">
        <v>3988</v>
      </c>
      <c r="C601" s="0" t="n">
        <v>114001</v>
      </c>
      <c r="D601" s="0" t="n">
        <v>114001</v>
      </c>
      <c r="E601" s="0" t="s">
        <v>874</v>
      </c>
      <c r="F601" s="0" t="s">
        <v>18</v>
      </c>
      <c r="G601" s="7" t="s">
        <v>3989</v>
      </c>
      <c r="H601" s="0" t="s">
        <v>3990</v>
      </c>
      <c r="I601" s="0" t="s">
        <v>21</v>
      </c>
      <c r="J601" s="0" t="s">
        <v>22</v>
      </c>
      <c r="K601" s="0" t="s">
        <v>89</v>
      </c>
      <c r="L601" s="0" t="str">
        <f aca="false">IFERROR(VLOOKUP(K601,'Supplier list'!B:C,2,0),"")</f>
        <v>บริษัท เฮเฟเล่ (ประเทศไทย) จำกัด</v>
      </c>
      <c r="M601" s="1" t="n">
        <f aca="false">FALSE()</f>
        <v>0</v>
      </c>
      <c r="N601" s="2"/>
      <c r="O601" s="2" t="n">
        <v>635.5</v>
      </c>
    </row>
    <row r="602" customFormat="false" ht="16.4" hidden="false" customHeight="false" outlineLevel="0" collapsed="false">
      <c r="A602" s="0" t="s">
        <v>15</v>
      </c>
      <c r="B602" s="0" t="s">
        <v>3991</v>
      </c>
      <c r="C602" s="0" t="n">
        <v>114001</v>
      </c>
      <c r="D602" s="0" t="n">
        <v>114001</v>
      </c>
      <c r="E602" s="0" t="s">
        <v>961</v>
      </c>
      <c r="F602" s="0" t="s">
        <v>18</v>
      </c>
      <c r="G602" s="7" t="s">
        <v>3992</v>
      </c>
      <c r="H602" s="0" t="s">
        <v>3993</v>
      </c>
      <c r="I602" s="0" t="s">
        <v>124</v>
      </c>
      <c r="J602" s="0" t="s">
        <v>125</v>
      </c>
      <c r="K602" s="0" t="s">
        <v>2065</v>
      </c>
      <c r="L602" s="0" t="str">
        <f aca="false">IFERROR(VLOOKUP(K602,'Supplier list'!B:C,2,0),"")</f>
        <v>บริษัท บลู อินเตอร์เนชั่นแนล จำกัด</v>
      </c>
      <c r="M602" s="1" t="n">
        <f aca="false">FALSE()</f>
        <v>0</v>
      </c>
      <c r="N602" s="2"/>
      <c r="O602" s="2" t="n">
        <v>3928</v>
      </c>
    </row>
    <row r="603" customFormat="false" ht="16.4" hidden="false" customHeight="false" outlineLevel="0" collapsed="false">
      <c r="A603" s="0" t="s">
        <v>15</v>
      </c>
      <c r="B603" s="0" t="s">
        <v>3994</v>
      </c>
      <c r="C603" s="0" t="n">
        <v>114001</v>
      </c>
      <c r="D603" s="0" t="n">
        <v>114001</v>
      </c>
      <c r="E603" s="0" t="s">
        <v>961</v>
      </c>
      <c r="F603" s="0" t="s">
        <v>18</v>
      </c>
      <c r="G603" s="7" t="s">
        <v>3995</v>
      </c>
      <c r="H603" s="0" t="s">
        <v>3996</v>
      </c>
      <c r="I603" s="0" t="s">
        <v>124</v>
      </c>
      <c r="J603" s="0" t="s">
        <v>125</v>
      </c>
      <c r="K603" s="0" t="s">
        <v>2065</v>
      </c>
      <c r="L603" s="0" t="str">
        <f aca="false">IFERROR(VLOOKUP(K603,'Supplier list'!B:C,2,0),"")</f>
        <v>บริษัท บลู อินเตอร์เนชั่นแนล จำกัด</v>
      </c>
      <c r="M603" s="1" t="n">
        <f aca="false">FALSE()</f>
        <v>0</v>
      </c>
      <c r="N603" s="2"/>
      <c r="O603" s="2" t="n">
        <v>2824</v>
      </c>
    </row>
    <row r="604" customFormat="false" ht="16.4" hidden="false" customHeight="false" outlineLevel="0" collapsed="false">
      <c r="A604" s="0" t="s">
        <v>15</v>
      </c>
      <c r="B604" s="0" t="s">
        <v>3997</v>
      </c>
      <c r="C604" s="0" t="n">
        <v>114001</v>
      </c>
      <c r="D604" s="0" t="n">
        <v>114001</v>
      </c>
      <c r="E604" s="0" t="s">
        <v>961</v>
      </c>
      <c r="F604" s="0" t="s">
        <v>18</v>
      </c>
      <c r="G604" s="7" t="s">
        <v>3998</v>
      </c>
      <c r="H604" s="0" t="s">
        <v>3999</v>
      </c>
      <c r="I604" s="0" t="s">
        <v>124</v>
      </c>
      <c r="J604" s="0" t="s">
        <v>125</v>
      </c>
      <c r="K604" s="0" t="s">
        <v>2065</v>
      </c>
      <c r="L604" s="0" t="str">
        <f aca="false">IFERROR(VLOOKUP(K604,'Supplier list'!B:C,2,0),"")</f>
        <v>บริษัท บลู อินเตอร์เนชั่นแนล จำกัด</v>
      </c>
      <c r="M604" s="1" t="n">
        <f aca="false">FALSE()</f>
        <v>0</v>
      </c>
      <c r="N604" s="2"/>
      <c r="O604" s="2" t="n">
        <v>3928</v>
      </c>
    </row>
    <row r="605" customFormat="false" ht="16.4" hidden="false" customHeight="false" outlineLevel="0" collapsed="false">
      <c r="A605" s="0" t="s">
        <v>15</v>
      </c>
      <c r="B605" s="0" t="s">
        <v>4000</v>
      </c>
      <c r="C605" s="0" t="n">
        <v>114001</v>
      </c>
      <c r="D605" s="0" t="n">
        <v>114001</v>
      </c>
      <c r="E605" s="0" t="s">
        <v>961</v>
      </c>
      <c r="F605" s="0" t="s">
        <v>18</v>
      </c>
      <c r="G605" s="7" t="s">
        <v>4001</v>
      </c>
      <c r="H605" s="0" t="s">
        <v>4002</v>
      </c>
      <c r="I605" s="0" t="s">
        <v>124</v>
      </c>
      <c r="J605" s="0" t="s">
        <v>125</v>
      </c>
      <c r="K605" s="0" t="s">
        <v>2065</v>
      </c>
      <c r="L605" s="0" t="str">
        <f aca="false">IFERROR(VLOOKUP(K605,'Supplier list'!B:C,2,0),"")</f>
        <v>บริษัท บลู อินเตอร์เนชั่นแนล จำกัด</v>
      </c>
      <c r="M605" s="1" t="n">
        <f aca="false">FALSE()</f>
        <v>0</v>
      </c>
      <c r="N605" s="2"/>
      <c r="O605" s="2" t="n">
        <v>135</v>
      </c>
    </row>
    <row r="606" customFormat="false" ht="16.4" hidden="false" customHeight="false" outlineLevel="0" collapsed="false">
      <c r="A606" s="0" t="s">
        <v>15</v>
      </c>
      <c r="B606" s="0" t="s">
        <v>4003</v>
      </c>
      <c r="C606" s="0" t="n">
        <v>114001</v>
      </c>
      <c r="D606" s="0" t="n">
        <v>114001</v>
      </c>
      <c r="E606" s="0" t="s">
        <v>1815</v>
      </c>
      <c r="F606" s="0" t="s">
        <v>18</v>
      </c>
      <c r="G606" s="7" t="s">
        <v>4004</v>
      </c>
      <c r="H606" s="0" t="s">
        <v>4005</v>
      </c>
      <c r="I606" s="0" t="s">
        <v>124</v>
      </c>
      <c r="J606" s="0" t="s">
        <v>125</v>
      </c>
      <c r="K606" s="0" t="s">
        <v>2065</v>
      </c>
      <c r="L606" s="0" t="str">
        <f aca="false">IFERROR(VLOOKUP(K606,'Supplier list'!B:C,2,0),"")</f>
        <v>บริษัท บลู อินเตอร์เนชั่นแนล จำกัด</v>
      </c>
      <c r="M606" s="1" t="n">
        <f aca="false">FALSE()</f>
        <v>0</v>
      </c>
      <c r="N606" s="2"/>
      <c r="O606" s="2" t="n">
        <v>1468</v>
      </c>
    </row>
    <row r="607" customFormat="false" ht="16.4" hidden="false" customHeight="false" outlineLevel="0" collapsed="false">
      <c r="A607" s="0" t="s">
        <v>15</v>
      </c>
      <c r="B607" s="0" t="s">
        <v>4006</v>
      </c>
      <c r="C607" s="0" t="n">
        <v>114001</v>
      </c>
      <c r="D607" s="0" t="n">
        <v>114001</v>
      </c>
      <c r="E607" s="0" t="s">
        <v>1815</v>
      </c>
      <c r="F607" s="0" t="s">
        <v>18</v>
      </c>
      <c r="G607" s="7" t="s">
        <v>4007</v>
      </c>
      <c r="H607" s="0" t="s">
        <v>4008</v>
      </c>
      <c r="I607" s="0" t="s">
        <v>124</v>
      </c>
      <c r="J607" s="0" t="s">
        <v>125</v>
      </c>
      <c r="K607" s="0" t="s">
        <v>2065</v>
      </c>
      <c r="L607" s="0" t="str">
        <f aca="false">IFERROR(VLOOKUP(K607,'Supplier list'!B:C,2,0),"")</f>
        <v>บริษัท บลู อินเตอร์เนชั่นแนล จำกัด</v>
      </c>
      <c r="M607" s="1" t="n">
        <f aca="false">FALSE()</f>
        <v>0</v>
      </c>
      <c r="N607" s="2"/>
      <c r="O607" s="2" t="n">
        <v>1468</v>
      </c>
    </row>
    <row r="608" customFormat="false" ht="16.4" hidden="false" customHeight="false" outlineLevel="0" collapsed="false">
      <c r="A608" s="0" t="s">
        <v>15</v>
      </c>
      <c r="B608" s="0" t="s">
        <v>4009</v>
      </c>
      <c r="C608" s="0" t="n">
        <v>114001</v>
      </c>
      <c r="D608" s="0" t="n">
        <v>114001</v>
      </c>
      <c r="E608" s="0" t="s">
        <v>1815</v>
      </c>
      <c r="F608" s="0" t="s">
        <v>18</v>
      </c>
      <c r="G608" s="7" t="s">
        <v>4010</v>
      </c>
      <c r="H608" s="0" t="s">
        <v>4011</v>
      </c>
      <c r="I608" s="0" t="s">
        <v>124</v>
      </c>
      <c r="J608" s="0" t="s">
        <v>125</v>
      </c>
      <c r="K608" s="0" t="s">
        <v>2065</v>
      </c>
      <c r="L608" s="0" t="str">
        <f aca="false">IFERROR(VLOOKUP(K608,'Supplier list'!B:C,2,0),"")</f>
        <v>บริษัท บลู อินเตอร์เนชั่นแนล จำกัด</v>
      </c>
      <c r="M608" s="1" t="n">
        <f aca="false">FALSE()</f>
        <v>0</v>
      </c>
      <c r="N608" s="2"/>
      <c r="O608" s="2" t="n">
        <v>1468</v>
      </c>
    </row>
    <row r="609" customFormat="false" ht="16.4" hidden="false" customHeight="false" outlineLevel="0" collapsed="false">
      <c r="A609" s="0" t="s">
        <v>15</v>
      </c>
      <c r="B609" s="0" t="s">
        <v>4012</v>
      </c>
      <c r="C609" s="0" t="n">
        <v>114001</v>
      </c>
      <c r="D609" s="0" t="n">
        <v>114001</v>
      </c>
      <c r="E609" s="0" t="s">
        <v>1815</v>
      </c>
      <c r="F609" s="0" t="s">
        <v>18</v>
      </c>
      <c r="G609" s="7" t="s">
        <v>4013</v>
      </c>
      <c r="H609" s="0" t="s">
        <v>4014</v>
      </c>
      <c r="I609" s="0" t="s">
        <v>124</v>
      </c>
      <c r="J609" s="0" t="s">
        <v>125</v>
      </c>
      <c r="K609" s="0" t="s">
        <v>2065</v>
      </c>
      <c r="L609" s="0" t="str">
        <f aca="false">IFERROR(VLOOKUP(K609,'Supplier list'!B:C,2,0),"")</f>
        <v>บริษัท บลู อินเตอร์เนชั่นแนล จำกัด</v>
      </c>
      <c r="M609" s="1" t="n">
        <f aca="false">FALSE()</f>
        <v>0</v>
      </c>
      <c r="N609" s="2"/>
      <c r="O609" s="2" t="n">
        <v>1483</v>
      </c>
    </row>
    <row r="610" customFormat="false" ht="16.4" hidden="false" customHeight="false" outlineLevel="0" collapsed="false">
      <c r="A610" s="0" t="s">
        <v>15</v>
      </c>
      <c r="B610" s="0" t="s">
        <v>4015</v>
      </c>
      <c r="C610" s="0" t="n">
        <v>114001</v>
      </c>
      <c r="D610" s="0" t="n">
        <v>114001</v>
      </c>
      <c r="E610" s="0" t="s">
        <v>1815</v>
      </c>
      <c r="F610" s="0" t="s">
        <v>18</v>
      </c>
      <c r="G610" s="7" t="s">
        <v>4016</v>
      </c>
      <c r="H610" s="0" t="s">
        <v>4017</v>
      </c>
      <c r="I610" s="0" t="s">
        <v>124</v>
      </c>
      <c r="J610" s="0" t="s">
        <v>125</v>
      </c>
      <c r="K610" s="0" t="s">
        <v>2065</v>
      </c>
      <c r="L610" s="0" t="str">
        <f aca="false">IFERROR(VLOOKUP(K610,'Supplier list'!B:C,2,0),"")</f>
        <v>บริษัท บลู อินเตอร์เนชั่นแนล จำกัด</v>
      </c>
      <c r="M610" s="1" t="n">
        <f aca="false">FALSE()</f>
        <v>0</v>
      </c>
      <c r="N610" s="2"/>
      <c r="O610" s="2" t="n">
        <v>1498</v>
      </c>
    </row>
    <row r="611" customFormat="false" ht="16.4" hidden="false" customHeight="false" outlineLevel="0" collapsed="false">
      <c r="A611" s="0" t="s">
        <v>15</v>
      </c>
      <c r="B611" s="0" t="s">
        <v>4018</v>
      </c>
      <c r="C611" s="0" t="n">
        <v>114001</v>
      </c>
      <c r="D611" s="0" t="n">
        <v>114001</v>
      </c>
      <c r="E611" s="0" t="s">
        <v>1815</v>
      </c>
      <c r="F611" s="0" t="s">
        <v>18</v>
      </c>
      <c r="G611" s="7" t="s">
        <v>4019</v>
      </c>
      <c r="H611" s="0" t="s">
        <v>4020</v>
      </c>
      <c r="I611" s="0" t="s">
        <v>124</v>
      </c>
      <c r="J611" s="0" t="s">
        <v>125</v>
      </c>
      <c r="K611" s="0" t="s">
        <v>2065</v>
      </c>
      <c r="L611" s="0" t="str">
        <f aca="false">IFERROR(VLOOKUP(K611,'Supplier list'!B:C,2,0),"")</f>
        <v>บริษัท บลู อินเตอร์เนชั่นแนล จำกัด</v>
      </c>
      <c r="M611" s="1" t="n">
        <f aca="false">FALSE()</f>
        <v>0</v>
      </c>
      <c r="N611" s="2"/>
      <c r="O611" s="2" t="n">
        <v>1513</v>
      </c>
    </row>
    <row r="612" customFormat="false" ht="16.4" hidden="false" customHeight="false" outlineLevel="0" collapsed="false">
      <c r="A612" s="0" t="s">
        <v>15</v>
      </c>
      <c r="B612" s="0" t="s">
        <v>4021</v>
      </c>
      <c r="C612" s="0" t="n">
        <v>114001</v>
      </c>
      <c r="D612" s="0" t="n">
        <v>114001</v>
      </c>
      <c r="E612" s="0" t="s">
        <v>1815</v>
      </c>
      <c r="F612" s="0" t="s">
        <v>18</v>
      </c>
      <c r="G612" s="7" t="s">
        <v>4022</v>
      </c>
      <c r="H612" s="0" t="s">
        <v>4023</v>
      </c>
      <c r="I612" s="0" t="s">
        <v>124</v>
      </c>
      <c r="J612" s="0" t="s">
        <v>125</v>
      </c>
      <c r="K612" s="0" t="s">
        <v>2065</v>
      </c>
      <c r="L612" s="0" t="str">
        <f aca="false">IFERROR(VLOOKUP(K612,'Supplier list'!B:C,2,0),"")</f>
        <v>บริษัท บลู อินเตอร์เนชั่นแนล จำกัด</v>
      </c>
      <c r="M612" s="1" t="n">
        <f aca="false">FALSE()</f>
        <v>0</v>
      </c>
      <c r="N612" s="2"/>
      <c r="O612" s="2" t="n">
        <v>1593</v>
      </c>
    </row>
    <row r="613" customFormat="false" ht="16.4" hidden="false" customHeight="false" outlineLevel="0" collapsed="false">
      <c r="A613" s="0" t="s">
        <v>15</v>
      </c>
      <c r="B613" s="0" t="s">
        <v>4024</v>
      </c>
      <c r="C613" s="0" t="n">
        <v>114001</v>
      </c>
      <c r="D613" s="0" t="n">
        <v>114001</v>
      </c>
      <c r="E613" s="0" t="s">
        <v>1815</v>
      </c>
      <c r="F613" s="0" t="s">
        <v>18</v>
      </c>
      <c r="G613" s="7" t="s">
        <v>4025</v>
      </c>
      <c r="H613" s="0" t="s">
        <v>4026</v>
      </c>
      <c r="I613" s="0" t="s">
        <v>124</v>
      </c>
      <c r="J613" s="0" t="s">
        <v>125</v>
      </c>
      <c r="K613" s="0" t="s">
        <v>2065</v>
      </c>
      <c r="L613" s="0" t="str">
        <f aca="false">IFERROR(VLOOKUP(K613,'Supplier list'!B:C,2,0),"")</f>
        <v>บริษัท บลู อินเตอร์เนชั่นแนล จำกัด</v>
      </c>
      <c r="M613" s="1" t="n">
        <f aca="false">FALSE()</f>
        <v>0</v>
      </c>
      <c r="N613" s="2"/>
      <c r="O613" s="2" t="n">
        <v>1754</v>
      </c>
    </row>
    <row r="614" customFormat="false" ht="16.4" hidden="false" customHeight="false" outlineLevel="0" collapsed="false">
      <c r="A614" s="0" t="s">
        <v>15</v>
      </c>
      <c r="B614" s="0" t="s">
        <v>4027</v>
      </c>
      <c r="C614" s="0" t="n">
        <v>114001</v>
      </c>
      <c r="D614" s="0" t="n">
        <v>114001</v>
      </c>
      <c r="E614" s="0" t="s">
        <v>1815</v>
      </c>
      <c r="F614" s="0" t="s">
        <v>18</v>
      </c>
      <c r="G614" s="7" t="s">
        <v>4028</v>
      </c>
      <c r="H614" s="0" t="s">
        <v>4029</v>
      </c>
      <c r="I614" s="0" t="s">
        <v>124</v>
      </c>
      <c r="J614" s="0" t="s">
        <v>125</v>
      </c>
      <c r="K614" s="0" t="s">
        <v>2065</v>
      </c>
      <c r="L614" s="0" t="str">
        <f aca="false">IFERROR(VLOOKUP(K614,'Supplier list'!B:C,2,0),"")</f>
        <v>บริษัท บลู อินเตอร์เนชั่นแนล จำกัด</v>
      </c>
      <c r="M614" s="1" t="n">
        <f aca="false">FALSE()</f>
        <v>0</v>
      </c>
      <c r="N614" s="2"/>
      <c r="O614" s="2" t="n">
        <v>1468</v>
      </c>
    </row>
    <row r="615" customFormat="false" ht="16.4" hidden="false" customHeight="false" outlineLevel="0" collapsed="false">
      <c r="A615" s="0" t="s">
        <v>15</v>
      </c>
      <c r="B615" s="0" t="s">
        <v>4030</v>
      </c>
      <c r="C615" s="0" t="n">
        <v>114001</v>
      </c>
      <c r="D615" s="0" t="n">
        <v>114001</v>
      </c>
      <c r="E615" s="0" t="s">
        <v>1815</v>
      </c>
      <c r="F615" s="0" t="s">
        <v>18</v>
      </c>
      <c r="G615" s="7" t="s">
        <v>4031</v>
      </c>
      <c r="H615" s="0" t="s">
        <v>4032</v>
      </c>
      <c r="I615" s="0" t="s">
        <v>124</v>
      </c>
      <c r="J615" s="0" t="s">
        <v>125</v>
      </c>
      <c r="K615" s="0" t="s">
        <v>2065</v>
      </c>
      <c r="L615" s="0" t="str">
        <f aca="false">IFERROR(VLOOKUP(K615,'Supplier list'!B:C,2,0),"")</f>
        <v>บริษัท บลู อินเตอร์เนชั่นแนล จำกัด</v>
      </c>
      <c r="M615" s="1" t="n">
        <f aca="false">FALSE()</f>
        <v>0</v>
      </c>
      <c r="N615" s="2"/>
      <c r="O615" s="2" t="n">
        <v>1468</v>
      </c>
    </row>
    <row r="616" customFormat="false" ht="16.4" hidden="false" customHeight="false" outlineLevel="0" collapsed="false">
      <c r="A616" s="0" t="s">
        <v>15</v>
      </c>
      <c r="B616" s="0" t="s">
        <v>4033</v>
      </c>
      <c r="C616" s="0" t="n">
        <v>114001</v>
      </c>
      <c r="D616" s="0" t="n">
        <v>114001</v>
      </c>
      <c r="E616" s="0" t="s">
        <v>1815</v>
      </c>
      <c r="F616" s="0" t="s">
        <v>18</v>
      </c>
      <c r="G616" s="7" t="s">
        <v>4034</v>
      </c>
      <c r="H616" s="0" t="s">
        <v>4035</v>
      </c>
      <c r="I616" s="0" t="s">
        <v>124</v>
      </c>
      <c r="J616" s="0" t="s">
        <v>125</v>
      </c>
      <c r="K616" s="0" t="s">
        <v>2065</v>
      </c>
      <c r="L616" s="0" t="str">
        <f aca="false">IFERROR(VLOOKUP(K616,'Supplier list'!B:C,2,0),"")</f>
        <v>บริษัท บลู อินเตอร์เนชั่นแนล จำกัด</v>
      </c>
      <c r="M616" s="1" t="n">
        <f aca="false">FALSE()</f>
        <v>0</v>
      </c>
      <c r="N616" s="2"/>
      <c r="O616" s="2" t="n">
        <v>1468</v>
      </c>
    </row>
    <row r="617" customFormat="false" ht="16.4" hidden="false" customHeight="false" outlineLevel="0" collapsed="false">
      <c r="A617" s="0" t="s">
        <v>15</v>
      </c>
      <c r="B617" s="0" t="s">
        <v>4036</v>
      </c>
      <c r="C617" s="0" t="n">
        <v>114001</v>
      </c>
      <c r="D617" s="0" t="n">
        <v>114001</v>
      </c>
      <c r="E617" s="0" t="s">
        <v>1815</v>
      </c>
      <c r="F617" s="0" t="s">
        <v>18</v>
      </c>
      <c r="G617" s="7" t="s">
        <v>4037</v>
      </c>
      <c r="H617" s="0" t="s">
        <v>4038</v>
      </c>
      <c r="I617" s="0" t="s">
        <v>124</v>
      </c>
      <c r="J617" s="0" t="s">
        <v>125</v>
      </c>
      <c r="K617" s="0" t="s">
        <v>2065</v>
      </c>
      <c r="L617" s="0" t="str">
        <f aca="false">IFERROR(VLOOKUP(K617,'Supplier list'!B:C,2,0),"")</f>
        <v>บริษัท บลู อินเตอร์เนชั่นแนล จำกัด</v>
      </c>
      <c r="M617" s="1" t="n">
        <f aca="false">FALSE()</f>
        <v>0</v>
      </c>
      <c r="N617" s="2"/>
      <c r="O617" s="2" t="n">
        <v>1468</v>
      </c>
    </row>
    <row r="618" customFormat="false" ht="16.4" hidden="false" customHeight="false" outlineLevel="0" collapsed="false">
      <c r="A618" s="0" t="s">
        <v>15</v>
      </c>
      <c r="B618" s="0" t="s">
        <v>4039</v>
      </c>
      <c r="C618" s="0" t="n">
        <v>114001</v>
      </c>
      <c r="D618" s="0" t="n">
        <v>114001</v>
      </c>
      <c r="E618" s="0" t="s">
        <v>1815</v>
      </c>
      <c r="F618" s="0" t="s">
        <v>18</v>
      </c>
      <c r="G618" s="7" t="s">
        <v>4040</v>
      </c>
      <c r="H618" s="0" t="s">
        <v>4041</v>
      </c>
      <c r="I618" s="0" t="s">
        <v>124</v>
      </c>
      <c r="J618" s="0" t="s">
        <v>125</v>
      </c>
      <c r="K618" s="0" t="s">
        <v>2065</v>
      </c>
      <c r="L618" s="0" t="str">
        <f aca="false">IFERROR(VLOOKUP(K618,'Supplier list'!B:C,2,0),"")</f>
        <v>บริษัท บลู อินเตอร์เนชั่นแนล จำกัด</v>
      </c>
      <c r="M618" s="1" t="n">
        <f aca="false">FALSE()</f>
        <v>0</v>
      </c>
      <c r="N618" s="2"/>
      <c r="O618" s="2" t="n">
        <v>1483</v>
      </c>
    </row>
    <row r="619" customFormat="false" ht="16.4" hidden="false" customHeight="false" outlineLevel="0" collapsed="false">
      <c r="A619" s="0" t="s">
        <v>15</v>
      </c>
      <c r="B619" s="0" t="s">
        <v>4042</v>
      </c>
      <c r="C619" s="0" t="n">
        <v>114001</v>
      </c>
      <c r="D619" s="0" t="n">
        <v>114001</v>
      </c>
      <c r="E619" s="0" t="s">
        <v>1815</v>
      </c>
      <c r="F619" s="0" t="s">
        <v>18</v>
      </c>
      <c r="G619" s="7" t="s">
        <v>4043</v>
      </c>
      <c r="H619" s="0" t="s">
        <v>4044</v>
      </c>
      <c r="I619" s="0" t="s">
        <v>124</v>
      </c>
      <c r="J619" s="0" t="s">
        <v>125</v>
      </c>
      <c r="K619" s="0" t="s">
        <v>2065</v>
      </c>
      <c r="L619" s="0" t="str">
        <f aca="false">IFERROR(VLOOKUP(K619,'Supplier list'!B:C,2,0),"")</f>
        <v>บริษัท บลู อินเตอร์เนชั่นแนล จำกัด</v>
      </c>
      <c r="M619" s="1" t="n">
        <f aca="false">FALSE()</f>
        <v>0</v>
      </c>
      <c r="N619" s="2"/>
      <c r="O619" s="2" t="n">
        <v>1498</v>
      </c>
    </row>
    <row r="620" customFormat="false" ht="16.4" hidden="false" customHeight="false" outlineLevel="0" collapsed="false">
      <c r="A620" s="0" t="s">
        <v>15</v>
      </c>
      <c r="B620" s="0" t="s">
        <v>4045</v>
      </c>
      <c r="C620" s="0" t="n">
        <v>114001</v>
      </c>
      <c r="D620" s="0" t="n">
        <v>114001</v>
      </c>
      <c r="E620" s="0" t="s">
        <v>1815</v>
      </c>
      <c r="F620" s="0" t="s">
        <v>18</v>
      </c>
      <c r="G620" s="7" t="s">
        <v>4046</v>
      </c>
      <c r="H620" s="0" t="s">
        <v>4047</v>
      </c>
      <c r="I620" s="0" t="s">
        <v>124</v>
      </c>
      <c r="J620" s="0" t="s">
        <v>125</v>
      </c>
      <c r="K620" s="0" t="s">
        <v>2065</v>
      </c>
      <c r="L620" s="0" t="str">
        <f aca="false">IFERROR(VLOOKUP(K620,'Supplier list'!B:C,2,0),"")</f>
        <v>บริษัท บลู อินเตอร์เนชั่นแนล จำกัด</v>
      </c>
      <c r="M620" s="1" t="n">
        <f aca="false">FALSE()</f>
        <v>0</v>
      </c>
      <c r="N620" s="2"/>
      <c r="O620" s="2" t="n">
        <v>1513</v>
      </c>
    </row>
    <row r="621" customFormat="false" ht="16.4" hidden="false" customHeight="false" outlineLevel="0" collapsed="false">
      <c r="A621" s="0" t="s">
        <v>15</v>
      </c>
      <c r="B621" s="0" t="s">
        <v>4048</v>
      </c>
      <c r="C621" s="0" t="n">
        <v>114001</v>
      </c>
      <c r="D621" s="0" t="n">
        <v>114001</v>
      </c>
      <c r="E621" s="0" t="s">
        <v>1815</v>
      </c>
      <c r="F621" s="0" t="s">
        <v>18</v>
      </c>
      <c r="G621" s="7" t="s">
        <v>4049</v>
      </c>
      <c r="H621" s="0" t="s">
        <v>4050</v>
      </c>
      <c r="I621" s="0" t="s">
        <v>124</v>
      </c>
      <c r="J621" s="0" t="s">
        <v>125</v>
      </c>
      <c r="K621" s="0" t="s">
        <v>2065</v>
      </c>
      <c r="L621" s="0" t="str">
        <f aca="false">IFERROR(VLOOKUP(K621,'Supplier list'!B:C,2,0),"")</f>
        <v>บริษัท บลู อินเตอร์เนชั่นแนล จำกัด</v>
      </c>
      <c r="M621" s="1" t="n">
        <f aca="false">FALSE()</f>
        <v>0</v>
      </c>
      <c r="N621" s="2"/>
      <c r="O621" s="2" t="n">
        <v>1513</v>
      </c>
    </row>
    <row r="622" customFormat="false" ht="16.4" hidden="false" customHeight="false" outlineLevel="0" collapsed="false">
      <c r="A622" s="0" t="s">
        <v>15</v>
      </c>
      <c r="B622" s="0" t="s">
        <v>4051</v>
      </c>
      <c r="C622" s="0" t="n">
        <v>114001</v>
      </c>
      <c r="D622" s="0" t="n">
        <v>114001</v>
      </c>
      <c r="E622" s="0" t="s">
        <v>1815</v>
      </c>
      <c r="F622" s="0" t="s">
        <v>18</v>
      </c>
      <c r="G622" s="7" t="s">
        <v>4052</v>
      </c>
      <c r="H622" s="0" t="s">
        <v>4053</v>
      </c>
      <c r="I622" s="0" t="s">
        <v>124</v>
      </c>
      <c r="J622" s="0" t="s">
        <v>125</v>
      </c>
      <c r="K622" s="0" t="s">
        <v>2065</v>
      </c>
      <c r="L622" s="0" t="str">
        <f aca="false">IFERROR(VLOOKUP(K622,'Supplier list'!B:C,2,0),"")</f>
        <v>บริษัท บลู อินเตอร์เนชั่นแนล จำกัด</v>
      </c>
      <c r="M622" s="1" t="n">
        <f aca="false">FALSE()</f>
        <v>0</v>
      </c>
      <c r="N622" s="2"/>
      <c r="O622" s="2" t="n">
        <v>1754</v>
      </c>
    </row>
    <row r="623" customFormat="false" ht="16.4" hidden="false" customHeight="false" outlineLevel="0" collapsed="false">
      <c r="A623" s="0" t="s">
        <v>15</v>
      </c>
      <c r="B623" s="0" t="s">
        <v>4054</v>
      </c>
      <c r="C623" s="0" t="n">
        <v>114001</v>
      </c>
      <c r="D623" s="0" t="n">
        <v>114001</v>
      </c>
      <c r="E623" s="0" t="s">
        <v>1815</v>
      </c>
      <c r="F623" s="0" t="s">
        <v>18</v>
      </c>
      <c r="G623" s="7" t="s">
        <v>4055</v>
      </c>
      <c r="H623" s="0" t="s">
        <v>4056</v>
      </c>
      <c r="I623" s="0" t="s">
        <v>124</v>
      </c>
      <c r="J623" s="0" t="s">
        <v>125</v>
      </c>
      <c r="K623" s="0" t="s">
        <v>2065</v>
      </c>
      <c r="L623" s="0" t="str">
        <f aca="false">IFERROR(VLOOKUP(K623,'Supplier list'!B:C,2,0),"")</f>
        <v>บริษัท บลู อินเตอร์เนชั่นแนล จำกัด</v>
      </c>
      <c r="M623" s="1" t="n">
        <f aca="false">FALSE()</f>
        <v>0</v>
      </c>
      <c r="N623" s="2"/>
      <c r="O623" s="2" t="n">
        <v>1857</v>
      </c>
    </row>
    <row r="624" customFormat="false" ht="16.4" hidden="false" customHeight="false" outlineLevel="0" collapsed="false">
      <c r="A624" s="0" t="s">
        <v>15</v>
      </c>
      <c r="B624" s="0" t="s">
        <v>4057</v>
      </c>
      <c r="C624" s="0" t="n">
        <v>114001</v>
      </c>
      <c r="D624" s="0" t="n">
        <v>114001</v>
      </c>
      <c r="E624" s="0" t="s">
        <v>4058</v>
      </c>
      <c r="F624" s="0" t="s">
        <v>18</v>
      </c>
      <c r="G624" s="7" t="s">
        <v>4059</v>
      </c>
      <c r="H624" s="0" t="s">
        <v>4060</v>
      </c>
      <c r="I624" s="0" t="s">
        <v>124</v>
      </c>
      <c r="J624" s="0" t="s">
        <v>125</v>
      </c>
      <c r="K624" s="0" t="s">
        <v>2065</v>
      </c>
      <c r="L624" s="0" t="str">
        <f aca="false">IFERROR(VLOOKUP(K624,'Supplier list'!B:C,2,0),"")</f>
        <v>บริษัท บลู อินเตอร์เนชั่นแนล จำกัด</v>
      </c>
      <c r="M624" s="1" t="n">
        <f aca="false">FALSE()</f>
        <v>0</v>
      </c>
      <c r="N624" s="2"/>
      <c r="O624" s="2" t="n">
        <v>759</v>
      </c>
    </row>
    <row r="625" customFormat="false" ht="16.4" hidden="false" customHeight="false" outlineLevel="0" collapsed="false">
      <c r="A625" s="0" t="s">
        <v>15</v>
      </c>
      <c r="B625" s="0" t="s">
        <v>4061</v>
      </c>
      <c r="C625" s="0" t="n">
        <v>114001</v>
      </c>
      <c r="D625" s="0" t="n">
        <v>114001</v>
      </c>
      <c r="E625" s="0" t="s">
        <v>1815</v>
      </c>
      <c r="F625" s="0" t="s">
        <v>18</v>
      </c>
      <c r="G625" s="7" t="s">
        <v>4062</v>
      </c>
      <c r="H625" s="0" t="s">
        <v>4063</v>
      </c>
      <c r="I625" s="0" t="s">
        <v>124</v>
      </c>
      <c r="J625" s="0" t="s">
        <v>125</v>
      </c>
      <c r="K625" s="0" t="s">
        <v>2065</v>
      </c>
      <c r="L625" s="0" t="str">
        <f aca="false">IFERROR(VLOOKUP(K625,'Supplier list'!B:C,2,0),"")</f>
        <v>บริษัท บลู อินเตอร์เนชั่นแนล จำกัด</v>
      </c>
      <c r="M625" s="1" t="n">
        <f aca="false">FALSE()</f>
        <v>0</v>
      </c>
      <c r="N625" s="2"/>
      <c r="O625" s="2" t="n">
        <v>759</v>
      </c>
    </row>
    <row r="626" customFormat="false" ht="16.4" hidden="false" customHeight="false" outlineLevel="0" collapsed="false">
      <c r="A626" s="0" t="s">
        <v>15</v>
      </c>
      <c r="B626" s="0" t="s">
        <v>4064</v>
      </c>
      <c r="C626" s="0" t="n">
        <v>114001</v>
      </c>
      <c r="D626" s="0" t="n">
        <v>114001</v>
      </c>
      <c r="E626" s="0" t="s">
        <v>1815</v>
      </c>
      <c r="F626" s="0" t="s">
        <v>18</v>
      </c>
      <c r="G626" s="7" t="s">
        <v>4065</v>
      </c>
      <c r="H626" s="0" t="s">
        <v>4066</v>
      </c>
      <c r="I626" s="0" t="s">
        <v>124</v>
      </c>
      <c r="J626" s="0" t="s">
        <v>125</v>
      </c>
      <c r="K626" s="0" t="s">
        <v>2065</v>
      </c>
      <c r="L626" s="0" t="str">
        <f aca="false">IFERROR(VLOOKUP(K626,'Supplier list'!B:C,2,0),"")</f>
        <v>บริษัท บลู อินเตอร์เนชั่นแนล จำกัด</v>
      </c>
      <c r="M626" s="1" t="n">
        <f aca="false">FALSE()</f>
        <v>0</v>
      </c>
      <c r="N626" s="2"/>
      <c r="O626" s="2" t="n">
        <v>3076</v>
      </c>
    </row>
    <row r="627" customFormat="false" ht="16.4" hidden="false" customHeight="false" outlineLevel="0" collapsed="false">
      <c r="A627" s="0" t="s">
        <v>15</v>
      </c>
      <c r="B627" s="0" t="s">
        <v>4067</v>
      </c>
      <c r="C627" s="0" t="n">
        <v>114001</v>
      </c>
      <c r="D627" s="0" t="n">
        <v>114001</v>
      </c>
      <c r="E627" s="0" t="s">
        <v>1815</v>
      </c>
      <c r="F627" s="0" t="s">
        <v>18</v>
      </c>
      <c r="G627" s="7" t="s">
        <v>4068</v>
      </c>
      <c r="H627" s="0" t="s">
        <v>4069</v>
      </c>
      <c r="I627" s="0" t="s">
        <v>124</v>
      </c>
      <c r="J627" s="0" t="s">
        <v>125</v>
      </c>
      <c r="K627" s="0" t="s">
        <v>2065</v>
      </c>
      <c r="L627" s="0" t="str">
        <f aca="false">IFERROR(VLOOKUP(K627,'Supplier list'!B:C,2,0),"")</f>
        <v>บริษัท บลู อินเตอร์เนชั่นแนล จำกัด</v>
      </c>
      <c r="M627" s="1" t="n">
        <f aca="false">FALSE()</f>
        <v>0</v>
      </c>
      <c r="N627" s="2"/>
      <c r="O627" s="2" t="n">
        <v>4488</v>
      </c>
    </row>
    <row r="628" customFormat="false" ht="16.4" hidden="false" customHeight="false" outlineLevel="0" collapsed="false">
      <c r="A628" s="0" t="s">
        <v>15</v>
      </c>
      <c r="B628" s="0" t="s">
        <v>4070</v>
      </c>
      <c r="C628" s="0" t="n">
        <v>114001</v>
      </c>
      <c r="D628" s="0" t="n">
        <v>114001</v>
      </c>
      <c r="E628" s="0" t="s">
        <v>1815</v>
      </c>
      <c r="F628" s="0" t="s">
        <v>18</v>
      </c>
      <c r="G628" s="7" t="s">
        <v>4071</v>
      </c>
      <c r="H628" s="0" t="s">
        <v>4072</v>
      </c>
      <c r="I628" s="0" t="s">
        <v>124</v>
      </c>
      <c r="J628" s="0" t="s">
        <v>125</v>
      </c>
      <c r="K628" s="0" t="s">
        <v>2065</v>
      </c>
      <c r="L628" s="0" t="str">
        <f aca="false">IFERROR(VLOOKUP(K628,'Supplier list'!B:C,2,0),"")</f>
        <v>บริษัท บลู อินเตอร์เนชั่นแนล จำกัด</v>
      </c>
      <c r="M628" s="1" t="n">
        <f aca="false">FALSE()</f>
        <v>0</v>
      </c>
      <c r="N628" s="2"/>
      <c r="O628" s="2" t="n">
        <v>6224</v>
      </c>
    </row>
    <row r="629" customFormat="false" ht="16.4" hidden="false" customHeight="false" outlineLevel="0" collapsed="false">
      <c r="A629" s="0" t="s">
        <v>15</v>
      </c>
      <c r="B629" s="0" t="s">
        <v>4073</v>
      </c>
      <c r="C629" s="0" t="n">
        <v>114001</v>
      </c>
      <c r="D629" s="0" t="n">
        <v>114001</v>
      </c>
      <c r="E629" s="0" t="s">
        <v>1815</v>
      </c>
      <c r="F629" s="0" t="s">
        <v>18</v>
      </c>
      <c r="G629" s="7" t="s">
        <v>4074</v>
      </c>
      <c r="H629" s="0" t="s">
        <v>4075</v>
      </c>
      <c r="I629" s="0" t="s">
        <v>124</v>
      </c>
      <c r="J629" s="0" t="s">
        <v>125</v>
      </c>
      <c r="K629" s="0" t="s">
        <v>2065</v>
      </c>
      <c r="L629" s="0" t="str">
        <f aca="false">IFERROR(VLOOKUP(K629,'Supplier list'!B:C,2,0),"")</f>
        <v>บริษัท บลู อินเตอร์เนชั่นแนล จำกัด</v>
      </c>
      <c r="M629" s="1" t="n">
        <f aca="false">FALSE()</f>
        <v>0</v>
      </c>
      <c r="N629" s="2"/>
      <c r="O629" s="2" t="n">
        <v>3076</v>
      </c>
    </row>
    <row r="630" customFormat="false" ht="16.4" hidden="false" customHeight="false" outlineLevel="0" collapsed="false">
      <c r="A630" s="0" t="s">
        <v>15</v>
      </c>
      <c r="B630" s="0" t="s">
        <v>4076</v>
      </c>
      <c r="C630" s="0" t="n">
        <v>114001</v>
      </c>
      <c r="D630" s="0" t="n">
        <v>114001</v>
      </c>
      <c r="E630" s="0" t="s">
        <v>1815</v>
      </c>
      <c r="F630" s="0" t="s">
        <v>18</v>
      </c>
      <c r="G630" s="7" t="s">
        <v>4077</v>
      </c>
      <c r="H630" s="0" t="s">
        <v>4078</v>
      </c>
      <c r="I630" s="0" t="s">
        <v>124</v>
      </c>
      <c r="J630" s="0" t="s">
        <v>125</v>
      </c>
      <c r="K630" s="0" t="s">
        <v>2065</v>
      </c>
      <c r="L630" s="0" t="str">
        <f aca="false">IFERROR(VLOOKUP(K630,'Supplier list'!B:C,2,0),"")</f>
        <v>บริษัท บลู อินเตอร์เนชั่นแนล จำกัด</v>
      </c>
      <c r="M630" s="1" t="n">
        <f aca="false">FALSE()</f>
        <v>0</v>
      </c>
      <c r="N630" s="2"/>
      <c r="O630" s="2" t="n">
        <v>5922</v>
      </c>
    </row>
    <row r="631" customFormat="false" ht="16.4" hidden="false" customHeight="false" outlineLevel="0" collapsed="false">
      <c r="A631" s="0" t="s">
        <v>15</v>
      </c>
      <c r="B631" s="0" t="s">
        <v>4079</v>
      </c>
      <c r="C631" s="0" t="n">
        <v>114001</v>
      </c>
      <c r="D631" s="0" t="n">
        <v>114001</v>
      </c>
      <c r="E631" s="0" t="s">
        <v>1815</v>
      </c>
      <c r="F631" s="0" t="s">
        <v>18</v>
      </c>
      <c r="G631" s="7" t="s">
        <v>4080</v>
      </c>
      <c r="H631" s="0" t="s">
        <v>4081</v>
      </c>
      <c r="I631" s="0" t="s">
        <v>124</v>
      </c>
      <c r="J631" s="0" t="s">
        <v>125</v>
      </c>
      <c r="K631" s="0" t="s">
        <v>2065</v>
      </c>
      <c r="L631" s="0" t="str">
        <f aca="false">IFERROR(VLOOKUP(K631,'Supplier list'!B:C,2,0),"")</f>
        <v>บริษัท บลู อินเตอร์เนชั่นแนล จำกัด</v>
      </c>
      <c r="M631" s="1" t="n">
        <f aca="false">FALSE()</f>
        <v>0</v>
      </c>
      <c r="N631" s="2"/>
      <c r="O631" s="2" t="n">
        <v>4488</v>
      </c>
    </row>
    <row r="632" customFormat="false" ht="16.4" hidden="false" customHeight="false" outlineLevel="0" collapsed="false">
      <c r="A632" s="0" t="s">
        <v>15</v>
      </c>
      <c r="B632" s="0" t="s">
        <v>4082</v>
      </c>
      <c r="C632" s="0" t="n">
        <v>114001</v>
      </c>
      <c r="D632" s="0" t="n">
        <v>114001</v>
      </c>
      <c r="E632" s="0" t="s">
        <v>1815</v>
      </c>
      <c r="F632" s="0" t="s">
        <v>18</v>
      </c>
      <c r="G632" s="7" t="s">
        <v>4083</v>
      </c>
      <c r="H632" s="0" t="s">
        <v>4084</v>
      </c>
      <c r="I632" s="0" t="s">
        <v>124</v>
      </c>
      <c r="J632" s="0" t="s">
        <v>125</v>
      </c>
      <c r="K632" s="0" t="s">
        <v>2065</v>
      </c>
      <c r="L632" s="0" t="str">
        <f aca="false">IFERROR(VLOOKUP(K632,'Supplier list'!B:C,2,0),"")</f>
        <v>บริษัท บลู อินเตอร์เนชั่นแนล จำกัด</v>
      </c>
      <c r="M632" s="1" t="n">
        <f aca="false">FALSE()</f>
        <v>0</v>
      </c>
      <c r="N632" s="2"/>
      <c r="O632" s="2" t="n">
        <v>7577</v>
      </c>
    </row>
    <row r="633" customFormat="false" ht="16.4" hidden="false" customHeight="false" outlineLevel="0" collapsed="false">
      <c r="A633" s="0" t="s">
        <v>15</v>
      </c>
      <c r="B633" s="0" t="s">
        <v>4085</v>
      </c>
      <c r="C633" s="0" t="n">
        <v>114001</v>
      </c>
      <c r="D633" s="0" t="n">
        <v>114001</v>
      </c>
      <c r="E633" s="0" t="s">
        <v>1815</v>
      </c>
      <c r="F633" s="0" t="s">
        <v>18</v>
      </c>
      <c r="G633" s="7" t="s">
        <v>4086</v>
      </c>
      <c r="H633" s="0" t="s">
        <v>4087</v>
      </c>
      <c r="I633" s="0" t="s">
        <v>124</v>
      </c>
      <c r="J633" s="0" t="s">
        <v>125</v>
      </c>
      <c r="K633" s="0" t="s">
        <v>2065</v>
      </c>
      <c r="L633" s="0" t="str">
        <f aca="false">IFERROR(VLOOKUP(K633,'Supplier list'!B:C,2,0),"")</f>
        <v>บริษัท บลู อินเตอร์เนชั่นแนล จำกัด</v>
      </c>
      <c r="M633" s="1" t="n">
        <f aca="false">FALSE()</f>
        <v>0</v>
      </c>
      <c r="N633" s="2"/>
      <c r="O633" s="2" t="n">
        <v>9129</v>
      </c>
    </row>
    <row r="634" customFormat="false" ht="16.4" hidden="false" customHeight="false" outlineLevel="0" collapsed="false">
      <c r="A634" s="0" t="s">
        <v>15</v>
      </c>
      <c r="B634" s="0" t="s">
        <v>4088</v>
      </c>
      <c r="C634" s="0" t="n">
        <v>114001</v>
      </c>
      <c r="D634" s="0" t="n">
        <v>114001</v>
      </c>
      <c r="E634" s="0" t="s">
        <v>1815</v>
      </c>
      <c r="F634" s="0" t="s">
        <v>18</v>
      </c>
      <c r="G634" s="7" t="s">
        <v>4089</v>
      </c>
      <c r="H634" s="0" t="s">
        <v>4090</v>
      </c>
      <c r="I634" s="0" t="s">
        <v>124</v>
      </c>
      <c r="J634" s="0" t="s">
        <v>125</v>
      </c>
      <c r="K634" s="0" t="s">
        <v>2065</v>
      </c>
      <c r="L634" s="0" t="str">
        <f aca="false">IFERROR(VLOOKUP(K634,'Supplier list'!B:C,2,0),"")</f>
        <v>บริษัท บลู อินเตอร์เนชั่นแนล จำกัด</v>
      </c>
      <c r="M634" s="1" t="n">
        <f aca="false">FALSE()</f>
        <v>0</v>
      </c>
      <c r="N634" s="2"/>
      <c r="O634" s="2" t="n">
        <v>6224</v>
      </c>
    </row>
    <row r="635" customFormat="false" ht="16.4" hidden="false" customHeight="false" outlineLevel="0" collapsed="false">
      <c r="A635" s="0" t="s">
        <v>15</v>
      </c>
      <c r="B635" s="0" t="s">
        <v>4091</v>
      </c>
      <c r="C635" s="0" t="n">
        <v>114001</v>
      </c>
      <c r="D635" s="0" t="n">
        <v>114001</v>
      </c>
      <c r="E635" s="0" t="s">
        <v>1815</v>
      </c>
      <c r="F635" s="0" t="s">
        <v>18</v>
      </c>
      <c r="G635" s="7" t="s">
        <v>4092</v>
      </c>
      <c r="H635" s="0" t="s">
        <v>4093</v>
      </c>
      <c r="I635" s="0" t="s">
        <v>124</v>
      </c>
      <c r="J635" s="0" t="s">
        <v>125</v>
      </c>
      <c r="K635" s="0" t="s">
        <v>2065</v>
      </c>
      <c r="L635" s="0" t="str">
        <f aca="false">IFERROR(VLOOKUP(K635,'Supplier list'!B:C,2,0),"")</f>
        <v>บริษัท บลู อินเตอร์เนชั่นแนล จำกัด</v>
      </c>
      <c r="M635" s="1" t="n">
        <f aca="false">FALSE()</f>
        <v>0</v>
      </c>
      <c r="N635" s="2"/>
      <c r="O635" s="2" t="n">
        <v>4928</v>
      </c>
    </row>
    <row r="636" customFormat="false" ht="16.4" hidden="false" customHeight="false" outlineLevel="0" collapsed="false">
      <c r="A636" s="0" t="s">
        <v>15</v>
      </c>
      <c r="B636" s="0" t="s">
        <v>4094</v>
      </c>
      <c r="C636" s="0" t="n">
        <v>114001</v>
      </c>
      <c r="D636" s="0" t="n">
        <v>114001</v>
      </c>
      <c r="E636" s="0" t="s">
        <v>1815</v>
      </c>
      <c r="F636" s="0" t="s">
        <v>18</v>
      </c>
      <c r="G636" s="7" t="s">
        <v>4095</v>
      </c>
      <c r="H636" s="0" t="s">
        <v>4096</v>
      </c>
      <c r="I636" s="0" t="s">
        <v>124</v>
      </c>
      <c r="J636" s="0" t="s">
        <v>125</v>
      </c>
      <c r="K636" s="0" t="s">
        <v>2065</v>
      </c>
      <c r="L636" s="0" t="str">
        <f aca="false">IFERROR(VLOOKUP(K636,'Supplier list'!B:C,2,0),"")</f>
        <v>บริษัท บลู อินเตอร์เนชั่นแนล จำกัด</v>
      </c>
      <c r="M636" s="1" t="n">
        <f aca="false">FALSE()</f>
        <v>0</v>
      </c>
      <c r="N636" s="2"/>
      <c r="O636" s="2" t="n">
        <v>7752</v>
      </c>
    </row>
    <row r="637" customFormat="false" ht="16.4" hidden="false" customHeight="false" outlineLevel="0" collapsed="false">
      <c r="A637" s="0" t="s">
        <v>15</v>
      </c>
      <c r="B637" s="0" t="s">
        <v>4097</v>
      </c>
      <c r="C637" s="0" t="n">
        <v>114001</v>
      </c>
      <c r="D637" s="0" t="n">
        <v>114001</v>
      </c>
      <c r="E637" s="0" t="s">
        <v>1727</v>
      </c>
      <c r="F637" s="0" t="s">
        <v>18</v>
      </c>
      <c r="G637" s="7" t="s">
        <v>4098</v>
      </c>
      <c r="H637" s="0" t="s">
        <v>4099</v>
      </c>
      <c r="I637" s="0" t="s">
        <v>124</v>
      </c>
      <c r="J637" s="0" t="s">
        <v>125</v>
      </c>
      <c r="K637" s="0" t="s">
        <v>2065</v>
      </c>
      <c r="L637" s="0" t="str">
        <f aca="false">IFERROR(VLOOKUP(K637,'Supplier list'!B:C,2,0),"")</f>
        <v>บริษัท บลู อินเตอร์เนชั่นแนล จำกัด</v>
      </c>
      <c r="M637" s="1" t="n">
        <f aca="false">TRUE()</f>
        <v>1</v>
      </c>
      <c r="N637" s="2" t="n">
        <v>5500</v>
      </c>
      <c r="O637" s="2" t="n">
        <f aca="false">1729+2721</f>
        <v>4450</v>
      </c>
    </row>
    <row r="638" customFormat="false" ht="16.4" hidden="false" customHeight="false" outlineLevel="0" collapsed="false">
      <c r="A638" s="0" t="s">
        <v>15</v>
      </c>
      <c r="B638" s="0" t="s">
        <v>4100</v>
      </c>
      <c r="C638" s="0" t="n">
        <v>114001</v>
      </c>
      <c r="D638" s="0" t="n">
        <v>114001</v>
      </c>
      <c r="E638" s="0" t="s">
        <v>1727</v>
      </c>
      <c r="F638" s="0" t="s">
        <v>18</v>
      </c>
      <c r="G638" s="7" t="s">
        <v>4101</v>
      </c>
      <c r="H638" s="0" t="s">
        <v>4102</v>
      </c>
      <c r="I638" s="0" t="s">
        <v>124</v>
      </c>
      <c r="J638" s="0" t="s">
        <v>125</v>
      </c>
      <c r="K638" s="0" t="s">
        <v>2065</v>
      </c>
      <c r="L638" s="0" t="str">
        <f aca="false">IFERROR(VLOOKUP(K638,'Supplier list'!B:C,2,0),"")</f>
        <v>บริษัท บลู อินเตอร์เนชั่นแนล จำกัด</v>
      </c>
      <c r="M638" s="1" t="n">
        <f aca="false">TRUE()</f>
        <v>1</v>
      </c>
      <c r="N638" s="2" t="n">
        <v>7500</v>
      </c>
      <c r="O638" s="2" t="n">
        <f aca="false">3483+2721</f>
        <v>6204</v>
      </c>
    </row>
    <row r="639" customFormat="false" ht="16.4" hidden="false" customHeight="false" outlineLevel="0" collapsed="false">
      <c r="A639" s="0" t="s">
        <v>15</v>
      </c>
      <c r="B639" s="0" t="s">
        <v>4103</v>
      </c>
      <c r="C639" s="0" t="n">
        <v>114001</v>
      </c>
      <c r="D639" s="0" t="n">
        <v>114001</v>
      </c>
      <c r="E639" s="0" t="s">
        <v>961</v>
      </c>
      <c r="F639" s="0" t="s">
        <v>18</v>
      </c>
      <c r="G639" s="7" t="s">
        <v>4104</v>
      </c>
      <c r="H639" s="0" t="s">
        <v>4105</v>
      </c>
      <c r="I639" s="0" t="s">
        <v>124</v>
      </c>
      <c r="J639" s="0" t="s">
        <v>125</v>
      </c>
      <c r="K639" s="0" t="s">
        <v>2065</v>
      </c>
      <c r="L639" s="0" t="str">
        <f aca="false">IFERROR(VLOOKUP(K639,'Supplier list'!B:C,2,0),"")</f>
        <v>บริษัท บลู อินเตอร์เนชั่นแนล จำกัด</v>
      </c>
      <c r="M639" s="1" t="n">
        <f aca="false">FALSE()</f>
        <v>0</v>
      </c>
      <c r="N639" s="2"/>
      <c r="O639" s="2" t="n">
        <v>380</v>
      </c>
    </row>
    <row r="640" customFormat="false" ht="16.4" hidden="false" customHeight="false" outlineLevel="0" collapsed="false">
      <c r="A640" s="0" t="s">
        <v>15</v>
      </c>
      <c r="B640" s="0" t="s">
        <v>4106</v>
      </c>
      <c r="C640" s="0" t="n">
        <v>114001</v>
      </c>
      <c r="D640" s="0" t="n">
        <v>114001</v>
      </c>
      <c r="E640" s="0" t="s">
        <v>961</v>
      </c>
      <c r="F640" s="0" t="s">
        <v>18</v>
      </c>
      <c r="G640" s="7" t="s">
        <v>4107</v>
      </c>
      <c r="H640" s="0" t="s">
        <v>4108</v>
      </c>
      <c r="I640" s="0" t="s">
        <v>124</v>
      </c>
      <c r="J640" s="0" t="s">
        <v>125</v>
      </c>
      <c r="K640" s="0" t="s">
        <v>2065</v>
      </c>
      <c r="L640" s="0" t="str">
        <f aca="false">IFERROR(VLOOKUP(K640,'Supplier list'!B:C,2,0),"")</f>
        <v>บริษัท บลู อินเตอร์เนชั่นแนล จำกัด</v>
      </c>
      <c r="M640" s="1" t="n">
        <f aca="false">FALSE()</f>
        <v>0</v>
      </c>
      <c r="N640" s="2"/>
      <c r="O640" s="2" t="n">
        <v>257</v>
      </c>
    </row>
    <row r="641" customFormat="false" ht="16.4" hidden="false" customHeight="false" outlineLevel="0" collapsed="false">
      <c r="A641" s="0" t="s">
        <v>15</v>
      </c>
      <c r="B641" s="0" t="s">
        <v>4109</v>
      </c>
      <c r="C641" s="0" t="n">
        <v>114001</v>
      </c>
      <c r="D641" s="0" t="n">
        <v>114001</v>
      </c>
      <c r="E641" s="0" t="s">
        <v>1764</v>
      </c>
      <c r="F641" s="0" t="s">
        <v>18</v>
      </c>
      <c r="G641" s="7" t="s">
        <v>4110</v>
      </c>
      <c r="H641" s="0" t="s">
        <v>4111</v>
      </c>
      <c r="I641" s="0" t="s">
        <v>21</v>
      </c>
      <c r="J641" s="0" t="s">
        <v>22</v>
      </c>
      <c r="K641" s="0" t="s">
        <v>4112</v>
      </c>
      <c r="L641" s="0" t="str">
        <f aca="false">IFERROR(VLOOKUP(K641,'Supplier list'!B:C,2,0),"")</f>
        <v/>
      </c>
      <c r="M641" s="1" t="n">
        <f aca="false">TRUE()</f>
        <v>1</v>
      </c>
      <c r="N641" s="2" t="n">
        <v>400</v>
      </c>
      <c r="O641" s="2" t="n">
        <v>240</v>
      </c>
    </row>
    <row r="642" customFormat="false" ht="16.4" hidden="false" customHeight="false" outlineLevel="0" collapsed="false">
      <c r="A642" s="0" t="s">
        <v>15</v>
      </c>
      <c r="B642" s="0" t="s">
        <v>4113</v>
      </c>
      <c r="C642" s="0" t="n">
        <v>114001</v>
      </c>
      <c r="D642" s="0" t="n">
        <v>114001</v>
      </c>
      <c r="E642" s="0" t="s">
        <v>1764</v>
      </c>
      <c r="F642" s="0" t="s">
        <v>18</v>
      </c>
      <c r="G642" s="7" t="s">
        <v>4114</v>
      </c>
      <c r="H642" s="0" t="s">
        <v>4115</v>
      </c>
      <c r="I642" s="0" t="s">
        <v>21</v>
      </c>
      <c r="J642" s="0" t="s">
        <v>22</v>
      </c>
      <c r="K642" s="0" t="s">
        <v>4112</v>
      </c>
      <c r="L642" s="0" t="str">
        <f aca="false">IFERROR(VLOOKUP(K642,'Supplier list'!B:C,2,0),"")</f>
        <v/>
      </c>
      <c r="M642" s="1" t="n">
        <f aca="false">TRUE()</f>
        <v>1</v>
      </c>
      <c r="N642" s="2" t="n">
        <v>400</v>
      </c>
      <c r="O642" s="2" t="n">
        <v>240</v>
      </c>
    </row>
    <row r="643" customFormat="false" ht="16.4" hidden="false" customHeight="false" outlineLevel="0" collapsed="false">
      <c r="A643" s="0" t="s">
        <v>15</v>
      </c>
      <c r="B643" s="0" t="s">
        <v>4116</v>
      </c>
      <c r="C643" s="0" t="n">
        <v>114001</v>
      </c>
      <c r="D643" s="0" t="n">
        <v>114001</v>
      </c>
      <c r="E643" s="0" t="s">
        <v>1764</v>
      </c>
      <c r="F643" s="0" t="s">
        <v>18</v>
      </c>
      <c r="G643" s="7" t="s">
        <v>4117</v>
      </c>
      <c r="H643" s="0" t="s">
        <v>4118</v>
      </c>
      <c r="I643" s="0" t="s">
        <v>21</v>
      </c>
      <c r="J643" s="0" t="s">
        <v>22</v>
      </c>
      <c r="K643" s="0" t="s">
        <v>4112</v>
      </c>
      <c r="L643" s="0" t="str">
        <f aca="false">IFERROR(VLOOKUP(K643,'Supplier list'!B:C,2,0),"")</f>
        <v/>
      </c>
      <c r="M643" s="1" t="n">
        <f aca="false">TRUE()</f>
        <v>1</v>
      </c>
      <c r="N643" s="2" t="n">
        <v>600</v>
      </c>
      <c r="O643" s="2" t="n">
        <v>390</v>
      </c>
    </row>
    <row r="644" customFormat="false" ht="16.4" hidden="false" customHeight="false" outlineLevel="0" collapsed="false">
      <c r="A644" s="0" t="s">
        <v>15</v>
      </c>
      <c r="B644" s="0" t="s">
        <v>4119</v>
      </c>
      <c r="C644" s="0" t="n">
        <v>114001</v>
      </c>
      <c r="D644" s="0" t="n">
        <v>114001</v>
      </c>
      <c r="E644" s="0" t="s">
        <v>1764</v>
      </c>
      <c r="F644" s="0" t="s">
        <v>18</v>
      </c>
      <c r="G644" s="7" t="s">
        <v>4120</v>
      </c>
      <c r="H644" s="0" t="s">
        <v>4121</v>
      </c>
      <c r="I644" s="0" t="s">
        <v>21</v>
      </c>
      <c r="J644" s="0" t="s">
        <v>22</v>
      </c>
      <c r="K644" s="0" t="s">
        <v>4112</v>
      </c>
      <c r="L644" s="0" t="str">
        <f aca="false">IFERROR(VLOOKUP(K644,'Supplier list'!B:C,2,0),"")</f>
        <v/>
      </c>
      <c r="M644" s="1" t="n">
        <f aca="false">TRUE()</f>
        <v>1</v>
      </c>
      <c r="N644" s="2" t="n">
        <v>600</v>
      </c>
      <c r="O644" s="2" t="n">
        <v>390</v>
      </c>
    </row>
    <row r="645" customFormat="false" ht="16.4" hidden="false" customHeight="false" outlineLevel="0" collapsed="false">
      <c r="A645" s="0" t="s">
        <v>15</v>
      </c>
      <c r="B645" s="0" t="s">
        <v>4122</v>
      </c>
      <c r="C645" s="0" t="n">
        <v>114001</v>
      </c>
      <c r="D645" s="0" t="n">
        <v>114001</v>
      </c>
      <c r="E645" s="0" t="s">
        <v>1764</v>
      </c>
      <c r="F645" s="0" t="s">
        <v>18</v>
      </c>
      <c r="G645" s="7" t="s">
        <v>4123</v>
      </c>
      <c r="H645" s="0" t="s">
        <v>4124</v>
      </c>
      <c r="I645" s="0" t="s">
        <v>21</v>
      </c>
      <c r="J645" s="0" t="s">
        <v>22</v>
      </c>
      <c r="K645" s="0" t="s">
        <v>4112</v>
      </c>
      <c r="L645" s="0" t="str">
        <f aca="false">IFERROR(VLOOKUP(K645,'Supplier list'!B:C,2,0),"")</f>
        <v/>
      </c>
      <c r="M645" s="1" t="n">
        <f aca="false">TRUE()</f>
        <v>1</v>
      </c>
      <c r="N645" s="2" t="n">
        <v>250</v>
      </c>
      <c r="O645" s="2" t="n">
        <v>120</v>
      </c>
    </row>
    <row r="646" customFormat="false" ht="16.4" hidden="false" customHeight="false" outlineLevel="0" collapsed="false">
      <c r="A646" s="0" t="s">
        <v>15</v>
      </c>
      <c r="B646" s="0" t="s">
        <v>4125</v>
      </c>
      <c r="C646" s="0" t="n">
        <v>114001</v>
      </c>
      <c r="D646" s="0" t="n">
        <v>114001</v>
      </c>
      <c r="E646" s="0" t="s">
        <v>1764</v>
      </c>
      <c r="F646" s="0" t="s">
        <v>18</v>
      </c>
      <c r="G646" s="7" t="s">
        <v>4126</v>
      </c>
      <c r="H646" s="0" t="s">
        <v>4127</v>
      </c>
      <c r="I646" s="0" t="s">
        <v>21</v>
      </c>
      <c r="J646" s="0" t="s">
        <v>22</v>
      </c>
      <c r="K646" s="0" t="s">
        <v>4112</v>
      </c>
      <c r="L646" s="0" t="str">
        <f aca="false">IFERROR(VLOOKUP(K646,'Supplier list'!B:C,2,0),"")</f>
        <v/>
      </c>
      <c r="M646" s="1" t="n">
        <f aca="false">TRUE()</f>
        <v>1</v>
      </c>
      <c r="N646" s="2" t="n">
        <v>250</v>
      </c>
      <c r="O646" s="2" t="n">
        <v>120</v>
      </c>
    </row>
    <row r="647" customFormat="false" ht="16.4" hidden="false" customHeight="false" outlineLevel="0" collapsed="false">
      <c r="A647" s="0" t="s">
        <v>15</v>
      </c>
      <c r="B647" s="0" t="s">
        <v>4128</v>
      </c>
      <c r="C647" s="0" t="n">
        <v>114001</v>
      </c>
      <c r="D647" s="0" t="n">
        <v>114001</v>
      </c>
      <c r="E647" s="0" t="s">
        <v>1764</v>
      </c>
      <c r="F647" s="0" t="s">
        <v>18</v>
      </c>
      <c r="G647" s="7" t="s">
        <v>4129</v>
      </c>
      <c r="H647" s="0" t="s">
        <v>4130</v>
      </c>
      <c r="I647" s="0" t="s">
        <v>21</v>
      </c>
      <c r="J647" s="0" t="s">
        <v>22</v>
      </c>
      <c r="K647" s="0" t="s">
        <v>4112</v>
      </c>
      <c r="L647" s="0" t="str">
        <f aca="false">IFERROR(VLOOKUP(K647,'Supplier list'!B:C,2,0),"")</f>
        <v/>
      </c>
      <c r="M647" s="1" t="n">
        <f aca="false">TRUE()</f>
        <v>1</v>
      </c>
      <c r="N647" s="2" t="n">
        <v>400</v>
      </c>
      <c r="O647" s="2" t="n">
        <v>205</v>
      </c>
    </row>
    <row r="648" customFormat="false" ht="16.4" hidden="false" customHeight="false" outlineLevel="0" collapsed="false">
      <c r="A648" s="0" t="s">
        <v>15</v>
      </c>
      <c r="B648" s="0" t="s">
        <v>4131</v>
      </c>
      <c r="C648" s="0" t="n">
        <v>114001</v>
      </c>
      <c r="D648" s="0" t="n">
        <v>114001</v>
      </c>
      <c r="E648" s="0" t="s">
        <v>1764</v>
      </c>
      <c r="F648" s="0" t="s">
        <v>18</v>
      </c>
      <c r="G648" s="7" t="s">
        <v>4132</v>
      </c>
      <c r="H648" s="0" t="s">
        <v>4133</v>
      </c>
      <c r="I648" s="0" t="s">
        <v>21</v>
      </c>
      <c r="J648" s="0" t="s">
        <v>22</v>
      </c>
      <c r="K648" s="0" t="s">
        <v>4112</v>
      </c>
      <c r="L648" s="0" t="str">
        <f aca="false">IFERROR(VLOOKUP(K648,'Supplier list'!B:C,2,0),"")</f>
        <v/>
      </c>
      <c r="M648" s="1" t="n">
        <f aca="false">TRUE()</f>
        <v>1</v>
      </c>
      <c r="N648" s="2" t="n">
        <v>400</v>
      </c>
      <c r="O648" s="2" t="n">
        <v>205</v>
      </c>
    </row>
    <row r="649" customFormat="false" ht="16.4" hidden="false" customHeight="false" outlineLevel="0" collapsed="false">
      <c r="A649" s="0" t="s">
        <v>15</v>
      </c>
      <c r="B649" s="0" t="s">
        <v>4134</v>
      </c>
      <c r="C649" s="0" t="n">
        <v>114001</v>
      </c>
      <c r="D649" s="0" t="n">
        <v>114001</v>
      </c>
      <c r="E649" s="0" t="s">
        <v>961</v>
      </c>
      <c r="F649" s="0" t="s">
        <v>18</v>
      </c>
      <c r="G649" s="7" t="s">
        <v>4135</v>
      </c>
      <c r="H649" s="0" t="s">
        <v>4136</v>
      </c>
      <c r="I649" s="0" t="s">
        <v>124</v>
      </c>
      <c r="J649" s="0" t="s">
        <v>125</v>
      </c>
      <c r="K649" s="0" t="s">
        <v>89</v>
      </c>
      <c r="L649" s="0" t="str">
        <f aca="false">IFERROR(VLOOKUP(K649,'Supplier list'!B:C,2,0),"")</f>
        <v>บริษัท เฮเฟเล่ (ประเทศไทย) จำกัด</v>
      </c>
      <c r="M649" s="1" t="n">
        <f aca="false">FALSE()</f>
        <v>0</v>
      </c>
      <c r="N649" s="2"/>
      <c r="O649" s="2" t="n">
        <v>2935</v>
      </c>
    </row>
    <row r="650" customFormat="false" ht="16.4" hidden="false" customHeight="false" outlineLevel="0" collapsed="false">
      <c r="A650" s="0" t="s">
        <v>15</v>
      </c>
      <c r="B650" s="0" t="s">
        <v>4137</v>
      </c>
      <c r="C650" s="0" t="n">
        <v>114001</v>
      </c>
      <c r="D650" s="0" t="n">
        <v>114001</v>
      </c>
      <c r="E650" s="0" t="s">
        <v>1815</v>
      </c>
      <c r="F650" s="0" t="s">
        <v>18</v>
      </c>
      <c r="G650" s="7" t="s">
        <v>4138</v>
      </c>
      <c r="H650" s="0" t="s">
        <v>4139</v>
      </c>
      <c r="I650" s="0" t="s">
        <v>517</v>
      </c>
      <c r="J650" s="0" t="s">
        <v>518</v>
      </c>
      <c r="K650" s="0" t="s">
        <v>89</v>
      </c>
      <c r="L650" s="0" t="str">
        <f aca="false">IFERROR(VLOOKUP(K650,'Supplier list'!B:C,2,0),"")</f>
        <v>บริษัท เฮเฟเล่ (ประเทศไทย) จำกัด</v>
      </c>
      <c r="M650" s="1" t="n">
        <f aca="false">TRUE()</f>
        <v>1</v>
      </c>
      <c r="N650" s="2" t="n">
        <v>1900</v>
      </c>
      <c r="O650" s="2" t="n">
        <v>776</v>
      </c>
    </row>
  </sheetData>
  <conditionalFormatting sqref="G1">
    <cfRule type="duplicateValues" priority="2" aboveAverage="0" equalAverage="0" bottom="0" percent="0" rank="0" text="" dxfId="0"/>
  </conditionalFormatting>
  <conditionalFormatting sqref="G2:G650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4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04296875" defaultRowHeight="13.8" zeroHeight="false" outlineLevelRow="0" outlineLevelCol="0"/>
  <sheetData>
    <row r="1" customFormat="false" ht="14.9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9216</v>
      </c>
      <c r="N1" s="5" t="s">
        <v>13</v>
      </c>
      <c r="O1" s="3" t="s">
        <v>14</v>
      </c>
    </row>
    <row r="2" customFormat="false" ht="16.4" hidden="false" customHeight="false" outlineLevel="0" collapsed="false">
      <c r="A2" s="0" t="s">
        <v>15</v>
      </c>
      <c r="B2" s="0" t="s">
        <v>4140</v>
      </c>
      <c r="C2" s="0" t="n">
        <v>114001</v>
      </c>
      <c r="D2" s="0" t="n">
        <v>114001</v>
      </c>
      <c r="E2" s="0" t="s">
        <v>1764</v>
      </c>
      <c r="F2" s="0" t="s">
        <v>18</v>
      </c>
      <c r="G2" s="7" t="s">
        <v>4141</v>
      </c>
      <c r="H2" s="0" t="s">
        <v>4142</v>
      </c>
      <c r="I2" s="0" t="s">
        <v>21</v>
      </c>
      <c r="J2" s="0" t="s">
        <v>22</v>
      </c>
      <c r="K2" s="0" t="s">
        <v>4112</v>
      </c>
      <c r="L2" s="0" t="str">
        <f aca="false">IFERROR(VLOOKUP(K2,'Supplier list'!B:C,2,0),"")</f>
        <v/>
      </c>
      <c r="M2" s="1" t="n">
        <f aca="false">TRUE()</f>
        <v>1</v>
      </c>
      <c r="N2" s="2" t="n">
        <v>350</v>
      </c>
      <c r="O2" s="2" t="n">
        <v>180</v>
      </c>
    </row>
    <row r="3" customFormat="false" ht="16.4" hidden="false" customHeight="false" outlineLevel="0" collapsed="false">
      <c r="A3" s="0" t="s">
        <v>15</v>
      </c>
      <c r="B3" s="0" t="s">
        <v>4143</v>
      </c>
      <c r="C3" s="0" t="n">
        <v>114001</v>
      </c>
      <c r="D3" s="0" t="n">
        <v>114001</v>
      </c>
      <c r="E3" s="0" t="s">
        <v>1764</v>
      </c>
      <c r="F3" s="0" t="s">
        <v>18</v>
      </c>
      <c r="G3" s="7" t="s">
        <v>4144</v>
      </c>
      <c r="H3" s="0" t="s">
        <v>4145</v>
      </c>
      <c r="I3" s="0" t="s">
        <v>21</v>
      </c>
      <c r="J3" s="0" t="s">
        <v>22</v>
      </c>
      <c r="K3" s="0" t="s">
        <v>4112</v>
      </c>
      <c r="L3" s="0" t="str">
        <f aca="false">IFERROR(VLOOKUP(K3,'Supplier list'!B:C,2,0),"")</f>
        <v/>
      </c>
      <c r="M3" s="1" t="n">
        <f aca="false">TRUE()</f>
        <v>1</v>
      </c>
      <c r="N3" s="2" t="n">
        <v>350</v>
      </c>
      <c r="O3" s="2" t="n">
        <v>180</v>
      </c>
    </row>
    <row r="4" customFormat="false" ht="16.4" hidden="false" customHeight="false" outlineLevel="0" collapsed="false">
      <c r="A4" s="0" t="s">
        <v>15</v>
      </c>
      <c r="B4" s="0" t="s">
        <v>4146</v>
      </c>
      <c r="C4" s="0" t="n">
        <v>114001</v>
      </c>
      <c r="D4" s="0" t="n">
        <v>114001</v>
      </c>
      <c r="E4" s="0" t="s">
        <v>1764</v>
      </c>
      <c r="F4" s="0" t="s">
        <v>18</v>
      </c>
      <c r="G4" s="7" t="s">
        <v>4147</v>
      </c>
      <c r="H4" s="0" t="s">
        <v>4148</v>
      </c>
      <c r="I4" s="0" t="s">
        <v>21</v>
      </c>
      <c r="J4" s="0" t="s">
        <v>22</v>
      </c>
      <c r="K4" s="0" t="s">
        <v>4112</v>
      </c>
      <c r="L4" s="0" t="str">
        <f aca="false">IFERROR(VLOOKUP(K4,'Supplier list'!B:C,2,0),"")</f>
        <v/>
      </c>
      <c r="M4" s="1" t="n">
        <f aca="false">TRUE()</f>
        <v>1</v>
      </c>
      <c r="N4" s="2" t="n">
        <v>1500</v>
      </c>
      <c r="O4" s="2" t="n">
        <v>780</v>
      </c>
    </row>
    <row r="5" customFormat="false" ht="16.4" hidden="false" customHeight="false" outlineLevel="0" collapsed="false">
      <c r="A5" s="0" t="s">
        <v>15</v>
      </c>
      <c r="B5" s="0" t="s">
        <v>4149</v>
      </c>
      <c r="C5" s="0" t="n">
        <v>114001</v>
      </c>
      <c r="D5" s="0" t="n">
        <v>114001</v>
      </c>
      <c r="E5" s="0" t="s">
        <v>1764</v>
      </c>
      <c r="F5" s="0" t="s">
        <v>18</v>
      </c>
      <c r="G5" s="7" t="s">
        <v>4150</v>
      </c>
      <c r="H5" s="0" t="s">
        <v>4151</v>
      </c>
      <c r="I5" s="0" t="s">
        <v>21</v>
      </c>
      <c r="J5" s="0" t="s">
        <v>22</v>
      </c>
      <c r="K5" s="0" t="s">
        <v>4112</v>
      </c>
      <c r="L5" s="0" t="str">
        <f aca="false">IFERROR(VLOOKUP(K5,'Supplier list'!B:C,2,0),"")</f>
        <v/>
      </c>
      <c r="M5" s="1" t="n">
        <f aca="false">TRUE()</f>
        <v>1</v>
      </c>
      <c r="N5" s="2" t="n">
        <v>450</v>
      </c>
      <c r="O5" s="2" t="n">
        <v>260</v>
      </c>
    </row>
    <row r="6" customFormat="false" ht="16.4" hidden="false" customHeight="false" outlineLevel="0" collapsed="false">
      <c r="A6" s="0" t="s">
        <v>15</v>
      </c>
      <c r="B6" s="0" t="s">
        <v>4152</v>
      </c>
      <c r="C6" s="0" t="n">
        <v>114001</v>
      </c>
      <c r="D6" s="0" t="n">
        <v>114001</v>
      </c>
      <c r="E6" s="0" t="s">
        <v>1764</v>
      </c>
      <c r="F6" s="0" t="s">
        <v>18</v>
      </c>
      <c r="G6" s="7" t="s">
        <v>4153</v>
      </c>
      <c r="H6" s="0" t="s">
        <v>4154</v>
      </c>
      <c r="I6" s="0" t="s">
        <v>21</v>
      </c>
      <c r="J6" s="0" t="s">
        <v>22</v>
      </c>
      <c r="K6" s="0" t="s">
        <v>4112</v>
      </c>
      <c r="L6" s="0" t="str">
        <f aca="false">IFERROR(VLOOKUP(K6,'Supplier list'!B:C,2,0),"")</f>
        <v/>
      </c>
      <c r="M6" s="1" t="n">
        <f aca="false">TRUE()</f>
        <v>1</v>
      </c>
      <c r="N6" s="2" t="n">
        <v>1900</v>
      </c>
      <c r="O6" s="2" t="n">
        <v>1220</v>
      </c>
    </row>
    <row r="7" customFormat="false" ht="16.4" hidden="false" customHeight="false" outlineLevel="0" collapsed="false">
      <c r="A7" s="0" t="s">
        <v>15</v>
      </c>
      <c r="B7" s="0" t="s">
        <v>4155</v>
      </c>
      <c r="C7" s="0" t="n">
        <v>114001</v>
      </c>
      <c r="D7" s="0" t="n">
        <v>114001</v>
      </c>
      <c r="E7" s="0" t="s">
        <v>1764</v>
      </c>
      <c r="F7" s="0" t="s">
        <v>18</v>
      </c>
      <c r="G7" s="7" t="s">
        <v>4156</v>
      </c>
      <c r="H7" s="0" t="s">
        <v>4157</v>
      </c>
      <c r="I7" s="0" t="s">
        <v>21</v>
      </c>
      <c r="J7" s="0" t="s">
        <v>22</v>
      </c>
      <c r="K7" s="0" t="s">
        <v>4112</v>
      </c>
      <c r="L7" s="0" t="str">
        <f aca="false">IFERROR(VLOOKUP(K7,'Supplier list'!B:C,2,0),"")</f>
        <v/>
      </c>
      <c r="M7" s="1" t="n">
        <f aca="false">TRUE()</f>
        <v>1</v>
      </c>
      <c r="N7" s="2" t="n">
        <v>350</v>
      </c>
      <c r="O7" s="2" t="n">
        <v>170</v>
      </c>
    </row>
    <row r="8" customFormat="false" ht="16.4" hidden="false" customHeight="false" outlineLevel="0" collapsed="false">
      <c r="A8" s="0" t="s">
        <v>15</v>
      </c>
      <c r="B8" s="0" t="s">
        <v>4158</v>
      </c>
      <c r="C8" s="0" t="n">
        <v>114001</v>
      </c>
      <c r="D8" s="0" t="n">
        <v>114001</v>
      </c>
      <c r="E8" s="0" t="s">
        <v>1764</v>
      </c>
      <c r="F8" s="0" t="s">
        <v>18</v>
      </c>
      <c r="G8" s="7" t="s">
        <v>4159</v>
      </c>
      <c r="H8" s="0" t="s">
        <v>4160</v>
      </c>
      <c r="I8" s="0" t="s">
        <v>21</v>
      </c>
      <c r="J8" s="0" t="s">
        <v>22</v>
      </c>
      <c r="K8" s="0" t="s">
        <v>4112</v>
      </c>
      <c r="L8" s="0" t="str">
        <f aca="false">IFERROR(VLOOKUP(K8,'Supplier list'!B:C,2,0),"")</f>
        <v/>
      </c>
      <c r="M8" s="1" t="n">
        <f aca="false">FALSE()</f>
        <v>0</v>
      </c>
      <c r="N8" s="2"/>
      <c r="O8" s="2" t="n">
        <v>1300</v>
      </c>
    </row>
    <row r="9" customFormat="false" ht="16.4" hidden="false" customHeight="false" outlineLevel="0" collapsed="false">
      <c r="A9" s="0" t="s">
        <v>15</v>
      </c>
      <c r="B9" s="0" t="s">
        <v>4161</v>
      </c>
      <c r="C9" s="0" t="n">
        <v>114001</v>
      </c>
      <c r="D9" s="0" t="n">
        <v>114001</v>
      </c>
      <c r="E9" s="0" t="s">
        <v>1653</v>
      </c>
      <c r="F9" s="0" t="s">
        <v>18</v>
      </c>
      <c r="G9" s="7" t="s">
        <v>4162</v>
      </c>
      <c r="H9" s="0" t="s">
        <v>4163</v>
      </c>
      <c r="I9" s="0" t="s">
        <v>124</v>
      </c>
      <c r="J9" s="0" t="s">
        <v>125</v>
      </c>
      <c r="K9" s="0" t="s">
        <v>89</v>
      </c>
      <c r="L9" s="0" t="str">
        <f aca="false">IFERROR(VLOOKUP(K9,'Supplier list'!B:C,2,0),"")</f>
        <v>บริษัท เฮเฟเล่ (ประเทศไทย) จำกัด</v>
      </c>
      <c r="M9" s="1" t="n">
        <f aca="false">TRUE()</f>
        <v>1</v>
      </c>
      <c r="N9" s="2" t="n">
        <v>29900</v>
      </c>
      <c r="O9" s="2" t="n">
        <v>17196.5</v>
      </c>
    </row>
    <row r="10" customFormat="false" ht="16.4" hidden="false" customHeight="false" outlineLevel="0" collapsed="false">
      <c r="A10" s="0" t="s">
        <v>15</v>
      </c>
      <c r="B10" s="0" t="s">
        <v>4164</v>
      </c>
      <c r="C10" s="0" t="n">
        <v>114001</v>
      </c>
      <c r="D10" s="0" t="n">
        <v>114001</v>
      </c>
      <c r="E10" s="0" t="s">
        <v>1804</v>
      </c>
      <c r="F10" s="0" t="s">
        <v>18</v>
      </c>
      <c r="G10" s="7" t="s">
        <v>4165</v>
      </c>
      <c r="H10" s="0" t="s">
        <v>4166</v>
      </c>
      <c r="I10" s="0" t="s">
        <v>124</v>
      </c>
      <c r="J10" s="0" t="s">
        <v>125</v>
      </c>
      <c r="L10" s="0" t="str">
        <f aca="false">IFERROR(VLOOKUP(K10,'Supplier list'!B:C,2,0),"")</f>
        <v/>
      </c>
      <c r="M10" s="1" t="n">
        <f aca="false">TRUE()</f>
        <v>1</v>
      </c>
      <c r="N10" s="2" t="n">
        <v>4500</v>
      </c>
      <c r="O10" s="2" t="n">
        <v>0</v>
      </c>
    </row>
    <row r="11" customFormat="false" ht="16.4" hidden="false" customHeight="false" outlineLevel="0" collapsed="false">
      <c r="A11" s="0" t="s">
        <v>15</v>
      </c>
      <c r="B11" s="0" t="s">
        <v>4167</v>
      </c>
      <c r="C11" s="0" t="n">
        <v>114001</v>
      </c>
      <c r="D11" s="0" t="n">
        <v>114001</v>
      </c>
      <c r="E11" s="0" t="s">
        <v>2547</v>
      </c>
      <c r="F11" s="0" t="s">
        <v>18</v>
      </c>
      <c r="G11" s="7" t="s">
        <v>4168</v>
      </c>
      <c r="H11" s="0" t="s">
        <v>4169</v>
      </c>
      <c r="I11" s="0" t="s">
        <v>21</v>
      </c>
      <c r="J11" s="0" t="s">
        <v>22</v>
      </c>
      <c r="K11" s="0" t="s">
        <v>606</v>
      </c>
      <c r="L11" s="0" t="str">
        <f aca="false">IFERROR(VLOOKUP(K11,'Supplier list'!B:C,2,0),"")</f>
        <v/>
      </c>
      <c r="M11" s="1" t="n">
        <f aca="false">FALSE()</f>
        <v>0</v>
      </c>
      <c r="N11" s="2"/>
      <c r="O11" s="2" t="n">
        <v>124</v>
      </c>
    </row>
    <row r="12" customFormat="false" ht="16.4" hidden="false" customHeight="false" outlineLevel="0" collapsed="false">
      <c r="A12" s="0" t="s">
        <v>15</v>
      </c>
      <c r="B12" s="0" t="s">
        <v>4170</v>
      </c>
      <c r="C12" s="0" t="n">
        <v>114001</v>
      </c>
      <c r="D12" s="0" t="n">
        <v>114001</v>
      </c>
      <c r="E12" s="0" t="s">
        <v>1764</v>
      </c>
      <c r="F12" s="0" t="s">
        <v>18</v>
      </c>
      <c r="G12" s="7" t="s">
        <v>4171</v>
      </c>
      <c r="H12" s="0" t="s">
        <v>4172</v>
      </c>
      <c r="I12" s="0" t="s">
        <v>21</v>
      </c>
      <c r="J12" s="0" t="s">
        <v>22</v>
      </c>
      <c r="K12" s="0" t="s">
        <v>787</v>
      </c>
      <c r="L12" s="0" t="str">
        <f aca="false">IFERROR(VLOOKUP(K12,'Supplier list'!B:C,2,0),"")</f>
        <v>บริษัท ฟิวเจอร์เทค อินเตอร์มาร์เก็ตติ้ง จำกัด</v>
      </c>
      <c r="M12" s="1" t="n">
        <f aca="false">FALSE()</f>
        <v>0</v>
      </c>
      <c r="N12" s="2"/>
      <c r="O12" s="2" t="n">
        <v>52.5</v>
      </c>
    </row>
    <row r="13" customFormat="false" ht="16.4" hidden="false" customHeight="false" outlineLevel="0" collapsed="false">
      <c r="A13" s="0" t="s">
        <v>15</v>
      </c>
      <c r="B13" s="0" t="s">
        <v>4173</v>
      </c>
      <c r="C13" s="0" t="n">
        <v>114001</v>
      </c>
      <c r="D13" s="0" t="n">
        <v>114001</v>
      </c>
      <c r="E13" s="0" t="s">
        <v>4174</v>
      </c>
      <c r="F13" s="0" t="s">
        <v>18</v>
      </c>
      <c r="G13" s="7" t="s">
        <v>4175</v>
      </c>
      <c r="H13" s="0" t="s">
        <v>4176</v>
      </c>
      <c r="I13" s="0" t="s">
        <v>102</v>
      </c>
      <c r="J13" s="0" t="s">
        <v>103</v>
      </c>
      <c r="K13" s="0" t="s">
        <v>303</v>
      </c>
      <c r="L13" s="0" t="str">
        <f aca="false">IFERROR(VLOOKUP(K13,'Supplier list'!B:C,2,0),"")</f>
        <v>บริษัท เอ็มเค วู้ดเทค จำกัด</v>
      </c>
      <c r="M13" s="1" t="n">
        <f aca="false">FALSE()</f>
        <v>0</v>
      </c>
      <c r="N13" s="2"/>
      <c r="O13" s="2" t="n">
        <v>220</v>
      </c>
    </row>
    <row r="14" customFormat="false" ht="16.4" hidden="false" customHeight="false" outlineLevel="0" collapsed="false">
      <c r="A14" s="0" t="s">
        <v>15</v>
      </c>
      <c r="B14" s="0" t="s">
        <v>4177</v>
      </c>
      <c r="C14" s="0" t="n">
        <v>114001</v>
      </c>
      <c r="D14" s="0" t="n">
        <v>114001</v>
      </c>
      <c r="E14" s="0" t="s">
        <v>4174</v>
      </c>
      <c r="F14" s="0" t="s">
        <v>18</v>
      </c>
      <c r="G14" s="7" t="s">
        <v>4178</v>
      </c>
      <c r="H14" s="0" t="s">
        <v>4179</v>
      </c>
      <c r="I14" s="0" t="s">
        <v>102</v>
      </c>
      <c r="J14" s="0" t="s">
        <v>103</v>
      </c>
      <c r="K14" s="0" t="s">
        <v>4180</v>
      </c>
      <c r="L14" s="0" t="str">
        <f aca="false">IFERROR(VLOOKUP(K14,'Supplier list'!B:C,2,0),"")</f>
        <v>บริษัท กรีนรีเวอร์ พาเนล (ประเทศไทย) จำกัด</v>
      </c>
      <c r="M14" s="1" t="n">
        <f aca="false">FALSE()</f>
        <v>0</v>
      </c>
      <c r="N14" s="2"/>
      <c r="O14" s="2" t="n">
        <v>336</v>
      </c>
    </row>
    <row r="15" customFormat="false" ht="16.4" hidden="false" customHeight="false" outlineLevel="0" collapsed="false">
      <c r="A15" s="0" t="s">
        <v>15</v>
      </c>
      <c r="B15" s="0" t="s">
        <v>4181</v>
      </c>
      <c r="C15" s="0" t="n">
        <v>114001</v>
      </c>
      <c r="D15" s="0" t="n">
        <v>114001</v>
      </c>
      <c r="E15" s="0" t="s">
        <v>4174</v>
      </c>
      <c r="F15" s="0" t="s">
        <v>18</v>
      </c>
      <c r="G15" s="7" t="s">
        <v>4182</v>
      </c>
      <c r="H15" s="0" t="s">
        <v>4183</v>
      </c>
      <c r="I15" s="0" t="s">
        <v>102</v>
      </c>
      <c r="J15" s="0" t="s">
        <v>103</v>
      </c>
      <c r="K15" s="0" t="s">
        <v>303</v>
      </c>
      <c r="L15" s="0" t="str">
        <f aca="false">IFERROR(VLOOKUP(K15,'Supplier list'!B:C,2,0),"")</f>
        <v>บริษัท เอ็มเค วู้ดเทค จำกัด</v>
      </c>
      <c r="M15" s="1" t="n">
        <f aca="false">FALSE()</f>
        <v>0</v>
      </c>
      <c r="N15" s="2"/>
      <c r="O15" s="2" t="n">
        <v>9.1</v>
      </c>
    </row>
    <row r="16" customFormat="false" ht="16.4" hidden="false" customHeight="false" outlineLevel="0" collapsed="false">
      <c r="A16" s="0" t="s">
        <v>15</v>
      </c>
      <c r="B16" s="0" t="s">
        <v>4184</v>
      </c>
      <c r="C16" s="0" t="n">
        <v>114001</v>
      </c>
      <c r="D16" s="0" t="n">
        <v>114001</v>
      </c>
      <c r="E16" s="0" t="s">
        <v>4174</v>
      </c>
      <c r="F16" s="0" t="s">
        <v>18</v>
      </c>
      <c r="G16" s="7" t="s">
        <v>4185</v>
      </c>
      <c r="H16" s="0" t="s">
        <v>4186</v>
      </c>
      <c r="I16" s="0" t="s">
        <v>396</v>
      </c>
      <c r="J16" s="0" t="s">
        <v>397</v>
      </c>
      <c r="K16" s="0" t="s">
        <v>303</v>
      </c>
      <c r="L16" s="0" t="str">
        <f aca="false">IFERROR(VLOOKUP(K16,'Supplier list'!B:C,2,0),"")</f>
        <v>บริษัท เอ็มเค วู้ดเทค จำกัด</v>
      </c>
      <c r="M16" s="1" t="n">
        <f aca="false">FALSE()</f>
        <v>0</v>
      </c>
      <c r="N16" s="2"/>
      <c r="O16" s="2" t="n">
        <v>220</v>
      </c>
    </row>
    <row r="17" customFormat="false" ht="16.4" hidden="false" customHeight="false" outlineLevel="0" collapsed="false">
      <c r="A17" s="0" t="s">
        <v>15</v>
      </c>
      <c r="B17" s="0" t="s">
        <v>4187</v>
      </c>
      <c r="C17" s="0" t="n">
        <v>114001</v>
      </c>
      <c r="D17" s="0" t="n">
        <v>114001</v>
      </c>
      <c r="E17" s="0" t="s">
        <v>4174</v>
      </c>
      <c r="F17" s="0" t="s">
        <v>18</v>
      </c>
      <c r="G17" s="7" t="s">
        <v>4188</v>
      </c>
      <c r="H17" s="0" t="s">
        <v>4189</v>
      </c>
      <c r="I17" s="0" t="s">
        <v>396</v>
      </c>
      <c r="J17" s="0" t="s">
        <v>397</v>
      </c>
      <c r="K17" s="0" t="s">
        <v>303</v>
      </c>
      <c r="L17" s="0" t="str">
        <f aca="false">IFERROR(VLOOKUP(K17,'Supplier list'!B:C,2,0),"")</f>
        <v>บริษัท เอ็มเค วู้ดเทค จำกัด</v>
      </c>
      <c r="M17" s="1" t="n">
        <f aca="false">FALSE()</f>
        <v>0</v>
      </c>
      <c r="N17" s="2"/>
      <c r="O17" s="2" t="n">
        <v>9.1</v>
      </c>
    </row>
    <row r="18" customFormat="false" ht="16.4" hidden="false" customHeight="false" outlineLevel="0" collapsed="false">
      <c r="A18" s="0" t="s">
        <v>15</v>
      </c>
      <c r="B18" s="0" t="s">
        <v>4190</v>
      </c>
      <c r="C18" s="0" t="n">
        <v>114001</v>
      </c>
      <c r="D18" s="0" t="n">
        <v>114001</v>
      </c>
      <c r="E18" s="0" t="s">
        <v>4174</v>
      </c>
      <c r="F18" s="0" t="s">
        <v>18</v>
      </c>
      <c r="G18" s="7" t="s">
        <v>4191</v>
      </c>
      <c r="H18" s="0" t="s">
        <v>4192</v>
      </c>
      <c r="I18" s="0" t="s">
        <v>102</v>
      </c>
      <c r="J18" s="0" t="s">
        <v>103</v>
      </c>
      <c r="K18" s="0" t="s">
        <v>4193</v>
      </c>
      <c r="L18" s="0" t="str">
        <f aca="false">IFERROR(VLOOKUP(K18,'Supplier list'!B:C,2,0),"")</f>
        <v>บริษัท ไท่ ชาง อินเตอร์เนชั่นแนล คอมเมอร์เชียล เทรด จำกัด</v>
      </c>
      <c r="M18" s="1" t="n">
        <f aca="false">FALSE()</f>
        <v>0</v>
      </c>
      <c r="N18" s="2"/>
      <c r="O18" s="2" t="n">
        <v>0</v>
      </c>
    </row>
    <row r="19" customFormat="false" ht="16.4" hidden="false" customHeight="false" outlineLevel="0" collapsed="false">
      <c r="A19" s="0" t="s">
        <v>15</v>
      </c>
      <c r="B19" s="0" t="s">
        <v>4194</v>
      </c>
      <c r="C19" s="0" t="n">
        <v>114001</v>
      </c>
      <c r="D19" s="0" t="n">
        <v>114001</v>
      </c>
      <c r="E19" s="0" t="s">
        <v>4174</v>
      </c>
      <c r="F19" s="0" t="s">
        <v>18</v>
      </c>
      <c r="G19" s="7" t="s">
        <v>4195</v>
      </c>
      <c r="H19" s="0" t="s">
        <v>4196</v>
      </c>
      <c r="I19" s="0" t="s">
        <v>102</v>
      </c>
      <c r="J19" s="0" t="s">
        <v>103</v>
      </c>
      <c r="K19" s="0" t="s">
        <v>4193</v>
      </c>
      <c r="L19" s="0" t="str">
        <f aca="false">IFERROR(VLOOKUP(K19,'Supplier list'!B:C,2,0),"")</f>
        <v>บริษัท ไท่ ชาง อินเตอร์เนชั่นแนล คอมเมอร์เชียล เทรด จำกัด</v>
      </c>
      <c r="M19" s="1" t="n">
        <f aca="false">FALSE()</f>
        <v>0</v>
      </c>
      <c r="N19" s="2"/>
      <c r="O19" s="2" t="n">
        <v>915</v>
      </c>
    </row>
    <row r="20" customFormat="false" ht="16.4" hidden="false" customHeight="false" outlineLevel="0" collapsed="false">
      <c r="A20" s="0" t="s">
        <v>15</v>
      </c>
      <c r="B20" s="0" t="s">
        <v>4197</v>
      </c>
      <c r="C20" s="0" t="n">
        <v>114001</v>
      </c>
      <c r="D20" s="0" t="n">
        <v>114001</v>
      </c>
      <c r="E20" s="0" t="s">
        <v>4174</v>
      </c>
      <c r="F20" s="0" t="s">
        <v>18</v>
      </c>
      <c r="G20" s="7" t="s">
        <v>4198</v>
      </c>
      <c r="H20" s="0" t="s">
        <v>4199</v>
      </c>
      <c r="I20" s="0" t="s">
        <v>102</v>
      </c>
      <c r="J20" s="0" t="s">
        <v>103</v>
      </c>
      <c r="K20" s="0" t="s">
        <v>303</v>
      </c>
      <c r="L20" s="0" t="str">
        <f aca="false">IFERROR(VLOOKUP(K20,'Supplier list'!B:C,2,0),"")</f>
        <v>บริษัท เอ็มเค วู้ดเทค จำกัด</v>
      </c>
      <c r="M20" s="1" t="n">
        <f aca="false">FALSE()</f>
        <v>0</v>
      </c>
      <c r="N20" s="2"/>
      <c r="O20" s="2" t="n">
        <v>620</v>
      </c>
    </row>
    <row r="21" customFormat="false" ht="16.4" hidden="false" customHeight="false" outlineLevel="0" collapsed="false">
      <c r="A21" s="0" t="s">
        <v>15</v>
      </c>
      <c r="B21" s="0" t="s">
        <v>4200</v>
      </c>
      <c r="C21" s="0" t="n">
        <v>114001</v>
      </c>
      <c r="D21" s="0" t="n">
        <v>114001</v>
      </c>
      <c r="E21" s="0" t="s">
        <v>4174</v>
      </c>
      <c r="F21" s="0" t="s">
        <v>18</v>
      </c>
      <c r="G21" s="7" t="s">
        <v>4201</v>
      </c>
      <c r="H21" s="0" t="s">
        <v>4202</v>
      </c>
      <c r="I21" s="0" t="s">
        <v>396</v>
      </c>
      <c r="J21" s="0" t="s">
        <v>397</v>
      </c>
      <c r="K21" s="0" t="s">
        <v>4203</v>
      </c>
      <c r="L21" s="0" t="str">
        <f aca="false">IFERROR(VLOOKUP(K21,'Supplier list'!B:C,2,0),"")</f>
        <v>บริษัท 9889 Thailnd</v>
      </c>
      <c r="M21" s="1" t="n">
        <f aca="false">FALSE()</f>
        <v>0</v>
      </c>
      <c r="N21" s="2"/>
      <c r="O21" s="2" t="n">
        <v>8.1</v>
      </c>
    </row>
    <row r="22" customFormat="false" ht="16.4" hidden="false" customHeight="false" outlineLevel="0" collapsed="false">
      <c r="A22" s="0" t="s">
        <v>15</v>
      </c>
      <c r="B22" s="0" t="s">
        <v>4204</v>
      </c>
      <c r="C22" s="0" t="n">
        <v>114001</v>
      </c>
      <c r="D22" s="0" t="n">
        <v>114001</v>
      </c>
      <c r="E22" s="0" t="s">
        <v>4174</v>
      </c>
      <c r="F22" s="0" t="s">
        <v>18</v>
      </c>
      <c r="G22" s="7" t="s">
        <v>4205</v>
      </c>
      <c r="H22" s="0" t="s">
        <v>4206</v>
      </c>
      <c r="I22" s="0" t="s">
        <v>102</v>
      </c>
      <c r="J22" s="0" t="s">
        <v>103</v>
      </c>
      <c r="K22" s="0" t="s">
        <v>303</v>
      </c>
      <c r="L22" s="0" t="str">
        <f aca="false">IFERROR(VLOOKUP(K22,'Supplier list'!B:C,2,0),"")</f>
        <v>บริษัท เอ็มเค วู้ดเทค จำกัด</v>
      </c>
      <c r="M22" s="1" t="n">
        <f aca="false">FALSE()</f>
        <v>0</v>
      </c>
      <c r="N22" s="2"/>
      <c r="O22" s="2" t="n">
        <v>0</v>
      </c>
    </row>
    <row r="23" customFormat="false" ht="16.4" hidden="false" customHeight="false" outlineLevel="0" collapsed="false">
      <c r="A23" s="0" t="s">
        <v>15</v>
      </c>
      <c r="B23" s="0" t="s">
        <v>4207</v>
      </c>
      <c r="C23" s="0" t="n">
        <v>114001</v>
      </c>
      <c r="D23" s="0" t="n">
        <v>114001</v>
      </c>
      <c r="E23" s="0" t="s">
        <v>4174</v>
      </c>
      <c r="F23" s="0" t="s">
        <v>18</v>
      </c>
      <c r="G23" s="7" t="s">
        <v>4208</v>
      </c>
      <c r="H23" s="0" t="s">
        <v>4209</v>
      </c>
      <c r="I23" s="0" t="s">
        <v>102</v>
      </c>
      <c r="J23" s="0" t="s">
        <v>103</v>
      </c>
      <c r="K23" s="0" t="s">
        <v>303</v>
      </c>
      <c r="L23" s="0" t="str">
        <f aca="false">IFERROR(VLOOKUP(K23,'Supplier list'!B:C,2,0),"")</f>
        <v>บริษัท เอ็มเค วู้ดเทค จำกัด</v>
      </c>
      <c r="M23" s="1" t="n">
        <f aca="false">FALSE()</f>
        <v>0</v>
      </c>
      <c r="N23" s="2"/>
      <c r="O23" s="2" t="n">
        <v>0</v>
      </c>
    </row>
    <row r="24" customFormat="false" ht="16.4" hidden="false" customHeight="false" outlineLevel="0" collapsed="false">
      <c r="A24" s="0" t="s">
        <v>15</v>
      </c>
      <c r="B24" s="0" t="s">
        <v>4210</v>
      </c>
      <c r="C24" s="0" t="n">
        <v>114001</v>
      </c>
      <c r="D24" s="0" t="n">
        <v>114001</v>
      </c>
      <c r="E24" s="0" t="s">
        <v>4174</v>
      </c>
      <c r="F24" s="0" t="s">
        <v>18</v>
      </c>
      <c r="G24" s="7" t="s">
        <v>4211</v>
      </c>
      <c r="H24" s="0" t="s">
        <v>4212</v>
      </c>
      <c r="I24" s="0" t="s">
        <v>102</v>
      </c>
      <c r="J24" s="0" t="s">
        <v>103</v>
      </c>
      <c r="K24" s="0" t="s">
        <v>303</v>
      </c>
      <c r="L24" s="0" t="str">
        <f aca="false">IFERROR(VLOOKUP(K24,'Supplier list'!B:C,2,0),"")</f>
        <v>บริษัท เอ็มเค วู้ดเทค จำกัด</v>
      </c>
      <c r="M24" s="1" t="n">
        <f aca="false">FALSE()</f>
        <v>0</v>
      </c>
      <c r="N24" s="2"/>
      <c r="O24" s="2" t="n">
        <v>0</v>
      </c>
    </row>
    <row r="25" customFormat="false" ht="16.4" hidden="false" customHeight="false" outlineLevel="0" collapsed="false">
      <c r="A25" s="0" t="s">
        <v>15</v>
      </c>
      <c r="B25" s="0" t="s">
        <v>4213</v>
      </c>
      <c r="C25" s="0" t="n">
        <v>114001</v>
      </c>
      <c r="D25" s="0" t="n">
        <v>114001</v>
      </c>
      <c r="E25" s="0" t="s">
        <v>4174</v>
      </c>
      <c r="F25" s="0" t="s">
        <v>18</v>
      </c>
      <c r="G25" s="7" t="s">
        <v>4214</v>
      </c>
      <c r="H25" s="0" t="s">
        <v>4215</v>
      </c>
      <c r="I25" s="0" t="s">
        <v>102</v>
      </c>
      <c r="J25" s="0" t="s">
        <v>103</v>
      </c>
      <c r="K25" s="0" t="s">
        <v>303</v>
      </c>
      <c r="L25" s="0" t="str">
        <f aca="false">IFERROR(VLOOKUP(K25,'Supplier list'!B:C,2,0),"")</f>
        <v>บริษัท เอ็มเค วู้ดเทค จำกัด</v>
      </c>
      <c r="M25" s="1" t="n">
        <f aca="false">FALSE()</f>
        <v>0</v>
      </c>
      <c r="N25" s="2"/>
      <c r="O25" s="2" t="n">
        <v>0</v>
      </c>
    </row>
    <row r="26" customFormat="false" ht="16.4" hidden="false" customHeight="false" outlineLevel="0" collapsed="false">
      <c r="A26" s="0" t="s">
        <v>15</v>
      </c>
      <c r="B26" s="0" t="s">
        <v>4216</v>
      </c>
      <c r="C26" s="0" t="n">
        <v>114001</v>
      </c>
      <c r="D26" s="0" t="n">
        <v>114001</v>
      </c>
      <c r="E26" s="0" t="s">
        <v>4174</v>
      </c>
      <c r="F26" s="0" t="s">
        <v>18</v>
      </c>
      <c r="G26" s="7" t="s">
        <v>4217</v>
      </c>
      <c r="H26" s="0" t="s">
        <v>4218</v>
      </c>
      <c r="I26" s="0" t="s">
        <v>102</v>
      </c>
      <c r="J26" s="0" t="s">
        <v>103</v>
      </c>
      <c r="K26" s="0" t="s">
        <v>303</v>
      </c>
      <c r="L26" s="0" t="str">
        <f aca="false">IFERROR(VLOOKUP(K26,'Supplier list'!B:C,2,0),"")</f>
        <v>บริษัท เอ็มเค วู้ดเทค จำกัด</v>
      </c>
      <c r="M26" s="1" t="n">
        <f aca="false">FALSE()</f>
        <v>0</v>
      </c>
      <c r="N26" s="2"/>
      <c r="O26" s="2" t="n">
        <v>0</v>
      </c>
    </row>
    <row r="27" customFormat="false" ht="16.4" hidden="false" customHeight="false" outlineLevel="0" collapsed="false">
      <c r="A27" s="0" t="s">
        <v>15</v>
      </c>
      <c r="B27" s="0" t="s">
        <v>4219</v>
      </c>
      <c r="C27" s="0" t="n">
        <v>114001</v>
      </c>
      <c r="D27" s="0" t="n">
        <v>114001</v>
      </c>
      <c r="E27" s="0" t="s">
        <v>4174</v>
      </c>
      <c r="F27" s="0" t="s">
        <v>18</v>
      </c>
      <c r="G27" s="7" t="s">
        <v>4220</v>
      </c>
      <c r="H27" s="0" t="s">
        <v>4221</v>
      </c>
      <c r="I27" s="0" t="s">
        <v>102</v>
      </c>
      <c r="J27" s="0" t="s">
        <v>103</v>
      </c>
      <c r="K27" s="0" t="s">
        <v>303</v>
      </c>
      <c r="L27" s="0" t="str">
        <f aca="false">IFERROR(VLOOKUP(K27,'Supplier list'!B:C,2,0),"")</f>
        <v>บริษัท เอ็มเค วู้ดเทค จำกัด</v>
      </c>
      <c r="M27" s="1" t="n">
        <f aca="false">FALSE()</f>
        <v>0</v>
      </c>
      <c r="N27" s="2"/>
      <c r="O27" s="2" t="n">
        <v>0</v>
      </c>
    </row>
    <row r="28" customFormat="false" ht="16.4" hidden="false" customHeight="false" outlineLevel="0" collapsed="false">
      <c r="A28" s="0" t="s">
        <v>15</v>
      </c>
      <c r="B28" s="0" t="s">
        <v>4222</v>
      </c>
      <c r="C28" s="0" t="n">
        <v>114001</v>
      </c>
      <c r="D28" s="0" t="n">
        <v>114001</v>
      </c>
      <c r="E28" s="0" t="s">
        <v>4174</v>
      </c>
      <c r="F28" s="0" t="s">
        <v>18</v>
      </c>
      <c r="G28" s="7" t="s">
        <v>4223</v>
      </c>
      <c r="H28" s="0" t="s">
        <v>4224</v>
      </c>
      <c r="I28" s="0" t="s">
        <v>102</v>
      </c>
      <c r="J28" s="0" t="s">
        <v>103</v>
      </c>
      <c r="L28" s="0" t="str">
        <f aca="false">IFERROR(VLOOKUP(K28,'Supplier list'!B:C,2,0),"")</f>
        <v/>
      </c>
      <c r="M28" s="1" t="n">
        <f aca="false">FALSE()</f>
        <v>0</v>
      </c>
      <c r="N28" s="2"/>
      <c r="O28" s="2" t="n">
        <v>0</v>
      </c>
    </row>
    <row r="29" customFormat="false" ht="16.4" hidden="false" customHeight="false" outlineLevel="0" collapsed="false">
      <c r="A29" s="0" t="s">
        <v>15</v>
      </c>
      <c r="B29" s="0" t="s">
        <v>4225</v>
      </c>
      <c r="C29" s="0" t="n">
        <v>114001</v>
      </c>
      <c r="D29" s="0" t="n">
        <v>114001</v>
      </c>
      <c r="E29" s="0" t="s">
        <v>4174</v>
      </c>
      <c r="F29" s="0" t="s">
        <v>18</v>
      </c>
      <c r="G29" s="7" t="s">
        <v>4226</v>
      </c>
      <c r="H29" s="0" t="s">
        <v>4227</v>
      </c>
      <c r="I29" s="0" t="s">
        <v>102</v>
      </c>
      <c r="J29" s="0" t="s">
        <v>103</v>
      </c>
      <c r="L29" s="0" t="str">
        <f aca="false">IFERROR(VLOOKUP(K29,'Supplier list'!B:C,2,0),"")</f>
        <v/>
      </c>
      <c r="M29" s="1" t="n">
        <f aca="false">FALSE()</f>
        <v>0</v>
      </c>
      <c r="N29" s="2"/>
      <c r="O29" s="2" t="n">
        <v>0</v>
      </c>
    </row>
    <row r="30" customFormat="false" ht="16.4" hidden="false" customHeight="false" outlineLevel="0" collapsed="false">
      <c r="A30" s="0" t="s">
        <v>15</v>
      </c>
      <c r="B30" s="0" t="s">
        <v>4228</v>
      </c>
      <c r="C30" s="0" t="n">
        <v>114001</v>
      </c>
      <c r="D30" s="0" t="n">
        <v>114001</v>
      </c>
      <c r="E30" s="0" t="s">
        <v>4174</v>
      </c>
      <c r="F30" s="0" t="s">
        <v>18</v>
      </c>
      <c r="G30" s="7" t="s">
        <v>4229</v>
      </c>
      <c r="H30" s="0" t="s">
        <v>4230</v>
      </c>
      <c r="I30" s="0" t="s">
        <v>102</v>
      </c>
      <c r="J30" s="0" t="s">
        <v>103</v>
      </c>
      <c r="L30" s="0" t="str">
        <f aca="false">IFERROR(VLOOKUP(K30,'Supplier list'!B:C,2,0),"")</f>
        <v/>
      </c>
      <c r="M30" s="1" t="n">
        <f aca="false">FALSE()</f>
        <v>0</v>
      </c>
      <c r="N30" s="2"/>
      <c r="O30" s="2" t="n">
        <v>0</v>
      </c>
    </row>
    <row r="31" customFormat="false" ht="16.4" hidden="false" customHeight="false" outlineLevel="0" collapsed="false">
      <c r="A31" s="0" t="s">
        <v>15</v>
      </c>
      <c r="B31" s="0" t="s">
        <v>4231</v>
      </c>
      <c r="C31" s="0" t="n">
        <v>114001</v>
      </c>
      <c r="D31" s="0" t="n">
        <v>114001</v>
      </c>
      <c r="E31" s="0" t="s">
        <v>4174</v>
      </c>
      <c r="F31" s="0" t="s">
        <v>18</v>
      </c>
      <c r="G31" s="7" t="s">
        <v>4232</v>
      </c>
      <c r="H31" s="0" t="s">
        <v>4233</v>
      </c>
      <c r="I31" s="0" t="s">
        <v>102</v>
      </c>
      <c r="J31" s="0" t="s">
        <v>103</v>
      </c>
      <c r="L31" s="0" t="str">
        <f aca="false">IFERROR(VLOOKUP(K31,'Supplier list'!B:C,2,0),"")</f>
        <v/>
      </c>
      <c r="M31" s="1" t="n">
        <f aca="false">FALSE()</f>
        <v>0</v>
      </c>
      <c r="N31" s="2"/>
      <c r="O31" s="2" t="n">
        <v>0</v>
      </c>
    </row>
    <row r="32" customFormat="false" ht="16.4" hidden="false" customHeight="false" outlineLevel="0" collapsed="false">
      <c r="A32" s="0" t="s">
        <v>15</v>
      </c>
      <c r="B32" s="0" t="s">
        <v>4234</v>
      </c>
      <c r="C32" s="0" t="n">
        <v>114001</v>
      </c>
      <c r="D32" s="0" t="n">
        <v>114001</v>
      </c>
      <c r="E32" s="0" t="s">
        <v>4174</v>
      </c>
      <c r="F32" s="0" t="s">
        <v>18</v>
      </c>
      <c r="G32" s="7" t="s">
        <v>4235</v>
      </c>
      <c r="H32" s="0" t="s">
        <v>4236</v>
      </c>
      <c r="I32" s="0" t="s">
        <v>396</v>
      </c>
      <c r="J32" s="0" t="s">
        <v>397</v>
      </c>
      <c r="K32" s="0" t="s">
        <v>4237</v>
      </c>
      <c r="L32" s="0" t="str">
        <f aca="false">IFERROR(VLOOKUP(K32,'Supplier list'!B:C,2,0),"")</f>
        <v>บริษัท ดี.เอ็กซ์.เทคนิค จำกัด</v>
      </c>
      <c r="M32" s="1" t="n">
        <f aca="false">FALSE()</f>
        <v>0</v>
      </c>
      <c r="N32" s="2"/>
      <c r="O32" s="2" t="n">
        <v>2.28</v>
      </c>
    </row>
    <row r="33" customFormat="false" ht="16.4" hidden="false" customHeight="false" outlineLevel="0" collapsed="false">
      <c r="A33" s="0" t="s">
        <v>15</v>
      </c>
      <c r="B33" s="0" t="s">
        <v>4238</v>
      </c>
      <c r="C33" s="0" t="n">
        <v>114001</v>
      </c>
      <c r="D33" s="0" t="n">
        <v>114001</v>
      </c>
      <c r="E33" s="0" t="s">
        <v>4174</v>
      </c>
      <c r="F33" s="0" t="s">
        <v>18</v>
      </c>
      <c r="G33" s="7" t="s">
        <v>4239</v>
      </c>
      <c r="H33" s="0" t="s">
        <v>4240</v>
      </c>
      <c r="I33" s="0" t="s">
        <v>396</v>
      </c>
      <c r="J33" s="0" t="s">
        <v>397</v>
      </c>
      <c r="K33" s="0" t="s">
        <v>4203</v>
      </c>
      <c r="L33" s="0" t="str">
        <f aca="false">IFERROR(VLOOKUP(K33,'Supplier list'!B:C,2,0),"")</f>
        <v>บริษัท 9889 Thailnd</v>
      </c>
      <c r="M33" s="1" t="n">
        <f aca="false">FALSE()</f>
        <v>0</v>
      </c>
      <c r="N33" s="2"/>
      <c r="O33" s="2" t="n">
        <v>0</v>
      </c>
    </row>
    <row r="34" customFormat="false" ht="16.4" hidden="false" customHeight="false" outlineLevel="0" collapsed="false">
      <c r="A34" s="0" t="s">
        <v>15</v>
      </c>
      <c r="B34" s="0" t="s">
        <v>4241</v>
      </c>
      <c r="C34" s="0" t="n">
        <v>114001</v>
      </c>
      <c r="D34" s="0" t="n">
        <v>114001</v>
      </c>
      <c r="E34" s="0" t="s">
        <v>4174</v>
      </c>
      <c r="F34" s="0" t="s">
        <v>18</v>
      </c>
      <c r="G34" s="7" t="s">
        <v>4242</v>
      </c>
      <c r="H34" s="0" t="s">
        <v>4243</v>
      </c>
      <c r="I34" s="0" t="s">
        <v>102</v>
      </c>
      <c r="J34" s="0" t="s">
        <v>103</v>
      </c>
      <c r="K34" s="0" t="s">
        <v>303</v>
      </c>
      <c r="L34" s="0" t="str">
        <f aca="false">IFERROR(VLOOKUP(K34,'Supplier list'!B:C,2,0),"")</f>
        <v>บริษัท เอ็มเค วู้ดเทค จำกัด</v>
      </c>
      <c r="M34" s="1" t="n">
        <f aca="false">FALSE()</f>
        <v>0</v>
      </c>
      <c r="N34" s="2"/>
      <c r="O34" s="2" t="n">
        <v>0</v>
      </c>
    </row>
    <row r="35" customFormat="false" ht="16.4" hidden="false" customHeight="false" outlineLevel="0" collapsed="false">
      <c r="A35" s="0" t="s">
        <v>15</v>
      </c>
      <c r="B35" s="0" t="s">
        <v>4244</v>
      </c>
      <c r="C35" s="0" t="n">
        <v>114001</v>
      </c>
      <c r="D35" s="0" t="n">
        <v>114001</v>
      </c>
      <c r="E35" s="0" t="s">
        <v>4174</v>
      </c>
      <c r="F35" s="0" t="s">
        <v>18</v>
      </c>
      <c r="G35" s="7" t="s">
        <v>4245</v>
      </c>
      <c r="H35" s="0" t="s">
        <v>4246</v>
      </c>
      <c r="I35" s="0" t="s">
        <v>396</v>
      </c>
      <c r="J35" s="0" t="s">
        <v>397</v>
      </c>
      <c r="K35" s="0" t="s">
        <v>4203</v>
      </c>
      <c r="L35" s="0" t="str">
        <f aca="false">IFERROR(VLOOKUP(K35,'Supplier list'!B:C,2,0),"")</f>
        <v>บริษัท 9889 Thailnd</v>
      </c>
      <c r="M35" s="1" t="n">
        <f aca="false">FALSE()</f>
        <v>0</v>
      </c>
      <c r="N35" s="2"/>
      <c r="O35" s="2" t="n">
        <v>6.5</v>
      </c>
    </row>
    <row r="36" customFormat="false" ht="16.4" hidden="false" customHeight="false" outlineLevel="0" collapsed="false">
      <c r="A36" s="0" t="s">
        <v>15</v>
      </c>
      <c r="B36" s="0" t="s">
        <v>4247</v>
      </c>
      <c r="C36" s="0" t="n">
        <v>114001</v>
      </c>
      <c r="D36" s="0" t="n">
        <v>114001</v>
      </c>
      <c r="E36" s="0" t="s">
        <v>4174</v>
      </c>
      <c r="F36" s="0" t="s">
        <v>18</v>
      </c>
      <c r="G36" s="7" t="s">
        <v>4248</v>
      </c>
      <c r="H36" s="0" t="s">
        <v>4249</v>
      </c>
      <c r="I36" s="0" t="s">
        <v>396</v>
      </c>
      <c r="J36" s="0" t="s">
        <v>397</v>
      </c>
      <c r="K36" s="0" t="s">
        <v>4203</v>
      </c>
      <c r="L36" s="0" t="str">
        <f aca="false">IFERROR(VLOOKUP(K36,'Supplier list'!B:C,2,0),"")</f>
        <v>บริษัท 9889 Thailnd</v>
      </c>
      <c r="M36" s="1" t="n">
        <f aca="false">FALSE()</f>
        <v>0</v>
      </c>
      <c r="N36" s="2"/>
      <c r="O36" s="2" t="n">
        <v>6.8</v>
      </c>
    </row>
    <row r="37" customFormat="false" ht="16.4" hidden="false" customHeight="false" outlineLevel="0" collapsed="false">
      <c r="A37" s="0" t="s">
        <v>15</v>
      </c>
      <c r="B37" s="0" t="s">
        <v>4250</v>
      </c>
      <c r="C37" s="0" t="n">
        <v>114001</v>
      </c>
      <c r="D37" s="0" t="n">
        <v>114001</v>
      </c>
      <c r="E37" s="0" t="s">
        <v>4174</v>
      </c>
      <c r="F37" s="0" t="s">
        <v>18</v>
      </c>
      <c r="G37" s="7" t="s">
        <v>4251</v>
      </c>
      <c r="H37" s="0" t="s">
        <v>4252</v>
      </c>
      <c r="I37" s="0" t="s">
        <v>102</v>
      </c>
      <c r="J37" s="0" t="s">
        <v>103</v>
      </c>
      <c r="K37" s="0" t="s">
        <v>303</v>
      </c>
      <c r="L37" s="0" t="str">
        <f aca="false">IFERROR(VLOOKUP(K37,'Supplier list'!B:C,2,0),"")</f>
        <v>บริษัท เอ็มเค วู้ดเทค จำกัด</v>
      </c>
      <c r="M37" s="1" t="n">
        <f aca="false">FALSE()</f>
        <v>0</v>
      </c>
      <c r="N37" s="2"/>
      <c r="O37" s="2" t="n">
        <v>0</v>
      </c>
    </row>
    <row r="38" customFormat="false" ht="16.4" hidden="false" customHeight="false" outlineLevel="0" collapsed="false">
      <c r="A38" s="0" t="s">
        <v>15</v>
      </c>
      <c r="B38" s="0" t="s">
        <v>4253</v>
      </c>
      <c r="C38" s="0" t="n">
        <v>114001</v>
      </c>
      <c r="D38" s="0" t="n">
        <v>114001</v>
      </c>
      <c r="E38" s="0" t="s">
        <v>4174</v>
      </c>
      <c r="F38" s="0" t="s">
        <v>18</v>
      </c>
      <c r="G38" s="7" t="s">
        <v>4254</v>
      </c>
      <c r="H38" s="0" t="s">
        <v>4255</v>
      </c>
      <c r="I38" s="0" t="s">
        <v>102</v>
      </c>
      <c r="J38" s="0" t="s">
        <v>103</v>
      </c>
      <c r="K38" s="0" t="s">
        <v>303</v>
      </c>
      <c r="L38" s="0" t="str">
        <f aca="false">IFERROR(VLOOKUP(K38,'Supplier list'!B:C,2,0),"")</f>
        <v>บริษัท เอ็มเค วู้ดเทค จำกัด</v>
      </c>
      <c r="M38" s="1" t="n">
        <f aca="false">FALSE()</f>
        <v>0</v>
      </c>
      <c r="N38" s="2"/>
      <c r="O38" s="2" t="n">
        <v>0</v>
      </c>
    </row>
    <row r="39" customFormat="false" ht="16.4" hidden="false" customHeight="false" outlineLevel="0" collapsed="false">
      <c r="A39" s="0" t="s">
        <v>15</v>
      </c>
      <c r="B39" s="0" t="s">
        <v>4256</v>
      </c>
      <c r="C39" s="0" t="n">
        <v>114001</v>
      </c>
      <c r="D39" s="0" t="n">
        <v>114001</v>
      </c>
      <c r="E39" s="0" t="s">
        <v>4174</v>
      </c>
      <c r="F39" s="0" t="s">
        <v>18</v>
      </c>
      <c r="G39" s="7" t="s">
        <v>4257</v>
      </c>
      <c r="H39" s="0" t="s">
        <v>4258</v>
      </c>
      <c r="I39" s="0" t="s">
        <v>102</v>
      </c>
      <c r="J39" s="0" t="s">
        <v>103</v>
      </c>
      <c r="K39" s="0" t="s">
        <v>303</v>
      </c>
      <c r="L39" s="0" t="str">
        <f aca="false">IFERROR(VLOOKUP(K39,'Supplier list'!B:C,2,0),"")</f>
        <v>บริษัท เอ็มเค วู้ดเทค จำกัด</v>
      </c>
      <c r="M39" s="1" t="n">
        <f aca="false">FALSE()</f>
        <v>0</v>
      </c>
      <c r="N39" s="2"/>
      <c r="O39" s="2" t="n">
        <v>0</v>
      </c>
    </row>
    <row r="40" customFormat="false" ht="16.4" hidden="false" customHeight="false" outlineLevel="0" collapsed="false">
      <c r="A40" s="0" t="s">
        <v>15</v>
      </c>
      <c r="B40" s="0" t="s">
        <v>4259</v>
      </c>
      <c r="C40" s="0" t="n">
        <v>114001</v>
      </c>
      <c r="D40" s="0" t="n">
        <v>114001</v>
      </c>
      <c r="E40" s="0" t="s">
        <v>4174</v>
      </c>
      <c r="F40" s="0" t="s">
        <v>18</v>
      </c>
      <c r="G40" s="7" t="s">
        <v>4260</v>
      </c>
      <c r="H40" s="0" t="s">
        <v>4261</v>
      </c>
      <c r="I40" s="0" t="s">
        <v>102</v>
      </c>
      <c r="J40" s="0" t="s">
        <v>103</v>
      </c>
      <c r="K40" s="0" t="s">
        <v>303</v>
      </c>
      <c r="L40" s="0" t="str">
        <f aca="false">IFERROR(VLOOKUP(K40,'Supplier list'!B:C,2,0),"")</f>
        <v>บริษัท เอ็มเค วู้ดเทค จำกัด</v>
      </c>
      <c r="M40" s="1" t="n">
        <f aca="false">FALSE()</f>
        <v>0</v>
      </c>
      <c r="N40" s="2"/>
      <c r="O40" s="2" t="n">
        <v>0</v>
      </c>
    </row>
    <row r="41" customFormat="false" ht="16.4" hidden="false" customHeight="false" outlineLevel="0" collapsed="false">
      <c r="A41" s="0" t="s">
        <v>15</v>
      </c>
      <c r="B41" s="0" t="s">
        <v>4262</v>
      </c>
      <c r="C41" s="0" t="n">
        <v>114001</v>
      </c>
      <c r="D41" s="0" t="n">
        <v>114001</v>
      </c>
      <c r="E41" s="0" t="s">
        <v>4174</v>
      </c>
      <c r="F41" s="0" t="s">
        <v>18</v>
      </c>
      <c r="G41" s="7" t="s">
        <v>4263</v>
      </c>
      <c r="H41" s="0" t="s">
        <v>4264</v>
      </c>
      <c r="I41" s="0" t="s">
        <v>102</v>
      </c>
      <c r="J41" s="0" t="s">
        <v>103</v>
      </c>
      <c r="K41" s="0" t="s">
        <v>303</v>
      </c>
      <c r="L41" s="0" t="str">
        <f aca="false">IFERROR(VLOOKUP(K41,'Supplier list'!B:C,2,0),"")</f>
        <v>บริษัท เอ็มเค วู้ดเทค จำกัด</v>
      </c>
      <c r="M41" s="1" t="n">
        <f aca="false">FALSE()</f>
        <v>0</v>
      </c>
      <c r="N41" s="2"/>
      <c r="O41" s="2" t="n">
        <v>0</v>
      </c>
    </row>
    <row r="42" customFormat="false" ht="16.4" hidden="false" customHeight="false" outlineLevel="0" collapsed="false">
      <c r="A42" s="0" t="s">
        <v>15</v>
      </c>
      <c r="B42" s="0" t="s">
        <v>4265</v>
      </c>
      <c r="C42" s="0" t="n">
        <v>114001</v>
      </c>
      <c r="D42" s="0" t="n">
        <v>114001</v>
      </c>
      <c r="E42" s="0" t="s">
        <v>4174</v>
      </c>
      <c r="F42" s="0" t="s">
        <v>18</v>
      </c>
      <c r="G42" s="7" t="s">
        <v>4266</v>
      </c>
      <c r="H42" s="0" t="s">
        <v>4267</v>
      </c>
      <c r="I42" s="0" t="s">
        <v>396</v>
      </c>
      <c r="J42" s="0" t="s">
        <v>397</v>
      </c>
      <c r="K42" s="0" t="s">
        <v>4203</v>
      </c>
      <c r="L42" s="0" t="str">
        <f aca="false">IFERROR(VLOOKUP(K42,'Supplier list'!B:C,2,0),"")</f>
        <v>บริษัท 9889 Thailnd</v>
      </c>
      <c r="M42" s="1" t="n">
        <f aca="false">FALSE()</f>
        <v>0</v>
      </c>
      <c r="N42" s="2"/>
      <c r="O42" s="2" t="n">
        <v>5</v>
      </c>
    </row>
    <row r="43" customFormat="false" ht="16.4" hidden="false" customHeight="false" outlineLevel="0" collapsed="false">
      <c r="A43" s="0" t="s">
        <v>15</v>
      </c>
      <c r="B43" s="0" t="s">
        <v>4268</v>
      </c>
      <c r="C43" s="0" t="n">
        <v>114001</v>
      </c>
      <c r="D43" s="0" t="n">
        <v>114001</v>
      </c>
      <c r="E43" s="0" t="s">
        <v>4174</v>
      </c>
      <c r="F43" s="0" t="s">
        <v>18</v>
      </c>
      <c r="G43" s="7" t="s">
        <v>4269</v>
      </c>
      <c r="H43" s="0" t="s">
        <v>4270</v>
      </c>
      <c r="I43" s="0" t="s">
        <v>102</v>
      </c>
      <c r="J43" s="0" t="s">
        <v>103</v>
      </c>
      <c r="K43" s="0" t="s">
        <v>303</v>
      </c>
      <c r="L43" s="0" t="str">
        <f aca="false">IFERROR(VLOOKUP(K43,'Supplier list'!B:C,2,0),"")</f>
        <v>บริษัท เอ็มเค วู้ดเทค จำกัด</v>
      </c>
      <c r="M43" s="1" t="n">
        <f aca="false">FALSE()</f>
        <v>0</v>
      </c>
      <c r="N43" s="2"/>
      <c r="O43" s="2" t="n">
        <v>0</v>
      </c>
    </row>
    <row r="44" customFormat="false" ht="16.4" hidden="false" customHeight="false" outlineLevel="0" collapsed="false">
      <c r="A44" s="0" t="s">
        <v>15</v>
      </c>
      <c r="B44" s="0" t="s">
        <v>4271</v>
      </c>
      <c r="C44" s="0" t="n">
        <v>114001</v>
      </c>
      <c r="D44" s="0" t="n">
        <v>114001</v>
      </c>
      <c r="E44" s="0" t="s">
        <v>4174</v>
      </c>
      <c r="F44" s="0" t="s">
        <v>18</v>
      </c>
      <c r="G44" s="7" t="s">
        <v>4272</v>
      </c>
      <c r="H44" s="0" t="s">
        <v>4273</v>
      </c>
      <c r="I44" s="0" t="s">
        <v>102</v>
      </c>
      <c r="J44" s="0" t="s">
        <v>103</v>
      </c>
      <c r="K44" s="0" t="s">
        <v>303</v>
      </c>
      <c r="L44" s="0" t="str">
        <f aca="false">IFERROR(VLOOKUP(K44,'Supplier list'!B:C,2,0),"")</f>
        <v>บริษัท เอ็มเค วู้ดเทค จำกัด</v>
      </c>
      <c r="M44" s="1" t="n">
        <f aca="false">FALSE()</f>
        <v>0</v>
      </c>
      <c r="N44" s="2"/>
      <c r="O44" s="2" t="n">
        <v>0</v>
      </c>
    </row>
    <row r="45" customFormat="false" ht="16.4" hidden="false" customHeight="false" outlineLevel="0" collapsed="false">
      <c r="A45" s="0" t="s">
        <v>15</v>
      </c>
      <c r="B45" s="0" t="s">
        <v>4274</v>
      </c>
      <c r="C45" s="0" t="n">
        <v>114001</v>
      </c>
      <c r="D45" s="0" t="n">
        <v>114001</v>
      </c>
      <c r="E45" s="0" t="s">
        <v>4174</v>
      </c>
      <c r="F45" s="0" t="s">
        <v>18</v>
      </c>
      <c r="G45" s="7" t="s">
        <v>4275</v>
      </c>
      <c r="H45" s="0" t="s">
        <v>4276</v>
      </c>
      <c r="I45" s="0" t="s">
        <v>102</v>
      </c>
      <c r="J45" s="0" t="s">
        <v>103</v>
      </c>
      <c r="K45" s="0" t="s">
        <v>303</v>
      </c>
      <c r="L45" s="0" t="str">
        <f aca="false">IFERROR(VLOOKUP(K45,'Supplier list'!B:C,2,0),"")</f>
        <v>บริษัท เอ็มเค วู้ดเทค จำกัด</v>
      </c>
      <c r="M45" s="1" t="n">
        <f aca="false">FALSE()</f>
        <v>0</v>
      </c>
      <c r="N45" s="2"/>
      <c r="O45" s="2" t="n">
        <v>0</v>
      </c>
    </row>
    <row r="46" customFormat="false" ht="16.4" hidden="false" customHeight="false" outlineLevel="0" collapsed="false">
      <c r="A46" s="0" t="s">
        <v>15</v>
      </c>
      <c r="B46" s="0" t="s">
        <v>4277</v>
      </c>
      <c r="C46" s="0" t="n">
        <v>114001</v>
      </c>
      <c r="D46" s="0" t="n">
        <v>114001</v>
      </c>
      <c r="E46" s="0" t="s">
        <v>4174</v>
      </c>
      <c r="F46" s="0" t="s">
        <v>18</v>
      </c>
      <c r="G46" s="7" t="s">
        <v>4278</v>
      </c>
      <c r="H46" s="0" t="s">
        <v>4279</v>
      </c>
      <c r="I46" s="0" t="s">
        <v>102</v>
      </c>
      <c r="J46" s="0" t="s">
        <v>103</v>
      </c>
      <c r="K46" s="0" t="s">
        <v>4280</v>
      </c>
      <c r="L46" s="0" t="str">
        <f aca="false">IFERROR(VLOOKUP(K46,'Supplier list'!B:C,2,0),"")</f>
        <v/>
      </c>
      <c r="M46" s="1" t="n">
        <f aca="false">FALSE()</f>
        <v>0</v>
      </c>
      <c r="N46" s="2"/>
      <c r="O46" s="2" t="n">
        <v>655</v>
      </c>
    </row>
    <row r="47" customFormat="false" ht="16.4" hidden="false" customHeight="false" outlineLevel="0" collapsed="false">
      <c r="A47" s="0" t="s">
        <v>15</v>
      </c>
      <c r="B47" s="0" t="s">
        <v>4281</v>
      </c>
      <c r="C47" s="0" t="n">
        <v>114001</v>
      </c>
      <c r="D47" s="0" t="n">
        <v>114001</v>
      </c>
      <c r="E47" s="0" t="s">
        <v>4174</v>
      </c>
      <c r="F47" s="0" t="s">
        <v>18</v>
      </c>
      <c r="G47" s="7" t="s">
        <v>4282</v>
      </c>
      <c r="H47" s="0" t="s">
        <v>4283</v>
      </c>
      <c r="I47" s="0" t="s">
        <v>102</v>
      </c>
      <c r="J47" s="0" t="s">
        <v>103</v>
      </c>
      <c r="K47" s="0" t="s">
        <v>303</v>
      </c>
      <c r="L47" s="0" t="str">
        <f aca="false">IFERROR(VLOOKUP(K47,'Supplier list'!B:C,2,0),"")</f>
        <v>บริษัท เอ็มเค วู้ดเทค จำกัด</v>
      </c>
      <c r="M47" s="1" t="n">
        <f aca="false">FALSE()</f>
        <v>0</v>
      </c>
      <c r="N47" s="2"/>
      <c r="O47" s="2" t="n">
        <v>960</v>
      </c>
    </row>
    <row r="48" customFormat="false" ht="16.4" hidden="false" customHeight="false" outlineLevel="0" collapsed="false">
      <c r="A48" s="0" t="s">
        <v>15</v>
      </c>
      <c r="B48" s="0" t="s">
        <v>4284</v>
      </c>
      <c r="C48" s="0" t="n">
        <v>114001</v>
      </c>
      <c r="D48" s="0" t="n">
        <v>114001</v>
      </c>
      <c r="E48" s="0" t="s">
        <v>4174</v>
      </c>
      <c r="F48" s="0" t="s">
        <v>18</v>
      </c>
      <c r="G48" s="7" t="s">
        <v>4285</v>
      </c>
      <c r="H48" s="0" t="s">
        <v>4286</v>
      </c>
      <c r="I48" s="0" t="s">
        <v>396</v>
      </c>
      <c r="J48" s="0" t="s">
        <v>397</v>
      </c>
      <c r="L48" s="0" t="str">
        <f aca="false">IFERROR(VLOOKUP(K48,'Supplier list'!B:C,2,0),"")</f>
        <v/>
      </c>
      <c r="M48" s="1" t="n">
        <f aca="false">FALSE()</f>
        <v>0</v>
      </c>
      <c r="N48" s="2"/>
      <c r="O48" s="2" t="n">
        <v>0</v>
      </c>
    </row>
    <row r="49" customFormat="false" ht="16.4" hidden="false" customHeight="false" outlineLevel="0" collapsed="false">
      <c r="A49" s="0" t="s">
        <v>15</v>
      </c>
      <c r="B49" s="0" t="s">
        <v>4287</v>
      </c>
      <c r="C49" s="0" t="n">
        <v>114001</v>
      </c>
      <c r="D49" s="0" t="n">
        <v>114001</v>
      </c>
      <c r="E49" s="0" t="s">
        <v>4174</v>
      </c>
      <c r="F49" s="0" t="s">
        <v>18</v>
      </c>
      <c r="G49" s="7" t="s">
        <v>4288</v>
      </c>
      <c r="H49" s="0" t="s">
        <v>4289</v>
      </c>
      <c r="I49" s="0" t="s">
        <v>102</v>
      </c>
      <c r="J49" s="0" t="s">
        <v>103</v>
      </c>
      <c r="K49" s="0" t="s">
        <v>303</v>
      </c>
      <c r="L49" s="0" t="str">
        <f aca="false">IFERROR(VLOOKUP(K49,'Supplier list'!B:C,2,0),"")</f>
        <v>บริษัท เอ็มเค วู้ดเทค จำกัด</v>
      </c>
      <c r="M49" s="1" t="n">
        <f aca="false">FALSE()</f>
        <v>0</v>
      </c>
      <c r="N49" s="2"/>
      <c r="O49" s="2" t="n">
        <v>0</v>
      </c>
    </row>
    <row r="50" customFormat="false" ht="16.4" hidden="false" customHeight="false" outlineLevel="0" collapsed="false">
      <c r="A50" s="0" t="s">
        <v>15</v>
      </c>
      <c r="B50" s="0" t="s">
        <v>4290</v>
      </c>
      <c r="C50" s="0" t="n">
        <v>114001</v>
      </c>
      <c r="D50" s="0" t="n">
        <v>114001</v>
      </c>
      <c r="E50" s="0" t="s">
        <v>4174</v>
      </c>
      <c r="F50" s="0" t="s">
        <v>18</v>
      </c>
      <c r="G50" s="7" t="s">
        <v>4291</v>
      </c>
      <c r="H50" s="0" t="s">
        <v>4292</v>
      </c>
      <c r="I50" s="0" t="s">
        <v>102</v>
      </c>
      <c r="J50" s="0" t="s">
        <v>103</v>
      </c>
      <c r="K50" s="0" t="s">
        <v>303</v>
      </c>
      <c r="L50" s="0" t="str">
        <f aca="false">IFERROR(VLOOKUP(K50,'Supplier list'!B:C,2,0),"")</f>
        <v>บริษัท เอ็มเค วู้ดเทค จำกัด</v>
      </c>
      <c r="M50" s="1" t="n">
        <f aca="false">FALSE()</f>
        <v>0</v>
      </c>
      <c r="N50" s="2"/>
      <c r="O50" s="2" t="n">
        <v>565</v>
      </c>
    </row>
    <row r="51" customFormat="false" ht="16.4" hidden="false" customHeight="false" outlineLevel="0" collapsed="false">
      <c r="A51" s="0" t="s">
        <v>15</v>
      </c>
      <c r="B51" s="0" t="s">
        <v>4293</v>
      </c>
      <c r="C51" s="0" t="n">
        <v>114001</v>
      </c>
      <c r="D51" s="0" t="n">
        <v>114001</v>
      </c>
      <c r="E51" s="0" t="s">
        <v>4174</v>
      </c>
      <c r="F51" s="0" t="s">
        <v>18</v>
      </c>
      <c r="G51" s="7" t="s">
        <v>4294</v>
      </c>
      <c r="H51" s="0" t="s">
        <v>4295</v>
      </c>
      <c r="I51" s="0" t="s">
        <v>102</v>
      </c>
      <c r="J51" s="0" t="s">
        <v>103</v>
      </c>
      <c r="K51" s="0" t="s">
        <v>303</v>
      </c>
      <c r="L51" s="0" t="str">
        <f aca="false">IFERROR(VLOOKUP(K51,'Supplier list'!B:C,2,0),"")</f>
        <v>บริษัท เอ็มเค วู้ดเทค จำกัด</v>
      </c>
      <c r="M51" s="1" t="n">
        <f aca="false">FALSE()</f>
        <v>0</v>
      </c>
      <c r="N51" s="2"/>
      <c r="O51" s="2" t="n">
        <v>0</v>
      </c>
    </row>
    <row r="52" customFormat="false" ht="16.4" hidden="false" customHeight="false" outlineLevel="0" collapsed="false">
      <c r="A52" s="0" t="s">
        <v>15</v>
      </c>
      <c r="B52" s="0" t="s">
        <v>4296</v>
      </c>
      <c r="C52" s="0" t="n">
        <v>114001</v>
      </c>
      <c r="D52" s="0" t="n">
        <v>114001</v>
      </c>
      <c r="E52" s="0" t="s">
        <v>4174</v>
      </c>
      <c r="F52" s="0" t="s">
        <v>18</v>
      </c>
      <c r="G52" s="7" t="s">
        <v>4297</v>
      </c>
      <c r="H52" s="0" t="s">
        <v>4298</v>
      </c>
      <c r="I52" s="0" t="s">
        <v>102</v>
      </c>
      <c r="J52" s="0" t="s">
        <v>103</v>
      </c>
      <c r="L52" s="0" t="str">
        <f aca="false">IFERROR(VLOOKUP(K52,'Supplier list'!B:C,2,0),"")</f>
        <v/>
      </c>
      <c r="M52" s="1" t="n">
        <f aca="false">FALSE()</f>
        <v>0</v>
      </c>
      <c r="N52" s="2"/>
      <c r="O52" s="2" t="n">
        <v>0</v>
      </c>
    </row>
    <row r="53" customFormat="false" ht="16.4" hidden="false" customHeight="false" outlineLevel="0" collapsed="false">
      <c r="A53" s="0" t="s">
        <v>15</v>
      </c>
      <c r="B53" s="0" t="s">
        <v>4299</v>
      </c>
      <c r="C53" s="0" t="n">
        <v>114001</v>
      </c>
      <c r="D53" s="0" t="n">
        <v>114001</v>
      </c>
      <c r="E53" s="0" t="s">
        <v>4174</v>
      </c>
      <c r="F53" s="0" t="s">
        <v>18</v>
      </c>
      <c r="G53" s="7" t="s">
        <v>4300</v>
      </c>
      <c r="H53" s="0" t="s">
        <v>4301</v>
      </c>
      <c r="I53" s="0" t="s">
        <v>102</v>
      </c>
      <c r="J53" s="0" t="s">
        <v>103</v>
      </c>
      <c r="K53" s="0" t="s">
        <v>303</v>
      </c>
      <c r="L53" s="0" t="str">
        <f aca="false">IFERROR(VLOOKUP(K53,'Supplier list'!B:C,2,0),"")</f>
        <v>บริษัท เอ็มเค วู้ดเทค จำกัด</v>
      </c>
      <c r="M53" s="1" t="n">
        <f aca="false">FALSE()</f>
        <v>0</v>
      </c>
      <c r="N53" s="2"/>
      <c r="O53" s="2" t="n">
        <v>0</v>
      </c>
    </row>
    <row r="54" customFormat="false" ht="16.4" hidden="false" customHeight="false" outlineLevel="0" collapsed="false">
      <c r="A54" s="0" t="s">
        <v>15</v>
      </c>
      <c r="B54" s="0" t="s">
        <v>4302</v>
      </c>
      <c r="C54" s="0" t="n">
        <v>114001</v>
      </c>
      <c r="D54" s="0" t="n">
        <v>114001</v>
      </c>
      <c r="E54" s="0" t="s">
        <v>4174</v>
      </c>
      <c r="F54" s="0" t="s">
        <v>18</v>
      </c>
      <c r="G54" s="7" t="s">
        <v>4303</v>
      </c>
      <c r="H54" s="0" t="s">
        <v>4304</v>
      </c>
      <c r="I54" s="0" t="s">
        <v>102</v>
      </c>
      <c r="J54" s="0" t="s">
        <v>103</v>
      </c>
      <c r="K54" s="0" t="s">
        <v>303</v>
      </c>
      <c r="L54" s="0" t="str">
        <f aca="false">IFERROR(VLOOKUP(K54,'Supplier list'!B:C,2,0),"")</f>
        <v>บริษัท เอ็มเค วู้ดเทค จำกัด</v>
      </c>
      <c r="M54" s="1" t="n">
        <f aca="false">FALSE()</f>
        <v>0</v>
      </c>
      <c r="N54" s="2"/>
      <c r="O54" s="2" t="n">
        <v>0</v>
      </c>
    </row>
    <row r="55" customFormat="false" ht="16.4" hidden="false" customHeight="false" outlineLevel="0" collapsed="false">
      <c r="A55" s="0" t="s">
        <v>15</v>
      </c>
      <c r="B55" s="0" t="s">
        <v>4305</v>
      </c>
      <c r="C55" s="0" t="n">
        <v>114001</v>
      </c>
      <c r="D55" s="0" t="n">
        <v>114001</v>
      </c>
      <c r="E55" s="0" t="s">
        <v>4174</v>
      </c>
      <c r="F55" s="0" t="s">
        <v>18</v>
      </c>
      <c r="G55" s="7" t="s">
        <v>4306</v>
      </c>
      <c r="H55" s="0" t="s">
        <v>4307</v>
      </c>
      <c r="I55" s="0" t="s">
        <v>102</v>
      </c>
      <c r="J55" s="0" t="s">
        <v>103</v>
      </c>
      <c r="K55" s="0" t="s">
        <v>303</v>
      </c>
      <c r="L55" s="0" t="str">
        <f aca="false">IFERROR(VLOOKUP(K55,'Supplier list'!B:C,2,0),"")</f>
        <v>บริษัท เอ็มเค วู้ดเทค จำกัด</v>
      </c>
      <c r="M55" s="1" t="n">
        <f aca="false">FALSE()</f>
        <v>0</v>
      </c>
      <c r="N55" s="2"/>
      <c r="O55" s="2" t="n">
        <v>0</v>
      </c>
    </row>
    <row r="56" customFormat="false" ht="16.4" hidden="false" customHeight="false" outlineLevel="0" collapsed="false">
      <c r="A56" s="0" t="s">
        <v>15</v>
      </c>
      <c r="B56" s="0" t="s">
        <v>4308</v>
      </c>
      <c r="C56" s="0" t="n">
        <v>114001</v>
      </c>
      <c r="D56" s="0" t="n">
        <v>114001</v>
      </c>
      <c r="E56" s="0" t="s">
        <v>4174</v>
      </c>
      <c r="F56" s="0" t="s">
        <v>18</v>
      </c>
      <c r="G56" s="7" t="s">
        <v>4309</v>
      </c>
      <c r="H56" s="0" t="s">
        <v>4310</v>
      </c>
      <c r="I56" s="0" t="s">
        <v>102</v>
      </c>
      <c r="J56" s="0" t="s">
        <v>103</v>
      </c>
      <c r="K56" s="0" t="s">
        <v>303</v>
      </c>
      <c r="L56" s="0" t="str">
        <f aca="false">IFERROR(VLOOKUP(K56,'Supplier list'!B:C,2,0),"")</f>
        <v>บริษัท เอ็มเค วู้ดเทค จำกัด</v>
      </c>
      <c r="M56" s="1" t="n">
        <f aca="false">FALSE()</f>
        <v>0</v>
      </c>
      <c r="N56" s="2"/>
      <c r="O56" s="2" t="n">
        <v>0</v>
      </c>
    </row>
    <row r="57" customFormat="false" ht="16.4" hidden="false" customHeight="false" outlineLevel="0" collapsed="false">
      <c r="A57" s="0" t="s">
        <v>15</v>
      </c>
      <c r="B57" s="0" t="s">
        <v>4311</v>
      </c>
      <c r="C57" s="0" t="n">
        <v>114001</v>
      </c>
      <c r="D57" s="0" t="n">
        <v>114001</v>
      </c>
      <c r="E57" s="0" t="s">
        <v>4174</v>
      </c>
      <c r="F57" s="0" t="s">
        <v>18</v>
      </c>
      <c r="G57" s="7" t="s">
        <v>4312</v>
      </c>
      <c r="H57" s="0" t="s">
        <v>4313</v>
      </c>
      <c r="I57" s="0" t="s">
        <v>102</v>
      </c>
      <c r="J57" s="0" t="s">
        <v>103</v>
      </c>
      <c r="K57" s="0" t="s">
        <v>303</v>
      </c>
      <c r="L57" s="0" t="str">
        <f aca="false">IFERROR(VLOOKUP(K57,'Supplier list'!B:C,2,0),"")</f>
        <v>บริษัท เอ็มเค วู้ดเทค จำกัด</v>
      </c>
      <c r="M57" s="1" t="n">
        <f aca="false">FALSE()</f>
        <v>0</v>
      </c>
      <c r="N57" s="2"/>
      <c r="O57" s="2" t="n">
        <v>0</v>
      </c>
    </row>
    <row r="58" customFormat="false" ht="16.4" hidden="false" customHeight="false" outlineLevel="0" collapsed="false">
      <c r="A58" s="0" t="s">
        <v>15</v>
      </c>
      <c r="B58" s="0" t="s">
        <v>4314</v>
      </c>
      <c r="C58" s="0" t="n">
        <v>114001</v>
      </c>
      <c r="D58" s="0" t="n">
        <v>114001</v>
      </c>
      <c r="E58" s="0" t="s">
        <v>4174</v>
      </c>
      <c r="F58" s="0" t="s">
        <v>18</v>
      </c>
      <c r="G58" s="7" t="s">
        <v>4315</v>
      </c>
      <c r="H58" s="0" t="s">
        <v>4316</v>
      </c>
      <c r="I58" s="0" t="s">
        <v>102</v>
      </c>
      <c r="J58" s="0" t="s">
        <v>103</v>
      </c>
      <c r="K58" s="0" t="s">
        <v>303</v>
      </c>
      <c r="L58" s="0" t="str">
        <f aca="false">IFERROR(VLOOKUP(K58,'Supplier list'!B:C,2,0),"")</f>
        <v>บริษัท เอ็มเค วู้ดเทค จำกัด</v>
      </c>
      <c r="M58" s="1" t="n">
        <f aca="false">FALSE()</f>
        <v>0</v>
      </c>
      <c r="N58" s="2"/>
      <c r="O58" s="2" t="n">
        <v>0</v>
      </c>
    </row>
    <row r="59" customFormat="false" ht="16.4" hidden="false" customHeight="false" outlineLevel="0" collapsed="false">
      <c r="A59" s="0" t="s">
        <v>15</v>
      </c>
      <c r="B59" s="0" t="s">
        <v>4317</v>
      </c>
      <c r="C59" s="0" t="n">
        <v>114001</v>
      </c>
      <c r="D59" s="0" t="n">
        <v>114001</v>
      </c>
      <c r="E59" s="0" t="s">
        <v>4174</v>
      </c>
      <c r="F59" s="0" t="s">
        <v>18</v>
      </c>
      <c r="G59" s="7" t="s">
        <v>4318</v>
      </c>
      <c r="H59" s="0" t="s">
        <v>4319</v>
      </c>
      <c r="I59" s="0" t="s">
        <v>102</v>
      </c>
      <c r="J59" s="0" t="s">
        <v>103</v>
      </c>
      <c r="K59" s="0" t="s">
        <v>303</v>
      </c>
      <c r="L59" s="0" t="str">
        <f aca="false">IFERROR(VLOOKUP(K59,'Supplier list'!B:C,2,0),"")</f>
        <v>บริษัท เอ็มเค วู้ดเทค จำกัด</v>
      </c>
      <c r="M59" s="1" t="n">
        <f aca="false">FALSE()</f>
        <v>0</v>
      </c>
      <c r="N59" s="2"/>
      <c r="O59" s="2" t="n">
        <v>0</v>
      </c>
    </row>
    <row r="60" customFormat="false" ht="16.4" hidden="false" customHeight="false" outlineLevel="0" collapsed="false">
      <c r="A60" s="0" t="s">
        <v>15</v>
      </c>
      <c r="B60" s="0" t="s">
        <v>4320</v>
      </c>
      <c r="C60" s="0" t="n">
        <v>114001</v>
      </c>
      <c r="D60" s="0" t="n">
        <v>114001</v>
      </c>
      <c r="E60" s="0" t="s">
        <v>4174</v>
      </c>
      <c r="F60" s="0" t="s">
        <v>18</v>
      </c>
      <c r="G60" s="7" t="s">
        <v>4321</v>
      </c>
      <c r="H60" s="0" t="s">
        <v>4322</v>
      </c>
      <c r="I60" s="0" t="s">
        <v>102</v>
      </c>
      <c r="J60" s="0" t="s">
        <v>103</v>
      </c>
      <c r="K60" s="0" t="s">
        <v>303</v>
      </c>
      <c r="L60" s="0" t="str">
        <f aca="false">IFERROR(VLOOKUP(K60,'Supplier list'!B:C,2,0),"")</f>
        <v>บริษัท เอ็มเค วู้ดเทค จำกัด</v>
      </c>
      <c r="M60" s="1" t="n">
        <f aca="false">FALSE()</f>
        <v>0</v>
      </c>
      <c r="N60" s="2"/>
      <c r="O60" s="2" t="n">
        <v>0</v>
      </c>
    </row>
    <row r="61" customFormat="false" ht="16.4" hidden="false" customHeight="false" outlineLevel="0" collapsed="false">
      <c r="A61" s="0" t="s">
        <v>15</v>
      </c>
      <c r="B61" s="0" t="s">
        <v>4323</v>
      </c>
      <c r="C61" s="0" t="n">
        <v>114001</v>
      </c>
      <c r="D61" s="0" t="n">
        <v>114001</v>
      </c>
      <c r="E61" s="0" t="s">
        <v>4174</v>
      </c>
      <c r="F61" s="0" t="s">
        <v>18</v>
      </c>
      <c r="G61" s="7" t="s">
        <v>4324</v>
      </c>
      <c r="H61" s="0" t="s">
        <v>4325</v>
      </c>
      <c r="I61" s="0" t="s">
        <v>102</v>
      </c>
      <c r="J61" s="0" t="s">
        <v>103</v>
      </c>
      <c r="K61" s="0" t="s">
        <v>303</v>
      </c>
      <c r="L61" s="0" t="str">
        <f aca="false">IFERROR(VLOOKUP(K61,'Supplier list'!B:C,2,0),"")</f>
        <v>บริษัท เอ็มเค วู้ดเทค จำกัด</v>
      </c>
      <c r="M61" s="1" t="n">
        <f aca="false">FALSE()</f>
        <v>0</v>
      </c>
      <c r="N61" s="2"/>
      <c r="O61" s="2" t="n">
        <v>0</v>
      </c>
    </row>
    <row r="62" customFormat="false" ht="16.4" hidden="false" customHeight="false" outlineLevel="0" collapsed="false">
      <c r="A62" s="0" t="s">
        <v>15</v>
      </c>
      <c r="B62" s="0" t="s">
        <v>4326</v>
      </c>
      <c r="C62" s="0" t="n">
        <v>114001</v>
      </c>
      <c r="D62" s="0" t="n">
        <v>114001</v>
      </c>
      <c r="E62" s="0" t="s">
        <v>4174</v>
      </c>
      <c r="F62" s="0" t="s">
        <v>18</v>
      </c>
      <c r="G62" s="7" t="s">
        <v>4327</v>
      </c>
      <c r="H62" s="0" t="s">
        <v>4328</v>
      </c>
      <c r="I62" s="0" t="s">
        <v>102</v>
      </c>
      <c r="J62" s="0" t="s">
        <v>103</v>
      </c>
      <c r="K62" s="0" t="s">
        <v>303</v>
      </c>
      <c r="L62" s="0" t="str">
        <f aca="false">IFERROR(VLOOKUP(K62,'Supplier list'!B:C,2,0),"")</f>
        <v>บริษัท เอ็มเค วู้ดเทค จำกัด</v>
      </c>
      <c r="M62" s="1" t="n">
        <f aca="false">FALSE()</f>
        <v>0</v>
      </c>
      <c r="N62" s="2"/>
      <c r="O62" s="2" t="n">
        <v>0</v>
      </c>
    </row>
    <row r="63" customFormat="false" ht="16.4" hidden="false" customHeight="false" outlineLevel="0" collapsed="false">
      <c r="A63" s="0" t="s">
        <v>15</v>
      </c>
      <c r="B63" s="0" t="s">
        <v>4329</v>
      </c>
      <c r="C63" s="0" t="n">
        <v>114001</v>
      </c>
      <c r="D63" s="0" t="n">
        <v>114001</v>
      </c>
      <c r="E63" s="0" t="s">
        <v>4174</v>
      </c>
      <c r="F63" s="0" t="s">
        <v>18</v>
      </c>
      <c r="G63" s="7" t="s">
        <v>4330</v>
      </c>
      <c r="H63" s="0" t="s">
        <v>4331</v>
      </c>
      <c r="I63" s="0" t="s">
        <v>102</v>
      </c>
      <c r="J63" s="0" t="s">
        <v>103</v>
      </c>
      <c r="K63" s="0" t="s">
        <v>303</v>
      </c>
      <c r="L63" s="0" t="str">
        <f aca="false">IFERROR(VLOOKUP(K63,'Supplier list'!B:C,2,0),"")</f>
        <v>บริษัท เอ็มเค วู้ดเทค จำกัด</v>
      </c>
      <c r="M63" s="1" t="n">
        <f aca="false">FALSE()</f>
        <v>0</v>
      </c>
      <c r="N63" s="2"/>
      <c r="O63" s="2" t="n">
        <v>0</v>
      </c>
    </row>
    <row r="64" customFormat="false" ht="16.4" hidden="false" customHeight="false" outlineLevel="0" collapsed="false">
      <c r="A64" s="0" t="s">
        <v>15</v>
      </c>
      <c r="B64" s="0" t="s">
        <v>4332</v>
      </c>
      <c r="C64" s="0" t="n">
        <v>114001</v>
      </c>
      <c r="D64" s="0" t="n">
        <v>114001</v>
      </c>
      <c r="E64" s="0" t="s">
        <v>4174</v>
      </c>
      <c r="F64" s="0" t="s">
        <v>18</v>
      </c>
      <c r="G64" s="7" t="s">
        <v>4333</v>
      </c>
      <c r="H64" s="0" t="s">
        <v>4334</v>
      </c>
      <c r="I64" s="0" t="s">
        <v>102</v>
      </c>
      <c r="J64" s="0" t="s">
        <v>103</v>
      </c>
      <c r="K64" s="0" t="s">
        <v>303</v>
      </c>
      <c r="L64" s="0" t="str">
        <f aca="false">IFERROR(VLOOKUP(K64,'Supplier list'!B:C,2,0),"")</f>
        <v>บริษัท เอ็มเค วู้ดเทค จำกัด</v>
      </c>
      <c r="M64" s="1" t="n">
        <f aca="false">FALSE()</f>
        <v>0</v>
      </c>
      <c r="N64" s="2"/>
      <c r="O64" s="2" t="n">
        <v>0</v>
      </c>
    </row>
    <row r="65" customFormat="false" ht="16.4" hidden="false" customHeight="false" outlineLevel="0" collapsed="false">
      <c r="A65" s="0" t="s">
        <v>15</v>
      </c>
      <c r="B65" s="0" t="s">
        <v>4335</v>
      </c>
      <c r="C65" s="0" t="n">
        <v>114001</v>
      </c>
      <c r="D65" s="0" t="n">
        <v>114001</v>
      </c>
      <c r="E65" s="0" t="s">
        <v>4174</v>
      </c>
      <c r="F65" s="0" t="s">
        <v>18</v>
      </c>
      <c r="G65" s="7" t="s">
        <v>4336</v>
      </c>
      <c r="H65" s="0" t="s">
        <v>4337</v>
      </c>
      <c r="I65" s="0" t="s">
        <v>102</v>
      </c>
      <c r="J65" s="0" t="s">
        <v>103</v>
      </c>
      <c r="K65" s="0" t="s">
        <v>303</v>
      </c>
      <c r="L65" s="0" t="str">
        <f aca="false">IFERROR(VLOOKUP(K65,'Supplier list'!B:C,2,0),"")</f>
        <v>บริษัท เอ็มเค วู้ดเทค จำกัด</v>
      </c>
      <c r="M65" s="1" t="n">
        <f aca="false">FALSE()</f>
        <v>0</v>
      </c>
      <c r="N65" s="2"/>
      <c r="O65" s="2" t="n">
        <v>0</v>
      </c>
    </row>
    <row r="66" customFormat="false" ht="16.4" hidden="false" customHeight="false" outlineLevel="0" collapsed="false">
      <c r="A66" s="0" t="s">
        <v>15</v>
      </c>
      <c r="B66" s="0" t="s">
        <v>4338</v>
      </c>
      <c r="C66" s="0" t="n">
        <v>114001</v>
      </c>
      <c r="D66" s="0" t="n">
        <v>114001</v>
      </c>
      <c r="E66" s="0" t="s">
        <v>4174</v>
      </c>
      <c r="F66" s="0" t="s">
        <v>18</v>
      </c>
      <c r="G66" s="7" t="s">
        <v>4339</v>
      </c>
      <c r="H66" s="0" t="s">
        <v>4340</v>
      </c>
      <c r="I66" s="0" t="s">
        <v>102</v>
      </c>
      <c r="J66" s="0" t="s">
        <v>103</v>
      </c>
      <c r="K66" s="0" t="s">
        <v>303</v>
      </c>
      <c r="L66" s="0" t="str">
        <f aca="false">IFERROR(VLOOKUP(K66,'Supplier list'!B:C,2,0),"")</f>
        <v>บริษัท เอ็มเค วู้ดเทค จำกัด</v>
      </c>
      <c r="M66" s="1" t="n">
        <f aca="false">FALSE()</f>
        <v>0</v>
      </c>
      <c r="N66" s="2"/>
      <c r="O66" s="2" t="n">
        <v>0</v>
      </c>
    </row>
    <row r="67" customFormat="false" ht="16.4" hidden="false" customHeight="false" outlineLevel="0" collapsed="false">
      <c r="A67" s="0" t="s">
        <v>15</v>
      </c>
      <c r="B67" s="0" t="s">
        <v>4341</v>
      </c>
      <c r="C67" s="0" t="n">
        <v>114001</v>
      </c>
      <c r="D67" s="0" t="n">
        <v>114001</v>
      </c>
      <c r="E67" s="0" t="s">
        <v>4174</v>
      </c>
      <c r="F67" s="0" t="s">
        <v>18</v>
      </c>
      <c r="G67" s="7" t="s">
        <v>4342</v>
      </c>
      <c r="H67" s="0" t="s">
        <v>4343</v>
      </c>
      <c r="I67" s="0" t="s">
        <v>396</v>
      </c>
      <c r="J67" s="0" t="s">
        <v>397</v>
      </c>
      <c r="K67" s="0" t="s">
        <v>4203</v>
      </c>
      <c r="L67" s="0" t="str">
        <f aca="false">IFERROR(VLOOKUP(K67,'Supplier list'!B:C,2,0),"")</f>
        <v>บริษัท 9889 Thailnd</v>
      </c>
      <c r="M67" s="1" t="n">
        <f aca="false">FALSE()</f>
        <v>0</v>
      </c>
      <c r="N67" s="2"/>
      <c r="O67" s="2" t="n">
        <v>0</v>
      </c>
    </row>
    <row r="68" customFormat="false" ht="16.4" hidden="false" customHeight="false" outlineLevel="0" collapsed="false">
      <c r="A68" s="0" t="s">
        <v>15</v>
      </c>
      <c r="B68" s="0" t="s">
        <v>4344</v>
      </c>
      <c r="C68" s="0" t="n">
        <v>114001</v>
      </c>
      <c r="D68" s="0" t="n">
        <v>114001</v>
      </c>
      <c r="E68" s="0" t="s">
        <v>4174</v>
      </c>
      <c r="F68" s="0" t="s">
        <v>18</v>
      </c>
      <c r="G68" s="7" t="s">
        <v>4345</v>
      </c>
      <c r="H68" s="0" t="s">
        <v>4346</v>
      </c>
      <c r="I68" s="0" t="s">
        <v>102</v>
      </c>
      <c r="J68" s="0" t="s">
        <v>103</v>
      </c>
      <c r="K68" s="0" t="s">
        <v>352</v>
      </c>
      <c r="L68" s="0" t="str">
        <f aca="false">IFERROR(VLOOKUP(K68,'Supplier list'!B:C,2,0),"")</f>
        <v>บริษัท พีเอ็นพี อินเตอร์แพค</v>
      </c>
      <c r="M68" s="1" t="n">
        <f aca="false">FALSE()</f>
        <v>0</v>
      </c>
      <c r="N68" s="2"/>
      <c r="O68" s="2" t="n">
        <v>0</v>
      </c>
    </row>
    <row r="69" customFormat="false" ht="16.4" hidden="false" customHeight="false" outlineLevel="0" collapsed="false">
      <c r="A69" s="0" t="s">
        <v>15</v>
      </c>
      <c r="B69" s="0" t="s">
        <v>4347</v>
      </c>
      <c r="C69" s="0" t="n">
        <v>114001</v>
      </c>
      <c r="D69" s="0" t="n">
        <v>114001</v>
      </c>
      <c r="E69" s="0" t="s">
        <v>4174</v>
      </c>
      <c r="F69" s="0" t="s">
        <v>18</v>
      </c>
      <c r="G69" s="7" t="s">
        <v>4348</v>
      </c>
      <c r="H69" s="0" t="s">
        <v>4349</v>
      </c>
      <c r="I69" s="0" t="s">
        <v>396</v>
      </c>
      <c r="J69" s="0" t="s">
        <v>397</v>
      </c>
      <c r="K69" s="0" t="s">
        <v>4203</v>
      </c>
      <c r="L69" s="0" t="str">
        <f aca="false">IFERROR(VLOOKUP(K69,'Supplier list'!B:C,2,0),"")</f>
        <v>บริษัท 9889 Thailnd</v>
      </c>
      <c r="M69" s="1" t="n">
        <f aca="false">FALSE()</f>
        <v>0</v>
      </c>
      <c r="N69" s="2"/>
      <c r="O69" s="2" t="n">
        <v>0</v>
      </c>
    </row>
    <row r="70" customFormat="false" ht="16.4" hidden="false" customHeight="false" outlineLevel="0" collapsed="false">
      <c r="A70" s="0" t="s">
        <v>15</v>
      </c>
      <c r="B70" s="0" t="s">
        <v>4350</v>
      </c>
      <c r="C70" s="0" t="n">
        <v>114001</v>
      </c>
      <c r="D70" s="0" t="n">
        <v>114001</v>
      </c>
      <c r="E70" s="0" t="s">
        <v>4174</v>
      </c>
      <c r="F70" s="0" t="s">
        <v>18</v>
      </c>
      <c r="G70" s="7" t="s">
        <v>4351</v>
      </c>
      <c r="H70" s="0" t="s">
        <v>4352</v>
      </c>
      <c r="I70" s="0" t="s">
        <v>102</v>
      </c>
      <c r="J70" s="0" t="s">
        <v>103</v>
      </c>
      <c r="K70" s="0" t="s">
        <v>303</v>
      </c>
      <c r="L70" s="0" t="str">
        <f aca="false">IFERROR(VLOOKUP(K70,'Supplier list'!B:C,2,0),"")</f>
        <v>บริษัท เอ็มเค วู้ดเทค จำกัด</v>
      </c>
      <c r="M70" s="1" t="n">
        <f aca="false">FALSE()</f>
        <v>0</v>
      </c>
      <c r="N70" s="2"/>
      <c r="O70" s="2" t="n">
        <v>0</v>
      </c>
    </row>
    <row r="71" customFormat="false" ht="16.4" hidden="false" customHeight="false" outlineLevel="0" collapsed="false">
      <c r="A71" s="0" t="s">
        <v>15</v>
      </c>
      <c r="B71" s="0" t="s">
        <v>4353</v>
      </c>
      <c r="C71" s="0" t="n">
        <v>114001</v>
      </c>
      <c r="D71" s="0" t="n">
        <v>114001</v>
      </c>
      <c r="E71" s="0" t="s">
        <v>4174</v>
      </c>
      <c r="F71" s="0" t="s">
        <v>18</v>
      </c>
      <c r="G71" s="7" t="s">
        <v>4354</v>
      </c>
      <c r="H71" s="0" t="s">
        <v>4355</v>
      </c>
      <c r="I71" s="0" t="s">
        <v>102</v>
      </c>
      <c r="J71" s="0" t="s">
        <v>103</v>
      </c>
      <c r="K71" s="0" t="s">
        <v>4356</v>
      </c>
      <c r="L71" s="0" t="str">
        <f aca="false">IFERROR(VLOOKUP(K71,'Supplier list'!B:C,2,0),"")</f>
        <v/>
      </c>
      <c r="M71" s="1" t="n">
        <f aca="false">FALSE()</f>
        <v>0</v>
      </c>
      <c r="N71" s="2"/>
      <c r="O71" s="2" t="n">
        <v>455</v>
      </c>
    </row>
    <row r="72" customFormat="false" ht="16.4" hidden="false" customHeight="false" outlineLevel="0" collapsed="false">
      <c r="A72" s="0" t="s">
        <v>15</v>
      </c>
      <c r="B72" s="0" t="s">
        <v>4357</v>
      </c>
      <c r="C72" s="0" t="n">
        <v>114001</v>
      </c>
      <c r="D72" s="0" t="n">
        <v>114001</v>
      </c>
      <c r="E72" s="0" t="s">
        <v>4174</v>
      </c>
      <c r="F72" s="0" t="s">
        <v>18</v>
      </c>
      <c r="G72" s="7" t="s">
        <v>4358</v>
      </c>
      <c r="H72" s="0" t="s">
        <v>4359</v>
      </c>
      <c r="I72" s="0" t="s">
        <v>102</v>
      </c>
      <c r="J72" s="0" t="s">
        <v>103</v>
      </c>
      <c r="K72" s="0" t="s">
        <v>4280</v>
      </c>
      <c r="L72" s="0" t="str">
        <f aca="false">IFERROR(VLOOKUP(K72,'Supplier list'!B:C,2,0),"")</f>
        <v/>
      </c>
      <c r="M72" s="1" t="n">
        <f aca="false">FALSE()</f>
        <v>0</v>
      </c>
      <c r="N72" s="2"/>
      <c r="O72" s="2" t="n">
        <v>0</v>
      </c>
    </row>
    <row r="73" customFormat="false" ht="16.4" hidden="false" customHeight="false" outlineLevel="0" collapsed="false">
      <c r="A73" s="0" t="s">
        <v>15</v>
      </c>
      <c r="B73" s="0" t="s">
        <v>4360</v>
      </c>
      <c r="C73" s="0" t="n">
        <v>114001</v>
      </c>
      <c r="D73" s="0" t="n">
        <v>114001</v>
      </c>
      <c r="E73" s="0" t="s">
        <v>4174</v>
      </c>
      <c r="F73" s="0" t="s">
        <v>18</v>
      </c>
      <c r="G73" s="7" t="s">
        <v>4361</v>
      </c>
      <c r="H73" s="0" t="s">
        <v>4362</v>
      </c>
      <c r="I73" s="0" t="s">
        <v>102</v>
      </c>
      <c r="J73" s="0" t="s">
        <v>103</v>
      </c>
      <c r="K73" s="0" t="s">
        <v>4363</v>
      </c>
      <c r="L73" s="0" t="str">
        <f aca="false">IFERROR(VLOOKUP(K73,'Supplier list'!B:C,2,0),"")</f>
        <v>บริษัท เมโทรพูนทรัพย์ จำกัด</v>
      </c>
      <c r="M73" s="1" t="n">
        <f aca="false">FALSE()</f>
        <v>0</v>
      </c>
      <c r="N73" s="2"/>
      <c r="O73" s="2" t="n">
        <v>265</v>
      </c>
    </row>
    <row r="74" customFormat="false" ht="16.4" hidden="false" customHeight="false" outlineLevel="0" collapsed="false">
      <c r="A74" s="0" t="s">
        <v>15</v>
      </c>
      <c r="B74" s="0" t="s">
        <v>4364</v>
      </c>
      <c r="C74" s="0" t="n">
        <v>114001</v>
      </c>
      <c r="D74" s="0" t="n">
        <v>114001</v>
      </c>
      <c r="E74" s="0" t="s">
        <v>4174</v>
      </c>
      <c r="F74" s="0" t="s">
        <v>18</v>
      </c>
      <c r="G74" s="7" t="s">
        <v>4365</v>
      </c>
      <c r="H74" s="0" t="s">
        <v>4366</v>
      </c>
      <c r="I74" s="0" t="s">
        <v>102</v>
      </c>
      <c r="J74" s="0" t="s">
        <v>103</v>
      </c>
      <c r="K74" s="0" t="s">
        <v>303</v>
      </c>
      <c r="L74" s="0" t="str">
        <f aca="false">IFERROR(VLOOKUP(K74,'Supplier list'!B:C,2,0),"")</f>
        <v>บริษัท เอ็มเค วู้ดเทค จำกัด</v>
      </c>
      <c r="M74" s="1" t="n">
        <f aca="false">FALSE()</f>
        <v>0</v>
      </c>
      <c r="N74" s="2"/>
      <c r="O74" s="2" t="n">
        <v>305</v>
      </c>
    </row>
    <row r="75" customFormat="false" ht="16.4" hidden="false" customHeight="false" outlineLevel="0" collapsed="false">
      <c r="A75" s="0" t="s">
        <v>15</v>
      </c>
      <c r="B75" s="0" t="s">
        <v>4367</v>
      </c>
      <c r="C75" s="0" t="n">
        <v>114001</v>
      </c>
      <c r="D75" s="0" t="n">
        <v>114001</v>
      </c>
      <c r="E75" s="0" t="s">
        <v>4174</v>
      </c>
      <c r="F75" s="0" t="s">
        <v>18</v>
      </c>
      <c r="G75" s="7" t="s">
        <v>4368</v>
      </c>
      <c r="H75" s="0" t="s">
        <v>4369</v>
      </c>
      <c r="I75" s="0" t="s">
        <v>396</v>
      </c>
      <c r="J75" s="0" t="s">
        <v>397</v>
      </c>
      <c r="K75" s="0" t="s">
        <v>4203</v>
      </c>
      <c r="L75" s="0" t="str">
        <f aca="false">IFERROR(VLOOKUP(K75,'Supplier list'!B:C,2,0),"")</f>
        <v>บริษัท 9889 Thailnd</v>
      </c>
      <c r="M75" s="1" t="n">
        <f aca="false">FALSE()</f>
        <v>0</v>
      </c>
      <c r="N75" s="2"/>
      <c r="O75" s="2" t="n">
        <v>9.1</v>
      </c>
    </row>
    <row r="76" customFormat="false" ht="16.4" hidden="false" customHeight="false" outlineLevel="0" collapsed="false">
      <c r="A76" s="0" t="s">
        <v>15</v>
      </c>
      <c r="B76" s="0" t="s">
        <v>4370</v>
      </c>
      <c r="C76" s="0" t="n">
        <v>114001</v>
      </c>
      <c r="D76" s="0" t="n">
        <v>114001</v>
      </c>
      <c r="E76" s="0" t="s">
        <v>4174</v>
      </c>
      <c r="F76" s="0" t="s">
        <v>18</v>
      </c>
      <c r="G76" s="7" t="s">
        <v>4371</v>
      </c>
      <c r="H76" s="0" t="s">
        <v>4372</v>
      </c>
      <c r="I76" s="0" t="s">
        <v>396</v>
      </c>
      <c r="J76" s="0" t="s">
        <v>397</v>
      </c>
      <c r="K76" s="0" t="s">
        <v>4203</v>
      </c>
      <c r="L76" s="0" t="str">
        <f aca="false">IFERROR(VLOOKUP(K76,'Supplier list'!B:C,2,0),"")</f>
        <v>บริษัท 9889 Thailnd</v>
      </c>
      <c r="M76" s="1" t="n">
        <f aca="false">FALSE()</f>
        <v>0</v>
      </c>
      <c r="N76" s="2"/>
      <c r="O76" s="2" t="n">
        <v>0</v>
      </c>
    </row>
    <row r="77" customFormat="false" ht="16.4" hidden="false" customHeight="false" outlineLevel="0" collapsed="false">
      <c r="A77" s="0" t="s">
        <v>15</v>
      </c>
      <c r="B77" s="0" t="s">
        <v>4373</v>
      </c>
      <c r="C77" s="0" t="n">
        <v>114001</v>
      </c>
      <c r="D77" s="0" t="n">
        <v>114001</v>
      </c>
      <c r="E77" s="0" t="s">
        <v>4174</v>
      </c>
      <c r="F77" s="0" t="s">
        <v>18</v>
      </c>
      <c r="G77" s="7" t="s">
        <v>4374</v>
      </c>
      <c r="H77" s="0" t="s">
        <v>4375</v>
      </c>
      <c r="I77" s="0" t="s">
        <v>396</v>
      </c>
      <c r="J77" s="0" t="s">
        <v>397</v>
      </c>
      <c r="K77" s="0" t="s">
        <v>4203</v>
      </c>
      <c r="L77" s="0" t="str">
        <f aca="false">IFERROR(VLOOKUP(K77,'Supplier list'!B:C,2,0),"")</f>
        <v>บริษัท 9889 Thailnd</v>
      </c>
      <c r="M77" s="1" t="n">
        <f aca="false">FALSE()</f>
        <v>0</v>
      </c>
      <c r="N77" s="2"/>
      <c r="O77" s="2" t="n">
        <v>0</v>
      </c>
    </row>
    <row r="78" customFormat="false" ht="16.4" hidden="false" customHeight="false" outlineLevel="0" collapsed="false">
      <c r="A78" s="0" t="s">
        <v>15</v>
      </c>
      <c r="B78" s="0" t="s">
        <v>4376</v>
      </c>
      <c r="C78" s="0" t="n">
        <v>114001</v>
      </c>
      <c r="D78" s="0" t="n">
        <v>114001</v>
      </c>
      <c r="E78" s="0" t="s">
        <v>4174</v>
      </c>
      <c r="F78" s="0" t="s">
        <v>18</v>
      </c>
      <c r="G78" s="7" t="s">
        <v>4377</v>
      </c>
      <c r="H78" s="0" t="s">
        <v>4378</v>
      </c>
      <c r="I78" s="0" t="s">
        <v>396</v>
      </c>
      <c r="J78" s="0" t="s">
        <v>397</v>
      </c>
      <c r="K78" s="0" t="s">
        <v>4203</v>
      </c>
      <c r="L78" s="0" t="str">
        <f aca="false">IFERROR(VLOOKUP(K78,'Supplier list'!B:C,2,0),"")</f>
        <v>บริษัท 9889 Thailnd</v>
      </c>
      <c r="M78" s="1" t="n">
        <f aca="false">FALSE()</f>
        <v>0</v>
      </c>
      <c r="N78" s="2"/>
      <c r="O78" s="2" t="n">
        <v>0</v>
      </c>
    </row>
    <row r="79" customFormat="false" ht="16.4" hidden="false" customHeight="false" outlineLevel="0" collapsed="false">
      <c r="A79" s="0" t="s">
        <v>15</v>
      </c>
      <c r="B79" s="0" t="s">
        <v>4379</v>
      </c>
      <c r="C79" s="0" t="n">
        <v>114001</v>
      </c>
      <c r="D79" s="0" t="n">
        <v>114001</v>
      </c>
      <c r="E79" s="0" t="s">
        <v>4174</v>
      </c>
      <c r="F79" s="0" t="s">
        <v>18</v>
      </c>
      <c r="G79" s="7" t="s">
        <v>4380</v>
      </c>
      <c r="H79" s="0" t="s">
        <v>4381</v>
      </c>
      <c r="I79" s="0" t="s">
        <v>396</v>
      </c>
      <c r="J79" s="0" t="s">
        <v>397</v>
      </c>
      <c r="K79" s="0" t="s">
        <v>4203</v>
      </c>
      <c r="L79" s="0" t="str">
        <f aca="false">IFERROR(VLOOKUP(K79,'Supplier list'!B:C,2,0),"")</f>
        <v>บริษัท 9889 Thailnd</v>
      </c>
      <c r="M79" s="1" t="n">
        <f aca="false">FALSE()</f>
        <v>0</v>
      </c>
      <c r="N79" s="2"/>
      <c r="O79" s="2" t="n">
        <v>0</v>
      </c>
    </row>
    <row r="80" customFormat="false" ht="16.4" hidden="false" customHeight="false" outlineLevel="0" collapsed="false">
      <c r="A80" s="0" t="s">
        <v>15</v>
      </c>
      <c r="B80" s="0" t="s">
        <v>4382</v>
      </c>
      <c r="C80" s="0" t="n">
        <v>114001</v>
      </c>
      <c r="D80" s="0" t="n">
        <v>114001</v>
      </c>
      <c r="E80" s="0" t="s">
        <v>4174</v>
      </c>
      <c r="F80" s="0" t="s">
        <v>18</v>
      </c>
      <c r="G80" s="7" t="s">
        <v>4383</v>
      </c>
      <c r="H80" s="0" t="s">
        <v>4384</v>
      </c>
      <c r="I80" s="0" t="s">
        <v>396</v>
      </c>
      <c r="J80" s="0" t="s">
        <v>397</v>
      </c>
      <c r="K80" s="0" t="s">
        <v>4203</v>
      </c>
      <c r="L80" s="0" t="str">
        <f aca="false">IFERROR(VLOOKUP(K80,'Supplier list'!B:C,2,0),"")</f>
        <v>บริษัท 9889 Thailnd</v>
      </c>
      <c r="M80" s="1" t="n">
        <f aca="false">FALSE()</f>
        <v>0</v>
      </c>
      <c r="N80" s="2"/>
      <c r="O80" s="2" t="n">
        <v>6.8</v>
      </c>
    </row>
    <row r="81" customFormat="false" ht="16.4" hidden="false" customHeight="false" outlineLevel="0" collapsed="false">
      <c r="A81" s="0" t="s">
        <v>15</v>
      </c>
      <c r="B81" s="0" t="s">
        <v>4385</v>
      </c>
      <c r="C81" s="0" t="n">
        <v>114001</v>
      </c>
      <c r="D81" s="0" t="n">
        <v>114001</v>
      </c>
      <c r="E81" s="0" t="s">
        <v>4174</v>
      </c>
      <c r="F81" s="0" t="s">
        <v>18</v>
      </c>
      <c r="G81" s="7" t="s">
        <v>4386</v>
      </c>
      <c r="H81" s="0" t="s">
        <v>4387</v>
      </c>
      <c r="I81" s="0" t="s">
        <v>451</v>
      </c>
      <c r="J81" s="0" t="s">
        <v>452</v>
      </c>
      <c r="K81" s="0" t="s">
        <v>4388</v>
      </c>
      <c r="L81" s="0" t="str">
        <f aca="false">IFERROR(VLOOKUP(K81,'Supplier list'!B:C,2,0),"")</f>
        <v>ร้าน สุนันทา ค้าไม้</v>
      </c>
      <c r="M81" s="1" t="n">
        <f aca="false">FALSE()</f>
        <v>0</v>
      </c>
      <c r="N81" s="2"/>
      <c r="O81" s="2" t="n">
        <v>1.8</v>
      </c>
    </row>
    <row r="82" customFormat="false" ht="16.4" hidden="false" customHeight="false" outlineLevel="0" collapsed="false">
      <c r="A82" s="0" t="s">
        <v>15</v>
      </c>
      <c r="B82" s="0" t="s">
        <v>4389</v>
      </c>
      <c r="C82" s="0" t="n">
        <v>114001</v>
      </c>
      <c r="D82" s="0" t="n">
        <v>114001</v>
      </c>
      <c r="E82" s="0" t="s">
        <v>4174</v>
      </c>
      <c r="F82" s="0" t="s">
        <v>18</v>
      </c>
      <c r="G82" s="7" t="s">
        <v>4390</v>
      </c>
      <c r="H82" s="0" t="s">
        <v>4391</v>
      </c>
      <c r="I82" s="0" t="s">
        <v>396</v>
      </c>
      <c r="J82" s="0" t="s">
        <v>397</v>
      </c>
      <c r="K82" s="0" t="s">
        <v>4203</v>
      </c>
      <c r="L82" s="0" t="str">
        <f aca="false">IFERROR(VLOOKUP(K82,'Supplier list'!B:C,2,0),"")</f>
        <v>บริษัท 9889 Thailnd</v>
      </c>
      <c r="M82" s="1" t="n">
        <f aca="false">FALSE()</f>
        <v>0</v>
      </c>
      <c r="N82" s="2"/>
      <c r="O82" s="2" t="n">
        <v>0</v>
      </c>
    </row>
    <row r="83" customFormat="false" ht="16.4" hidden="false" customHeight="false" outlineLevel="0" collapsed="false">
      <c r="A83" s="0" t="s">
        <v>15</v>
      </c>
      <c r="B83" s="0" t="s">
        <v>4392</v>
      </c>
      <c r="C83" s="0" t="n">
        <v>114001</v>
      </c>
      <c r="D83" s="0" t="n">
        <v>114001</v>
      </c>
      <c r="E83" s="0" t="s">
        <v>4174</v>
      </c>
      <c r="F83" s="0" t="s">
        <v>18</v>
      </c>
      <c r="G83" s="7" t="s">
        <v>4393</v>
      </c>
      <c r="H83" s="0" t="s">
        <v>4394</v>
      </c>
      <c r="I83" s="0" t="s">
        <v>396</v>
      </c>
      <c r="J83" s="0" t="s">
        <v>397</v>
      </c>
      <c r="K83" s="0" t="s">
        <v>4203</v>
      </c>
      <c r="L83" s="0" t="str">
        <f aca="false">IFERROR(VLOOKUP(K83,'Supplier list'!B:C,2,0),"")</f>
        <v>บริษัท 9889 Thailnd</v>
      </c>
      <c r="M83" s="1" t="n">
        <f aca="false">FALSE()</f>
        <v>0</v>
      </c>
      <c r="N83" s="2"/>
      <c r="O83" s="2" t="n">
        <v>0</v>
      </c>
    </row>
    <row r="84" customFormat="false" ht="16.4" hidden="false" customHeight="false" outlineLevel="0" collapsed="false">
      <c r="A84" s="0" t="s">
        <v>15</v>
      </c>
      <c r="B84" s="0" t="s">
        <v>4395</v>
      </c>
      <c r="C84" s="0" t="n">
        <v>114001</v>
      </c>
      <c r="D84" s="0" t="n">
        <v>114001</v>
      </c>
      <c r="E84" s="0" t="s">
        <v>4174</v>
      </c>
      <c r="F84" s="0" t="s">
        <v>18</v>
      </c>
      <c r="G84" s="7" t="s">
        <v>4396</v>
      </c>
      <c r="H84" s="0" t="s">
        <v>4397</v>
      </c>
      <c r="I84" s="0" t="s">
        <v>396</v>
      </c>
      <c r="J84" s="0" t="s">
        <v>397</v>
      </c>
      <c r="K84" s="0" t="s">
        <v>4203</v>
      </c>
      <c r="L84" s="0" t="str">
        <f aca="false">IFERROR(VLOOKUP(K84,'Supplier list'!B:C,2,0),"")</f>
        <v>บริษัท 9889 Thailnd</v>
      </c>
      <c r="M84" s="1" t="n">
        <f aca="false">FALSE()</f>
        <v>0</v>
      </c>
      <c r="N84" s="2"/>
      <c r="O84" s="2" t="n">
        <v>0</v>
      </c>
    </row>
    <row r="85" customFormat="false" ht="16.4" hidden="false" customHeight="false" outlineLevel="0" collapsed="false">
      <c r="A85" s="0" t="s">
        <v>15</v>
      </c>
      <c r="B85" s="0" t="s">
        <v>4398</v>
      </c>
      <c r="C85" s="0" t="n">
        <v>114001</v>
      </c>
      <c r="D85" s="0" t="n">
        <v>114001</v>
      </c>
      <c r="E85" s="0" t="s">
        <v>4174</v>
      </c>
      <c r="F85" s="0" t="s">
        <v>18</v>
      </c>
      <c r="G85" s="7" t="s">
        <v>4399</v>
      </c>
      <c r="H85" s="0" t="s">
        <v>4400</v>
      </c>
      <c r="I85" s="0" t="s">
        <v>396</v>
      </c>
      <c r="J85" s="0" t="s">
        <v>397</v>
      </c>
      <c r="K85" s="0" t="s">
        <v>4203</v>
      </c>
      <c r="L85" s="0" t="str">
        <f aca="false">IFERROR(VLOOKUP(K85,'Supplier list'!B:C,2,0),"")</f>
        <v>บริษัท 9889 Thailnd</v>
      </c>
      <c r="M85" s="1" t="n">
        <f aca="false">FALSE()</f>
        <v>0</v>
      </c>
      <c r="N85" s="2"/>
      <c r="O85" s="2" t="n">
        <v>0</v>
      </c>
    </row>
    <row r="86" customFormat="false" ht="16.4" hidden="false" customHeight="false" outlineLevel="0" collapsed="false">
      <c r="A86" s="0" t="s">
        <v>15</v>
      </c>
      <c r="B86" s="0" t="s">
        <v>4401</v>
      </c>
      <c r="C86" s="0" t="n">
        <v>114001</v>
      </c>
      <c r="D86" s="0" t="n">
        <v>114001</v>
      </c>
      <c r="E86" s="0" t="s">
        <v>4174</v>
      </c>
      <c r="F86" s="0" t="s">
        <v>18</v>
      </c>
      <c r="G86" s="7" t="s">
        <v>4402</v>
      </c>
      <c r="H86" s="0" t="s">
        <v>4403</v>
      </c>
      <c r="I86" s="0" t="s">
        <v>396</v>
      </c>
      <c r="J86" s="0" t="s">
        <v>397</v>
      </c>
      <c r="K86" s="0" t="s">
        <v>4203</v>
      </c>
      <c r="L86" s="0" t="str">
        <f aca="false">IFERROR(VLOOKUP(K86,'Supplier list'!B:C,2,0),"")</f>
        <v>บริษัท 9889 Thailnd</v>
      </c>
      <c r="M86" s="1" t="n">
        <f aca="false">FALSE()</f>
        <v>0</v>
      </c>
      <c r="N86" s="2"/>
      <c r="O86" s="2" t="n">
        <v>0</v>
      </c>
    </row>
    <row r="87" customFormat="false" ht="16.4" hidden="false" customHeight="false" outlineLevel="0" collapsed="false">
      <c r="A87" s="0" t="s">
        <v>15</v>
      </c>
      <c r="B87" s="0" t="s">
        <v>4404</v>
      </c>
      <c r="C87" s="0" t="n">
        <v>114001</v>
      </c>
      <c r="D87" s="0" t="n">
        <v>114001</v>
      </c>
      <c r="E87" s="0" t="s">
        <v>4174</v>
      </c>
      <c r="F87" s="0" t="s">
        <v>18</v>
      </c>
      <c r="G87" s="7" t="s">
        <v>4405</v>
      </c>
      <c r="H87" s="0" t="s">
        <v>4406</v>
      </c>
      <c r="I87" s="0" t="s">
        <v>396</v>
      </c>
      <c r="J87" s="0" t="s">
        <v>397</v>
      </c>
      <c r="K87" s="0" t="s">
        <v>4203</v>
      </c>
      <c r="L87" s="0" t="str">
        <f aca="false">IFERROR(VLOOKUP(K87,'Supplier list'!B:C,2,0),"")</f>
        <v>บริษัท 9889 Thailnd</v>
      </c>
      <c r="M87" s="1" t="n">
        <f aca="false">FALSE()</f>
        <v>0</v>
      </c>
      <c r="N87" s="2"/>
      <c r="O87" s="2" t="n">
        <v>0</v>
      </c>
    </row>
    <row r="88" customFormat="false" ht="16.4" hidden="false" customHeight="false" outlineLevel="0" collapsed="false">
      <c r="A88" s="0" t="s">
        <v>15</v>
      </c>
      <c r="B88" s="0" t="s">
        <v>4407</v>
      </c>
      <c r="C88" s="0" t="n">
        <v>114001</v>
      </c>
      <c r="D88" s="0" t="n">
        <v>114001</v>
      </c>
      <c r="E88" s="0" t="s">
        <v>4174</v>
      </c>
      <c r="F88" s="0" t="s">
        <v>18</v>
      </c>
      <c r="G88" s="7" t="s">
        <v>4408</v>
      </c>
      <c r="H88" s="0" t="s">
        <v>4409</v>
      </c>
      <c r="I88" s="0" t="s">
        <v>396</v>
      </c>
      <c r="J88" s="0" t="s">
        <v>397</v>
      </c>
      <c r="K88" s="0" t="s">
        <v>4203</v>
      </c>
      <c r="L88" s="0" t="str">
        <f aca="false">IFERROR(VLOOKUP(K88,'Supplier list'!B:C,2,0),"")</f>
        <v>บริษัท 9889 Thailnd</v>
      </c>
      <c r="M88" s="1" t="n">
        <f aca="false">FALSE()</f>
        <v>0</v>
      </c>
      <c r="N88" s="2"/>
      <c r="O88" s="2" t="n">
        <v>0</v>
      </c>
    </row>
    <row r="89" customFormat="false" ht="16.4" hidden="false" customHeight="false" outlineLevel="0" collapsed="false">
      <c r="A89" s="0" t="s">
        <v>15</v>
      </c>
      <c r="B89" s="0" t="s">
        <v>4410</v>
      </c>
      <c r="C89" s="0" t="n">
        <v>114001</v>
      </c>
      <c r="D89" s="0" t="n">
        <v>114001</v>
      </c>
      <c r="E89" s="0" t="s">
        <v>4174</v>
      </c>
      <c r="F89" s="0" t="s">
        <v>18</v>
      </c>
      <c r="G89" s="7" t="s">
        <v>4411</v>
      </c>
      <c r="H89" s="0" t="s">
        <v>4412</v>
      </c>
      <c r="I89" s="0" t="s">
        <v>396</v>
      </c>
      <c r="J89" s="0" t="s">
        <v>397</v>
      </c>
      <c r="K89" s="0" t="s">
        <v>4203</v>
      </c>
      <c r="L89" s="0" t="str">
        <f aca="false">IFERROR(VLOOKUP(K89,'Supplier list'!B:C,2,0),"")</f>
        <v>บริษัท 9889 Thailnd</v>
      </c>
      <c r="M89" s="1" t="n">
        <f aca="false">FALSE()</f>
        <v>0</v>
      </c>
      <c r="N89" s="2"/>
      <c r="O89" s="2" t="n">
        <v>9.1</v>
      </c>
    </row>
    <row r="90" customFormat="false" ht="16.4" hidden="false" customHeight="false" outlineLevel="0" collapsed="false">
      <c r="A90" s="0" t="s">
        <v>15</v>
      </c>
      <c r="B90" s="0" t="s">
        <v>4413</v>
      </c>
      <c r="C90" s="0" t="n">
        <v>114001</v>
      </c>
      <c r="D90" s="0" t="n">
        <v>114001</v>
      </c>
      <c r="E90" s="0" t="s">
        <v>4174</v>
      </c>
      <c r="F90" s="0" t="s">
        <v>18</v>
      </c>
      <c r="G90" s="7" t="s">
        <v>4414</v>
      </c>
      <c r="H90" s="0" t="s">
        <v>4415</v>
      </c>
      <c r="I90" s="0" t="s">
        <v>396</v>
      </c>
      <c r="J90" s="0" t="s">
        <v>397</v>
      </c>
      <c r="K90" s="0" t="s">
        <v>4203</v>
      </c>
      <c r="L90" s="0" t="str">
        <f aca="false">IFERROR(VLOOKUP(K90,'Supplier list'!B:C,2,0),"")</f>
        <v>บริษัท 9889 Thailnd</v>
      </c>
      <c r="M90" s="1" t="n">
        <f aca="false">FALSE()</f>
        <v>0</v>
      </c>
      <c r="N90" s="2"/>
      <c r="O90" s="2" t="n">
        <v>0</v>
      </c>
    </row>
    <row r="91" customFormat="false" ht="16.4" hidden="false" customHeight="false" outlineLevel="0" collapsed="false">
      <c r="A91" s="0" t="s">
        <v>15</v>
      </c>
      <c r="B91" s="0" t="s">
        <v>4416</v>
      </c>
      <c r="C91" s="0" t="n">
        <v>114001</v>
      </c>
      <c r="D91" s="0" t="n">
        <v>114001</v>
      </c>
      <c r="E91" s="0" t="s">
        <v>4174</v>
      </c>
      <c r="F91" s="0" t="s">
        <v>18</v>
      </c>
      <c r="G91" s="7" t="s">
        <v>4417</v>
      </c>
      <c r="H91" s="0" t="s">
        <v>4418</v>
      </c>
      <c r="I91" s="0" t="s">
        <v>396</v>
      </c>
      <c r="J91" s="0" t="s">
        <v>397</v>
      </c>
      <c r="K91" s="0" t="s">
        <v>4203</v>
      </c>
      <c r="L91" s="0" t="str">
        <f aca="false">IFERROR(VLOOKUP(K91,'Supplier list'!B:C,2,0),"")</f>
        <v>บริษัท 9889 Thailnd</v>
      </c>
      <c r="M91" s="1" t="n">
        <f aca="false">FALSE()</f>
        <v>0</v>
      </c>
      <c r="N91" s="2"/>
      <c r="O91" s="2" t="n">
        <v>0</v>
      </c>
    </row>
    <row r="92" customFormat="false" ht="16.4" hidden="false" customHeight="false" outlineLevel="0" collapsed="false">
      <c r="A92" s="0" t="s">
        <v>15</v>
      </c>
      <c r="B92" s="0" t="s">
        <v>4419</v>
      </c>
      <c r="C92" s="0" t="n">
        <v>114001</v>
      </c>
      <c r="D92" s="0" t="n">
        <v>114001</v>
      </c>
      <c r="E92" s="0" t="s">
        <v>4174</v>
      </c>
      <c r="F92" s="0" t="s">
        <v>18</v>
      </c>
      <c r="G92" s="7" t="s">
        <v>4420</v>
      </c>
      <c r="H92" s="0" t="s">
        <v>4421</v>
      </c>
      <c r="I92" s="0" t="s">
        <v>396</v>
      </c>
      <c r="J92" s="0" t="s">
        <v>397</v>
      </c>
      <c r="K92" s="0" t="s">
        <v>4203</v>
      </c>
      <c r="L92" s="0" t="str">
        <f aca="false">IFERROR(VLOOKUP(K92,'Supplier list'!B:C,2,0),"")</f>
        <v>บริษัท 9889 Thailnd</v>
      </c>
      <c r="M92" s="1" t="n">
        <f aca="false">FALSE()</f>
        <v>0</v>
      </c>
      <c r="N92" s="2"/>
      <c r="O92" s="2" t="n">
        <v>0</v>
      </c>
    </row>
    <row r="93" customFormat="false" ht="16.4" hidden="false" customHeight="false" outlineLevel="0" collapsed="false">
      <c r="A93" s="0" t="s">
        <v>15</v>
      </c>
      <c r="B93" s="0" t="s">
        <v>4422</v>
      </c>
      <c r="C93" s="0" t="n">
        <v>114001</v>
      </c>
      <c r="D93" s="0" t="n">
        <v>114001</v>
      </c>
      <c r="E93" s="0" t="s">
        <v>4174</v>
      </c>
      <c r="F93" s="0" t="s">
        <v>18</v>
      </c>
      <c r="G93" s="7" t="s">
        <v>4423</v>
      </c>
      <c r="H93" s="0" t="s">
        <v>4424</v>
      </c>
      <c r="I93" s="0" t="s">
        <v>396</v>
      </c>
      <c r="J93" s="0" t="s">
        <v>397</v>
      </c>
      <c r="K93" s="0" t="s">
        <v>4203</v>
      </c>
      <c r="L93" s="0" t="str">
        <f aca="false">IFERROR(VLOOKUP(K93,'Supplier list'!B:C,2,0),"")</f>
        <v>บริษัท 9889 Thailnd</v>
      </c>
      <c r="M93" s="1" t="n">
        <f aca="false">FALSE()</f>
        <v>0</v>
      </c>
      <c r="N93" s="2"/>
      <c r="O93" s="2" t="n">
        <v>0</v>
      </c>
    </row>
    <row r="94" customFormat="false" ht="16.4" hidden="false" customHeight="false" outlineLevel="0" collapsed="false">
      <c r="A94" s="0" t="s">
        <v>15</v>
      </c>
      <c r="B94" s="0" t="s">
        <v>4425</v>
      </c>
      <c r="C94" s="0" t="n">
        <v>114001</v>
      </c>
      <c r="D94" s="0" t="n">
        <v>114001</v>
      </c>
      <c r="E94" s="0" t="s">
        <v>4174</v>
      </c>
      <c r="F94" s="0" t="s">
        <v>18</v>
      </c>
      <c r="G94" s="7" t="s">
        <v>4426</v>
      </c>
      <c r="H94" s="0" t="s">
        <v>4427</v>
      </c>
      <c r="I94" s="0" t="s">
        <v>396</v>
      </c>
      <c r="J94" s="0" t="s">
        <v>397</v>
      </c>
      <c r="K94" s="0" t="s">
        <v>4203</v>
      </c>
      <c r="L94" s="0" t="str">
        <f aca="false">IFERROR(VLOOKUP(K94,'Supplier list'!B:C,2,0),"")</f>
        <v>บริษัท 9889 Thailnd</v>
      </c>
      <c r="M94" s="1" t="n">
        <f aca="false">FALSE()</f>
        <v>0</v>
      </c>
      <c r="N94" s="2"/>
      <c r="O94" s="2" t="n">
        <v>0</v>
      </c>
    </row>
    <row r="95" customFormat="false" ht="16.4" hidden="false" customHeight="false" outlineLevel="0" collapsed="false">
      <c r="A95" s="0" t="s">
        <v>15</v>
      </c>
      <c r="B95" s="0" t="s">
        <v>4428</v>
      </c>
      <c r="C95" s="0" t="n">
        <v>114001</v>
      </c>
      <c r="D95" s="0" t="n">
        <v>114001</v>
      </c>
      <c r="E95" s="0" t="s">
        <v>4174</v>
      </c>
      <c r="F95" s="0" t="s">
        <v>18</v>
      </c>
      <c r="G95" s="7" t="s">
        <v>4429</v>
      </c>
      <c r="H95" s="0" t="s">
        <v>4430</v>
      </c>
      <c r="I95" s="0" t="s">
        <v>396</v>
      </c>
      <c r="J95" s="0" t="s">
        <v>397</v>
      </c>
      <c r="L95" s="0" t="str">
        <f aca="false">IFERROR(VLOOKUP(K95,'Supplier list'!B:C,2,0),"")</f>
        <v/>
      </c>
      <c r="M95" s="1" t="n">
        <f aca="false">FALSE()</f>
        <v>0</v>
      </c>
      <c r="N95" s="2"/>
      <c r="O95" s="2" t="n">
        <v>0</v>
      </c>
    </row>
    <row r="96" customFormat="false" ht="16.4" hidden="false" customHeight="false" outlineLevel="0" collapsed="false">
      <c r="A96" s="0" t="s">
        <v>15</v>
      </c>
      <c r="B96" s="0" t="s">
        <v>4431</v>
      </c>
      <c r="C96" s="0" t="n">
        <v>114001</v>
      </c>
      <c r="D96" s="0" t="n">
        <v>114001</v>
      </c>
      <c r="E96" s="0" t="s">
        <v>4174</v>
      </c>
      <c r="F96" s="0" t="s">
        <v>18</v>
      </c>
      <c r="G96" s="7" t="s">
        <v>4432</v>
      </c>
      <c r="H96" s="0" t="s">
        <v>4433</v>
      </c>
      <c r="I96" s="0" t="s">
        <v>396</v>
      </c>
      <c r="J96" s="0" t="s">
        <v>397</v>
      </c>
      <c r="L96" s="0" t="str">
        <f aca="false">IFERROR(VLOOKUP(K96,'Supplier list'!B:C,2,0),"")</f>
        <v/>
      </c>
      <c r="M96" s="1" t="n">
        <f aca="false">FALSE()</f>
        <v>0</v>
      </c>
      <c r="N96" s="2"/>
      <c r="O96" s="2" t="n">
        <v>0</v>
      </c>
    </row>
    <row r="97" customFormat="false" ht="16.4" hidden="false" customHeight="false" outlineLevel="0" collapsed="false">
      <c r="A97" s="0" t="s">
        <v>15</v>
      </c>
      <c r="B97" s="0" t="s">
        <v>4434</v>
      </c>
      <c r="C97" s="0" t="n">
        <v>114001</v>
      </c>
      <c r="D97" s="0" t="n">
        <v>114001</v>
      </c>
      <c r="E97" s="0" t="s">
        <v>4174</v>
      </c>
      <c r="F97" s="0" t="s">
        <v>18</v>
      </c>
      <c r="G97" s="7" t="s">
        <v>4435</v>
      </c>
      <c r="H97" s="0" t="s">
        <v>4436</v>
      </c>
      <c r="I97" s="0" t="s">
        <v>396</v>
      </c>
      <c r="J97" s="0" t="s">
        <v>397</v>
      </c>
      <c r="L97" s="0" t="str">
        <f aca="false">IFERROR(VLOOKUP(K97,'Supplier list'!B:C,2,0),"")</f>
        <v/>
      </c>
      <c r="M97" s="1" t="n">
        <f aca="false">FALSE()</f>
        <v>0</v>
      </c>
      <c r="N97" s="2"/>
      <c r="O97" s="2" t="n">
        <v>0</v>
      </c>
    </row>
    <row r="98" customFormat="false" ht="16.4" hidden="false" customHeight="false" outlineLevel="0" collapsed="false">
      <c r="A98" s="0" t="s">
        <v>15</v>
      </c>
      <c r="B98" s="0" t="s">
        <v>4437</v>
      </c>
      <c r="C98" s="0" t="n">
        <v>114001</v>
      </c>
      <c r="D98" s="0" t="n">
        <v>114001</v>
      </c>
      <c r="E98" s="0" t="s">
        <v>4174</v>
      </c>
      <c r="F98" s="0" t="s">
        <v>18</v>
      </c>
      <c r="G98" s="7" t="s">
        <v>4438</v>
      </c>
      <c r="H98" s="0" t="s">
        <v>4439</v>
      </c>
      <c r="I98" s="0" t="s">
        <v>396</v>
      </c>
      <c r="J98" s="0" t="s">
        <v>397</v>
      </c>
      <c r="L98" s="0" t="str">
        <f aca="false">IFERROR(VLOOKUP(K98,'Supplier list'!B:C,2,0),"")</f>
        <v/>
      </c>
      <c r="M98" s="1" t="n">
        <f aca="false">FALSE()</f>
        <v>0</v>
      </c>
      <c r="N98" s="2"/>
      <c r="O98" s="2" t="n">
        <v>0</v>
      </c>
    </row>
    <row r="99" customFormat="false" ht="16.4" hidden="false" customHeight="false" outlineLevel="0" collapsed="false">
      <c r="A99" s="0" t="s">
        <v>15</v>
      </c>
      <c r="B99" s="0" t="s">
        <v>4440</v>
      </c>
      <c r="C99" s="0" t="n">
        <v>114001</v>
      </c>
      <c r="D99" s="0" t="n">
        <v>114001</v>
      </c>
      <c r="E99" s="0" t="s">
        <v>4174</v>
      </c>
      <c r="F99" s="0" t="s">
        <v>18</v>
      </c>
      <c r="G99" s="7" t="s">
        <v>4441</v>
      </c>
      <c r="H99" s="0" t="s">
        <v>4442</v>
      </c>
      <c r="I99" s="0" t="s">
        <v>396</v>
      </c>
      <c r="J99" s="0" t="s">
        <v>397</v>
      </c>
      <c r="K99" s="0" t="s">
        <v>303</v>
      </c>
      <c r="L99" s="0" t="str">
        <f aca="false">IFERROR(VLOOKUP(K99,'Supplier list'!B:C,2,0),"")</f>
        <v>บริษัท เอ็มเค วู้ดเทค จำกัด</v>
      </c>
      <c r="M99" s="1" t="n">
        <f aca="false">FALSE()</f>
        <v>0</v>
      </c>
      <c r="N99" s="2"/>
      <c r="O99" s="2" t="n">
        <v>0</v>
      </c>
    </row>
    <row r="100" customFormat="false" ht="16.4" hidden="false" customHeight="false" outlineLevel="0" collapsed="false">
      <c r="A100" s="0" t="s">
        <v>15</v>
      </c>
      <c r="B100" s="0" t="s">
        <v>4443</v>
      </c>
      <c r="C100" s="0" t="n">
        <v>114001</v>
      </c>
      <c r="D100" s="0" t="n">
        <v>114001</v>
      </c>
      <c r="E100" s="0" t="s">
        <v>4174</v>
      </c>
      <c r="F100" s="0" t="s">
        <v>18</v>
      </c>
      <c r="G100" s="7" t="s">
        <v>4444</v>
      </c>
      <c r="H100" s="0" t="s">
        <v>4445</v>
      </c>
      <c r="I100" s="0" t="s">
        <v>102</v>
      </c>
      <c r="J100" s="0" t="s">
        <v>103</v>
      </c>
      <c r="K100" s="0" t="s">
        <v>4446</v>
      </c>
      <c r="L100" s="0" t="str">
        <f aca="false">IFERROR(VLOOKUP(K100,'Supplier list'!B:C,2,0),"")</f>
        <v>บริษัท ทีเอเคโพรดัคส์ แอนด์ เซอร์วิสเซส จำกัด</v>
      </c>
      <c r="M100" s="1" t="n">
        <f aca="false">FALSE()</f>
        <v>0</v>
      </c>
      <c r="N100" s="2"/>
      <c r="O100" s="2" t="n">
        <v>0</v>
      </c>
    </row>
    <row r="101" customFormat="false" ht="16.4" hidden="false" customHeight="false" outlineLevel="0" collapsed="false">
      <c r="A101" s="0" t="s">
        <v>15</v>
      </c>
      <c r="B101" s="0" t="s">
        <v>4447</v>
      </c>
      <c r="C101" s="0" t="n">
        <v>114001</v>
      </c>
      <c r="D101" s="0" t="n">
        <v>114001</v>
      </c>
      <c r="E101" s="0" t="s">
        <v>4174</v>
      </c>
      <c r="F101" s="0" t="s">
        <v>18</v>
      </c>
      <c r="G101" s="7" t="s">
        <v>4448</v>
      </c>
      <c r="H101" s="0" t="s">
        <v>4449</v>
      </c>
      <c r="I101" s="0" t="s">
        <v>102</v>
      </c>
      <c r="J101" s="0" t="s">
        <v>103</v>
      </c>
      <c r="K101" s="0" t="s">
        <v>303</v>
      </c>
      <c r="L101" s="0" t="str">
        <f aca="false">IFERROR(VLOOKUP(K101,'Supplier list'!B:C,2,0),"")</f>
        <v>บริษัท เอ็มเค วู้ดเทค จำกัด</v>
      </c>
      <c r="M101" s="1" t="n">
        <f aca="false">FALSE()</f>
        <v>0</v>
      </c>
      <c r="N101" s="2"/>
      <c r="O101" s="2" t="n">
        <v>0</v>
      </c>
    </row>
    <row r="102" customFormat="false" ht="16.4" hidden="false" customHeight="false" outlineLevel="0" collapsed="false">
      <c r="A102" s="0" t="s">
        <v>15</v>
      </c>
      <c r="B102" s="0" t="s">
        <v>4450</v>
      </c>
      <c r="C102" s="0" t="n">
        <v>114001</v>
      </c>
      <c r="D102" s="0" t="n">
        <v>114001</v>
      </c>
      <c r="E102" s="0" t="s">
        <v>4174</v>
      </c>
      <c r="F102" s="0" t="s">
        <v>18</v>
      </c>
      <c r="G102" s="7" t="s">
        <v>4451</v>
      </c>
      <c r="H102" s="0" t="s">
        <v>4452</v>
      </c>
      <c r="I102" s="0" t="s">
        <v>102</v>
      </c>
      <c r="J102" s="0" t="s">
        <v>103</v>
      </c>
      <c r="K102" s="0" t="s">
        <v>303</v>
      </c>
      <c r="L102" s="0" t="str">
        <f aca="false">IFERROR(VLOOKUP(K102,'Supplier list'!B:C,2,0),"")</f>
        <v>บริษัท เอ็มเค วู้ดเทค จำกัด</v>
      </c>
      <c r="M102" s="1" t="n">
        <f aca="false">FALSE()</f>
        <v>0</v>
      </c>
      <c r="N102" s="2"/>
      <c r="O102" s="2" t="n">
        <v>0</v>
      </c>
    </row>
    <row r="103" customFormat="false" ht="16.4" hidden="false" customHeight="false" outlineLevel="0" collapsed="false">
      <c r="A103" s="0" t="s">
        <v>15</v>
      </c>
      <c r="B103" s="0" t="s">
        <v>4453</v>
      </c>
      <c r="C103" s="0" t="n">
        <v>114001</v>
      </c>
      <c r="D103" s="0" t="n">
        <v>114001</v>
      </c>
      <c r="E103" s="0" t="s">
        <v>4174</v>
      </c>
      <c r="F103" s="0" t="s">
        <v>18</v>
      </c>
      <c r="G103" s="7" t="s">
        <v>4454</v>
      </c>
      <c r="H103" s="0" t="s">
        <v>4455</v>
      </c>
      <c r="I103" s="0" t="s">
        <v>102</v>
      </c>
      <c r="J103" s="0" t="s">
        <v>103</v>
      </c>
      <c r="K103" s="0" t="s">
        <v>4280</v>
      </c>
      <c r="L103" s="0" t="str">
        <f aca="false">IFERROR(VLOOKUP(K103,'Supplier list'!B:C,2,0),"")</f>
        <v/>
      </c>
      <c r="M103" s="1" t="n">
        <f aca="false">FALSE()</f>
        <v>0</v>
      </c>
      <c r="N103" s="2"/>
      <c r="O103" s="2" t="n">
        <v>550</v>
      </c>
    </row>
    <row r="104" customFormat="false" ht="16.4" hidden="false" customHeight="false" outlineLevel="0" collapsed="false">
      <c r="A104" s="0" t="s">
        <v>15</v>
      </c>
      <c r="B104" s="0" t="s">
        <v>4456</v>
      </c>
      <c r="C104" s="0" t="n">
        <v>114001</v>
      </c>
      <c r="D104" s="0" t="n">
        <v>114001</v>
      </c>
      <c r="E104" s="0" t="s">
        <v>4174</v>
      </c>
      <c r="F104" s="0" t="s">
        <v>18</v>
      </c>
      <c r="G104" s="7" t="s">
        <v>4457</v>
      </c>
      <c r="H104" s="0" t="s">
        <v>4458</v>
      </c>
      <c r="I104" s="0" t="s">
        <v>102</v>
      </c>
      <c r="J104" s="0" t="s">
        <v>103</v>
      </c>
      <c r="K104" s="0" t="s">
        <v>303</v>
      </c>
      <c r="L104" s="0" t="str">
        <f aca="false">IFERROR(VLOOKUP(K104,'Supplier list'!B:C,2,0),"")</f>
        <v>บริษัท เอ็มเค วู้ดเทค จำกัด</v>
      </c>
      <c r="M104" s="1" t="n">
        <f aca="false">FALSE()</f>
        <v>0</v>
      </c>
      <c r="N104" s="2"/>
      <c r="O104" s="2" t="n">
        <v>0</v>
      </c>
    </row>
    <row r="105" customFormat="false" ht="16.4" hidden="false" customHeight="false" outlineLevel="0" collapsed="false">
      <c r="A105" s="0" t="s">
        <v>15</v>
      </c>
      <c r="B105" s="0" t="s">
        <v>4459</v>
      </c>
      <c r="C105" s="0" t="n">
        <v>114001</v>
      </c>
      <c r="D105" s="0" t="n">
        <v>114001</v>
      </c>
      <c r="E105" s="0" t="s">
        <v>4174</v>
      </c>
      <c r="F105" s="0" t="s">
        <v>18</v>
      </c>
      <c r="G105" s="7" t="s">
        <v>4460</v>
      </c>
      <c r="H105" s="0" t="s">
        <v>4461</v>
      </c>
      <c r="I105" s="0" t="s">
        <v>396</v>
      </c>
      <c r="J105" s="0" t="s">
        <v>397</v>
      </c>
      <c r="K105" s="0" t="s">
        <v>303</v>
      </c>
      <c r="L105" s="0" t="str">
        <f aca="false">IFERROR(VLOOKUP(K105,'Supplier list'!B:C,2,0),"")</f>
        <v>บริษัท เอ็มเค วู้ดเทค จำกัด</v>
      </c>
      <c r="M105" s="1" t="n">
        <f aca="false">FALSE()</f>
        <v>0</v>
      </c>
      <c r="N105" s="2"/>
      <c r="O105" s="2" t="n">
        <v>6</v>
      </c>
    </row>
    <row r="106" customFormat="false" ht="16.4" hidden="false" customHeight="false" outlineLevel="0" collapsed="false">
      <c r="A106" s="0" t="s">
        <v>15</v>
      </c>
      <c r="B106" s="0" t="s">
        <v>4462</v>
      </c>
      <c r="C106" s="0" t="n">
        <v>114001</v>
      </c>
      <c r="D106" s="0" t="n">
        <v>114001</v>
      </c>
      <c r="E106" s="0" t="s">
        <v>4174</v>
      </c>
      <c r="F106" s="0" t="s">
        <v>18</v>
      </c>
      <c r="G106" s="7" t="s">
        <v>4463</v>
      </c>
      <c r="H106" s="0" t="s">
        <v>4464</v>
      </c>
      <c r="I106" s="0" t="s">
        <v>102</v>
      </c>
      <c r="J106" s="0" t="s">
        <v>103</v>
      </c>
      <c r="L106" s="0" t="str">
        <f aca="false">IFERROR(VLOOKUP(K106,'Supplier list'!B:C,2,0),"")</f>
        <v/>
      </c>
      <c r="M106" s="1" t="n">
        <f aca="false">FALSE()</f>
        <v>0</v>
      </c>
      <c r="N106" s="2"/>
      <c r="O106" s="2" t="n">
        <v>0</v>
      </c>
    </row>
    <row r="107" customFormat="false" ht="16.4" hidden="false" customHeight="false" outlineLevel="0" collapsed="false">
      <c r="A107" s="0" t="s">
        <v>15</v>
      </c>
      <c r="B107" s="0" t="s">
        <v>4465</v>
      </c>
      <c r="C107" s="0" t="n">
        <v>114001</v>
      </c>
      <c r="D107" s="0" t="n">
        <v>114001</v>
      </c>
      <c r="E107" s="0" t="s">
        <v>4174</v>
      </c>
      <c r="F107" s="0" t="s">
        <v>18</v>
      </c>
      <c r="G107" s="7" t="s">
        <v>4466</v>
      </c>
      <c r="H107" s="0" t="s">
        <v>4467</v>
      </c>
      <c r="I107" s="0" t="s">
        <v>102</v>
      </c>
      <c r="J107" s="0" t="s">
        <v>103</v>
      </c>
      <c r="L107" s="0" t="str">
        <f aca="false">IFERROR(VLOOKUP(K107,'Supplier list'!B:C,2,0),"")</f>
        <v/>
      </c>
      <c r="M107" s="1" t="n">
        <f aca="false">FALSE()</f>
        <v>0</v>
      </c>
      <c r="N107" s="2"/>
      <c r="O107" s="2" t="n">
        <v>0</v>
      </c>
    </row>
    <row r="108" customFormat="false" ht="16.4" hidden="false" customHeight="false" outlineLevel="0" collapsed="false">
      <c r="A108" s="0" t="s">
        <v>15</v>
      </c>
      <c r="B108" s="0" t="s">
        <v>4468</v>
      </c>
      <c r="C108" s="0" t="n">
        <v>114001</v>
      </c>
      <c r="D108" s="0" t="n">
        <v>114001</v>
      </c>
      <c r="E108" s="0" t="s">
        <v>4174</v>
      </c>
      <c r="F108" s="0" t="s">
        <v>18</v>
      </c>
      <c r="G108" s="7" t="s">
        <v>4469</v>
      </c>
      <c r="H108" s="0" t="s">
        <v>4470</v>
      </c>
      <c r="I108" s="0" t="s">
        <v>102</v>
      </c>
      <c r="J108" s="0" t="s">
        <v>103</v>
      </c>
      <c r="L108" s="0" t="str">
        <f aca="false">IFERROR(VLOOKUP(K108,'Supplier list'!B:C,2,0),"")</f>
        <v/>
      </c>
      <c r="M108" s="1" t="n">
        <f aca="false">FALSE()</f>
        <v>0</v>
      </c>
      <c r="N108" s="2"/>
      <c r="O108" s="2" t="n">
        <v>0</v>
      </c>
    </row>
    <row r="109" customFormat="false" ht="16.4" hidden="false" customHeight="false" outlineLevel="0" collapsed="false">
      <c r="A109" s="0" t="s">
        <v>15</v>
      </c>
      <c r="B109" s="0" t="s">
        <v>4471</v>
      </c>
      <c r="C109" s="0" t="n">
        <v>114001</v>
      </c>
      <c r="D109" s="0" t="n">
        <v>114001</v>
      </c>
      <c r="E109" s="0" t="s">
        <v>4174</v>
      </c>
      <c r="F109" s="0" t="s">
        <v>18</v>
      </c>
      <c r="G109" s="7" t="s">
        <v>4472</v>
      </c>
      <c r="H109" s="0" t="s">
        <v>4473</v>
      </c>
      <c r="I109" s="0" t="s">
        <v>102</v>
      </c>
      <c r="J109" s="0" t="s">
        <v>103</v>
      </c>
      <c r="L109" s="0" t="str">
        <f aca="false">IFERROR(VLOOKUP(K109,'Supplier list'!B:C,2,0),"")</f>
        <v/>
      </c>
      <c r="M109" s="1" t="n">
        <f aca="false">FALSE()</f>
        <v>0</v>
      </c>
      <c r="N109" s="2"/>
      <c r="O109" s="2" t="n">
        <v>0</v>
      </c>
    </row>
    <row r="110" customFormat="false" ht="16.4" hidden="false" customHeight="false" outlineLevel="0" collapsed="false">
      <c r="A110" s="0" t="s">
        <v>15</v>
      </c>
      <c r="B110" s="0" t="s">
        <v>4474</v>
      </c>
      <c r="C110" s="0" t="n">
        <v>114001</v>
      </c>
      <c r="D110" s="0" t="n">
        <v>114001</v>
      </c>
      <c r="E110" s="0" t="s">
        <v>4174</v>
      </c>
      <c r="F110" s="0" t="s">
        <v>18</v>
      </c>
      <c r="G110" s="7" t="s">
        <v>4475</v>
      </c>
      <c r="H110" s="0" t="s">
        <v>4476</v>
      </c>
      <c r="I110" s="0" t="s">
        <v>102</v>
      </c>
      <c r="J110" s="0" t="s">
        <v>103</v>
      </c>
      <c r="K110" s="0" t="s">
        <v>4477</v>
      </c>
      <c r="L110" s="0" t="str">
        <f aca="false">IFERROR(VLOOKUP(K110,'Supplier list'!B:C,2,0),"")</f>
        <v/>
      </c>
      <c r="M110" s="1" t="n">
        <f aca="false">FALSE()</f>
        <v>0</v>
      </c>
      <c r="N110" s="2"/>
      <c r="O110" s="2" t="n">
        <v>0</v>
      </c>
    </row>
    <row r="111" customFormat="false" ht="16.4" hidden="false" customHeight="false" outlineLevel="0" collapsed="false">
      <c r="A111" s="0" t="s">
        <v>15</v>
      </c>
      <c r="B111" s="0" t="s">
        <v>4478</v>
      </c>
      <c r="C111" s="0" t="n">
        <v>114001</v>
      </c>
      <c r="D111" s="0" t="n">
        <v>114001</v>
      </c>
      <c r="E111" s="0" t="s">
        <v>4174</v>
      </c>
      <c r="F111" s="0" t="s">
        <v>18</v>
      </c>
      <c r="G111" s="7" t="s">
        <v>4479</v>
      </c>
      <c r="H111" s="0" t="s">
        <v>4480</v>
      </c>
      <c r="I111" s="0" t="s">
        <v>102</v>
      </c>
      <c r="J111" s="0" t="s">
        <v>103</v>
      </c>
      <c r="L111" s="0" t="str">
        <f aca="false">IFERROR(VLOOKUP(K111,'Supplier list'!B:C,2,0),"")</f>
        <v/>
      </c>
      <c r="M111" s="1" t="n">
        <f aca="false">FALSE()</f>
        <v>0</v>
      </c>
      <c r="N111" s="2"/>
      <c r="O111" s="2" t="n">
        <v>0</v>
      </c>
    </row>
    <row r="112" customFormat="false" ht="16.4" hidden="false" customHeight="false" outlineLevel="0" collapsed="false">
      <c r="A112" s="0" t="s">
        <v>15</v>
      </c>
      <c r="B112" s="0" t="s">
        <v>4481</v>
      </c>
      <c r="C112" s="0" t="n">
        <v>114001</v>
      </c>
      <c r="D112" s="0" t="n">
        <v>114001</v>
      </c>
      <c r="E112" s="0" t="s">
        <v>4174</v>
      </c>
      <c r="F112" s="0" t="s">
        <v>18</v>
      </c>
      <c r="G112" s="7" t="s">
        <v>4482</v>
      </c>
      <c r="H112" s="0" t="s">
        <v>4483</v>
      </c>
      <c r="I112" s="0" t="s">
        <v>102</v>
      </c>
      <c r="J112" s="0" t="s">
        <v>103</v>
      </c>
      <c r="K112" s="0" t="s">
        <v>303</v>
      </c>
      <c r="L112" s="0" t="str">
        <f aca="false">IFERROR(VLOOKUP(K112,'Supplier list'!B:C,2,0),"")</f>
        <v>บริษัท เอ็มเค วู้ดเทค จำกัด</v>
      </c>
      <c r="M112" s="1" t="n">
        <f aca="false">FALSE()</f>
        <v>0</v>
      </c>
      <c r="N112" s="2"/>
      <c r="O112" s="2" t="n">
        <v>0</v>
      </c>
    </row>
    <row r="113" customFormat="false" ht="16.4" hidden="false" customHeight="false" outlineLevel="0" collapsed="false">
      <c r="A113" s="0" t="s">
        <v>15</v>
      </c>
      <c r="B113" s="0" t="s">
        <v>4484</v>
      </c>
      <c r="C113" s="0" t="n">
        <v>114001</v>
      </c>
      <c r="D113" s="0" t="n">
        <v>114001</v>
      </c>
      <c r="E113" s="0" t="s">
        <v>4174</v>
      </c>
      <c r="F113" s="0" t="s">
        <v>18</v>
      </c>
      <c r="G113" s="7" t="s">
        <v>4485</v>
      </c>
      <c r="H113" s="0" t="s">
        <v>4486</v>
      </c>
      <c r="I113" s="0" t="s">
        <v>396</v>
      </c>
      <c r="J113" s="0" t="s">
        <v>397</v>
      </c>
      <c r="L113" s="0" t="str">
        <f aca="false">IFERROR(VLOOKUP(K113,'Supplier list'!B:C,2,0),"")</f>
        <v/>
      </c>
      <c r="M113" s="1" t="n">
        <f aca="false">FALSE()</f>
        <v>0</v>
      </c>
      <c r="N113" s="2"/>
      <c r="O113" s="2" t="n">
        <v>0</v>
      </c>
    </row>
    <row r="114" customFormat="false" ht="16.4" hidden="false" customHeight="false" outlineLevel="0" collapsed="false">
      <c r="A114" s="0" t="s">
        <v>15</v>
      </c>
      <c r="B114" s="0" t="s">
        <v>4487</v>
      </c>
      <c r="C114" s="0" t="n">
        <v>114001</v>
      </c>
      <c r="D114" s="0" t="n">
        <v>114001</v>
      </c>
      <c r="E114" s="0" t="s">
        <v>4174</v>
      </c>
      <c r="F114" s="0" t="s">
        <v>18</v>
      </c>
      <c r="G114" s="7" t="s">
        <v>4488</v>
      </c>
      <c r="H114" s="0" t="s">
        <v>4489</v>
      </c>
      <c r="I114" s="0" t="s">
        <v>396</v>
      </c>
      <c r="J114" s="0" t="s">
        <v>397</v>
      </c>
      <c r="L114" s="0" t="str">
        <f aca="false">IFERROR(VLOOKUP(K114,'Supplier list'!B:C,2,0),"")</f>
        <v/>
      </c>
      <c r="M114" s="1" t="n">
        <f aca="false">FALSE()</f>
        <v>0</v>
      </c>
      <c r="N114" s="2"/>
      <c r="O114" s="2" t="n">
        <v>0</v>
      </c>
    </row>
    <row r="115" customFormat="false" ht="16.4" hidden="false" customHeight="false" outlineLevel="0" collapsed="false">
      <c r="A115" s="0" t="s">
        <v>15</v>
      </c>
      <c r="B115" s="0" t="s">
        <v>4490</v>
      </c>
      <c r="C115" s="0" t="n">
        <v>114001</v>
      </c>
      <c r="D115" s="0" t="n">
        <v>114001</v>
      </c>
      <c r="E115" s="0" t="s">
        <v>4174</v>
      </c>
      <c r="F115" s="0" t="s">
        <v>18</v>
      </c>
      <c r="G115" s="7" t="s">
        <v>4491</v>
      </c>
      <c r="H115" s="0" t="s">
        <v>4492</v>
      </c>
      <c r="I115" s="0" t="s">
        <v>248</v>
      </c>
      <c r="J115" s="0" t="s">
        <v>249</v>
      </c>
      <c r="K115" s="0" t="s">
        <v>4203</v>
      </c>
      <c r="L115" s="0" t="str">
        <f aca="false">IFERROR(VLOOKUP(K115,'Supplier list'!B:C,2,0),"")</f>
        <v>บริษัท 9889 Thailnd</v>
      </c>
      <c r="M115" s="1" t="n">
        <f aca="false">FALSE()</f>
        <v>0</v>
      </c>
      <c r="N115" s="2"/>
      <c r="O115" s="2" t="n">
        <v>0</v>
      </c>
    </row>
    <row r="116" customFormat="false" ht="16.4" hidden="false" customHeight="false" outlineLevel="0" collapsed="false">
      <c r="A116" s="0" t="s">
        <v>15</v>
      </c>
      <c r="B116" s="0" t="s">
        <v>4493</v>
      </c>
      <c r="C116" s="0" t="n">
        <v>114001</v>
      </c>
      <c r="D116" s="0" t="n">
        <v>114001</v>
      </c>
      <c r="E116" s="0" t="s">
        <v>4174</v>
      </c>
      <c r="F116" s="0" t="s">
        <v>18</v>
      </c>
      <c r="G116" s="7" t="s">
        <v>4494</v>
      </c>
      <c r="H116" s="0" t="s">
        <v>4495</v>
      </c>
      <c r="I116" s="0" t="s">
        <v>396</v>
      </c>
      <c r="J116" s="0" t="s">
        <v>397</v>
      </c>
      <c r="L116" s="0" t="str">
        <f aca="false">IFERROR(VLOOKUP(K116,'Supplier list'!B:C,2,0),"")</f>
        <v/>
      </c>
      <c r="M116" s="1" t="n">
        <f aca="false">FALSE()</f>
        <v>0</v>
      </c>
      <c r="N116" s="2"/>
      <c r="O116" s="2" t="n">
        <v>0</v>
      </c>
    </row>
    <row r="117" customFormat="false" ht="16.4" hidden="false" customHeight="false" outlineLevel="0" collapsed="false">
      <c r="A117" s="0" t="s">
        <v>15</v>
      </c>
      <c r="B117" s="0" t="s">
        <v>4496</v>
      </c>
      <c r="C117" s="0" t="n">
        <v>114001</v>
      </c>
      <c r="D117" s="0" t="n">
        <v>114001</v>
      </c>
      <c r="E117" s="0" t="s">
        <v>4174</v>
      </c>
      <c r="F117" s="0" t="s">
        <v>18</v>
      </c>
      <c r="G117" s="7" t="s">
        <v>4497</v>
      </c>
      <c r="H117" s="0" t="s">
        <v>4498</v>
      </c>
      <c r="I117" s="0" t="s">
        <v>102</v>
      </c>
      <c r="J117" s="0" t="s">
        <v>103</v>
      </c>
      <c r="K117" s="0" t="s">
        <v>4446</v>
      </c>
      <c r="L117" s="0" t="str">
        <f aca="false">IFERROR(VLOOKUP(K117,'Supplier list'!B:C,2,0),"")</f>
        <v>บริษัท ทีเอเคโพรดัคส์ แอนด์ เซอร์วิสเซส จำกัด</v>
      </c>
      <c r="M117" s="1" t="n">
        <f aca="false">FALSE()</f>
        <v>0</v>
      </c>
      <c r="N117" s="2"/>
      <c r="O117" s="2" t="n">
        <v>0</v>
      </c>
    </row>
    <row r="118" customFormat="false" ht="16.4" hidden="false" customHeight="false" outlineLevel="0" collapsed="false">
      <c r="A118" s="0" t="s">
        <v>15</v>
      </c>
      <c r="B118" s="0" t="s">
        <v>4499</v>
      </c>
      <c r="C118" s="0" t="n">
        <v>114001</v>
      </c>
      <c r="D118" s="0" t="n">
        <v>114001</v>
      </c>
      <c r="E118" s="0" t="s">
        <v>4174</v>
      </c>
      <c r="F118" s="0" t="s">
        <v>18</v>
      </c>
      <c r="G118" s="7" t="s">
        <v>4500</v>
      </c>
      <c r="H118" s="0" t="s">
        <v>4501</v>
      </c>
      <c r="I118" s="0" t="s">
        <v>102</v>
      </c>
      <c r="J118" s="0" t="s">
        <v>103</v>
      </c>
      <c r="K118" s="0" t="s">
        <v>4502</v>
      </c>
      <c r="L118" s="0" t="str">
        <f aca="false">IFERROR(VLOOKUP(K118,'Supplier list'!B:C,2,0),"")</f>
        <v>หจก. เจอาร์พีฟลอร์ จำกัด</v>
      </c>
      <c r="M118" s="1" t="n">
        <f aca="false">FALSE()</f>
        <v>0</v>
      </c>
      <c r="N118" s="2"/>
      <c r="O118" s="2" t="n">
        <v>0</v>
      </c>
    </row>
    <row r="119" customFormat="false" ht="16.4" hidden="false" customHeight="false" outlineLevel="0" collapsed="false">
      <c r="A119" s="0" t="s">
        <v>15</v>
      </c>
      <c r="B119" s="0" t="s">
        <v>4503</v>
      </c>
      <c r="C119" s="0" t="n">
        <v>114001</v>
      </c>
      <c r="D119" s="0" t="n">
        <v>114001</v>
      </c>
      <c r="E119" s="0" t="s">
        <v>4174</v>
      </c>
      <c r="F119" s="0" t="s">
        <v>18</v>
      </c>
      <c r="G119" s="7" t="s">
        <v>4504</v>
      </c>
      <c r="H119" s="0" t="s">
        <v>4505</v>
      </c>
      <c r="I119" s="0" t="s">
        <v>102</v>
      </c>
      <c r="J119" s="0" t="s">
        <v>103</v>
      </c>
      <c r="K119" s="0" t="s">
        <v>4506</v>
      </c>
      <c r="L119" s="0" t="str">
        <f aca="false">IFERROR(VLOOKUP(K119,'Supplier list'!B:C,2,0),"")</f>
        <v/>
      </c>
      <c r="M119" s="1" t="n">
        <f aca="false">FALSE()</f>
        <v>0</v>
      </c>
      <c r="N119" s="2"/>
      <c r="O119" s="2" t="n">
        <v>0</v>
      </c>
    </row>
    <row r="120" customFormat="false" ht="16.4" hidden="false" customHeight="false" outlineLevel="0" collapsed="false">
      <c r="A120" s="0" t="s">
        <v>15</v>
      </c>
      <c r="B120" s="0" t="s">
        <v>4507</v>
      </c>
      <c r="C120" s="0" t="n">
        <v>114001</v>
      </c>
      <c r="D120" s="0" t="n">
        <v>114001</v>
      </c>
      <c r="E120" s="0" t="s">
        <v>4174</v>
      </c>
      <c r="F120" s="0" t="s">
        <v>18</v>
      </c>
      <c r="G120" s="7" t="s">
        <v>4508</v>
      </c>
      <c r="H120" s="0" t="s">
        <v>4509</v>
      </c>
      <c r="I120" s="0" t="s">
        <v>102</v>
      </c>
      <c r="J120" s="0" t="s">
        <v>103</v>
      </c>
      <c r="K120" s="0" t="s">
        <v>4506</v>
      </c>
      <c r="L120" s="0" t="str">
        <f aca="false">IFERROR(VLOOKUP(K120,'Supplier list'!B:C,2,0),"")</f>
        <v/>
      </c>
      <c r="M120" s="1" t="n">
        <f aca="false">FALSE()</f>
        <v>0</v>
      </c>
      <c r="N120" s="2"/>
      <c r="O120" s="2" t="n">
        <v>0</v>
      </c>
    </row>
    <row r="121" customFormat="false" ht="16.4" hidden="false" customHeight="false" outlineLevel="0" collapsed="false">
      <c r="A121" s="0" t="s">
        <v>15</v>
      </c>
      <c r="B121" s="0" t="s">
        <v>4510</v>
      </c>
      <c r="C121" s="0" t="n">
        <v>114001</v>
      </c>
      <c r="D121" s="0" t="n">
        <v>114001</v>
      </c>
      <c r="E121" s="0" t="s">
        <v>4174</v>
      </c>
      <c r="F121" s="0" t="s">
        <v>18</v>
      </c>
      <c r="G121" s="7" t="s">
        <v>4511</v>
      </c>
      <c r="H121" s="0" t="s">
        <v>4512</v>
      </c>
      <c r="I121" s="0" t="s">
        <v>168</v>
      </c>
      <c r="J121" s="0" t="s">
        <v>169</v>
      </c>
      <c r="K121" s="0" t="s">
        <v>303</v>
      </c>
      <c r="L121" s="0" t="str">
        <f aca="false">IFERROR(VLOOKUP(K121,'Supplier list'!B:C,2,0),"")</f>
        <v>บริษัท เอ็มเค วู้ดเทค จำกัด</v>
      </c>
      <c r="M121" s="1" t="n">
        <f aca="false">FALSE()</f>
        <v>0</v>
      </c>
      <c r="N121" s="2"/>
      <c r="O121" s="2" t="n">
        <v>8.1</v>
      </c>
    </row>
    <row r="122" customFormat="false" ht="16.4" hidden="false" customHeight="false" outlineLevel="0" collapsed="false">
      <c r="A122" s="0" t="s">
        <v>15</v>
      </c>
      <c r="B122" s="0" t="s">
        <v>4513</v>
      </c>
      <c r="C122" s="0" t="n">
        <v>114001</v>
      </c>
      <c r="D122" s="0" t="n">
        <v>114001</v>
      </c>
      <c r="E122" s="0" t="s">
        <v>4174</v>
      </c>
      <c r="F122" s="0" t="s">
        <v>18</v>
      </c>
      <c r="G122" s="7" t="s">
        <v>4514</v>
      </c>
      <c r="H122" s="0" t="s">
        <v>4515</v>
      </c>
      <c r="I122" s="0" t="s">
        <v>102</v>
      </c>
      <c r="J122" s="0" t="s">
        <v>103</v>
      </c>
      <c r="K122" s="0" t="s">
        <v>4446</v>
      </c>
      <c r="L122" s="0" t="str">
        <f aca="false">IFERROR(VLOOKUP(K122,'Supplier list'!B:C,2,0),"")</f>
        <v>บริษัท ทีเอเคโพรดัคส์ แอนด์ เซอร์วิสเซส จำกัด</v>
      </c>
      <c r="M122" s="1" t="n">
        <f aca="false">FALSE()</f>
        <v>0</v>
      </c>
      <c r="N122" s="2"/>
      <c r="O122" s="2" t="n">
        <v>0</v>
      </c>
    </row>
    <row r="123" customFormat="false" ht="16.4" hidden="false" customHeight="false" outlineLevel="0" collapsed="false">
      <c r="A123" s="0" t="s">
        <v>15</v>
      </c>
      <c r="B123" s="0" t="s">
        <v>4516</v>
      </c>
      <c r="C123" s="0" t="n">
        <v>114001</v>
      </c>
      <c r="D123" s="0" t="n">
        <v>114001</v>
      </c>
      <c r="E123" s="0" t="s">
        <v>4174</v>
      </c>
      <c r="F123" s="0" t="s">
        <v>18</v>
      </c>
      <c r="G123" s="7" t="s">
        <v>4517</v>
      </c>
      <c r="H123" s="0" t="s">
        <v>4518</v>
      </c>
      <c r="I123" s="0" t="s">
        <v>102</v>
      </c>
      <c r="J123" s="0" t="s">
        <v>103</v>
      </c>
      <c r="K123" s="0" t="s">
        <v>303</v>
      </c>
      <c r="L123" s="0" t="str">
        <f aca="false">IFERROR(VLOOKUP(K123,'Supplier list'!B:C,2,0),"")</f>
        <v>บริษัท เอ็มเค วู้ดเทค จำกัด</v>
      </c>
      <c r="M123" s="1" t="n">
        <f aca="false">FALSE()</f>
        <v>0</v>
      </c>
      <c r="N123" s="2"/>
      <c r="O123" s="2" t="n">
        <v>0</v>
      </c>
    </row>
    <row r="124" customFormat="false" ht="16.4" hidden="false" customHeight="false" outlineLevel="0" collapsed="false">
      <c r="A124" s="0" t="s">
        <v>15</v>
      </c>
      <c r="B124" s="0" t="s">
        <v>4519</v>
      </c>
      <c r="C124" s="0" t="n">
        <v>114001</v>
      </c>
      <c r="D124" s="0" t="n">
        <v>114001</v>
      </c>
      <c r="E124" s="0" t="s">
        <v>4174</v>
      </c>
      <c r="F124" s="0" t="s">
        <v>18</v>
      </c>
      <c r="G124" s="7" t="s">
        <v>4520</v>
      </c>
      <c r="H124" s="0" t="s">
        <v>4521</v>
      </c>
      <c r="I124" s="0" t="s">
        <v>102</v>
      </c>
      <c r="J124" s="0" t="s">
        <v>103</v>
      </c>
      <c r="K124" s="0" t="s">
        <v>303</v>
      </c>
      <c r="L124" s="0" t="str">
        <f aca="false">IFERROR(VLOOKUP(K124,'Supplier list'!B:C,2,0),"")</f>
        <v>บริษัท เอ็มเค วู้ดเทค จำกัด</v>
      </c>
      <c r="M124" s="1" t="n">
        <f aca="false">FALSE()</f>
        <v>0</v>
      </c>
      <c r="N124" s="2"/>
      <c r="O124" s="2" t="n">
        <v>0</v>
      </c>
    </row>
    <row r="125" customFormat="false" ht="16.4" hidden="false" customHeight="false" outlineLevel="0" collapsed="false">
      <c r="A125" s="0" t="s">
        <v>15</v>
      </c>
      <c r="B125" s="0" t="s">
        <v>4522</v>
      </c>
      <c r="C125" s="0" t="n">
        <v>114001</v>
      </c>
      <c r="D125" s="0" t="n">
        <v>114001</v>
      </c>
      <c r="E125" s="0" t="s">
        <v>4174</v>
      </c>
      <c r="F125" s="0" t="s">
        <v>18</v>
      </c>
      <c r="G125" s="7" t="s">
        <v>4523</v>
      </c>
      <c r="H125" s="0" t="s">
        <v>4524</v>
      </c>
      <c r="I125" s="0" t="s">
        <v>396</v>
      </c>
      <c r="J125" s="0" t="s">
        <v>397</v>
      </c>
      <c r="K125" s="0" t="s">
        <v>4203</v>
      </c>
      <c r="L125" s="0" t="str">
        <f aca="false">IFERROR(VLOOKUP(K125,'Supplier list'!B:C,2,0),"")</f>
        <v>บริษัท 9889 Thailnd</v>
      </c>
      <c r="M125" s="1" t="n">
        <f aca="false">FALSE()</f>
        <v>0</v>
      </c>
      <c r="N125" s="2"/>
      <c r="O125" s="2" t="n">
        <v>0</v>
      </c>
    </row>
    <row r="126" customFormat="false" ht="16.4" hidden="false" customHeight="false" outlineLevel="0" collapsed="false">
      <c r="A126" s="0" t="s">
        <v>15</v>
      </c>
      <c r="B126" s="0" t="s">
        <v>4525</v>
      </c>
      <c r="C126" s="0" t="n">
        <v>114001</v>
      </c>
      <c r="D126" s="0" t="n">
        <v>114001</v>
      </c>
      <c r="E126" s="0" t="s">
        <v>4174</v>
      </c>
      <c r="F126" s="0" t="s">
        <v>18</v>
      </c>
      <c r="G126" s="7" t="s">
        <v>4526</v>
      </c>
      <c r="H126" s="0" t="s">
        <v>4527</v>
      </c>
      <c r="I126" s="0" t="s">
        <v>396</v>
      </c>
      <c r="J126" s="0" t="s">
        <v>397</v>
      </c>
      <c r="K126" s="0" t="s">
        <v>4528</v>
      </c>
      <c r="L126" s="0" t="str">
        <f aca="false">IFERROR(VLOOKUP(K126,'Supplier list'!B:C,2,0),"")</f>
        <v/>
      </c>
      <c r="M126" s="1" t="n">
        <f aca="false">FALSE()</f>
        <v>0</v>
      </c>
      <c r="N126" s="2"/>
      <c r="O126" s="2" t="n">
        <v>2.28</v>
      </c>
    </row>
    <row r="127" customFormat="false" ht="16.4" hidden="false" customHeight="false" outlineLevel="0" collapsed="false">
      <c r="A127" s="0" t="s">
        <v>15</v>
      </c>
      <c r="B127" s="0" t="s">
        <v>4529</v>
      </c>
      <c r="C127" s="0" t="n">
        <v>114001</v>
      </c>
      <c r="D127" s="0" t="n">
        <v>114001</v>
      </c>
      <c r="E127" s="0" t="s">
        <v>4174</v>
      </c>
      <c r="F127" s="0" t="s">
        <v>18</v>
      </c>
      <c r="G127" s="7" t="s">
        <v>4530</v>
      </c>
      <c r="H127" s="0" t="s">
        <v>4531</v>
      </c>
      <c r="I127" s="0" t="s">
        <v>396</v>
      </c>
      <c r="J127" s="0" t="s">
        <v>397</v>
      </c>
      <c r="K127" s="0" t="s">
        <v>567</v>
      </c>
      <c r="L127" s="0" t="str">
        <f aca="false">IFERROR(VLOOKUP(K127,'Supplier list'!B:C,2,0),"")</f>
        <v>บริษัท ไทย เมก้าแคบ จำกัด</v>
      </c>
      <c r="M127" s="1" t="n">
        <f aca="false">FALSE()</f>
        <v>0</v>
      </c>
      <c r="N127" s="2"/>
      <c r="O127" s="2" t="n">
        <v>8.72</v>
      </c>
    </row>
    <row r="128" customFormat="false" ht="16.4" hidden="false" customHeight="false" outlineLevel="0" collapsed="false">
      <c r="A128" s="0" t="s">
        <v>15</v>
      </c>
      <c r="B128" s="0" t="s">
        <v>4532</v>
      </c>
      <c r="C128" s="0" t="n">
        <v>114001</v>
      </c>
      <c r="D128" s="0" t="n">
        <v>114001</v>
      </c>
      <c r="E128" s="0" t="s">
        <v>4174</v>
      </c>
      <c r="F128" s="0" t="s">
        <v>18</v>
      </c>
      <c r="G128" s="7" t="s">
        <v>4533</v>
      </c>
      <c r="H128" s="0" t="s">
        <v>4534</v>
      </c>
      <c r="I128" s="0" t="s">
        <v>102</v>
      </c>
      <c r="J128" s="0" t="s">
        <v>103</v>
      </c>
      <c r="K128" s="0" t="s">
        <v>56</v>
      </c>
      <c r="L128" s="0" t="str">
        <f aca="false">IFERROR(VLOOKUP(K128,'Supplier list'!B:C,2,0),"")</f>
        <v>CO.,LTD QINGDAO NEW LIBERTY INT'L TRADING CO.LTD.</v>
      </c>
      <c r="M128" s="1" t="n">
        <f aca="false">FALSE()</f>
        <v>0</v>
      </c>
      <c r="N128" s="2"/>
      <c r="O128" s="2" t="n">
        <v>375</v>
      </c>
    </row>
    <row r="129" customFormat="false" ht="16.4" hidden="false" customHeight="false" outlineLevel="0" collapsed="false">
      <c r="A129" s="0" t="s">
        <v>15</v>
      </c>
      <c r="B129" s="0" t="s">
        <v>4535</v>
      </c>
      <c r="C129" s="0" t="n">
        <v>114001</v>
      </c>
      <c r="D129" s="0" t="n">
        <v>114001</v>
      </c>
      <c r="E129" s="0" t="s">
        <v>4174</v>
      </c>
      <c r="F129" s="0" t="s">
        <v>18</v>
      </c>
      <c r="G129" s="7" t="s">
        <v>4536</v>
      </c>
      <c r="H129" s="0" t="s">
        <v>4537</v>
      </c>
      <c r="I129" s="0" t="s">
        <v>102</v>
      </c>
      <c r="J129" s="0" t="s">
        <v>103</v>
      </c>
      <c r="K129" s="0" t="s">
        <v>303</v>
      </c>
      <c r="L129" s="0" t="str">
        <f aca="false">IFERROR(VLOOKUP(K129,'Supplier list'!B:C,2,0),"")</f>
        <v>บริษัท เอ็มเค วู้ดเทค จำกัด</v>
      </c>
      <c r="M129" s="1" t="n">
        <f aca="false">FALSE()</f>
        <v>0</v>
      </c>
      <c r="N129" s="2"/>
      <c r="O129" s="2" t="n">
        <v>735</v>
      </c>
    </row>
    <row r="130" customFormat="false" ht="16.4" hidden="false" customHeight="false" outlineLevel="0" collapsed="false">
      <c r="A130" s="0" t="s">
        <v>15</v>
      </c>
      <c r="B130" s="0" t="s">
        <v>4538</v>
      </c>
      <c r="C130" s="0" t="n">
        <v>114001</v>
      </c>
      <c r="D130" s="0" t="n">
        <v>114001</v>
      </c>
      <c r="E130" s="0" t="s">
        <v>4174</v>
      </c>
      <c r="F130" s="0" t="s">
        <v>18</v>
      </c>
      <c r="G130" s="7" t="s">
        <v>4539</v>
      </c>
      <c r="H130" s="0" t="s">
        <v>4540</v>
      </c>
      <c r="I130" s="0" t="s">
        <v>396</v>
      </c>
      <c r="J130" s="0" t="s">
        <v>397</v>
      </c>
      <c r="K130" s="0" t="s">
        <v>4203</v>
      </c>
      <c r="L130" s="0" t="str">
        <f aca="false">IFERROR(VLOOKUP(K130,'Supplier list'!B:C,2,0),"")</f>
        <v>บริษัท 9889 Thailnd</v>
      </c>
      <c r="M130" s="1" t="n">
        <f aca="false">FALSE()</f>
        <v>0</v>
      </c>
      <c r="N130" s="2"/>
      <c r="O130" s="2" t="n">
        <v>0</v>
      </c>
    </row>
    <row r="131" customFormat="false" ht="16.4" hidden="false" customHeight="false" outlineLevel="0" collapsed="false">
      <c r="A131" s="0" t="s">
        <v>15</v>
      </c>
      <c r="B131" s="0" t="s">
        <v>4541</v>
      </c>
      <c r="C131" s="0" t="n">
        <v>114001</v>
      </c>
      <c r="D131" s="0" t="n">
        <v>114001</v>
      </c>
      <c r="E131" s="0" t="s">
        <v>4174</v>
      </c>
      <c r="F131" s="0" t="s">
        <v>18</v>
      </c>
      <c r="G131" s="7" t="s">
        <v>4542</v>
      </c>
      <c r="H131" s="0" t="s">
        <v>4543</v>
      </c>
      <c r="I131" s="0" t="s">
        <v>102</v>
      </c>
      <c r="J131" s="0" t="s">
        <v>103</v>
      </c>
      <c r="K131" s="0" t="s">
        <v>303</v>
      </c>
      <c r="L131" s="0" t="str">
        <f aca="false">IFERROR(VLOOKUP(K131,'Supplier list'!B:C,2,0),"")</f>
        <v>บริษัท เอ็มเค วู้ดเทค จำกัด</v>
      </c>
      <c r="M131" s="1" t="n">
        <f aca="false">FALSE()</f>
        <v>0</v>
      </c>
      <c r="N131" s="2"/>
      <c r="O131" s="2" t="n">
        <v>710</v>
      </c>
    </row>
    <row r="132" customFormat="false" ht="16.4" hidden="false" customHeight="false" outlineLevel="0" collapsed="false">
      <c r="A132" s="0" t="s">
        <v>15</v>
      </c>
      <c r="B132" s="0" t="s">
        <v>4544</v>
      </c>
      <c r="C132" s="0" t="n">
        <v>114001</v>
      </c>
      <c r="D132" s="0" t="n">
        <v>114001</v>
      </c>
      <c r="E132" s="0" t="s">
        <v>4174</v>
      </c>
      <c r="F132" s="0" t="s">
        <v>18</v>
      </c>
      <c r="G132" s="7" t="s">
        <v>4545</v>
      </c>
      <c r="H132" s="0" t="s">
        <v>4546</v>
      </c>
      <c r="I132" s="0" t="s">
        <v>102</v>
      </c>
      <c r="J132" s="0" t="s">
        <v>103</v>
      </c>
      <c r="K132" s="0" t="s">
        <v>303</v>
      </c>
      <c r="L132" s="0" t="str">
        <f aca="false">IFERROR(VLOOKUP(K132,'Supplier list'!B:C,2,0),"")</f>
        <v>บริษัท เอ็มเค วู้ดเทค จำกัด</v>
      </c>
      <c r="M132" s="1" t="n">
        <f aca="false">FALSE()</f>
        <v>0</v>
      </c>
      <c r="N132" s="2"/>
      <c r="O132" s="2" t="n">
        <v>780</v>
      </c>
    </row>
    <row r="133" customFormat="false" ht="16.4" hidden="false" customHeight="false" outlineLevel="0" collapsed="false">
      <c r="A133" s="0" t="s">
        <v>15</v>
      </c>
      <c r="B133" s="0" t="s">
        <v>4547</v>
      </c>
      <c r="C133" s="0" t="n">
        <v>114001</v>
      </c>
      <c r="D133" s="0" t="n">
        <v>114001</v>
      </c>
      <c r="E133" s="0" t="s">
        <v>4174</v>
      </c>
      <c r="F133" s="0" t="s">
        <v>18</v>
      </c>
      <c r="G133" s="7" t="s">
        <v>4548</v>
      </c>
      <c r="H133" s="0" t="s">
        <v>4549</v>
      </c>
      <c r="I133" s="0" t="s">
        <v>396</v>
      </c>
      <c r="J133" s="0" t="s">
        <v>397</v>
      </c>
      <c r="K133" s="0" t="s">
        <v>4203</v>
      </c>
      <c r="L133" s="0" t="str">
        <f aca="false">IFERROR(VLOOKUP(K133,'Supplier list'!B:C,2,0),"")</f>
        <v>บริษัท 9889 Thailnd</v>
      </c>
      <c r="M133" s="1" t="n">
        <f aca="false">FALSE()</f>
        <v>0</v>
      </c>
      <c r="N133" s="2"/>
      <c r="O133" s="2" t="n">
        <v>6.5</v>
      </c>
    </row>
    <row r="134" customFormat="false" ht="16.4" hidden="false" customHeight="false" outlineLevel="0" collapsed="false">
      <c r="A134" s="0" t="s">
        <v>15</v>
      </c>
      <c r="B134" s="0" t="s">
        <v>4550</v>
      </c>
      <c r="C134" s="0" t="n">
        <v>114001</v>
      </c>
      <c r="D134" s="0" t="n">
        <v>114001</v>
      </c>
      <c r="E134" s="0" t="s">
        <v>4174</v>
      </c>
      <c r="F134" s="0" t="s">
        <v>18</v>
      </c>
      <c r="G134" s="7" t="s">
        <v>4551</v>
      </c>
      <c r="H134" s="0" t="s">
        <v>4552</v>
      </c>
      <c r="I134" s="0" t="s">
        <v>396</v>
      </c>
      <c r="J134" s="0" t="s">
        <v>397</v>
      </c>
      <c r="K134" s="0" t="s">
        <v>4203</v>
      </c>
      <c r="L134" s="0" t="str">
        <f aca="false">IFERROR(VLOOKUP(K134,'Supplier list'!B:C,2,0),"")</f>
        <v>บริษัท 9889 Thailnd</v>
      </c>
      <c r="M134" s="1" t="n">
        <f aca="false">FALSE()</f>
        <v>0</v>
      </c>
      <c r="N134" s="2"/>
      <c r="O134" s="2" t="n">
        <v>8.1</v>
      </c>
    </row>
    <row r="135" customFormat="false" ht="16.4" hidden="false" customHeight="false" outlineLevel="0" collapsed="false">
      <c r="A135" s="0" t="s">
        <v>15</v>
      </c>
      <c r="B135" s="0" t="s">
        <v>4553</v>
      </c>
      <c r="C135" s="0" t="n">
        <v>114001</v>
      </c>
      <c r="D135" s="0" t="n">
        <v>114001</v>
      </c>
      <c r="E135" s="0" t="s">
        <v>4174</v>
      </c>
      <c r="F135" s="0" t="s">
        <v>18</v>
      </c>
      <c r="G135" s="7" t="s">
        <v>4554</v>
      </c>
      <c r="H135" s="0" t="s">
        <v>4555</v>
      </c>
      <c r="I135" s="0" t="s">
        <v>102</v>
      </c>
      <c r="J135" s="0" t="s">
        <v>103</v>
      </c>
      <c r="K135" s="0" t="s">
        <v>4556</v>
      </c>
      <c r="L135" s="0" t="str">
        <f aca="false">IFERROR(VLOOKUP(K135,'Supplier list'!B:C,2,0),"")</f>
        <v>บริษัท เมลามีน อาร์ท จำกัด</v>
      </c>
      <c r="M135" s="1" t="n">
        <f aca="false">FALSE()</f>
        <v>0</v>
      </c>
      <c r="N135" s="2"/>
      <c r="O135" s="2" t="n">
        <v>1040</v>
      </c>
    </row>
    <row r="136" customFormat="false" ht="16.4" hidden="false" customHeight="false" outlineLevel="0" collapsed="false">
      <c r="A136" s="0" t="s">
        <v>15</v>
      </c>
      <c r="B136" s="0" t="s">
        <v>4557</v>
      </c>
      <c r="C136" s="0" t="n">
        <v>114001</v>
      </c>
      <c r="D136" s="0" t="n">
        <v>114001</v>
      </c>
      <c r="E136" s="0" t="s">
        <v>4174</v>
      </c>
      <c r="F136" s="0" t="s">
        <v>18</v>
      </c>
      <c r="G136" s="7" t="s">
        <v>4558</v>
      </c>
      <c r="H136" s="0" t="s">
        <v>4559</v>
      </c>
      <c r="I136" s="0" t="s">
        <v>396</v>
      </c>
      <c r="J136" s="0" t="s">
        <v>397</v>
      </c>
      <c r="K136" s="0" t="s">
        <v>4203</v>
      </c>
      <c r="L136" s="0" t="str">
        <f aca="false">IFERROR(VLOOKUP(K136,'Supplier list'!B:C,2,0),"")</f>
        <v>บริษัท 9889 Thailnd</v>
      </c>
      <c r="M136" s="1" t="n">
        <f aca="false">FALSE()</f>
        <v>0</v>
      </c>
      <c r="N136" s="2"/>
      <c r="O136" s="2" t="n">
        <v>0</v>
      </c>
    </row>
    <row r="137" customFormat="false" ht="16.4" hidden="false" customHeight="false" outlineLevel="0" collapsed="false">
      <c r="A137" s="0" t="s">
        <v>15</v>
      </c>
      <c r="B137" s="0" t="s">
        <v>4560</v>
      </c>
      <c r="C137" s="0" t="n">
        <v>114001</v>
      </c>
      <c r="D137" s="0" t="n">
        <v>114001</v>
      </c>
      <c r="E137" s="0" t="s">
        <v>4174</v>
      </c>
      <c r="F137" s="0" t="s">
        <v>18</v>
      </c>
      <c r="G137" s="7" t="s">
        <v>4561</v>
      </c>
      <c r="H137" s="0" t="s">
        <v>4562</v>
      </c>
      <c r="I137" s="0" t="s">
        <v>102</v>
      </c>
      <c r="J137" s="0" t="s">
        <v>103</v>
      </c>
      <c r="K137" s="0" t="s">
        <v>303</v>
      </c>
      <c r="L137" s="0" t="str">
        <f aca="false">IFERROR(VLOOKUP(K137,'Supplier list'!B:C,2,0),"")</f>
        <v>บริษัท เอ็มเค วู้ดเทค จำกัด</v>
      </c>
      <c r="M137" s="1" t="n">
        <f aca="false">FALSE()</f>
        <v>0</v>
      </c>
      <c r="N137" s="2"/>
      <c r="O137" s="2" t="n">
        <v>0</v>
      </c>
    </row>
    <row r="138" customFormat="false" ht="16.4" hidden="false" customHeight="false" outlineLevel="0" collapsed="false">
      <c r="A138" s="0" t="s">
        <v>15</v>
      </c>
      <c r="B138" s="0" t="s">
        <v>4563</v>
      </c>
      <c r="C138" s="0" t="n">
        <v>114001</v>
      </c>
      <c r="D138" s="0" t="n">
        <v>114001</v>
      </c>
      <c r="E138" s="0" t="s">
        <v>4174</v>
      </c>
      <c r="F138" s="0" t="s">
        <v>18</v>
      </c>
      <c r="G138" s="7" t="s">
        <v>4564</v>
      </c>
      <c r="H138" s="0" t="s">
        <v>4565</v>
      </c>
      <c r="I138" s="0" t="s">
        <v>102</v>
      </c>
      <c r="J138" s="0" t="s">
        <v>103</v>
      </c>
      <c r="K138" s="0" t="s">
        <v>303</v>
      </c>
      <c r="L138" s="0" t="str">
        <f aca="false">IFERROR(VLOOKUP(K138,'Supplier list'!B:C,2,0),"")</f>
        <v>บริษัท เอ็มเค วู้ดเทค จำกัด</v>
      </c>
      <c r="M138" s="1" t="n">
        <f aca="false">FALSE()</f>
        <v>0</v>
      </c>
      <c r="N138" s="2"/>
      <c r="O138" s="2" t="n">
        <v>502</v>
      </c>
    </row>
    <row r="139" customFormat="false" ht="16.4" hidden="false" customHeight="false" outlineLevel="0" collapsed="false">
      <c r="A139" s="0" t="s">
        <v>15</v>
      </c>
      <c r="B139" s="0" t="s">
        <v>4566</v>
      </c>
      <c r="C139" s="0" t="n">
        <v>114001</v>
      </c>
      <c r="D139" s="0" t="n">
        <v>114001</v>
      </c>
      <c r="E139" s="0" t="s">
        <v>4174</v>
      </c>
      <c r="F139" s="0" t="s">
        <v>18</v>
      </c>
      <c r="G139" s="7" t="s">
        <v>4567</v>
      </c>
      <c r="H139" s="0" t="s">
        <v>4568</v>
      </c>
      <c r="I139" s="0" t="s">
        <v>102</v>
      </c>
      <c r="J139" s="0" t="s">
        <v>103</v>
      </c>
      <c r="K139" s="0" t="s">
        <v>4203</v>
      </c>
      <c r="L139" s="0" t="str">
        <f aca="false">IFERROR(VLOOKUP(K139,'Supplier list'!B:C,2,0),"")</f>
        <v>บริษัท 9889 Thailnd</v>
      </c>
      <c r="M139" s="1" t="n">
        <f aca="false">FALSE()</f>
        <v>0</v>
      </c>
      <c r="N139" s="2"/>
      <c r="O139" s="2" t="n">
        <v>6.5</v>
      </c>
    </row>
    <row r="140" customFormat="false" ht="16.4" hidden="false" customHeight="false" outlineLevel="0" collapsed="false">
      <c r="A140" s="0" t="s">
        <v>15</v>
      </c>
      <c r="B140" s="0" t="s">
        <v>4569</v>
      </c>
      <c r="C140" s="0" t="n">
        <v>114001</v>
      </c>
      <c r="D140" s="0" t="n">
        <v>114001</v>
      </c>
      <c r="E140" s="0" t="s">
        <v>4174</v>
      </c>
      <c r="F140" s="0" t="s">
        <v>18</v>
      </c>
      <c r="G140" s="7" t="s">
        <v>4570</v>
      </c>
      <c r="H140" s="0" t="s">
        <v>4571</v>
      </c>
      <c r="I140" s="0" t="s">
        <v>102</v>
      </c>
      <c r="J140" s="0" t="s">
        <v>103</v>
      </c>
      <c r="K140" s="0" t="s">
        <v>303</v>
      </c>
      <c r="L140" s="0" t="str">
        <f aca="false">IFERROR(VLOOKUP(K140,'Supplier list'!B:C,2,0),"")</f>
        <v>บริษัท เอ็มเค วู้ดเทค จำกัด</v>
      </c>
      <c r="M140" s="1" t="n">
        <f aca="false">FALSE()</f>
        <v>0</v>
      </c>
      <c r="N140" s="2"/>
      <c r="O140" s="2" t="n">
        <v>0</v>
      </c>
    </row>
    <row r="141" customFormat="false" ht="16.4" hidden="false" customHeight="false" outlineLevel="0" collapsed="false">
      <c r="A141" s="0" t="s">
        <v>15</v>
      </c>
      <c r="B141" s="0" t="s">
        <v>4572</v>
      </c>
      <c r="C141" s="0" t="n">
        <v>114001</v>
      </c>
      <c r="D141" s="0" t="n">
        <v>114001</v>
      </c>
      <c r="E141" s="0" t="s">
        <v>4174</v>
      </c>
      <c r="F141" s="0" t="s">
        <v>18</v>
      </c>
      <c r="G141" s="7" t="s">
        <v>4573</v>
      </c>
      <c r="H141" s="0" t="s">
        <v>4574</v>
      </c>
      <c r="I141" s="0" t="s">
        <v>102</v>
      </c>
      <c r="J141" s="0" t="s">
        <v>103</v>
      </c>
      <c r="K141" s="0" t="s">
        <v>4203</v>
      </c>
      <c r="L141" s="0" t="str">
        <f aca="false">IFERROR(VLOOKUP(K141,'Supplier list'!B:C,2,0),"")</f>
        <v>บริษัท 9889 Thailnd</v>
      </c>
      <c r="M141" s="1" t="n">
        <f aca="false">FALSE()</f>
        <v>0</v>
      </c>
      <c r="N141" s="2"/>
      <c r="O141" s="2" t="n">
        <v>6.5</v>
      </c>
    </row>
    <row r="142" customFormat="false" ht="16.4" hidden="false" customHeight="false" outlineLevel="0" collapsed="false">
      <c r="A142" s="0" t="s">
        <v>15</v>
      </c>
      <c r="B142" s="0" t="s">
        <v>4575</v>
      </c>
      <c r="C142" s="0" t="n">
        <v>114001</v>
      </c>
      <c r="D142" s="0" t="n">
        <v>114001</v>
      </c>
      <c r="E142" s="0" t="s">
        <v>4174</v>
      </c>
      <c r="F142" s="0" t="s">
        <v>18</v>
      </c>
      <c r="G142" s="7" t="s">
        <v>4576</v>
      </c>
      <c r="H142" s="0" t="s">
        <v>4577</v>
      </c>
      <c r="I142" s="0" t="s">
        <v>396</v>
      </c>
      <c r="J142" s="0" t="s">
        <v>397</v>
      </c>
      <c r="K142" s="0" t="s">
        <v>4203</v>
      </c>
      <c r="L142" s="0" t="str">
        <f aca="false">IFERROR(VLOOKUP(K142,'Supplier list'!B:C,2,0),"")</f>
        <v>บริษัท 9889 Thailnd</v>
      </c>
      <c r="M142" s="1" t="n">
        <f aca="false">FALSE()</f>
        <v>0</v>
      </c>
      <c r="N142" s="2"/>
      <c r="O142" s="2" t="n">
        <v>6.5</v>
      </c>
    </row>
    <row r="143" customFormat="false" ht="16.4" hidden="false" customHeight="false" outlineLevel="0" collapsed="false">
      <c r="A143" s="0" t="s">
        <v>15</v>
      </c>
      <c r="B143" s="0" t="s">
        <v>4578</v>
      </c>
      <c r="C143" s="0" t="n">
        <v>114001</v>
      </c>
      <c r="D143" s="0" t="n">
        <v>114001</v>
      </c>
      <c r="E143" s="0" t="s">
        <v>4174</v>
      </c>
      <c r="F143" s="0" t="s">
        <v>18</v>
      </c>
      <c r="G143" s="7" t="s">
        <v>4579</v>
      </c>
      <c r="H143" s="0" t="s">
        <v>4580</v>
      </c>
      <c r="I143" s="0" t="s">
        <v>396</v>
      </c>
      <c r="J143" s="0" t="s">
        <v>397</v>
      </c>
      <c r="K143" s="0" t="s">
        <v>4203</v>
      </c>
      <c r="L143" s="0" t="str">
        <f aca="false">IFERROR(VLOOKUP(K143,'Supplier list'!B:C,2,0),"")</f>
        <v>บริษัท 9889 Thailnd</v>
      </c>
      <c r="M143" s="1" t="n">
        <f aca="false">FALSE()</f>
        <v>0</v>
      </c>
      <c r="N143" s="2"/>
      <c r="O143" s="2" t="n">
        <v>6.8</v>
      </c>
    </row>
    <row r="144" customFormat="false" ht="16.4" hidden="false" customHeight="false" outlineLevel="0" collapsed="false">
      <c r="A144" s="0" t="s">
        <v>15</v>
      </c>
      <c r="B144" s="0" t="s">
        <v>4581</v>
      </c>
      <c r="C144" s="0" t="n">
        <v>114001</v>
      </c>
      <c r="D144" s="0" t="n">
        <v>114001</v>
      </c>
      <c r="E144" s="0" t="s">
        <v>4174</v>
      </c>
      <c r="F144" s="0" t="s">
        <v>18</v>
      </c>
      <c r="G144" s="7" t="s">
        <v>4582</v>
      </c>
      <c r="H144" s="0" t="s">
        <v>4583</v>
      </c>
      <c r="I144" s="0" t="s">
        <v>396</v>
      </c>
      <c r="J144" s="0" t="s">
        <v>397</v>
      </c>
      <c r="K144" s="0" t="s">
        <v>4203</v>
      </c>
      <c r="L144" s="0" t="str">
        <f aca="false">IFERROR(VLOOKUP(K144,'Supplier list'!B:C,2,0),"")</f>
        <v>บริษัท 9889 Thailnd</v>
      </c>
      <c r="M144" s="1" t="n">
        <f aca="false">FALSE()</f>
        <v>0</v>
      </c>
      <c r="N144" s="2"/>
      <c r="O144" s="2" t="n">
        <v>6.8</v>
      </c>
    </row>
    <row r="145" customFormat="false" ht="16.4" hidden="false" customHeight="false" outlineLevel="0" collapsed="false">
      <c r="A145" s="0" t="s">
        <v>15</v>
      </c>
      <c r="B145" s="0" t="s">
        <v>4584</v>
      </c>
      <c r="C145" s="0" t="n">
        <v>114001</v>
      </c>
      <c r="D145" s="0" t="n">
        <v>114001</v>
      </c>
      <c r="E145" s="0" t="s">
        <v>4174</v>
      </c>
      <c r="F145" s="0" t="s">
        <v>18</v>
      </c>
      <c r="G145" s="7" t="s">
        <v>4585</v>
      </c>
      <c r="H145" s="0" t="s">
        <v>4586</v>
      </c>
      <c r="I145" s="0" t="s">
        <v>396</v>
      </c>
      <c r="J145" s="0" t="s">
        <v>397</v>
      </c>
      <c r="K145" s="0" t="s">
        <v>4203</v>
      </c>
      <c r="L145" s="0" t="str">
        <f aca="false">IFERROR(VLOOKUP(K145,'Supplier list'!B:C,2,0),"")</f>
        <v>บริษัท 9889 Thailnd</v>
      </c>
      <c r="M145" s="1" t="n">
        <f aca="false">FALSE()</f>
        <v>0</v>
      </c>
      <c r="N145" s="2"/>
      <c r="O145" s="2" t="n">
        <v>6.5</v>
      </c>
    </row>
    <row r="146" customFormat="false" ht="16.4" hidden="false" customHeight="false" outlineLevel="0" collapsed="false">
      <c r="A146" s="0" t="s">
        <v>15</v>
      </c>
      <c r="B146" s="0" t="s">
        <v>4587</v>
      </c>
      <c r="C146" s="0" t="n">
        <v>114001</v>
      </c>
      <c r="D146" s="0" t="n">
        <v>114001</v>
      </c>
      <c r="E146" s="0" t="s">
        <v>4174</v>
      </c>
      <c r="F146" s="0" t="s">
        <v>18</v>
      </c>
      <c r="G146" s="7" t="s">
        <v>4588</v>
      </c>
      <c r="H146" s="0" t="s">
        <v>4589</v>
      </c>
      <c r="I146" s="0" t="s">
        <v>396</v>
      </c>
      <c r="J146" s="0" t="s">
        <v>397</v>
      </c>
      <c r="K146" s="0" t="s">
        <v>4203</v>
      </c>
      <c r="L146" s="0" t="str">
        <f aca="false">IFERROR(VLOOKUP(K146,'Supplier list'!B:C,2,0),"")</f>
        <v>บริษัท 9889 Thailnd</v>
      </c>
      <c r="M146" s="1" t="n">
        <f aca="false">FALSE()</f>
        <v>0</v>
      </c>
      <c r="N146" s="2"/>
      <c r="O146" s="2" t="n">
        <v>6.8</v>
      </c>
    </row>
    <row r="147" customFormat="false" ht="16.4" hidden="false" customHeight="false" outlineLevel="0" collapsed="false">
      <c r="A147" s="0" t="s">
        <v>15</v>
      </c>
      <c r="B147" s="0" t="s">
        <v>4590</v>
      </c>
      <c r="C147" s="0" t="n">
        <v>114001</v>
      </c>
      <c r="D147" s="0" t="n">
        <v>114001</v>
      </c>
      <c r="E147" s="0" t="s">
        <v>4174</v>
      </c>
      <c r="F147" s="0" t="s">
        <v>18</v>
      </c>
      <c r="G147" s="7" t="s">
        <v>4591</v>
      </c>
      <c r="H147" s="0" t="s">
        <v>4592</v>
      </c>
      <c r="I147" s="0" t="s">
        <v>396</v>
      </c>
      <c r="J147" s="0" t="s">
        <v>397</v>
      </c>
      <c r="K147" s="0" t="s">
        <v>4203</v>
      </c>
      <c r="L147" s="0" t="str">
        <f aca="false">IFERROR(VLOOKUP(K147,'Supplier list'!B:C,2,0),"")</f>
        <v>บริษัท 9889 Thailnd</v>
      </c>
      <c r="M147" s="1" t="n">
        <f aca="false">FALSE()</f>
        <v>0</v>
      </c>
      <c r="N147" s="2"/>
      <c r="O147" s="2" t="n">
        <v>6.5</v>
      </c>
    </row>
    <row r="148" customFormat="false" ht="16.4" hidden="false" customHeight="false" outlineLevel="0" collapsed="false">
      <c r="A148" s="0" t="s">
        <v>15</v>
      </c>
      <c r="B148" s="0" t="s">
        <v>4593</v>
      </c>
      <c r="C148" s="0" t="n">
        <v>114001</v>
      </c>
      <c r="D148" s="0" t="n">
        <v>114001</v>
      </c>
      <c r="E148" s="0" t="s">
        <v>4174</v>
      </c>
      <c r="F148" s="0" t="s">
        <v>18</v>
      </c>
      <c r="G148" s="7" t="s">
        <v>4594</v>
      </c>
      <c r="H148" s="0" t="s">
        <v>4595</v>
      </c>
      <c r="I148" s="0" t="s">
        <v>102</v>
      </c>
      <c r="J148" s="0" t="s">
        <v>103</v>
      </c>
      <c r="K148" s="0" t="s">
        <v>4596</v>
      </c>
      <c r="L148" s="0" t="str">
        <f aca="false">IFERROR(VLOOKUP(K148,'Supplier list'!B:C,2,0),"")</f>
        <v>บริษัท อีดีแอล ลามิเนตส์ จำกัด</v>
      </c>
      <c r="M148" s="1" t="n">
        <f aca="false">FALSE()</f>
        <v>0</v>
      </c>
      <c r="N148" s="2"/>
      <c r="O148" s="2" t="n">
        <v>1500</v>
      </c>
    </row>
    <row r="149" customFormat="false" ht="16.4" hidden="false" customHeight="false" outlineLevel="0" collapsed="false">
      <c r="A149" s="0" t="s">
        <v>15</v>
      </c>
      <c r="B149" s="0" t="s">
        <v>4597</v>
      </c>
      <c r="C149" s="0" t="n">
        <v>114001</v>
      </c>
      <c r="D149" s="0" t="n">
        <v>114001</v>
      </c>
      <c r="E149" s="0" t="s">
        <v>4174</v>
      </c>
      <c r="F149" s="0" t="s">
        <v>18</v>
      </c>
      <c r="G149" s="7" t="s">
        <v>4598</v>
      </c>
      <c r="H149" s="0" t="s">
        <v>4599</v>
      </c>
      <c r="I149" s="0" t="s">
        <v>102</v>
      </c>
      <c r="J149" s="0" t="s">
        <v>103</v>
      </c>
      <c r="K149" s="0" t="s">
        <v>4600</v>
      </c>
      <c r="L149" s="0" t="str">
        <f aca="false">IFERROR(VLOOKUP(K149,'Supplier list'!B:C,2,0),"")</f>
        <v>บจ. อุตสาหกรรมไม้ส.ชัยวัฒนา</v>
      </c>
      <c r="M149" s="1" t="n">
        <f aca="false">FALSE()</f>
        <v>0</v>
      </c>
      <c r="N149" s="2"/>
      <c r="O149" s="2" t="n">
        <v>2650</v>
      </c>
    </row>
    <row r="150" customFormat="false" ht="16.4" hidden="false" customHeight="false" outlineLevel="0" collapsed="false">
      <c r="A150" s="0" t="s">
        <v>15</v>
      </c>
      <c r="B150" s="0" t="s">
        <v>4601</v>
      </c>
      <c r="C150" s="0" t="n">
        <v>114001</v>
      </c>
      <c r="D150" s="0" t="n">
        <v>114001</v>
      </c>
      <c r="E150" s="0" t="s">
        <v>4174</v>
      </c>
      <c r="F150" s="0" t="s">
        <v>18</v>
      </c>
      <c r="G150" s="7" t="s">
        <v>4602</v>
      </c>
      <c r="H150" s="0" t="s">
        <v>4603</v>
      </c>
      <c r="I150" s="0" t="s">
        <v>396</v>
      </c>
      <c r="J150" s="0" t="s">
        <v>397</v>
      </c>
      <c r="K150" s="0" t="s">
        <v>4203</v>
      </c>
      <c r="L150" s="0" t="str">
        <f aca="false">IFERROR(VLOOKUP(K150,'Supplier list'!B:C,2,0),"")</f>
        <v>บริษัท 9889 Thailnd</v>
      </c>
      <c r="M150" s="1" t="n">
        <f aca="false">FALSE()</f>
        <v>0</v>
      </c>
      <c r="N150" s="2"/>
      <c r="O150" s="2" t="n">
        <v>6.5</v>
      </c>
    </row>
    <row r="151" customFormat="false" ht="16.4" hidden="false" customHeight="false" outlineLevel="0" collapsed="false">
      <c r="A151" s="0" t="s">
        <v>15</v>
      </c>
      <c r="B151" s="0" t="s">
        <v>4604</v>
      </c>
      <c r="C151" s="0" t="n">
        <v>114001</v>
      </c>
      <c r="D151" s="0" t="n">
        <v>114001</v>
      </c>
      <c r="E151" s="0" t="s">
        <v>4174</v>
      </c>
      <c r="F151" s="0" t="s">
        <v>18</v>
      </c>
      <c r="G151" s="7" t="s">
        <v>4605</v>
      </c>
      <c r="H151" s="0" t="s">
        <v>4606</v>
      </c>
      <c r="I151" s="0" t="s">
        <v>396</v>
      </c>
      <c r="J151" s="0" t="s">
        <v>397</v>
      </c>
      <c r="K151" s="0" t="s">
        <v>567</v>
      </c>
      <c r="L151" s="0" t="str">
        <f aca="false">IFERROR(VLOOKUP(K151,'Supplier list'!B:C,2,0),"")</f>
        <v>บริษัท ไทย เมก้าแคบ จำกัด</v>
      </c>
      <c r="M151" s="1" t="n">
        <f aca="false">FALSE()</f>
        <v>0</v>
      </c>
      <c r="N151" s="2"/>
      <c r="O151" s="2" t="n">
        <v>1.835</v>
      </c>
    </row>
    <row r="152" customFormat="false" ht="16.4" hidden="false" customHeight="false" outlineLevel="0" collapsed="false">
      <c r="A152" s="0" t="s">
        <v>15</v>
      </c>
      <c r="B152" s="0" t="s">
        <v>4607</v>
      </c>
      <c r="C152" s="0" t="n">
        <v>114001</v>
      </c>
      <c r="D152" s="0" t="n">
        <v>114001</v>
      </c>
      <c r="E152" s="0" t="s">
        <v>4608</v>
      </c>
      <c r="F152" s="0" t="s">
        <v>18</v>
      </c>
      <c r="G152" s="7" t="s">
        <v>4609</v>
      </c>
      <c r="H152" s="0" t="s">
        <v>4610</v>
      </c>
      <c r="I152" s="0" t="s">
        <v>248</v>
      </c>
      <c r="J152" s="0" t="s">
        <v>249</v>
      </c>
      <c r="L152" s="0" t="str">
        <f aca="false">IFERROR(VLOOKUP(K152,'Supplier list'!B:C,2,0),"")</f>
        <v/>
      </c>
      <c r="M152" s="1" t="n">
        <f aca="false">FALSE()</f>
        <v>0</v>
      </c>
      <c r="N152" s="2"/>
      <c r="O152" s="2" t="n">
        <v>0</v>
      </c>
    </row>
    <row r="153" customFormat="false" ht="16.4" hidden="false" customHeight="false" outlineLevel="0" collapsed="false">
      <c r="A153" s="0" t="s">
        <v>15</v>
      </c>
      <c r="B153" s="0" t="s">
        <v>4611</v>
      </c>
      <c r="C153" s="0" t="n">
        <v>114001</v>
      </c>
      <c r="D153" s="0" t="n">
        <v>114001</v>
      </c>
      <c r="E153" s="0" t="s">
        <v>4174</v>
      </c>
      <c r="F153" s="0" t="s">
        <v>18</v>
      </c>
      <c r="G153" s="7" t="s">
        <v>4612</v>
      </c>
      <c r="H153" s="0" t="s">
        <v>4613</v>
      </c>
      <c r="I153" s="0" t="s">
        <v>102</v>
      </c>
      <c r="J153" s="0" t="s">
        <v>103</v>
      </c>
      <c r="K153" s="0" t="s">
        <v>303</v>
      </c>
      <c r="L153" s="0" t="str">
        <f aca="false">IFERROR(VLOOKUP(K153,'Supplier list'!B:C,2,0),"")</f>
        <v>บริษัท เอ็มเค วู้ดเทค จำกัด</v>
      </c>
      <c r="M153" s="1" t="n">
        <f aca="false">FALSE()</f>
        <v>0</v>
      </c>
      <c r="N153" s="2"/>
      <c r="O153" s="2" t="n">
        <v>0</v>
      </c>
    </row>
    <row r="154" customFormat="false" ht="16.4" hidden="false" customHeight="false" outlineLevel="0" collapsed="false">
      <c r="A154" s="0" t="s">
        <v>15</v>
      </c>
      <c r="B154" s="0" t="s">
        <v>4614</v>
      </c>
      <c r="C154" s="0" t="n">
        <v>114001</v>
      </c>
      <c r="D154" s="0" t="n">
        <v>114001</v>
      </c>
      <c r="E154" s="0" t="s">
        <v>4174</v>
      </c>
      <c r="F154" s="0" t="s">
        <v>18</v>
      </c>
      <c r="G154" s="7" t="s">
        <v>4615</v>
      </c>
      <c r="H154" s="0" t="s">
        <v>4616</v>
      </c>
      <c r="I154" s="0" t="s">
        <v>102</v>
      </c>
      <c r="J154" s="0" t="s">
        <v>103</v>
      </c>
      <c r="K154" s="0" t="s">
        <v>303</v>
      </c>
      <c r="L154" s="0" t="str">
        <f aca="false">IFERROR(VLOOKUP(K154,'Supplier list'!B:C,2,0),"")</f>
        <v>บริษัท เอ็มเค วู้ดเทค จำกัด</v>
      </c>
      <c r="M154" s="1" t="n">
        <f aca="false">FALSE()</f>
        <v>0</v>
      </c>
      <c r="N154" s="2"/>
      <c r="O154" s="2" t="n">
        <v>900</v>
      </c>
    </row>
    <row r="155" customFormat="false" ht="16.4" hidden="false" customHeight="false" outlineLevel="0" collapsed="false">
      <c r="A155" s="0" t="s">
        <v>15</v>
      </c>
      <c r="B155" s="0" t="s">
        <v>4617</v>
      </c>
      <c r="C155" s="0" t="n">
        <v>114001</v>
      </c>
      <c r="D155" s="0" t="n">
        <v>114001</v>
      </c>
      <c r="E155" s="0" t="s">
        <v>4174</v>
      </c>
      <c r="F155" s="0" t="s">
        <v>18</v>
      </c>
      <c r="G155" s="7" t="s">
        <v>4618</v>
      </c>
      <c r="H155" s="0" t="s">
        <v>4619</v>
      </c>
      <c r="I155" s="0" t="s">
        <v>248</v>
      </c>
      <c r="J155" s="0" t="s">
        <v>249</v>
      </c>
      <c r="K155" s="0" t="s">
        <v>4203</v>
      </c>
      <c r="L155" s="0" t="str">
        <f aca="false">IFERROR(VLOOKUP(K155,'Supplier list'!B:C,2,0),"")</f>
        <v>บริษัท 9889 Thailnd</v>
      </c>
      <c r="M155" s="1" t="n">
        <f aca="false">FALSE()</f>
        <v>0</v>
      </c>
      <c r="N155" s="2"/>
      <c r="O155" s="2" t="n">
        <v>6.8</v>
      </c>
    </row>
    <row r="156" customFormat="false" ht="16.4" hidden="false" customHeight="false" outlineLevel="0" collapsed="false">
      <c r="A156" s="0" t="s">
        <v>15</v>
      </c>
      <c r="B156" s="0" t="s">
        <v>4620</v>
      </c>
      <c r="C156" s="0" t="n">
        <v>114001</v>
      </c>
      <c r="D156" s="0" t="n">
        <v>114001</v>
      </c>
      <c r="E156" s="0" t="s">
        <v>4174</v>
      </c>
      <c r="F156" s="0" t="s">
        <v>18</v>
      </c>
      <c r="G156" s="7" t="s">
        <v>4621</v>
      </c>
      <c r="H156" s="0" t="s">
        <v>4622</v>
      </c>
      <c r="I156" s="0" t="s">
        <v>102</v>
      </c>
      <c r="J156" s="0" t="s">
        <v>103</v>
      </c>
      <c r="K156" s="0" t="s">
        <v>4446</v>
      </c>
      <c r="L156" s="0" t="str">
        <f aca="false">IFERROR(VLOOKUP(K156,'Supplier list'!B:C,2,0),"")</f>
        <v>บริษัท ทีเอเคโพรดัคส์ แอนด์ เซอร์วิสเซส จำกัด</v>
      </c>
      <c r="M156" s="1" t="n">
        <f aca="false">FALSE()</f>
        <v>0</v>
      </c>
      <c r="N156" s="2"/>
      <c r="O156" s="2" t="n">
        <v>1400</v>
      </c>
    </row>
    <row r="157" customFormat="false" ht="16.4" hidden="false" customHeight="false" outlineLevel="0" collapsed="false">
      <c r="A157" s="0" t="s">
        <v>15</v>
      </c>
      <c r="B157" s="0" t="s">
        <v>4623</v>
      </c>
      <c r="C157" s="0" t="n">
        <v>114001</v>
      </c>
      <c r="D157" s="0" t="n">
        <v>114001</v>
      </c>
      <c r="E157" s="0" t="s">
        <v>4174</v>
      </c>
      <c r="F157" s="0" t="s">
        <v>18</v>
      </c>
      <c r="G157" s="7" t="s">
        <v>4624</v>
      </c>
      <c r="H157" s="0" t="s">
        <v>4625</v>
      </c>
      <c r="I157" s="0" t="s">
        <v>396</v>
      </c>
      <c r="J157" s="0" t="s">
        <v>397</v>
      </c>
      <c r="K157" s="0" t="s">
        <v>4203</v>
      </c>
      <c r="L157" s="0" t="str">
        <f aca="false">IFERROR(VLOOKUP(K157,'Supplier list'!B:C,2,0),"")</f>
        <v>บริษัท 9889 Thailnd</v>
      </c>
      <c r="M157" s="1" t="n">
        <f aca="false">FALSE()</f>
        <v>0</v>
      </c>
      <c r="N157" s="2"/>
      <c r="O157" s="2" t="n">
        <v>6.8</v>
      </c>
    </row>
    <row r="158" customFormat="false" ht="16.4" hidden="false" customHeight="false" outlineLevel="0" collapsed="false">
      <c r="A158" s="0" t="s">
        <v>15</v>
      </c>
      <c r="B158" s="0" t="s">
        <v>4626</v>
      </c>
      <c r="C158" s="0" t="n">
        <v>114001</v>
      </c>
      <c r="D158" s="0" t="n">
        <v>114001</v>
      </c>
      <c r="E158" s="0" t="s">
        <v>4174</v>
      </c>
      <c r="F158" s="0" t="s">
        <v>18</v>
      </c>
      <c r="G158" s="7" t="s">
        <v>4627</v>
      </c>
      <c r="H158" s="0" t="s">
        <v>4628</v>
      </c>
      <c r="I158" s="0" t="s">
        <v>396</v>
      </c>
      <c r="J158" s="0" t="s">
        <v>397</v>
      </c>
      <c r="K158" s="0" t="s">
        <v>4203</v>
      </c>
      <c r="L158" s="0" t="str">
        <f aca="false">IFERROR(VLOOKUP(K158,'Supplier list'!B:C,2,0),"")</f>
        <v>บริษัท 9889 Thailnd</v>
      </c>
      <c r="M158" s="1" t="n">
        <f aca="false">FALSE()</f>
        <v>0</v>
      </c>
      <c r="N158" s="2"/>
      <c r="O158" s="2" t="n">
        <v>6.8</v>
      </c>
    </row>
    <row r="159" customFormat="false" ht="16.4" hidden="false" customHeight="false" outlineLevel="0" collapsed="false">
      <c r="A159" s="0" t="s">
        <v>15</v>
      </c>
      <c r="B159" s="0" t="s">
        <v>4629</v>
      </c>
      <c r="C159" s="0" t="n">
        <v>114001</v>
      </c>
      <c r="D159" s="0" t="n">
        <v>114001</v>
      </c>
      <c r="E159" s="0" t="s">
        <v>4174</v>
      </c>
      <c r="F159" s="0" t="s">
        <v>18</v>
      </c>
      <c r="G159" s="7" t="s">
        <v>4630</v>
      </c>
      <c r="H159" s="0" t="s">
        <v>4631</v>
      </c>
      <c r="I159" s="0" t="s">
        <v>396</v>
      </c>
      <c r="J159" s="0" t="s">
        <v>397</v>
      </c>
      <c r="K159" s="0" t="s">
        <v>4203</v>
      </c>
      <c r="L159" s="0" t="str">
        <f aca="false">IFERROR(VLOOKUP(K159,'Supplier list'!B:C,2,0),"")</f>
        <v>บริษัท 9889 Thailnd</v>
      </c>
      <c r="M159" s="1" t="n">
        <f aca="false">FALSE()</f>
        <v>0</v>
      </c>
      <c r="N159" s="2"/>
      <c r="O159" s="2" t="n">
        <v>6.8</v>
      </c>
    </row>
    <row r="160" customFormat="false" ht="16.4" hidden="false" customHeight="false" outlineLevel="0" collapsed="false">
      <c r="A160" s="0" t="s">
        <v>15</v>
      </c>
      <c r="B160" s="0" t="s">
        <v>4632</v>
      </c>
      <c r="C160" s="0" t="n">
        <v>114001</v>
      </c>
      <c r="D160" s="0" t="n">
        <v>114001</v>
      </c>
      <c r="E160" s="0" t="s">
        <v>4174</v>
      </c>
      <c r="F160" s="0" t="s">
        <v>18</v>
      </c>
      <c r="G160" s="7" t="s">
        <v>4633</v>
      </c>
      <c r="H160" s="0" t="s">
        <v>4634</v>
      </c>
      <c r="I160" s="0" t="s">
        <v>396</v>
      </c>
      <c r="J160" s="0" t="s">
        <v>397</v>
      </c>
      <c r="K160" s="0" t="s">
        <v>4203</v>
      </c>
      <c r="L160" s="0" t="str">
        <f aca="false">IFERROR(VLOOKUP(K160,'Supplier list'!B:C,2,0),"")</f>
        <v>บริษัท 9889 Thailnd</v>
      </c>
      <c r="M160" s="1" t="n">
        <f aca="false">FALSE()</f>
        <v>0</v>
      </c>
      <c r="N160" s="2"/>
      <c r="O160" s="2" t="n">
        <v>6</v>
      </c>
    </row>
    <row r="161" customFormat="false" ht="16.4" hidden="false" customHeight="false" outlineLevel="0" collapsed="false">
      <c r="A161" s="0" t="s">
        <v>15</v>
      </c>
      <c r="B161" s="0" t="s">
        <v>4635</v>
      </c>
      <c r="C161" s="0" t="n">
        <v>114001</v>
      </c>
      <c r="D161" s="0" t="n">
        <v>114001</v>
      </c>
      <c r="E161" s="0" t="s">
        <v>4174</v>
      </c>
      <c r="F161" s="0" t="s">
        <v>18</v>
      </c>
      <c r="G161" s="7" t="s">
        <v>4636</v>
      </c>
      <c r="H161" s="0" t="s">
        <v>4637</v>
      </c>
      <c r="I161" s="0" t="s">
        <v>396</v>
      </c>
      <c r="J161" s="0" t="s">
        <v>397</v>
      </c>
      <c r="K161" s="0" t="s">
        <v>4203</v>
      </c>
      <c r="L161" s="0" t="str">
        <f aca="false">IFERROR(VLOOKUP(K161,'Supplier list'!B:C,2,0),"")</f>
        <v>บริษัท 9889 Thailnd</v>
      </c>
      <c r="M161" s="1" t="n">
        <f aca="false">FALSE()</f>
        <v>0</v>
      </c>
      <c r="N161" s="2"/>
      <c r="O161" s="2" t="n">
        <v>6.8</v>
      </c>
    </row>
    <row r="162" customFormat="false" ht="16.4" hidden="false" customHeight="false" outlineLevel="0" collapsed="false">
      <c r="A162" s="0" t="s">
        <v>15</v>
      </c>
      <c r="B162" s="0" t="s">
        <v>4638</v>
      </c>
      <c r="C162" s="0" t="n">
        <v>114001</v>
      </c>
      <c r="D162" s="0" t="n">
        <v>114001</v>
      </c>
      <c r="E162" s="0" t="s">
        <v>4174</v>
      </c>
      <c r="F162" s="0" t="s">
        <v>18</v>
      </c>
      <c r="G162" s="7" t="s">
        <v>4639</v>
      </c>
      <c r="H162" s="0" t="s">
        <v>4640</v>
      </c>
      <c r="I162" s="0" t="s">
        <v>396</v>
      </c>
      <c r="J162" s="0" t="s">
        <v>397</v>
      </c>
      <c r="K162" s="0" t="s">
        <v>4203</v>
      </c>
      <c r="L162" s="0" t="str">
        <f aca="false">IFERROR(VLOOKUP(K162,'Supplier list'!B:C,2,0),"")</f>
        <v>บริษัท 9889 Thailnd</v>
      </c>
      <c r="M162" s="1" t="n">
        <f aca="false">FALSE()</f>
        <v>0</v>
      </c>
      <c r="N162" s="2"/>
      <c r="O162" s="2" t="n">
        <v>6.9</v>
      </c>
    </row>
    <row r="163" customFormat="false" ht="16.4" hidden="false" customHeight="false" outlineLevel="0" collapsed="false">
      <c r="A163" s="0" t="s">
        <v>15</v>
      </c>
      <c r="B163" s="0" t="s">
        <v>4641</v>
      </c>
      <c r="C163" s="0" t="n">
        <v>114001</v>
      </c>
      <c r="D163" s="0" t="n">
        <v>114001</v>
      </c>
      <c r="E163" s="0" t="s">
        <v>4174</v>
      </c>
      <c r="F163" s="0" t="s">
        <v>18</v>
      </c>
      <c r="G163" s="7" t="s">
        <v>4642</v>
      </c>
      <c r="H163" s="0" t="s">
        <v>4643</v>
      </c>
      <c r="I163" s="0" t="s">
        <v>102</v>
      </c>
      <c r="J163" s="0" t="s">
        <v>103</v>
      </c>
      <c r="K163" s="0" t="s">
        <v>4363</v>
      </c>
      <c r="L163" s="0" t="str">
        <f aca="false">IFERROR(VLOOKUP(K163,'Supplier list'!B:C,2,0),"")</f>
        <v>บริษัท เมโทรพูนทรัพย์ จำกัด</v>
      </c>
      <c r="M163" s="1" t="n">
        <f aca="false">FALSE()</f>
        <v>0</v>
      </c>
      <c r="N163" s="2"/>
      <c r="O163" s="2" t="n">
        <v>515</v>
      </c>
    </row>
    <row r="164" customFormat="false" ht="16.4" hidden="false" customHeight="false" outlineLevel="0" collapsed="false">
      <c r="A164" s="0" t="s">
        <v>15</v>
      </c>
      <c r="B164" s="0" t="s">
        <v>4644</v>
      </c>
      <c r="C164" s="0" t="n">
        <v>114001</v>
      </c>
      <c r="D164" s="0" t="n">
        <v>114001</v>
      </c>
      <c r="E164" s="0" t="s">
        <v>4174</v>
      </c>
      <c r="F164" s="0" t="s">
        <v>18</v>
      </c>
      <c r="G164" s="7" t="s">
        <v>4645</v>
      </c>
      <c r="H164" s="0" t="s">
        <v>4646</v>
      </c>
      <c r="I164" s="0" t="s">
        <v>396</v>
      </c>
      <c r="J164" s="0" t="s">
        <v>397</v>
      </c>
      <c r="K164" s="0" t="s">
        <v>4203</v>
      </c>
      <c r="L164" s="0" t="str">
        <f aca="false">IFERROR(VLOOKUP(K164,'Supplier list'!B:C,2,0),"")</f>
        <v>บริษัท 9889 Thailnd</v>
      </c>
      <c r="M164" s="1" t="n">
        <f aca="false">FALSE()</f>
        <v>0</v>
      </c>
      <c r="N164" s="2"/>
      <c r="O164" s="2" t="n">
        <v>6.8</v>
      </c>
    </row>
    <row r="165" customFormat="false" ht="16.4" hidden="false" customHeight="false" outlineLevel="0" collapsed="false">
      <c r="A165" s="0" t="s">
        <v>15</v>
      </c>
      <c r="B165" s="0" t="s">
        <v>4647</v>
      </c>
      <c r="C165" s="0" t="n">
        <v>114001</v>
      </c>
      <c r="D165" s="0" t="n">
        <v>114001</v>
      </c>
      <c r="E165" s="0" t="s">
        <v>4174</v>
      </c>
      <c r="F165" s="0" t="s">
        <v>18</v>
      </c>
      <c r="G165" s="7" t="s">
        <v>4648</v>
      </c>
      <c r="H165" s="0" t="s">
        <v>4649</v>
      </c>
      <c r="I165" s="0" t="s">
        <v>102</v>
      </c>
      <c r="J165" s="0" t="s">
        <v>103</v>
      </c>
      <c r="K165" s="0" t="s">
        <v>303</v>
      </c>
      <c r="L165" s="0" t="str">
        <f aca="false">IFERROR(VLOOKUP(K165,'Supplier list'!B:C,2,0),"")</f>
        <v>บริษัท เอ็มเค วู้ดเทค จำกัด</v>
      </c>
      <c r="M165" s="1" t="n">
        <f aca="false">FALSE()</f>
        <v>0</v>
      </c>
      <c r="N165" s="2"/>
      <c r="O165" s="2" t="n">
        <v>960</v>
      </c>
    </row>
    <row r="166" customFormat="false" ht="16.4" hidden="false" customHeight="false" outlineLevel="0" collapsed="false">
      <c r="A166" s="0" t="s">
        <v>15</v>
      </c>
      <c r="B166" s="0" t="s">
        <v>4650</v>
      </c>
      <c r="C166" s="0" t="n">
        <v>114001</v>
      </c>
      <c r="D166" s="0" t="n">
        <v>114001</v>
      </c>
      <c r="E166" s="0" t="s">
        <v>4174</v>
      </c>
      <c r="F166" s="0" t="s">
        <v>18</v>
      </c>
      <c r="G166" s="7" t="s">
        <v>4651</v>
      </c>
      <c r="H166" s="0" t="s">
        <v>4652</v>
      </c>
      <c r="I166" s="0" t="s">
        <v>102</v>
      </c>
      <c r="J166" s="0" t="s">
        <v>103</v>
      </c>
      <c r="K166" s="0" t="s">
        <v>4193</v>
      </c>
      <c r="L166" s="0" t="str">
        <f aca="false">IFERROR(VLOOKUP(K166,'Supplier list'!B:C,2,0),"")</f>
        <v>บริษัท ไท่ ชาง อินเตอร์เนชั่นแนล คอมเมอร์เชียล เทรด จำกัด</v>
      </c>
      <c r="M166" s="1" t="n">
        <f aca="false">FALSE()</f>
        <v>0</v>
      </c>
      <c r="N166" s="2"/>
      <c r="O166" s="2" t="n">
        <v>960</v>
      </c>
    </row>
    <row r="167" customFormat="false" ht="16.4" hidden="false" customHeight="false" outlineLevel="0" collapsed="false">
      <c r="A167" s="0" t="s">
        <v>15</v>
      </c>
      <c r="B167" s="0" t="s">
        <v>4653</v>
      </c>
      <c r="C167" s="0" t="n">
        <v>114001</v>
      </c>
      <c r="D167" s="0" t="n">
        <v>114001</v>
      </c>
      <c r="E167" s="0" t="s">
        <v>4174</v>
      </c>
      <c r="F167" s="0" t="s">
        <v>18</v>
      </c>
      <c r="G167" s="7" t="s">
        <v>4654</v>
      </c>
      <c r="H167" s="0" t="s">
        <v>4655</v>
      </c>
      <c r="I167" s="0" t="s">
        <v>396</v>
      </c>
      <c r="J167" s="0" t="s">
        <v>397</v>
      </c>
      <c r="K167" s="0" t="s">
        <v>4203</v>
      </c>
      <c r="L167" s="0" t="str">
        <f aca="false">IFERROR(VLOOKUP(K167,'Supplier list'!B:C,2,0),"")</f>
        <v>บริษัท 9889 Thailnd</v>
      </c>
      <c r="M167" s="1" t="n">
        <f aca="false">FALSE()</f>
        <v>0</v>
      </c>
      <c r="N167" s="2"/>
      <c r="O167" s="2" t="n">
        <v>6.8</v>
      </c>
    </row>
    <row r="168" customFormat="false" ht="16.4" hidden="false" customHeight="false" outlineLevel="0" collapsed="false">
      <c r="A168" s="0" t="s">
        <v>15</v>
      </c>
      <c r="B168" s="0" t="s">
        <v>4656</v>
      </c>
      <c r="C168" s="0" t="n">
        <v>114001</v>
      </c>
      <c r="D168" s="0" t="n">
        <v>114001</v>
      </c>
      <c r="E168" s="0" t="s">
        <v>4174</v>
      </c>
      <c r="F168" s="0" t="s">
        <v>18</v>
      </c>
      <c r="G168" s="7" t="s">
        <v>4657</v>
      </c>
      <c r="H168" s="0" t="s">
        <v>4658</v>
      </c>
      <c r="I168" s="0" t="s">
        <v>396</v>
      </c>
      <c r="J168" s="0" t="s">
        <v>397</v>
      </c>
      <c r="K168" s="0" t="s">
        <v>4203</v>
      </c>
      <c r="L168" s="0" t="str">
        <f aca="false">IFERROR(VLOOKUP(K168,'Supplier list'!B:C,2,0),"")</f>
        <v>บริษัท 9889 Thailnd</v>
      </c>
      <c r="M168" s="1" t="n">
        <f aca="false">FALSE()</f>
        <v>0</v>
      </c>
      <c r="N168" s="2"/>
      <c r="O168" s="2" t="n">
        <v>6.8</v>
      </c>
    </row>
    <row r="169" customFormat="false" ht="16.4" hidden="false" customHeight="false" outlineLevel="0" collapsed="false">
      <c r="A169" s="0" t="s">
        <v>15</v>
      </c>
      <c r="B169" s="0" t="s">
        <v>4659</v>
      </c>
      <c r="C169" s="0" t="n">
        <v>114001</v>
      </c>
      <c r="D169" s="0" t="n">
        <v>114001</v>
      </c>
      <c r="E169" s="0" t="s">
        <v>4174</v>
      </c>
      <c r="F169" s="0" t="s">
        <v>18</v>
      </c>
      <c r="G169" s="7" t="s">
        <v>4660</v>
      </c>
      <c r="H169" s="0" t="s">
        <v>4661</v>
      </c>
      <c r="I169" s="0" t="s">
        <v>396</v>
      </c>
      <c r="J169" s="0" t="s">
        <v>397</v>
      </c>
      <c r="K169" s="0" t="s">
        <v>4203</v>
      </c>
      <c r="L169" s="0" t="str">
        <f aca="false">IFERROR(VLOOKUP(K169,'Supplier list'!B:C,2,0),"")</f>
        <v>บริษัท 9889 Thailnd</v>
      </c>
      <c r="M169" s="1" t="n">
        <f aca="false">FALSE()</f>
        <v>0</v>
      </c>
      <c r="N169" s="2"/>
      <c r="O169" s="2" t="n">
        <v>6.8</v>
      </c>
    </row>
    <row r="170" customFormat="false" ht="16.4" hidden="false" customHeight="false" outlineLevel="0" collapsed="false">
      <c r="A170" s="0" t="s">
        <v>15</v>
      </c>
      <c r="B170" s="0" t="s">
        <v>4662</v>
      </c>
      <c r="C170" s="0" t="n">
        <v>114001</v>
      </c>
      <c r="D170" s="0" t="n">
        <v>114001</v>
      </c>
      <c r="E170" s="0" t="s">
        <v>4174</v>
      </c>
      <c r="F170" s="0" t="s">
        <v>18</v>
      </c>
      <c r="G170" s="7" t="s">
        <v>4663</v>
      </c>
      <c r="H170" s="0" t="s">
        <v>4664</v>
      </c>
      <c r="I170" s="0" t="s">
        <v>396</v>
      </c>
      <c r="J170" s="0" t="s">
        <v>397</v>
      </c>
      <c r="K170" s="0" t="s">
        <v>4203</v>
      </c>
      <c r="L170" s="0" t="str">
        <f aca="false">IFERROR(VLOOKUP(K170,'Supplier list'!B:C,2,0),"")</f>
        <v>บริษัท 9889 Thailnd</v>
      </c>
      <c r="M170" s="1" t="n">
        <f aca="false">FALSE()</f>
        <v>0</v>
      </c>
      <c r="N170" s="2"/>
      <c r="O170" s="2" t="n">
        <v>6.8</v>
      </c>
    </row>
    <row r="171" customFormat="false" ht="16.4" hidden="false" customHeight="false" outlineLevel="0" collapsed="false">
      <c r="A171" s="0" t="s">
        <v>15</v>
      </c>
      <c r="B171" s="0" t="s">
        <v>4665</v>
      </c>
      <c r="C171" s="0" t="n">
        <v>114001</v>
      </c>
      <c r="D171" s="0" t="n">
        <v>114001</v>
      </c>
      <c r="E171" s="0" t="s">
        <v>4174</v>
      </c>
      <c r="F171" s="0" t="s">
        <v>18</v>
      </c>
      <c r="G171" s="7" t="s">
        <v>4666</v>
      </c>
      <c r="H171" s="0" t="s">
        <v>4667</v>
      </c>
      <c r="I171" s="0" t="s">
        <v>396</v>
      </c>
      <c r="J171" s="0" t="s">
        <v>397</v>
      </c>
      <c r="K171" s="0" t="s">
        <v>4203</v>
      </c>
      <c r="L171" s="0" t="str">
        <f aca="false">IFERROR(VLOOKUP(K171,'Supplier list'!B:C,2,0),"")</f>
        <v>บริษัท 9889 Thailnd</v>
      </c>
      <c r="M171" s="1" t="n">
        <f aca="false">FALSE()</f>
        <v>0</v>
      </c>
      <c r="N171" s="2"/>
      <c r="O171" s="2" t="n">
        <v>8.1</v>
      </c>
    </row>
    <row r="172" customFormat="false" ht="16.4" hidden="false" customHeight="false" outlineLevel="0" collapsed="false">
      <c r="A172" s="0" t="s">
        <v>15</v>
      </c>
      <c r="B172" s="0" t="s">
        <v>4668</v>
      </c>
      <c r="C172" s="0" t="n">
        <v>114001</v>
      </c>
      <c r="D172" s="0" t="n">
        <v>114001</v>
      </c>
      <c r="E172" s="0" t="s">
        <v>4174</v>
      </c>
      <c r="F172" s="0" t="s">
        <v>18</v>
      </c>
      <c r="G172" s="7" t="s">
        <v>4669</v>
      </c>
      <c r="H172" s="0" t="s">
        <v>4670</v>
      </c>
      <c r="I172" s="0" t="s">
        <v>396</v>
      </c>
      <c r="J172" s="0" t="s">
        <v>397</v>
      </c>
      <c r="K172" s="0" t="s">
        <v>4203</v>
      </c>
      <c r="L172" s="0" t="str">
        <f aca="false">IFERROR(VLOOKUP(K172,'Supplier list'!B:C,2,0),"")</f>
        <v>บริษัท 9889 Thailnd</v>
      </c>
      <c r="M172" s="1" t="n">
        <f aca="false">FALSE()</f>
        <v>0</v>
      </c>
      <c r="N172" s="2"/>
      <c r="O172" s="2" t="n">
        <v>6.5</v>
      </c>
    </row>
    <row r="173" customFormat="false" ht="16.4" hidden="false" customHeight="false" outlineLevel="0" collapsed="false">
      <c r="A173" s="0" t="s">
        <v>15</v>
      </c>
      <c r="B173" s="0" t="s">
        <v>4671</v>
      </c>
      <c r="C173" s="0" t="n">
        <v>114001</v>
      </c>
      <c r="D173" s="0" t="n">
        <v>114001</v>
      </c>
      <c r="E173" s="0" t="s">
        <v>4174</v>
      </c>
      <c r="F173" s="0" t="s">
        <v>18</v>
      </c>
      <c r="G173" s="7" t="s">
        <v>4672</v>
      </c>
      <c r="H173" s="0" t="s">
        <v>4673</v>
      </c>
      <c r="I173" s="0" t="s">
        <v>396</v>
      </c>
      <c r="J173" s="0" t="s">
        <v>397</v>
      </c>
      <c r="K173" s="0" t="s">
        <v>4203</v>
      </c>
      <c r="L173" s="0" t="str">
        <f aca="false">IFERROR(VLOOKUP(K173,'Supplier list'!B:C,2,0),"")</f>
        <v>บริษัท 9889 Thailnd</v>
      </c>
      <c r="M173" s="1" t="n">
        <f aca="false">FALSE()</f>
        <v>0</v>
      </c>
      <c r="N173" s="2"/>
      <c r="O173" s="2" t="n">
        <v>6.8</v>
      </c>
    </row>
    <row r="174" customFormat="false" ht="16.4" hidden="false" customHeight="false" outlineLevel="0" collapsed="false">
      <c r="A174" s="0" t="s">
        <v>15</v>
      </c>
      <c r="B174" s="0" t="s">
        <v>4674</v>
      </c>
      <c r="C174" s="0" t="n">
        <v>114001</v>
      </c>
      <c r="D174" s="0" t="n">
        <v>114001</v>
      </c>
      <c r="E174" s="0" t="s">
        <v>4174</v>
      </c>
      <c r="F174" s="0" t="s">
        <v>18</v>
      </c>
      <c r="G174" s="7" t="s">
        <v>4675</v>
      </c>
      <c r="H174" s="0" t="s">
        <v>4676</v>
      </c>
      <c r="I174" s="0" t="s">
        <v>396</v>
      </c>
      <c r="J174" s="0" t="s">
        <v>397</v>
      </c>
      <c r="K174" s="0" t="s">
        <v>4203</v>
      </c>
      <c r="L174" s="0" t="str">
        <f aca="false">IFERROR(VLOOKUP(K174,'Supplier list'!B:C,2,0),"")</f>
        <v>บริษัท 9889 Thailnd</v>
      </c>
      <c r="M174" s="1" t="n">
        <f aca="false">FALSE()</f>
        <v>0</v>
      </c>
      <c r="N174" s="2"/>
      <c r="O174" s="2" t="n">
        <v>6.8</v>
      </c>
    </row>
    <row r="175" customFormat="false" ht="16.4" hidden="false" customHeight="false" outlineLevel="0" collapsed="false">
      <c r="A175" s="0" t="s">
        <v>15</v>
      </c>
      <c r="B175" s="0" t="s">
        <v>4677</v>
      </c>
      <c r="C175" s="0" t="n">
        <v>114001</v>
      </c>
      <c r="D175" s="0" t="n">
        <v>114001</v>
      </c>
      <c r="E175" s="0" t="s">
        <v>4174</v>
      </c>
      <c r="F175" s="0" t="s">
        <v>18</v>
      </c>
      <c r="G175" s="7" t="s">
        <v>4678</v>
      </c>
      <c r="H175" s="0" t="s">
        <v>4679</v>
      </c>
      <c r="I175" s="0" t="s">
        <v>102</v>
      </c>
      <c r="J175" s="0" t="s">
        <v>103</v>
      </c>
      <c r="K175" s="0" t="s">
        <v>303</v>
      </c>
      <c r="L175" s="0" t="str">
        <f aca="false">IFERROR(VLOOKUP(K175,'Supplier list'!B:C,2,0),"")</f>
        <v>บริษัท เอ็มเค วู้ดเทค จำกัด</v>
      </c>
      <c r="M175" s="1" t="n">
        <f aca="false">FALSE()</f>
        <v>0</v>
      </c>
      <c r="N175" s="2"/>
      <c r="O175" s="2" t="n">
        <v>430</v>
      </c>
    </row>
    <row r="176" customFormat="false" ht="16.4" hidden="false" customHeight="false" outlineLevel="0" collapsed="false">
      <c r="A176" s="0" t="s">
        <v>15</v>
      </c>
      <c r="B176" s="0" t="s">
        <v>4680</v>
      </c>
      <c r="C176" s="0" t="n">
        <v>114001</v>
      </c>
      <c r="D176" s="0" t="n">
        <v>114001</v>
      </c>
      <c r="E176" s="0" t="s">
        <v>4174</v>
      </c>
      <c r="F176" s="0" t="s">
        <v>18</v>
      </c>
      <c r="G176" s="7" t="s">
        <v>4681</v>
      </c>
      <c r="H176" s="0" t="s">
        <v>4682</v>
      </c>
      <c r="I176" s="0" t="s">
        <v>102</v>
      </c>
      <c r="J176" s="0" t="s">
        <v>103</v>
      </c>
      <c r="K176" s="0" t="s">
        <v>303</v>
      </c>
      <c r="L176" s="0" t="str">
        <f aca="false">IFERROR(VLOOKUP(K176,'Supplier list'!B:C,2,0),"")</f>
        <v>บริษัท เอ็มเค วู้ดเทค จำกัด</v>
      </c>
      <c r="M176" s="1" t="n">
        <f aca="false">FALSE()</f>
        <v>0</v>
      </c>
      <c r="N176" s="2"/>
      <c r="O176" s="2" t="n">
        <v>570</v>
      </c>
    </row>
    <row r="177" customFormat="false" ht="16.4" hidden="false" customHeight="false" outlineLevel="0" collapsed="false">
      <c r="A177" s="0" t="s">
        <v>15</v>
      </c>
      <c r="B177" s="0" t="s">
        <v>4683</v>
      </c>
      <c r="C177" s="0" t="n">
        <v>114001</v>
      </c>
      <c r="D177" s="0" t="n">
        <v>114001</v>
      </c>
      <c r="E177" s="0" t="s">
        <v>4174</v>
      </c>
      <c r="F177" s="0" t="s">
        <v>18</v>
      </c>
      <c r="G177" s="7" t="s">
        <v>4684</v>
      </c>
      <c r="H177" s="0" t="s">
        <v>4685</v>
      </c>
      <c r="I177" s="0" t="s">
        <v>102</v>
      </c>
      <c r="J177" s="0" t="s">
        <v>103</v>
      </c>
      <c r="K177" s="0" t="s">
        <v>303</v>
      </c>
      <c r="L177" s="0" t="str">
        <f aca="false">IFERROR(VLOOKUP(K177,'Supplier list'!B:C,2,0),"")</f>
        <v>บริษัท เอ็มเค วู้ดเทค จำกัด</v>
      </c>
      <c r="M177" s="1" t="n">
        <f aca="false">FALSE()</f>
        <v>0</v>
      </c>
      <c r="N177" s="2"/>
      <c r="O177" s="2" t="n">
        <v>570</v>
      </c>
    </row>
    <row r="178" customFormat="false" ht="16.4" hidden="false" customHeight="false" outlineLevel="0" collapsed="false">
      <c r="A178" s="0" t="s">
        <v>15</v>
      </c>
      <c r="B178" s="0" t="s">
        <v>4686</v>
      </c>
      <c r="C178" s="0" t="n">
        <v>114001</v>
      </c>
      <c r="D178" s="0" t="n">
        <v>114001</v>
      </c>
      <c r="E178" s="0" t="s">
        <v>4174</v>
      </c>
      <c r="F178" s="0" t="s">
        <v>18</v>
      </c>
      <c r="G178" s="7" t="s">
        <v>4687</v>
      </c>
      <c r="H178" s="0" t="s">
        <v>4688</v>
      </c>
      <c r="I178" s="0" t="s">
        <v>102</v>
      </c>
      <c r="J178" s="0" t="s">
        <v>103</v>
      </c>
      <c r="K178" s="0" t="s">
        <v>303</v>
      </c>
      <c r="L178" s="0" t="str">
        <f aca="false">IFERROR(VLOOKUP(K178,'Supplier list'!B:C,2,0),"")</f>
        <v>บริษัท เอ็มเค วู้ดเทค จำกัด</v>
      </c>
      <c r="M178" s="1" t="n">
        <f aca="false">FALSE()</f>
        <v>0</v>
      </c>
      <c r="N178" s="2"/>
      <c r="O178" s="2" t="n">
        <v>570</v>
      </c>
    </row>
    <row r="179" customFormat="false" ht="16.4" hidden="false" customHeight="false" outlineLevel="0" collapsed="false">
      <c r="A179" s="0" t="s">
        <v>15</v>
      </c>
      <c r="B179" s="0" t="s">
        <v>4689</v>
      </c>
      <c r="C179" s="0" t="n">
        <v>114001</v>
      </c>
      <c r="D179" s="0" t="n">
        <v>114001</v>
      </c>
      <c r="E179" s="0" t="s">
        <v>4174</v>
      </c>
      <c r="F179" s="0" t="s">
        <v>18</v>
      </c>
      <c r="G179" s="7" t="s">
        <v>4690</v>
      </c>
      <c r="H179" s="0" t="s">
        <v>4691</v>
      </c>
      <c r="I179" s="0" t="s">
        <v>102</v>
      </c>
      <c r="J179" s="0" t="s">
        <v>103</v>
      </c>
      <c r="K179" s="0" t="s">
        <v>303</v>
      </c>
      <c r="L179" s="0" t="str">
        <f aca="false">IFERROR(VLOOKUP(K179,'Supplier list'!B:C,2,0),"")</f>
        <v>บริษัท เอ็มเค วู้ดเทค จำกัด</v>
      </c>
      <c r="M179" s="1" t="n">
        <f aca="false">FALSE()</f>
        <v>0</v>
      </c>
      <c r="N179" s="2"/>
      <c r="O179" s="2" t="n">
        <v>510</v>
      </c>
    </row>
    <row r="180" customFormat="false" ht="16.4" hidden="false" customHeight="false" outlineLevel="0" collapsed="false">
      <c r="A180" s="0" t="s">
        <v>15</v>
      </c>
      <c r="B180" s="0" t="s">
        <v>4692</v>
      </c>
      <c r="C180" s="0" t="n">
        <v>114001</v>
      </c>
      <c r="D180" s="0" t="n">
        <v>114001</v>
      </c>
      <c r="E180" s="0" t="s">
        <v>4174</v>
      </c>
      <c r="F180" s="0" t="s">
        <v>18</v>
      </c>
      <c r="G180" s="7" t="s">
        <v>4693</v>
      </c>
      <c r="H180" s="0" t="s">
        <v>4694</v>
      </c>
      <c r="I180" s="0" t="s">
        <v>102</v>
      </c>
      <c r="J180" s="0" t="s">
        <v>103</v>
      </c>
      <c r="K180" s="0" t="s">
        <v>303</v>
      </c>
      <c r="L180" s="0" t="str">
        <f aca="false">IFERROR(VLOOKUP(K180,'Supplier list'!B:C,2,0),"")</f>
        <v>บริษัท เอ็มเค วู้ดเทค จำกัด</v>
      </c>
      <c r="M180" s="1" t="n">
        <f aca="false">FALSE()</f>
        <v>0</v>
      </c>
      <c r="N180" s="2"/>
      <c r="O180" s="2" t="n">
        <v>330</v>
      </c>
    </row>
    <row r="181" customFormat="false" ht="16.4" hidden="false" customHeight="false" outlineLevel="0" collapsed="false">
      <c r="A181" s="0" t="s">
        <v>15</v>
      </c>
      <c r="B181" s="0" t="s">
        <v>4695</v>
      </c>
      <c r="C181" s="0" t="n">
        <v>114001</v>
      </c>
      <c r="D181" s="0" t="n">
        <v>114001</v>
      </c>
      <c r="E181" s="0" t="s">
        <v>4174</v>
      </c>
      <c r="F181" s="0" t="s">
        <v>18</v>
      </c>
      <c r="G181" s="7" t="s">
        <v>4696</v>
      </c>
      <c r="H181" s="0" t="s">
        <v>4697</v>
      </c>
      <c r="I181" s="0" t="s">
        <v>102</v>
      </c>
      <c r="J181" s="0" t="s">
        <v>103</v>
      </c>
      <c r="K181" s="0" t="s">
        <v>303</v>
      </c>
      <c r="L181" s="0" t="str">
        <f aca="false">IFERROR(VLOOKUP(K181,'Supplier list'!B:C,2,0),"")</f>
        <v>บริษัท เอ็มเค วู้ดเทค จำกัด</v>
      </c>
      <c r="M181" s="1" t="n">
        <f aca="false">FALSE()</f>
        <v>0</v>
      </c>
      <c r="N181" s="2"/>
      <c r="O181" s="2" t="n">
        <v>730</v>
      </c>
    </row>
    <row r="182" customFormat="false" ht="16.4" hidden="false" customHeight="false" outlineLevel="0" collapsed="false">
      <c r="A182" s="0" t="s">
        <v>15</v>
      </c>
      <c r="B182" s="0" t="s">
        <v>4698</v>
      </c>
      <c r="C182" s="0" t="n">
        <v>114001</v>
      </c>
      <c r="D182" s="0" t="n">
        <v>114001</v>
      </c>
      <c r="E182" s="0" t="s">
        <v>4174</v>
      </c>
      <c r="F182" s="0" t="s">
        <v>18</v>
      </c>
      <c r="G182" s="7" t="s">
        <v>4699</v>
      </c>
      <c r="H182" s="0" t="s">
        <v>4700</v>
      </c>
      <c r="I182" s="0" t="s">
        <v>102</v>
      </c>
      <c r="J182" s="0" t="s">
        <v>103</v>
      </c>
      <c r="K182" s="0" t="s">
        <v>303</v>
      </c>
      <c r="L182" s="0" t="str">
        <f aca="false">IFERROR(VLOOKUP(K182,'Supplier list'!B:C,2,0),"")</f>
        <v>บริษัท เอ็มเค วู้ดเทค จำกัด</v>
      </c>
      <c r="M182" s="1" t="n">
        <f aca="false">FALSE()</f>
        <v>0</v>
      </c>
      <c r="N182" s="2"/>
      <c r="O182" s="2" t="n">
        <v>730</v>
      </c>
    </row>
    <row r="183" customFormat="false" ht="16.4" hidden="false" customHeight="false" outlineLevel="0" collapsed="false">
      <c r="A183" s="0" t="s">
        <v>15</v>
      </c>
      <c r="B183" s="0" t="s">
        <v>4701</v>
      </c>
      <c r="C183" s="0" t="n">
        <v>114001</v>
      </c>
      <c r="D183" s="0" t="n">
        <v>114001</v>
      </c>
      <c r="E183" s="0" t="s">
        <v>4174</v>
      </c>
      <c r="F183" s="0" t="s">
        <v>18</v>
      </c>
      <c r="G183" s="7" t="s">
        <v>4702</v>
      </c>
      <c r="H183" s="0" t="s">
        <v>4703</v>
      </c>
      <c r="I183" s="0" t="s">
        <v>102</v>
      </c>
      <c r="J183" s="0" t="s">
        <v>103</v>
      </c>
      <c r="K183" s="0" t="s">
        <v>303</v>
      </c>
      <c r="L183" s="0" t="str">
        <f aca="false">IFERROR(VLOOKUP(K183,'Supplier list'!B:C,2,0),"")</f>
        <v>บริษัท เอ็มเค วู้ดเทค จำกัด</v>
      </c>
      <c r="M183" s="1" t="n">
        <f aca="false">FALSE()</f>
        <v>0</v>
      </c>
      <c r="N183" s="2"/>
      <c r="O183" s="2" t="n">
        <v>730</v>
      </c>
    </row>
    <row r="184" customFormat="false" ht="16.4" hidden="false" customHeight="false" outlineLevel="0" collapsed="false">
      <c r="A184" s="0" t="s">
        <v>15</v>
      </c>
      <c r="B184" s="0" t="s">
        <v>4704</v>
      </c>
      <c r="C184" s="0" t="n">
        <v>114001</v>
      </c>
      <c r="D184" s="0" t="n">
        <v>114001</v>
      </c>
      <c r="E184" s="0" t="s">
        <v>4174</v>
      </c>
      <c r="F184" s="0" t="s">
        <v>18</v>
      </c>
      <c r="G184" s="7" t="s">
        <v>4705</v>
      </c>
      <c r="H184" s="0" t="s">
        <v>4706</v>
      </c>
      <c r="I184" s="0" t="s">
        <v>102</v>
      </c>
      <c r="J184" s="0" t="s">
        <v>103</v>
      </c>
      <c r="K184" s="0" t="s">
        <v>303</v>
      </c>
      <c r="L184" s="0" t="str">
        <f aca="false">IFERROR(VLOOKUP(K184,'Supplier list'!B:C,2,0),"")</f>
        <v>บริษัท เอ็มเค วู้ดเทค จำกัด</v>
      </c>
      <c r="M184" s="1" t="n">
        <f aca="false">FALSE()</f>
        <v>0</v>
      </c>
      <c r="N184" s="2"/>
      <c r="O184" s="2" t="n">
        <v>730</v>
      </c>
    </row>
    <row r="185" customFormat="false" ht="16.4" hidden="false" customHeight="false" outlineLevel="0" collapsed="false">
      <c r="A185" s="0" t="s">
        <v>15</v>
      </c>
      <c r="B185" s="0" t="s">
        <v>4707</v>
      </c>
      <c r="C185" s="0" t="n">
        <v>114001</v>
      </c>
      <c r="D185" s="0" t="n">
        <v>114001</v>
      </c>
      <c r="E185" s="0" t="s">
        <v>4174</v>
      </c>
      <c r="F185" s="0" t="s">
        <v>18</v>
      </c>
      <c r="G185" s="7" t="s">
        <v>4708</v>
      </c>
      <c r="H185" s="0" t="s">
        <v>4709</v>
      </c>
      <c r="I185" s="0" t="s">
        <v>102</v>
      </c>
      <c r="J185" s="0" t="s">
        <v>103</v>
      </c>
      <c r="K185" s="0" t="s">
        <v>303</v>
      </c>
      <c r="L185" s="0" t="str">
        <f aca="false">IFERROR(VLOOKUP(K185,'Supplier list'!B:C,2,0),"")</f>
        <v>บริษัท เอ็มเค วู้ดเทค จำกัด</v>
      </c>
      <c r="M185" s="1" t="n">
        <f aca="false">FALSE()</f>
        <v>0</v>
      </c>
      <c r="N185" s="2"/>
      <c r="O185" s="2" t="n">
        <v>730</v>
      </c>
    </row>
    <row r="186" customFormat="false" ht="16.4" hidden="false" customHeight="false" outlineLevel="0" collapsed="false">
      <c r="A186" s="0" t="s">
        <v>15</v>
      </c>
      <c r="B186" s="0" t="s">
        <v>4710</v>
      </c>
      <c r="C186" s="0" t="n">
        <v>114001</v>
      </c>
      <c r="D186" s="0" t="n">
        <v>114001</v>
      </c>
      <c r="E186" s="0" t="s">
        <v>4174</v>
      </c>
      <c r="F186" s="0" t="s">
        <v>18</v>
      </c>
      <c r="G186" s="7" t="s">
        <v>4711</v>
      </c>
      <c r="H186" s="0" t="s">
        <v>4712</v>
      </c>
      <c r="I186" s="0" t="s">
        <v>396</v>
      </c>
      <c r="J186" s="0" t="s">
        <v>397</v>
      </c>
      <c r="K186" s="0" t="s">
        <v>4203</v>
      </c>
      <c r="L186" s="0" t="str">
        <f aca="false">IFERROR(VLOOKUP(K186,'Supplier list'!B:C,2,0),"")</f>
        <v>บริษัท 9889 Thailnd</v>
      </c>
      <c r="M186" s="1" t="n">
        <f aca="false">FALSE()</f>
        <v>0</v>
      </c>
      <c r="N186" s="2"/>
      <c r="O186" s="2" t="n">
        <v>6.8</v>
      </c>
    </row>
    <row r="187" customFormat="false" ht="16.4" hidden="false" customHeight="false" outlineLevel="0" collapsed="false">
      <c r="A187" s="0" t="s">
        <v>15</v>
      </c>
      <c r="B187" s="0" t="s">
        <v>4713</v>
      </c>
      <c r="C187" s="0" t="n">
        <v>114001</v>
      </c>
      <c r="D187" s="0" t="n">
        <v>114001</v>
      </c>
      <c r="E187" s="0" t="s">
        <v>4174</v>
      </c>
      <c r="F187" s="0" t="s">
        <v>18</v>
      </c>
      <c r="G187" s="7" t="s">
        <v>4714</v>
      </c>
      <c r="H187" s="0" t="s">
        <v>4715</v>
      </c>
      <c r="I187" s="0" t="s">
        <v>102</v>
      </c>
      <c r="J187" s="0" t="s">
        <v>103</v>
      </c>
      <c r="K187" s="0" t="s">
        <v>303</v>
      </c>
      <c r="L187" s="0" t="str">
        <f aca="false">IFERROR(VLOOKUP(K187,'Supplier list'!B:C,2,0),"")</f>
        <v>บริษัท เอ็มเค วู้ดเทค จำกัด</v>
      </c>
      <c r="M187" s="1" t="n">
        <f aca="false">FALSE()</f>
        <v>0</v>
      </c>
      <c r="N187" s="2"/>
      <c r="O187" s="2" t="n">
        <v>960</v>
      </c>
    </row>
    <row r="188" customFormat="false" ht="16.4" hidden="false" customHeight="false" outlineLevel="0" collapsed="false">
      <c r="A188" s="0" t="s">
        <v>15</v>
      </c>
      <c r="B188" s="0" t="s">
        <v>4716</v>
      </c>
      <c r="C188" s="0" t="n">
        <v>114001</v>
      </c>
      <c r="D188" s="0" t="n">
        <v>114001</v>
      </c>
      <c r="E188" s="0" t="s">
        <v>4174</v>
      </c>
      <c r="F188" s="0" t="s">
        <v>18</v>
      </c>
      <c r="G188" s="7" t="s">
        <v>4717</v>
      </c>
      <c r="H188" s="0" t="s">
        <v>4718</v>
      </c>
      <c r="I188" s="0" t="s">
        <v>102</v>
      </c>
      <c r="J188" s="0" t="s">
        <v>103</v>
      </c>
      <c r="K188" s="0" t="s">
        <v>303</v>
      </c>
      <c r="L188" s="0" t="str">
        <f aca="false">IFERROR(VLOOKUP(K188,'Supplier list'!B:C,2,0),"")</f>
        <v>บริษัท เอ็มเค วู้ดเทค จำกัด</v>
      </c>
      <c r="M188" s="1" t="n">
        <f aca="false">FALSE()</f>
        <v>0</v>
      </c>
      <c r="N188" s="2"/>
      <c r="O188" s="2" t="n">
        <v>960</v>
      </c>
    </row>
    <row r="189" customFormat="false" ht="16.4" hidden="false" customHeight="false" outlineLevel="0" collapsed="false">
      <c r="A189" s="0" t="s">
        <v>15</v>
      </c>
      <c r="B189" s="0" t="s">
        <v>4719</v>
      </c>
      <c r="C189" s="0" t="n">
        <v>114001</v>
      </c>
      <c r="D189" s="0" t="n">
        <v>114001</v>
      </c>
      <c r="E189" s="0" t="s">
        <v>4174</v>
      </c>
      <c r="F189" s="0" t="s">
        <v>18</v>
      </c>
      <c r="G189" s="7" t="s">
        <v>4720</v>
      </c>
      <c r="H189" s="0" t="s">
        <v>4721</v>
      </c>
      <c r="I189" s="0" t="s">
        <v>102</v>
      </c>
      <c r="J189" s="0" t="s">
        <v>103</v>
      </c>
      <c r="K189" s="0" t="s">
        <v>303</v>
      </c>
      <c r="L189" s="0" t="str">
        <f aca="false">IFERROR(VLOOKUP(K189,'Supplier list'!B:C,2,0),"")</f>
        <v>บริษัท เอ็มเค วู้ดเทค จำกัด</v>
      </c>
      <c r="M189" s="1" t="n">
        <f aca="false">FALSE()</f>
        <v>0</v>
      </c>
      <c r="N189" s="2"/>
      <c r="O189" s="2" t="n">
        <v>295</v>
      </c>
    </row>
    <row r="190" customFormat="false" ht="16.4" hidden="false" customHeight="false" outlineLevel="0" collapsed="false">
      <c r="A190" s="0" t="s">
        <v>15</v>
      </c>
      <c r="B190" s="0" t="s">
        <v>4722</v>
      </c>
      <c r="C190" s="0" t="n">
        <v>114001</v>
      </c>
      <c r="D190" s="0" t="n">
        <v>114001</v>
      </c>
      <c r="E190" s="0" t="s">
        <v>4174</v>
      </c>
      <c r="F190" s="0" t="s">
        <v>18</v>
      </c>
      <c r="G190" s="7" t="s">
        <v>4723</v>
      </c>
      <c r="H190" s="0" t="s">
        <v>4724</v>
      </c>
      <c r="I190" s="0" t="s">
        <v>396</v>
      </c>
      <c r="J190" s="0" t="s">
        <v>397</v>
      </c>
      <c r="K190" s="0" t="s">
        <v>4203</v>
      </c>
      <c r="L190" s="0" t="str">
        <f aca="false">IFERROR(VLOOKUP(K190,'Supplier list'!B:C,2,0),"")</f>
        <v>บริษัท 9889 Thailnd</v>
      </c>
      <c r="M190" s="1" t="n">
        <f aca="false">FALSE()</f>
        <v>0</v>
      </c>
      <c r="N190" s="2"/>
      <c r="O190" s="2" t="n">
        <v>6.8</v>
      </c>
    </row>
    <row r="191" customFormat="false" ht="16.4" hidden="false" customHeight="false" outlineLevel="0" collapsed="false">
      <c r="A191" s="0" t="s">
        <v>15</v>
      </c>
      <c r="B191" s="0" t="s">
        <v>4725</v>
      </c>
      <c r="C191" s="0" t="n">
        <v>114001</v>
      </c>
      <c r="D191" s="0" t="n">
        <v>114001</v>
      </c>
      <c r="E191" s="0" t="s">
        <v>4174</v>
      </c>
      <c r="F191" s="0" t="s">
        <v>18</v>
      </c>
      <c r="G191" s="7" t="s">
        <v>4726</v>
      </c>
      <c r="H191" s="0" t="s">
        <v>4727</v>
      </c>
      <c r="I191" s="0" t="s">
        <v>102</v>
      </c>
      <c r="J191" s="0" t="s">
        <v>103</v>
      </c>
      <c r="K191" s="0" t="s">
        <v>303</v>
      </c>
      <c r="L191" s="0" t="str">
        <f aca="false">IFERROR(VLOOKUP(K191,'Supplier list'!B:C,2,0),"")</f>
        <v>บริษัท เอ็มเค วู้ดเทค จำกัด</v>
      </c>
      <c r="M191" s="1" t="n">
        <f aca="false">FALSE()</f>
        <v>0</v>
      </c>
      <c r="N191" s="2"/>
      <c r="O191" s="2" t="n">
        <v>960</v>
      </c>
    </row>
    <row r="192" customFormat="false" ht="16.4" hidden="false" customHeight="false" outlineLevel="0" collapsed="false">
      <c r="A192" s="0" t="s">
        <v>15</v>
      </c>
      <c r="B192" s="0" t="s">
        <v>4728</v>
      </c>
      <c r="C192" s="0" t="n">
        <v>114001</v>
      </c>
      <c r="D192" s="0" t="n">
        <v>114001</v>
      </c>
      <c r="E192" s="0" t="s">
        <v>4174</v>
      </c>
      <c r="F192" s="0" t="s">
        <v>18</v>
      </c>
      <c r="G192" s="7" t="s">
        <v>4729</v>
      </c>
      <c r="H192" s="0" t="s">
        <v>4730</v>
      </c>
      <c r="I192" s="0" t="s">
        <v>102</v>
      </c>
      <c r="J192" s="0" t="s">
        <v>103</v>
      </c>
      <c r="K192" s="0" t="s">
        <v>303</v>
      </c>
      <c r="L192" s="0" t="str">
        <f aca="false">IFERROR(VLOOKUP(K192,'Supplier list'!B:C,2,0),"")</f>
        <v>บริษัท เอ็มเค วู้ดเทค จำกัด</v>
      </c>
      <c r="M192" s="1" t="n">
        <f aca="false">FALSE()</f>
        <v>0</v>
      </c>
      <c r="N192" s="2"/>
      <c r="O192" s="2" t="n">
        <v>960</v>
      </c>
    </row>
    <row r="193" customFormat="false" ht="16.4" hidden="false" customHeight="false" outlineLevel="0" collapsed="false">
      <c r="A193" s="0" t="s">
        <v>15</v>
      </c>
      <c r="B193" s="0" t="s">
        <v>4731</v>
      </c>
      <c r="C193" s="0" t="n">
        <v>114001</v>
      </c>
      <c r="D193" s="0" t="n">
        <v>114001</v>
      </c>
      <c r="E193" s="0" t="s">
        <v>4174</v>
      </c>
      <c r="F193" s="0" t="s">
        <v>18</v>
      </c>
      <c r="G193" s="7" t="s">
        <v>4732</v>
      </c>
      <c r="H193" s="0" t="s">
        <v>4733</v>
      </c>
      <c r="I193" s="0" t="s">
        <v>102</v>
      </c>
      <c r="J193" s="0" t="s">
        <v>103</v>
      </c>
      <c r="K193" s="0" t="s">
        <v>303</v>
      </c>
      <c r="L193" s="0" t="str">
        <f aca="false">IFERROR(VLOOKUP(K193,'Supplier list'!B:C,2,0),"")</f>
        <v>บริษัท เอ็มเค วู้ดเทค จำกัด</v>
      </c>
      <c r="M193" s="1" t="n">
        <f aca="false">FALSE()</f>
        <v>0</v>
      </c>
      <c r="N193" s="2"/>
      <c r="O193" s="2" t="n">
        <v>960</v>
      </c>
    </row>
    <row r="194" customFormat="false" ht="16.4" hidden="false" customHeight="false" outlineLevel="0" collapsed="false">
      <c r="A194" s="0" t="s">
        <v>15</v>
      </c>
      <c r="B194" s="0" t="s">
        <v>4734</v>
      </c>
      <c r="C194" s="0" t="n">
        <v>114001</v>
      </c>
      <c r="D194" s="0" t="n">
        <v>114001</v>
      </c>
      <c r="E194" s="0" t="s">
        <v>4174</v>
      </c>
      <c r="F194" s="0" t="s">
        <v>18</v>
      </c>
      <c r="G194" s="7" t="s">
        <v>4735</v>
      </c>
      <c r="H194" s="0" t="s">
        <v>4736</v>
      </c>
      <c r="I194" s="0" t="s">
        <v>102</v>
      </c>
      <c r="J194" s="0" t="s">
        <v>103</v>
      </c>
      <c r="K194" s="0" t="s">
        <v>303</v>
      </c>
      <c r="L194" s="0" t="str">
        <f aca="false">IFERROR(VLOOKUP(K194,'Supplier list'!B:C,2,0),"")</f>
        <v>บริษัท เอ็มเค วู้ดเทค จำกัด</v>
      </c>
      <c r="M194" s="1" t="n">
        <f aca="false">FALSE()</f>
        <v>0</v>
      </c>
      <c r="N194" s="2"/>
      <c r="O194" s="2" t="n">
        <v>610</v>
      </c>
    </row>
    <row r="195" customFormat="false" ht="16.4" hidden="false" customHeight="false" outlineLevel="0" collapsed="false">
      <c r="A195" s="0" t="s">
        <v>15</v>
      </c>
      <c r="B195" s="0" t="s">
        <v>4737</v>
      </c>
      <c r="C195" s="0" t="n">
        <v>114001</v>
      </c>
      <c r="D195" s="0" t="n">
        <v>114001</v>
      </c>
      <c r="E195" s="0" t="s">
        <v>4174</v>
      </c>
      <c r="F195" s="0" t="s">
        <v>18</v>
      </c>
      <c r="G195" s="7" t="s">
        <v>4738</v>
      </c>
      <c r="H195" s="0" t="s">
        <v>4739</v>
      </c>
      <c r="I195" s="0" t="s">
        <v>102</v>
      </c>
      <c r="J195" s="0" t="s">
        <v>103</v>
      </c>
      <c r="K195" s="0" t="s">
        <v>303</v>
      </c>
      <c r="L195" s="0" t="str">
        <f aca="false">IFERROR(VLOOKUP(K195,'Supplier list'!B:C,2,0),"")</f>
        <v>บริษัท เอ็มเค วู้ดเทค จำกัด</v>
      </c>
      <c r="M195" s="1" t="n">
        <f aca="false">FALSE()</f>
        <v>0</v>
      </c>
      <c r="N195" s="2"/>
      <c r="O195" s="2" t="n">
        <v>960</v>
      </c>
    </row>
    <row r="196" customFormat="false" ht="16.4" hidden="false" customHeight="false" outlineLevel="0" collapsed="false">
      <c r="A196" s="0" t="s">
        <v>15</v>
      </c>
      <c r="B196" s="0" t="s">
        <v>4740</v>
      </c>
      <c r="C196" s="0" t="n">
        <v>114001</v>
      </c>
      <c r="D196" s="0" t="n">
        <v>114001</v>
      </c>
      <c r="E196" s="0" t="s">
        <v>4174</v>
      </c>
      <c r="F196" s="0" t="s">
        <v>18</v>
      </c>
      <c r="G196" s="7" t="s">
        <v>4741</v>
      </c>
      <c r="H196" s="0" t="s">
        <v>4742</v>
      </c>
      <c r="I196" s="0" t="s">
        <v>102</v>
      </c>
      <c r="J196" s="0" t="s">
        <v>103</v>
      </c>
      <c r="K196" s="0" t="s">
        <v>303</v>
      </c>
      <c r="L196" s="0" t="str">
        <f aca="false">IFERROR(VLOOKUP(K196,'Supplier list'!B:C,2,0),"")</f>
        <v>บริษัท เอ็มเค วู้ดเทค จำกัด</v>
      </c>
      <c r="M196" s="1" t="n">
        <f aca="false">FALSE()</f>
        <v>0</v>
      </c>
      <c r="N196" s="2"/>
      <c r="O196" s="2" t="n">
        <v>960</v>
      </c>
    </row>
    <row r="197" customFormat="false" ht="16.4" hidden="false" customHeight="false" outlineLevel="0" collapsed="false">
      <c r="A197" s="0" t="s">
        <v>15</v>
      </c>
      <c r="B197" s="0" t="s">
        <v>4743</v>
      </c>
      <c r="C197" s="0" t="n">
        <v>114001</v>
      </c>
      <c r="D197" s="0" t="n">
        <v>114001</v>
      </c>
      <c r="E197" s="0" t="s">
        <v>4174</v>
      </c>
      <c r="F197" s="0" t="s">
        <v>18</v>
      </c>
      <c r="G197" s="7" t="s">
        <v>4744</v>
      </c>
      <c r="H197" s="0" t="s">
        <v>4745</v>
      </c>
      <c r="I197" s="0" t="s">
        <v>396</v>
      </c>
      <c r="J197" s="0" t="s">
        <v>397</v>
      </c>
      <c r="K197" s="0" t="s">
        <v>4203</v>
      </c>
      <c r="L197" s="0" t="str">
        <f aca="false">IFERROR(VLOOKUP(K197,'Supplier list'!B:C,2,0),"")</f>
        <v>บริษัท 9889 Thailnd</v>
      </c>
      <c r="M197" s="1" t="n">
        <f aca="false">FALSE()</f>
        <v>0</v>
      </c>
      <c r="N197" s="2"/>
      <c r="O197" s="2" t="n">
        <v>6.8</v>
      </c>
    </row>
    <row r="198" customFormat="false" ht="16.4" hidden="false" customHeight="false" outlineLevel="0" collapsed="false">
      <c r="A198" s="0" t="s">
        <v>15</v>
      </c>
      <c r="B198" s="0" t="s">
        <v>4746</v>
      </c>
      <c r="C198" s="0" t="n">
        <v>114001</v>
      </c>
      <c r="D198" s="0" t="n">
        <v>114001</v>
      </c>
      <c r="E198" s="0" t="s">
        <v>4174</v>
      </c>
      <c r="F198" s="0" t="s">
        <v>18</v>
      </c>
      <c r="G198" s="7" t="s">
        <v>4747</v>
      </c>
      <c r="H198" s="0" t="s">
        <v>4748</v>
      </c>
      <c r="I198" s="0" t="s">
        <v>102</v>
      </c>
      <c r="J198" s="0" t="s">
        <v>103</v>
      </c>
      <c r="K198" s="0" t="s">
        <v>4363</v>
      </c>
      <c r="L198" s="0" t="str">
        <f aca="false">IFERROR(VLOOKUP(K198,'Supplier list'!B:C,2,0),"")</f>
        <v>บริษัท เมโทรพูนทรัพย์ จำกัด</v>
      </c>
      <c r="M198" s="1" t="n">
        <f aca="false">FALSE()</f>
        <v>0</v>
      </c>
      <c r="N198" s="2"/>
      <c r="O198" s="2" t="n">
        <v>190</v>
      </c>
    </row>
    <row r="199" customFormat="false" ht="16.4" hidden="false" customHeight="false" outlineLevel="0" collapsed="false">
      <c r="A199" s="0" t="s">
        <v>15</v>
      </c>
      <c r="B199" s="0" t="s">
        <v>4749</v>
      </c>
      <c r="C199" s="0" t="n">
        <v>114001</v>
      </c>
      <c r="D199" s="0" t="n">
        <v>114001</v>
      </c>
      <c r="E199" s="0" t="s">
        <v>4174</v>
      </c>
      <c r="F199" s="0" t="s">
        <v>18</v>
      </c>
      <c r="G199" s="7" t="s">
        <v>4750</v>
      </c>
      <c r="H199" s="0" t="s">
        <v>4751</v>
      </c>
      <c r="I199" s="0" t="s">
        <v>396</v>
      </c>
      <c r="J199" s="0" t="s">
        <v>397</v>
      </c>
      <c r="K199" s="0" t="s">
        <v>4203</v>
      </c>
      <c r="L199" s="0" t="str">
        <f aca="false">IFERROR(VLOOKUP(K199,'Supplier list'!B:C,2,0),"")</f>
        <v>บริษัท 9889 Thailnd</v>
      </c>
      <c r="M199" s="1" t="n">
        <f aca="false">FALSE()</f>
        <v>0</v>
      </c>
      <c r="N199" s="2"/>
      <c r="O199" s="2" t="n">
        <v>6.8</v>
      </c>
    </row>
    <row r="200" customFormat="false" ht="16.4" hidden="false" customHeight="false" outlineLevel="0" collapsed="false">
      <c r="A200" s="0" t="s">
        <v>15</v>
      </c>
      <c r="B200" s="0" t="s">
        <v>4752</v>
      </c>
      <c r="C200" s="0" t="n">
        <v>114001</v>
      </c>
      <c r="D200" s="0" t="n">
        <v>114001</v>
      </c>
      <c r="E200" s="0" t="s">
        <v>4174</v>
      </c>
      <c r="F200" s="0" t="s">
        <v>18</v>
      </c>
      <c r="G200" s="7" t="s">
        <v>4753</v>
      </c>
      <c r="H200" s="0" t="s">
        <v>4754</v>
      </c>
      <c r="I200" s="0" t="s">
        <v>396</v>
      </c>
      <c r="J200" s="0" t="s">
        <v>397</v>
      </c>
      <c r="K200" s="0" t="s">
        <v>4203</v>
      </c>
      <c r="L200" s="0" t="str">
        <f aca="false">IFERROR(VLOOKUP(K200,'Supplier list'!B:C,2,0),"")</f>
        <v>บริษัท 9889 Thailnd</v>
      </c>
      <c r="M200" s="1" t="n">
        <f aca="false">FALSE()</f>
        <v>0</v>
      </c>
      <c r="N200" s="2"/>
      <c r="O200" s="2" t="n">
        <v>6.8</v>
      </c>
    </row>
    <row r="201" customFormat="false" ht="16.4" hidden="false" customHeight="false" outlineLevel="0" collapsed="false">
      <c r="A201" s="0" t="s">
        <v>15</v>
      </c>
      <c r="B201" s="0" t="s">
        <v>4755</v>
      </c>
      <c r="C201" s="0" t="n">
        <v>114001</v>
      </c>
      <c r="D201" s="0" t="n">
        <v>114001</v>
      </c>
      <c r="E201" s="0" t="s">
        <v>4174</v>
      </c>
      <c r="F201" s="0" t="s">
        <v>18</v>
      </c>
      <c r="G201" s="7" t="s">
        <v>4756</v>
      </c>
      <c r="H201" s="0" t="s">
        <v>4757</v>
      </c>
      <c r="I201" s="0" t="s">
        <v>396</v>
      </c>
      <c r="J201" s="0" t="s">
        <v>397</v>
      </c>
      <c r="K201" s="0" t="s">
        <v>4203</v>
      </c>
      <c r="L201" s="0" t="str">
        <f aca="false">IFERROR(VLOOKUP(K201,'Supplier list'!B:C,2,0),"")</f>
        <v>บริษัท 9889 Thailnd</v>
      </c>
      <c r="M201" s="1" t="n">
        <f aca="false">FALSE()</f>
        <v>0</v>
      </c>
      <c r="N201" s="2"/>
      <c r="O201" s="2" t="n">
        <v>6.8</v>
      </c>
    </row>
    <row r="202" customFormat="false" ht="16.4" hidden="false" customHeight="false" outlineLevel="0" collapsed="false">
      <c r="A202" s="0" t="s">
        <v>15</v>
      </c>
      <c r="B202" s="0" t="s">
        <v>4758</v>
      </c>
      <c r="C202" s="0" t="n">
        <v>114001</v>
      </c>
      <c r="D202" s="0" t="n">
        <v>114001</v>
      </c>
      <c r="E202" s="0" t="s">
        <v>4174</v>
      </c>
      <c r="F202" s="0" t="s">
        <v>18</v>
      </c>
      <c r="G202" s="7" t="s">
        <v>4759</v>
      </c>
      <c r="H202" s="0" t="s">
        <v>4760</v>
      </c>
      <c r="I202" s="0" t="s">
        <v>102</v>
      </c>
      <c r="J202" s="0" t="s">
        <v>103</v>
      </c>
      <c r="K202" s="0" t="s">
        <v>303</v>
      </c>
      <c r="L202" s="0" t="str">
        <f aca="false">IFERROR(VLOOKUP(K202,'Supplier list'!B:C,2,0),"")</f>
        <v>บริษัท เอ็มเค วู้ดเทค จำกัด</v>
      </c>
      <c r="M202" s="1" t="n">
        <f aca="false">FALSE()</f>
        <v>0</v>
      </c>
      <c r="N202" s="2"/>
      <c r="O202" s="2" t="n">
        <v>620</v>
      </c>
    </row>
    <row r="203" customFormat="false" ht="16.4" hidden="false" customHeight="false" outlineLevel="0" collapsed="false">
      <c r="A203" s="0" t="s">
        <v>15</v>
      </c>
      <c r="B203" s="0" t="s">
        <v>4761</v>
      </c>
      <c r="C203" s="0" t="n">
        <v>114001</v>
      </c>
      <c r="D203" s="0" t="n">
        <v>114001</v>
      </c>
      <c r="E203" s="0" t="s">
        <v>4174</v>
      </c>
      <c r="F203" s="0" t="s">
        <v>18</v>
      </c>
      <c r="G203" s="7" t="s">
        <v>4762</v>
      </c>
      <c r="H203" s="0" t="s">
        <v>4763</v>
      </c>
      <c r="I203" s="0" t="s">
        <v>396</v>
      </c>
      <c r="J203" s="0" t="s">
        <v>397</v>
      </c>
      <c r="K203" s="0" t="s">
        <v>4203</v>
      </c>
      <c r="L203" s="0" t="str">
        <f aca="false">IFERROR(VLOOKUP(K203,'Supplier list'!B:C,2,0),"")</f>
        <v>บริษัท 9889 Thailnd</v>
      </c>
      <c r="M203" s="1" t="n">
        <f aca="false">FALSE()</f>
        <v>0</v>
      </c>
      <c r="N203" s="2"/>
      <c r="O203" s="2" t="n">
        <v>6.8</v>
      </c>
    </row>
    <row r="204" customFormat="false" ht="16.4" hidden="false" customHeight="false" outlineLevel="0" collapsed="false">
      <c r="A204" s="0" t="s">
        <v>15</v>
      </c>
      <c r="B204" s="0" t="s">
        <v>4764</v>
      </c>
      <c r="C204" s="0" t="n">
        <v>114001</v>
      </c>
      <c r="D204" s="0" t="n">
        <v>114001</v>
      </c>
      <c r="E204" s="0" t="s">
        <v>4174</v>
      </c>
      <c r="F204" s="0" t="s">
        <v>18</v>
      </c>
      <c r="G204" s="7" t="s">
        <v>4765</v>
      </c>
      <c r="H204" s="0" t="s">
        <v>4766</v>
      </c>
      <c r="I204" s="0" t="s">
        <v>396</v>
      </c>
      <c r="J204" s="0" t="s">
        <v>397</v>
      </c>
      <c r="K204" s="0" t="s">
        <v>4203</v>
      </c>
      <c r="L204" s="0" t="str">
        <f aca="false">IFERROR(VLOOKUP(K204,'Supplier list'!B:C,2,0),"")</f>
        <v>บริษัท 9889 Thailnd</v>
      </c>
      <c r="M204" s="1" t="n">
        <f aca="false">FALSE()</f>
        <v>0</v>
      </c>
      <c r="N204" s="2"/>
      <c r="O204" s="2" t="n">
        <v>6.8</v>
      </c>
    </row>
    <row r="205" customFormat="false" ht="16.4" hidden="false" customHeight="false" outlineLevel="0" collapsed="false">
      <c r="A205" s="0" t="s">
        <v>15</v>
      </c>
      <c r="B205" s="0" t="s">
        <v>4767</v>
      </c>
      <c r="C205" s="0" t="n">
        <v>114001</v>
      </c>
      <c r="D205" s="0" t="n">
        <v>114001</v>
      </c>
      <c r="E205" s="0" t="s">
        <v>4174</v>
      </c>
      <c r="F205" s="0" t="s">
        <v>18</v>
      </c>
      <c r="G205" s="7" t="s">
        <v>4768</v>
      </c>
      <c r="H205" s="0" t="s">
        <v>4769</v>
      </c>
      <c r="I205" s="0" t="s">
        <v>396</v>
      </c>
      <c r="J205" s="0" t="s">
        <v>397</v>
      </c>
      <c r="K205" s="0" t="s">
        <v>4203</v>
      </c>
      <c r="L205" s="0" t="str">
        <f aca="false">IFERROR(VLOOKUP(K205,'Supplier list'!B:C,2,0),"")</f>
        <v>บริษัท 9889 Thailnd</v>
      </c>
      <c r="M205" s="1" t="n">
        <f aca="false">FALSE()</f>
        <v>0</v>
      </c>
      <c r="N205" s="2"/>
      <c r="O205" s="2" t="n">
        <v>6.8</v>
      </c>
    </row>
    <row r="206" customFormat="false" ht="16.4" hidden="false" customHeight="false" outlineLevel="0" collapsed="false">
      <c r="A206" s="0" t="s">
        <v>15</v>
      </c>
      <c r="B206" s="0" t="s">
        <v>4770</v>
      </c>
      <c r="C206" s="0" t="n">
        <v>114001</v>
      </c>
      <c r="D206" s="0" t="n">
        <v>114001</v>
      </c>
      <c r="E206" s="0" t="s">
        <v>4174</v>
      </c>
      <c r="F206" s="0" t="s">
        <v>18</v>
      </c>
      <c r="G206" s="7" t="s">
        <v>4771</v>
      </c>
      <c r="H206" s="0" t="s">
        <v>4772</v>
      </c>
      <c r="I206" s="0" t="s">
        <v>102</v>
      </c>
      <c r="J206" s="0" t="s">
        <v>103</v>
      </c>
      <c r="K206" s="0" t="s">
        <v>4773</v>
      </c>
      <c r="L206" s="0" t="str">
        <f aca="false">IFERROR(VLOOKUP(K206,'Supplier list'!B:C,2,0),"")</f>
        <v>บริษัท ศุฐิศา จำกัด</v>
      </c>
      <c r="M206" s="1" t="n">
        <f aca="false">FALSE()</f>
        <v>0</v>
      </c>
      <c r="N206" s="2"/>
      <c r="O206" s="2" t="n">
        <v>1820</v>
      </c>
    </row>
    <row r="207" customFormat="false" ht="16.4" hidden="false" customHeight="false" outlineLevel="0" collapsed="false">
      <c r="A207" s="0" t="s">
        <v>15</v>
      </c>
      <c r="B207" s="0" t="s">
        <v>4774</v>
      </c>
      <c r="C207" s="0" t="n">
        <v>114001</v>
      </c>
      <c r="D207" s="0" t="n">
        <v>114001</v>
      </c>
      <c r="E207" s="0" t="s">
        <v>4174</v>
      </c>
      <c r="F207" s="0" t="s">
        <v>18</v>
      </c>
      <c r="G207" s="7" t="s">
        <v>4775</v>
      </c>
      <c r="H207" s="0" t="s">
        <v>4776</v>
      </c>
      <c r="I207" s="0" t="s">
        <v>396</v>
      </c>
      <c r="J207" s="0" t="s">
        <v>397</v>
      </c>
      <c r="K207" s="0" t="s">
        <v>4203</v>
      </c>
      <c r="L207" s="0" t="str">
        <f aca="false">IFERROR(VLOOKUP(K207,'Supplier list'!B:C,2,0),"")</f>
        <v>บริษัท 9889 Thailnd</v>
      </c>
      <c r="M207" s="1" t="n">
        <f aca="false">FALSE()</f>
        <v>0</v>
      </c>
      <c r="N207" s="2"/>
      <c r="O207" s="2" t="n">
        <v>6.8</v>
      </c>
    </row>
    <row r="208" customFormat="false" ht="16.4" hidden="false" customHeight="false" outlineLevel="0" collapsed="false">
      <c r="A208" s="0" t="s">
        <v>15</v>
      </c>
      <c r="B208" s="0" t="s">
        <v>4777</v>
      </c>
      <c r="C208" s="0" t="n">
        <v>114001</v>
      </c>
      <c r="D208" s="0" t="n">
        <v>114001</v>
      </c>
      <c r="E208" s="0" t="s">
        <v>4174</v>
      </c>
      <c r="F208" s="0" t="s">
        <v>18</v>
      </c>
      <c r="G208" s="7" t="s">
        <v>4778</v>
      </c>
      <c r="H208" s="0" t="s">
        <v>4779</v>
      </c>
      <c r="I208" s="0" t="s">
        <v>102</v>
      </c>
      <c r="J208" s="0" t="s">
        <v>103</v>
      </c>
      <c r="K208" s="0" t="s">
        <v>303</v>
      </c>
      <c r="L208" s="0" t="str">
        <f aca="false">IFERROR(VLOOKUP(K208,'Supplier list'!B:C,2,0),"")</f>
        <v>บริษัท เอ็มเค วู้ดเทค จำกัด</v>
      </c>
      <c r="M208" s="1" t="n">
        <f aca="false">FALSE()</f>
        <v>0</v>
      </c>
      <c r="N208" s="2"/>
      <c r="O208" s="2" t="n">
        <v>10900</v>
      </c>
    </row>
    <row r="209" customFormat="false" ht="16.4" hidden="false" customHeight="false" outlineLevel="0" collapsed="false">
      <c r="A209" s="0" t="s">
        <v>15</v>
      </c>
      <c r="B209" s="0" t="s">
        <v>4780</v>
      </c>
      <c r="C209" s="0" t="n">
        <v>114001</v>
      </c>
      <c r="D209" s="0" t="n">
        <v>114001</v>
      </c>
      <c r="E209" s="0" t="s">
        <v>4174</v>
      </c>
      <c r="F209" s="0" t="s">
        <v>18</v>
      </c>
      <c r="G209" s="7" t="s">
        <v>4781</v>
      </c>
      <c r="H209" s="0" t="s">
        <v>4782</v>
      </c>
      <c r="I209" s="0" t="s">
        <v>102</v>
      </c>
      <c r="J209" s="0" t="s">
        <v>103</v>
      </c>
      <c r="K209" s="0" t="s">
        <v>303</v>
      </c>
      <c r="L209" s="0" t="str">
        <f aca="false">IFERROR(VLOOKUP(K209,'Supplier list'!B:C,2,0),"")</f>
        <v>บริษัท เอ็มเค วู้ดเทค จำกัด</v>
      </c>
      <c r="M209" s="1" t="n">
        <f aca="false">FALSE()</f>
        <v>0</v>
      </c>
      <c r="N209" s="2"/>
      <c r="O209" s="2" t="n">
        <v>5800</v>
      </c>
    </row>
    <row r="210" customFormat="false" ht="16.4" hidden="false" customHeight="false" outlineLevel="0" collapsed="false">
      <c r="A210" s="0" t="s">
        <v>15</v>
      </c>
      <c r="B210" s="0" t="s">
        <v>4783</v>
      </c>
      <c r="C210" s="0" t="n">
        <v>114001</v>
      </c>
      <c r="D210" s="0" t="n">
        <v>114001</v>
      </c>
      <c r="E210" s="0" t="s">
        <v>4174</v>
      </c>
      <c r="F210" s="0" t="s">
        <v>18</v>
      </c>
      <c r="G210" s="7" t="s">
        <v>4784</v>
      </c>
      <c r="H210" s="0" t="s">
        <v>4785</v>
      </c>
      <c r="I210" s="0" t="s">
        <v>102</v>
      </c>
      <c r="J210" s="0" t="s">
        <v>103</v>
      </c>
      <c r="K210" s="0" t="s">
        <v>303</v>
      </c>
      <c r="L210" s="0" t="str">
        <f aca="false">IFERROR(VLOOKUP(K210,'Supplier list'!B:C,2,0),"")</f>
        <v>บริษัท เอ็มเค วู้ดเทค จำกัด</v>
      </c>
      <c r="M210" s="1" t="n">
        <f aca="false">FALSE()</f>
        <v>0</v>
      </c>
      <c r="N210" s="2"/>
      <c r="O210" s="2" t="n">
        <v>2.75</v>
      </c>
    </row>
    <row r="211" customFormat="false" ht="16.4" hidden="false" customHeight="false" outlineLevel="0" collapsed="false">
      <c r="A211" s="0" t="s">
        <v>15</v>
      </c>
      <c r="B211" s="0" t="s">
        <v>4786</v>
      </c>
      <c r="C211" s="0" t="n">
        <v>114001</v>
      </c>
      <c r="D211" s="0" t="n">
        <v>114001</v>
      </c>
      <c r="E211" s="0" t="s">
        <v>4174</v>
      </c>
      <c r="F211" s="0" t="s">
        <v>18</v>
      </c>
      <c r="G211" s="7" t="s">
        <v>4787</v>
      </c>
      <c r="H211" s="0" t="s">
        <v>4788</v>
      </c>
      <c r="I211" s="0" t="s">
        <v>248</v>
      </c>
      <c r="J211" s="0" t="s">
        <v>249</v>
      </c>
      <c r="K211" s="0" t="s">
        <v>4446</v>
      </c>
      <c r="L211" s="0" t="str">
        <f aca="false">IFERROR(VLOOKUP(K211,'Supplier list'!B:C,2,0),"")</f>
        <v>บริษัท ทีเอเคโพรดัคส์ แอนด์ เซอร์วิสเซส จำกัด</v>
      </c>
      <c r="M211" s="1" t="n">
        <f aca="false">FALSE()</f>
        <v>0</v>
      </c>
      <c r="N211" s="2"/>
      <c r="O211" s="2" t="n">
        <v>1450</v>
      </c>
    </row>
    <row r="212" customFormat="false" ht="16.4" hidden="false" customHeight="false" outlineLevel="0" collapsed="false">
      <c r="A212" s="0" t="s">
        <v>15</v>
      </c>
      <c r="B212" s="0" t="s">
        <v>4789</v>
      </c>
      <c r="C212" s="0" t="n">
        <v>114001</v>
      </c>
      <c r="D212" s="0" t="n">
        <v>114001</v>
      </c>
      <c r="E212" s="0" t="s">
        <v>4174</v>
      </c>
      <c r="F212" s="0" t="s">
        <v>18</v>
      </c>
      <c r="G212" s="7" t="s">
        <v>4790</v>
      </c>
      <c r="H212" s="0" t="s">
        <v>4791</v>
      </c>
      <c r="I212" s="0" t="s">
        <v>248</v>
      </c>
      <c r="J212" s="0" t="s">
        <v>249</v>
      </c>
      <c r="K212" s="0" t="s">
        <v>4446</v>
      </c>
      <c r="L212" s="0" t="str">
        <f aca="false">IFERROR(VLOOKUP(K212,'Supplier list'!B:C,2,0),"")</f>
        <v>บริษัท ทีเอเคโพรดัคส์ แอนด์ เซอร์วิสเซส จำกัด</v>
      </c>
      <c r="M212" s="1" t="n">
        <f aca="false">FALSE()</f>
        <v>0</v>
      </c>
      <c r="N212" s="2"/>
      <c r="O212" s="2" t="n">
        <v>1450</v>
      </c>
    </row>
    <row r="213" customFormat="false" ht="16.4" hidden="false" customHeight="false" outlineLevel="0" collapsed="false">
      <c r="A213" s="0" t="s">
        <v>15</v>
      </c>
      <c r="B213" s="0" t="s">
        <v>4792</v>
      </c>
      <c r="C213" s="0" t="n">
        <v>114001</v>
      </c>
      <c r="D213" s="0" t="n">
        <v>114001</v>
      </c>
      <c r="E213" s="0" t="s">
        <v>4174</v>
      </c>
      <c r="F213" s="0" t="s">
        <v>18</v>
      </c>
      <c r="G213" s="7" t="s">
        <v>4793</v>
      </c>
      <c r="H213" s="0" t="s">
        <v>4794</v>
      </c>
      <c r="I213" s="0" t="s">
        <v>248</v>
      </c>
      <c r="J213" s="0" t="s">
        <v>249</v>
      </c>
      <c r="K213" s="0" t="s">
        <v>4446</v>
      </c>
      <c r="L213" s="0" t="str">
        <f aca="false">IFERROR(VLOOKUP(K213,'Supplier list'!B:C,2,0),"")</f>
        <v>บริษัท ทีเอเคโพรดัคส์ แอนด์ เซอร์วิสเซส จำกัด</v>
      </c>
      <c r="M213" s="1" t="n">
        <f aca="false">FALSE()</f>
        <v>0</v>
      </c>
      <c r="N213" s="2"/>
      <c r="O213" s="2" t="n">
        <v>1450</v>
      </c>
    </row>
    <row r="214" customFormat="false" ht="16.4" hidden="false" customHeight="false" outlineLevel="0" collapsed="false">
      <c r="A214" s="0" t="s">
        <v>15</v>
      </c>
      <c r="B214" s="0" t="s">
        <v>4795</v>
      </c>
      <c r="C214" s="0" t="n">
        <v>114001</v>
      </c>
      <c r="D214" s="0" t="n">
        <v>114001</v>
      </c>
      <c r="E214" s="0" t="s">
        <v>4174</v>
      </c>
      <c r="F214" s="0" t="s">
        <v>18</v>
      </c>
      <c r="G214" s="7" t="s">
        <v>4796</v>
      </c>
      <c r="H214" s="0" t="s">
        <v>4797</v>
      </c>
      <c r="I214" s="0" t="s">
        <v>396</v>
      </c>
      <c r="J214" s="0" t="s">
        <v>397</v>
      </c>
      <c r="K214" s="0" t="s">
        <v>4203</v>
      </c>
      <c r="L214" s="0" t="str">
        <f aca="false">IFERROR(VLOOKUP(K214,'Supplier list'!B:C,2,0),"")</f>
        <v>บริษัท 9889 Thailnd</v>
      </c>
      <c r="M214" s="1" t="n">
        <f aca="false">FALSE()</f>
        <v>0</v>
      </c>
      <c r="N214" s="2"/>
      <c r="O214" s="2" t="n">
        <v>6.8</v>
      </c>
    </row>
    <row r="215" customFormat="false" ht="16.4" hidden="false" customHeight="false" outlineLevel="0" collapsed="false">
      <c r="A215" s="0" t="s">
        <v>15</v>
      </c>
      <c r="B215" s="0" t="s">
        <v>4798</v>
      </c>
      <c r="C215" s="0" t="n">
        <v>114001</v>
      </c>
      <c r="D215" s="0" t="n">
        <v>114001</v>
      </c>
      <c r="E215" s="0" t="s">
        <v>4174</v>
      </c>
      <c r="F215" s="0" t="s">
        <v>18</v>
      </c>
      <c r="G215" s="7" t="s">
        <v>4799</v>
      </c>
      <c r="H215" s="0" t="s">
        <v>4800</v>
      </c>
      <c r="I215" s="0" t="s">
        <v>396</v>
      </c>
      <c r="J215" s="0" t="s">
        <v>397</v>
      </c>
      <c r="K215" s="0" t="s">
        <v>4203</v>
      </c>
      <c r="L215" s="0" t="str">
        <f aca="false">IFERROR(VLOOKUP(K215,'Supplier list'!B:C,2,0),"")</f>
        <v>บริษัท 9889 Thailnd</v>
      </c>
      <c r="M215" s="1" t="n">
        <f aca="false">FALSE()</f>
        <v>0</v>
      </c>
      <c r="N215" s="2"/>
      <c r="O215" s="2" t="n">
        <v>6.8</v>
      </c>
    </row>
    <row r="216" customFormat="false" ht="16.4" hidden="false" customHeight="false" outlineLevel="0" collapsed="false">
      <c r="A216" s="0" t="s">
        <v>15</v>
      </c>
      <c r="B216" s="0" t="s">
        <v>4801</v>
      </c>
      <c r="C216" s="0" t="n">
        <v>114001</v>
      </c>
      <c r="D216" s="0" t="n">
        <v>114001</v>
      </c>
      <c r="E216" s="0" t="s">
        <v>4174</v>
      </c>
      <c r="F216" s="0" t="s">
        <v>18</v>
      </c>
      <c r="G216" s="7" t="s">
        <v>4802</v>
      </c>
      <c r="H216" s="0" t="s">
        <v>4803</v>
      </c>
      <c r="I216" s="0" t="s">
        <v>396</v>
      </c>
      <c r="J216" s="0" t="s">
        <v>397</v>
      </c>
      <c r="K216" s="0" t="s">
        <v>4203</v>
      </c>
      <c r="L216" s="0" t="str">
        <f aca="false">IFERROR(VLOOKUP(K216,'Supplier list'!B:C,2,0),"")</f>
        <v>บริษัท 9889 Thailnd</v>
      </c>
      <c r="M216" s="1" t="n">
        <f aca="false">FALSE()</f>
        <v>0</v>
      </c>
      <c r="N216" s="2"/>
      <c r="O216" s="2" t="n">
        <v>6.8</v>
      </c>
    </row>
    <row r="217" customFormat="false" ht="16.4" hidden="false" customHeight="false" outlineLevel="0" collapsed="false">
      <c r="A217" s="0" t="s">
        <v>15</v>
      </c>
      <c r="B217" s="0" t="s">
        <v>4804</v>
      </c>
      <c r="C217" s="0" t="n">
        <v>114001</v>
      </c>
      <c r="D217" s="0" t="n">
        <v>114001</v>
      </c>
      <c r="E217" s="0" t="s">
        <v>4174</v>
      </c>
      <c r="F217" s="0" t="s">
        <v>18</v>
      </c>
      <c r="G217" s="7" t="s">
        <v>4805</v>
      </c>
      <c r="H217" s="0" t="s">
        <v>4806</v>
      </c>
      <c r="I217" s="0" t="s">
        <v>396</v>
      </c>
      <c r="J217" s="0" t="s">
        <v>397</v>
      </c>
      <c r="K217" s="0" t="s">
        <v>4203</v>
      </c>
      <c r="L217" s="0" t="str">
        <f aca="false">IFERROR(VLOOKUP(K217,'Supplier list'!B:C,2,0),"")</f>
        <v>บริษัท 9889 Thailnd</v>
      </c>
      <c r="M217" s="1" t="n">
        <f aca="false">FALSE()</f>
        <v>0</v>
      </c>
      <c r="N217" s="2"/>
      <c r="O217" s="2" t="n">
        <v>6.8</v>
      </c>
    </row>
    <row r="218" customFormat="false" ht="16.4" hidden="false" customHeight="false" outlineLevel="0" collapsed="false">
      <c r="A218" s="0" t="s">
        <v>15</v>
      </c>
      <c r="B218" s="0" t="s">
        <v>4807</v>
      </c>
      <c r="C218" s="0" t="n">
        <v>114001</v>
      </c>
      <c r="D218" s="0" t="n">
        <v>114001</v>
      </c>
      <c r="E218" s="0" t="s">
        <v>4174</v>
      </c>
      <c r="F218" s="0" t="s">
        <v>18</v>
      </c>
      <c r="G218" s="7" t="s">
        <v>4808</v>
      </c>
      <c r="H218" s="0" t="s">
        <v>4809</v>
      </c>
      <c r="I218" s="0" t="s">
        <v>396</v>
      </c>
      <c r="J218" s="0" t="s">
        <v>397</v>
      </c>
      <c r="K218" s="0" t="s">
        <v>4203</v>
      </c>
      <c r="L218" s="0" t="str">
        <f aca="false">IFERROR(VLOOKUP(K218,'Supplier list'!B:C,2,0),"")</f>
        <v>บริษัท 9889 Thailnd</v>
      </c>
      <c r="M218" s="1" t="n">
        <f aca="false">FALSE()</f>
        <v>0</v>
      </c>
      <c r="N218" s="2"/>
      <c r="O218" s="2" t="n">
        <v>6.8</v>
      </c>
    </row>
    <row r="219" customFormat="false" ht="16.4" hidden="false" customHeight="false" outlineLevel="0" collapsed="false">
      <c r="A219" s="0" t="s">
        <v>15</v>
      </c>
      <c r="B219" s="0" t="s">
        <v>4810</v>
      </c>
      <c r="C219" s="0" t="n">
        <v>114001</v>
      </c>
      <c r="D219" s="0" t="n">
        <v>114001</v>
      </c>
      <c r="E219" s="0" t="s">
        <v>4174</v>
      </c>
      <c r="F219" s="0" t="s">
        <v>18</v>
      </c>
      <c r="G219" s="7" t="s">
        <v>4811</v>
      </c>
      <c r="H219" s="0" t="s">
        <v>4812</v>
      </c>
      <c r="I219" s="0" t="s">
        <v>102</v>
      </c>
      <c r="J219" s="0" t="s">
        <v>103</v>
      </c>
      <c r="K219" s="0" t="s">
        <v>303</v>
      </c>
      <c r="L219" s="0" t="str">
        <f aca="false">IFERROR(VLOOKUP(K219,'Supplier list'!B:C,2,0),"")</f>
        <v>บริษัท เอ็มเค วู้ดเทค จำกัด</v>
      </c>
      <c r="M219" s="1" t="n">
        <f aca="false">FALSE()</f>
        <v>0</v>
      </c>
      <c r="N219" s="2"/>
      <c r="O219" s="2" t="n">
        <v>6.5</v>
      </c>
    </row>
    <row r="220" customFormat="false" ht="16.4" hidden="false" customHeight="false" outlineLevel="0" collapsed="false">
      <c r="A220" s="0" t="s">
        <v>15</v>
      </c>
      <c r="B220" s="0" t="s">
        <v>4813</v>
      </c>
      <c r="C220" s="0" t="n">
        <v>114001</v>
      </c>
      <c r="D220" s="0" t="n">
        <v>114001</v>
      </c>
      <c r="E220" s="0" t="s">
        <v>4174</v>
      </c>
      <c r="F220" s="0" t="s">
        <v>18</v>
      </c>
      <c r="G220" s="7" t="s">
        <v>4814</v>
      </c>
      <c r="H220" s="0" t="s">
        <v>4815</v>
      </c>
      <c r="I220" s="0" t="s">
        <v>102</v>
      </c>
      <c r="J220" s="0" t="s">
        <v>103</v>
      </c>
      <c r="K220" s="0" t="s">
        <v>4193</v>
      </c>
      <c r="L220" s="0" t="str">
        <f aca="false">IFERROR(VLOOKUP(K220,'Supplier list'!B:C,2,0),"")</f>
        <v>บริษัท ไท่ ชาง อินเตอร์เนชั่นแนล คอมเมอร์เชียล เทรด จำกัด</v>
      </c>
      <c r="M220" s="1" t="n">
        <f aca="false">FALSE()</f>
        <v>0</v>
      </c>
      <c r="N220" s="2"/>
      <c r="O220" s="2" t="n">
        <v>6.5</v>
      </c>
    </row>
    <row r="221" customFormat="false" ht="16.4" hidden="false" customHeight="false" outlineLevel="0" collapsed="false">
      <c r="A221" s="0" t="s">
        <v>15</v>
      </c>
      <c r="B221" s="0" t="s">
        <v>4816</v>
      </c>
      <c r="C221" s="0" t="n">
        <v>114001</v>
      </c>
      <c r="D221" s="0" t="n">
        <v>114001</v>
      </c>
      <c r="E221" s="0" t="s">
        <v>4174</v>
      </c>
      <c r="F221" s="0" t="s">
        <v>18</v>
      </c>
      <c r="G221" s="7" t="s">
        <v>4817</v>
      </c>
      <c r="H221" s="0" t="s">
        <v>4818</v>
      </c>
      <c r="I221" s="0" t="s">
        <v>396</v>
      </c>
      <c r="J221" s="0" t="s">
        <v>397</v>
      </c>
      <c r="K221" s="0" t="s">
        <v>4203</v>
      </c>
      <c r="L221" s="0" t="str">
        <f aca="false">IFERROR(VLOOKUP(K221,'Supplier list'!B:C,2,0),"")</f>
        <v>บริษัท 9889 Thailnd</v>
      </c>
      <c r="M221" s="1" t="n">
        <f aca="false">FALSE()</f>
        <v>0</v>
      </c>
      <c r="N221" s="2"/>
      <c r="O221" s="2" t="n">
        <v>6.8</v>
      </c>
    </row>
    <row r="222" customFormat="false" ht="16.4" hidden="false" customHeight="false" outlineLevel="0" collapsed="false">
      <c r="A222" s="0" t="s">
        <v>15</v>
      </c>
      <c r="B222" s="0" t="s">
        <v>4819</v>
      </c>
      <c r="C222" s="0" t="n">
        <v>114001</v>
      </c>
      <c r="D222" s="0" t="n">
        <v>114001</v>
      </c>
      <c r="E222" s="0" t="s">
        <v>4174</v>
      </c>
      <c r="F222" s="0" t="s">
        <v>18</v>
      </c>
      <c r="G222" s="7" t="s">
        <v>4820</v>
      </c>
      <c r="H222" s="0" t="s">
        <v>4821</v>
      </c>
      <c r="I222" s="0" t="s">
        <v>396</v>
      </c>
      <c r="J222" s="0" t="s">
        <v>397</v>
      </c>
      <c r="K222" s="0" t="s">
        <v>4203</v>
      </c>
      <c r="L222" s="0" t="str">
        <f aca="false">IFERROR(VLOOKUP(K222,'Supplier list'!B:C,2,0),"")</f>
        <v>บริษัท 9889 Thailnd</v>
      </c>
      <c r="M222" s="1" t="n">
        <f aca="false">FALSE()</f>
        <v>0</v>
      </c>
      <c r="N222" s="2"/>
      <c r="O222" s="2" t="n">
        <v>6.8</v>
      </c>
    </row>
    <row r="223" customFormat="false" ht="16.4" hidden="false" customHeight="false" outlineLevel="0" collapsed="false">
      <c r="A223" s="0" t="s">
        <v>15</v>
      </c>
      <c r="B223" s="0" t="s">
        <v>4822</v>
      </c>
      <c r="C223" s="0" t="n">
        <v>114001</v>
      </c>
      <c r="D223" s="0" t="n">
        <v>114001</v>
      </c>
      <c r="E223" s="0" t="s">
        <v>1417</v>
      </c>
      <c r="F223" s="0" t="s">
        <v>18</v>
      </c>
      <c r="G223" s="7" t="s">
        <v>4823</v>
      </c>
      <c r="H223" s="0" t="s">
        <v>4823</v>
      </c>
      <c r="I223" s="0" t="s">
        <v>947</v>
      </c>
      <c r="J223" s="0" t="s">
        <v>948</v>
      </c>
      <c r="K223" s="0" t="s">
        <v>4824</v>
      </c>
      <c r="L223" s="0" t="str">
        <f aca="false">IFERROR(VLOOKUP(K223,'Supplier list'!B:C,2,0),"")</f>
        <v>บริษัท ทีโอเอ-ยูเนี่ยน เพ้นท์ (ประเทศไทย) จำกัด</v>
      </c>
      <c r="M223" s="1" t="n">
        <f aca="false">FALSE()</f>
        <v>0</v>
      </c>
      <c r="N223" s="2"/>
      <c r="O223" s="2" t="n">
        <v>665</v>
      </c>
    </row>
    <row r="224" customFormat="false" ht="16.4" hidden="false" customHeight="false" outlineLevel="0" collapsed="false">
      <c r="A224" s="0" t="s">
        <v>15</v>
      </c>
      <c r="B224" s="0" t="s">
        <v>4825</v>
      </c>
      <c r="C224" s="0" t="n">
        <v>114001</v>
      </c>
      <c r="D224" s="0" t="n">
        <v>114001</v>
      </c>
      <c r="E224" s="0" t="s">
        <v>1417</v>
      </c>
      <c r="F224" s="0" t="s">
        <v>18</v>
      </c>
      <c r="G224" s="7" t="s">
        <v>4826</v>
      </c>
      <c r="H224" s="0" t="s">
        <v>4826</v>
      </c>
      <c r="I224" s="0" t="s">
        <v>947</v>
      </c>
      <c r="J224" s="0" t="s">
        <v>948</v>
      </c>
      <c r="K224" s="0" t="s">
        <v>4824</v>
      </c>
      <c r="L224" s="0" t="str">
        <f aca="false">IFERROR(VLOOKUP(K224,'Supplier list'!B:C,2,0),"")</f>
        <v>บริษัท ทีโอเอ-ยูเนี่ยน เพ้นท์ (ประเทศไทย) จำกัด</v>
      </c>
      <c r="M224" s="1" t="n">
        <f aca="false">FALSE()</f>
        <v>0</v>
      </c>
      <c r="N224" s="2"/>
      <c r="O224" s="2" t="n">
        <v>1730</v>
      </c>
    </row>
    <row r="225" customFormat="false" ht="16.4" hidden="false" customHeight="false" outlineLevel="0" collapsed="false">
      <c r="A225" s="0" t="s">
        <v>15</v>
      </c>
      <c r="B225" s="0" t="s">
        <v>4827</v>
      </c>
      <c r="C225" s="0" t="n">
        <v>114001</v>
      </c>
      <c r="D225" s="0" t="n">
        <v>114001</v>
      </c>
      <c r="E225" s="0" t="s">
        <v>1417</v>
      </c>
      <c r="F225" s="0" t="s">
        <v>18</v>
      </c>
      <c r="G225" s="7" t="s">
        <v>4828</v>
      </c>
      <c r="H225" s="0" t="s">
        <v>4828</v>
      </c>
      <c r="I225" s="0" t="s">
        <v>947</v>
      </c>
      <c r="J225" s="0" t="s">
        <v>948</v>
      </c>
      <c r="K225" s="0" t="s">
        <v>4824</v>
      </c>
      <c r="L225" s="0" t="str">
        <f aca="false">IFERROR(VLOOKUP(K225,'Supplier list'!B:C,2,0),"")</f>
        <v>บริษัท ทีโอเอ-ยูเนี่ยน เพ้นท์ (ประเทศไทย) จำกัด</v>
      </c>
      <c r="M225" s="1" t="n">
        <f aca="false">FALSE()</f>
        <v>0</v>
      </c>
      <c r="N225" s="2"/>
      <c r="O225" s="2" t="n">
        <v>2195</v>
      </c>
    </row>
    <row r="226" customFormat="false" ht="16.4" hidden="false" customHeight="false" outlineLevel="0" collapsed="false">
      <c r="A226" s="0" t="s">
        <v>15</v>
      </c>
      <c r="B226" s="0" t="s">
        <v>4829</v>
      </c>
      <c r="C226" s="0" t="n">
        <v>114001</v>
      </c>
      <c r="D226" s="0" t="n">
        <v>114001</v>
      </c>
      <c r="E226" s="0" t="s">
        <v>1417</v>
      </c>
      <c r="F226" s="0" t="s">
        <v>18</v>
      </c>
      <c r="G226" s="7" t="s">
        <v>4830</v>
      </c>
      <c r="H226" s="0" t="s">
        <v>4830</v>
      </c>
      <c r="I226" s="0" t="s">
        <v>947</v>
      </c>
      <c r="J226" s="0" t="s">
        <v>948</v>
      </c>
      <c r="K226" s="0" t="s">
        <v>4824</v>
      </c>
      <c r="L226" s="0" t="str">
        <f aca="false">IFERROR(VLOOKUP(K226,'Supplier list'!B:C,2,0),"")</f>
        <v>บริษัท ทีโอเอ-ยูเนี่ยน เพ้นท์ (ประเทศไทย) จำกัด</v>
      </c>
      <c r="M226" s="1" t="n">
        <f aca="false">FALSE()</f>
        <v>0</v>
      </c>
      <c r="N226" s="2"/>
      <c r="O226" s="2" t="n">
        <v>1210</v>
      </c>
    </row>
    <row r="227" customFormat="false" ht="16.4" hidden="false" customHeight="false" outlineLevel="0" collapsed="false">
      <c r="A227" s="0" t="s">
        <v>15</v>
      </c>
      <c r="B227" s="0" t="s">
        <v>4831</v>
      </c>
      <c r="C227" s="0" t="n">
        <v>114001</v>
      </c>
      <c r="D227" s="0" t="n">
        <v>114001</v>
      </c>
      <c r="E227" s="0" t="s">
        <v>1417</v>
      </c>
      <c r="F227" s="0" t="s">
        <v>18</v>
      </c>
      <c r="G227" s="7" t="s">
        <v>4832</v>
      </c>
      <c r="H227" s="0" t="s">
        <v>4832</v>
      </c>
      <c r="I227" s="0" t="s">
        <v>947</v>
      </c>
      <c r="J227" s="0" t="s">
        <v>948</v>
      </c>
      <c r="K227" s="0" t="s">
        <v>4824</v>
      </c>
      <c r="L227" s="0" t="str">
        <f aca="false">IFERROR(VLOOKUP(K227,'Supplier list'!B:C,2,0),"")</f>
        <v>บริษัท ทีโอเอ-ยูเนี่ยน เพ้นท์ (ประเทศไทย) จำกัด</v>
      </c>
      <c r="M227" s="1" t="n">
        <f aca="false">FALSE()</f>
        <v>0</v>
      </c>
      <c r="N227" s="2"/>
      <c r="O227" s="2" t="n">
        <v>1760</v>
      </c>
    </row>
    <row r="228" customFormat="false" ht="16.4" hidden="false" customHeight="false" outlineLevel="0" collapsed="false">
      <c r="A228" s="0" t="s">
        <v>15</v>
      </c>
      <c r="B228" s="0" t="s">
        <v>4833</v>
      </c>
      <c r="C228" s="0" t="n">
        <v>114001</v>
      </c>
      <c r="D228" s="0" t="n">
        <v>114001</v>
      </c>
      <c r="E228" s="0" t="s">
        <v>957</v>
      </c>
      <c r="F228" s="0" t="s">
        <v>18</v>
      </c>
      <c r="G228" s="7" t="s">
        <v>4834</v>
      </c>
      <c r="H228" s="0" t="s">
        <v>4835</v>
      </c>
      <c r="I228" s="0" t="s">
        <v>149</v>
      </c>
      <c r="J228" s="0" t="s">
        <v>150</v>
      </c>
      <c r="K228" s="0" t="s">
        <v>4824</v>
      </c>
      <c r="L228" s="0" t="str">
        <f aca="false">IFERROR(VLOOKUP(K228,'Supplier list'!B:C,2,0),"")</f>
        <v>บริษัท ทีโอเอ-ยูเนี่ยน เพ้นท์ (ประเทศไทย) จำกัด</v>
      </c>
      <c r="M228" s="1" t="n">
        <f aca="false">FALSE()</f>
        <v>0</v>
      </c>
      <c r="N228" s="2"/>
      <c r="O228" s="2" t="n">
        <v>832</v>
      </c>
    </row>
    <row r="229" customFormat="false" ht="16.4" hidden="false" customHeight="false" outlineLevel="0" collapsed="false">
      <c r="A229" s="0" t="s">
        <v>15</v>
      </c>
      <c r="B229" s="0" t="s">
        <v>4836</v>
      </c>
      <c r="C229" s="0" t="n">
        <v>114001</v>
      </c>
      <c r="D229" s="0" t="n">
        <v>114001</v>
      </c>
      <c r="E229" s="0" t="s">
        <v>1417</v>
      </c>
      <c r="F229" s="0" t="s">
        <v>18</v>
      </c>
      <c r="G229" s="7" t="s">
        <v>4837</v>
      </c>
      <c r="H229" s="0" t="s">
        <v>4837</v>
      </c>
      <c r="I229" s="0" t="s">
        <v>947</v>
      </c>
      <c r="J229" s="0" t="s">
        <v>948</v>
      </c>
      <c r="K229" s="0" t="s">
        <v>4824</v>
      </c>
      <c r="L229" s="0" t="str">
        <f aca="false">IFERROR(VLOOKUP(K229,'Supplier list'!B:C,2,0),"")</f>
        <v>บริษัท ทีโอเอ-ยูเนี่ยน เพ้นท์ (ประเทศไทย) จำกัด</v>
      </c>
      <c r="M229" s="1" t="n">
        <f aca="false">FALSE()</f>
        <v>0</v>
      </c>
      <c r="N229" s="2"/>
      <c r="O229" s="2" t="n">
        <v>2930</v>
      </c>
    </row>
    <row r="230" customFormat="false" ht="16.4" hidden="false" customHeight="false" outlineLevel="0" collapsed="false">
      <c r="A230" s="0" t="s">
        <v>15</v>
      </c>
      <c r="B230" s="0" t="s">
        <v>4838</v>
      </c>
      <c r="C230" s="0" t="n">
        <v>114001</v>
      </c>
      <c r="D230" s="0" t="n">
        <v>114001</v>
      </c>
      <c r="E230" s="0" t="s">
        <v>1417</v>
      </c>
      <c r="F230" s="0" t="s">
        <v>18</v>
      </c>
      <c r="G230" s="7" t="s">
        <v>4839</v>
      </c>
      <c r="H230" s="0" t="s">
        <v>4839</v>
      </c>
      <c r="I230" s="0" t="s">
        <v>947</v>
      </c>
      <c r="J230" s="0" t="s">
        <v>948</v>
      </c>
      <c r="K230" s="0" t="s">
        <v>4824</v>
      </c>
      <c r="L230" s="0" t="str">
        <f aca="false">IFERROR(VLOOKUP(K230,'Supplier list'!B:C,2,0),"")</f>
        <v>บริษัท ทีโอเอ-ยูเนี่ยน เพ้นท์ (ประเทศไทย) จำกัด</v>
      </c>
      <c r="M230" s="1" t="n">
        <f aca="false">FALSE()</f>
        <v>0</v>
      </c>
      <c r="N230" s="2"/>
      <c r="O230" s="2" t="n">
        <v>2825</v>
      </c>
    </row>
    <row r="231" customFormat="false" ht="16.4" hidden="false" customHeight="false" outlineLevel="0" collapsed="false">
      <c r="A231" s="0" t="s">
        <v>15</v>
      </c>
      <c r="B231" s="0" t="s">
        <v>4840</v>
      </c>
      <c r="C231" s="0" t="n">
        <v>114001</v>
      </c>
      <c r="D231" s="0" t="n">
        <v>114001</v>
      </c>
      <c r="E231" s="0" t="s">
        <v>1417</v>
      </c>
      <c r="F231" s="0" t="s">
        <v>18</v>
      </c>
      <c r="G231" s="7" t="s">
        <v>4841</v>
      </c>
      <c r="H231" s="0" t="s">
        <v>4841</v>
      </c>
      <c r="I231" s="0" t="s">
        <v>947</v>
      </c>
      <c r="J231" s="0" t="s">
        <v>948</v>
      </c>
      <c r="K231" s="0" t="s">
        <v>4824</v>
      </c>
      <c r="L231" s="0" t="str">
        <f aca="false">IFERROR(VLOOKUP(K231,'Supplier list'!B:C,2,0),"")</f>
        <v>บริษัท ทีโอเอ-ยูเนี่ยน เพ้นท์ (ประเทศไทย) จำกัด</v>
      </c>
      <c r="M231" s="1" t="n">
        <f aca="false">FALSE()</f>
        <v>0</v>
      </c>
      <c r="N231" s="2"/>
      <c r="O231" s="2" t="n">
        <v>1050</v>
      </c>
    </row>
    <row r="232" customFormat="false" ht="16.4" hidden="false" customHeight="false" outlineLevel="0" collapsed="false">
      <c r="A232" s="0" t="s">
        <v>15</v>
      </c>
      <c r="B232" s="0" t="s">
        <v>4842</v>
      </c>
      <c r="C232" s="0" t="n">
        <v>114001</v>
      </c>
      <c r="D232" s="0" t="n">
        <v>114001</v>
      </c>
      <c r="E232" s="0" t="s">
        <v>1417</v>
      </c>
      <c r="F232" s="0" t="s">
        <v>18</v>
      </c>
      <c r="G232" s="7" t="s">
        <v>4843</v>
      </c>
      <c r="H232" s="0" t="s">
        <v>4844</v>
      </c>
      <c r="I232" s="0" t="s">
        <v>947</v>
      </c>
      <c r="J232" s="0" t="s">
        <v>948</v>
      </c>
      <c r="K232" s="0" t="s">
        <v>4824</v>
      </c>
      <c r="L232" s="0" t="str">
        <f aca="false">IFERROR(VLOOKUP(K232,'Supplier list'!B:C,2,0),"")</f>
        <v>บริษัท ทีโอเอ-ยูเนี่ยน เพ้นท์ (ประเทศไทย) จำกัด</v>
      </c>
      <c r="M232" s="1" t="n">
        <f aca="false">FALSE()</f>
        <v>0</v>
      </c>
      <c r="N232" s="2"/>
      <c r="O232" s="2" t="n">
        <v>2070</v>
      </c>
    </row>
    <row r="233" customFormat="false" ht="16.4" hidden="false" customHeight="false" outlineLevel="0" collapsed="false">
      <c r="A233" s="0" t="s">
        <v>15</v>
      </c>
      <c r="B233" s="0" t="s">
        <v>4845</v>
      </c>
      <c r="C233" s="0" t="n">
        <v>114001</v>
      </c>
      <c r="D233" s="0" t="n">
        <v>114001</v>
      </c>
      <c r="E233" s="0" t="s">
        <v>1417</v>
      </c>
      <c r="F233" s="0" t="s">
        <v>18</v>
      </c>
      <c r="G233" s="7" t="s">
        <v>4846</v>
      </c>
      <c r="H233" s="0" t="s">
        <v>4847</v>
      </c>
      <c r="I233" s="0" t="s">
        <v>947</v>
      </c>
      <c r="J233" s="0" t="s">
        <v>948</v>
      </c>
      <c r="K233" s="0" t="s">
        <v>4824</v>
      </c>
      <c r="L233" s="0" t="str">
        <f aca="false">IFERROR(VLOOKUP(K233,'Supplier list'!B:C,2,0),"")</f>
        <v>บริษัท ทีโอเอ-ยูเนี่ยน เพ้นท์ (ประเทศไทย) จำกัด</v>
      </c>
      <c r="M233" s="1" t="n">
        <f aca="false">FALSE()</f>
        <v>0</v>
      </c>
      <c r="N233" s="2"/>
      <c r="O233" s="2" t="n">
        <v>0</v>
      </c>
    </row>
    <row r="234" customFormat="false" ht="16.4" hidden="false" customHeight="false" outlineLevel="0" collapsed="false">
      <c r="A234" s="0" t="s">
        <v>15</v>
      </c>
      <c r="B234" s="0" t="s">
        <v>4848</v>
      </c>
      <c r="C234" s="0" t="n">
        <v>114001</v>
      </c>
      <c r="D234" s="0" t="n">
        <v>114001</v>
      </c>
      <c r="E234" s="0" t="s">
        <v>1417</v>
      </c>
      <c r="F234" s="0" t="s">
        <v>18</v>
      </c>
      <c r="G234" s="7" t="s">
        <v>4849</v>
      </c>
      <c r="H234" s="0" t="s">
        <v>4850</v>
      </c>
      <c r="I234" s="0" t="s">
        <v>947</v>
      </c>
      <c r="J234" s="0" t="s">
        <v>948</v>
      </c>
      <c r="K234" s="0" t="s">
        <v>4824</v>
      </c>
      <c r="L234" s="0" t="str">
        <f aca="false">IFERROR(VLOOKUP(K234,'Supplier list'!B:C,2,0),"")</f>
        <v>บริษัท ทีโอเอ-ยูเนี่ยน เพ้นท์ (ประเทศไทย) จำกัด</v>
      </c>
      <c r="M234" s="1" t="n">
        <f aca="false">FALSE()</f>
        <v>0</v>
      </c>
      <c r="N234" s="2"/>
      <c r="O234" s="2" t="n">
        <v>790</v>
      </c>
    </row>
    <row r="235" customFormat="false" ht="16.4" hidden="false" customHeight="false" outlineLevel="0" collapsed="false">
      <c r="A235" s="0" t="s">
        <v>15</v>
      </c>
      <c r="B235" s="0" t="s">
        <v>4851</v>
      </c>
      <c r="C235" s="0" t="n">
        <v>114001</v>
      </c>
      <c r="D235" s="0" t="n">
        <v>114001</v>
      </c>
      <c r="E235" s="0" t="s">
        <v>1417</v>
      </c>
      <c r="F235" s="0" t="s">
        <v>18</v>
      </c>
      <c r="G235" s="7" t="s">
        <v>4852</v>
      </c>
      <c r="H235" s="0" t="s">
        <v>4852</v>
      </c>
      <c r="I235" s="0" t="s">
        <v>947</v>
      </c>
      <c r="J235" s="0" t="s">
        <v>948</v>
      </c>
      <c r="K235" s="0" t="s">
        <v>4824</v>
      </c>
      <c r="L235" s="0" t="str">
        <f aca="false">IFERROR(VLOOKUP(K235,'Supplier list'!B:C,2,0),"")</f>
        <v>บริษัท ทีโอเอ-ยูเนี่ยน เพ้นท์ (ประเทศไทย) จำกัด</v>
      </c>
      <c r="M235" s="1" t="n">
        <f aca="false">FALSE()</f>
        <v>0</v>
      </c>
      <c r="N235" s="2"/>
      <c r="O235" s="2" t="n">
        <v>2625</v>
      </c>
    </row>
    <row r="236" customFormat="false" ht="16.4" hidden="false" customHeight="false" outlineLevel="0" collapsed="false">
      <c r="A236" s="0" t="s">
        <v>15</v>
      </c>
      <c r="B236" s="0" t="s">
        <v>4853</v>
      </c>
      <c r="C236" s="0" t="n">
        <v>114001</v>
      </c>
      <c r="D236" s="0" t="n">
        <v>114001</v>
      </c>
      <c r="E236" s="0" t="s">
        <v>1417</v>
      </c>
      <c r="F236" s="0" t="s">
        <v>18</v>
      </c>
      <c r="G236" s="7" t="s">
        <v>4854</v>
      </c>
      <c r="H236" s="0" t="s">
        <v>4854</v>
      </c>
      <c r="I236" s="0" t="s">
        <v>947</v>
      </c>
      <c r="J236" s="0" t="s">
        <v>948</v>
      </c>
      <c r="K236" s="0" t="s">
        <v>4824</v>
      </c>
      <c r="L236" s="0" t="str">
        <f aca="false">IFERROR(VLOOKUP(K236,'Supplier list'!B:C,2,0),"")</f>
        <v>บริษัท ทีโอเอ-ยูเนี่ยน เพ้นท์ (ประเทศไทย) จำกัด</v>
      </c>
      <c r="M236" s="1" t="n">
        <f aca="false">FALSE()</f>
        <v>0</v>
      </c>
      <c r="N236" s="2"/>
      <c r="O236" s="2" t="n">
        <v>2835</v>
      </c>
    </row>
    <row r="237" customFormat="false" ht="16.4" hidden="false" customHeight="false" outlineLevel="0" collapsed="false">
      <c r="A237" s="0" t="s">
        <v>15</v>
      </c>
      <c r="B237" s="0" t="s">
        <v>4855</v>
      </c>
      <c r="C237" s="0" t="n">
        <v>114001</v>
      </c>
      <c r="D237" s="0" t="n">
        <v>114001</v>
      </c>
      <c r="E237" s="0" t="s">
        <v>1417</v>
      </c>
      <c r="F237" s="0" t="s">
        <v>18</v>
      </c>
      <c r="G237" s="7" t="s">
        <v>4856</v>
      </c>
      <c r="H237" s="0" t="s">
        <v>4856</v>
      </c>
      <c r="I237" s="0" t="s">
        <v>947</v>
      </c>
      <c r="J237" s="0" t="s">
        <v>948</v>
      </c>
      <c r="K237" s="0" t="s">
        <v>4824</v>
      </c>
      <c r="L237" s="0" t="str">
        <f aca="false">IFERROR(VLOOKUP(K237,'Supplier list'!B:C,2,0),"")</f>
        <v>บริษัท ทีโอเอ-ยูเนี่ยน เพ้นท์ (ประเทศไทย) จำกัด</v>
      </c>
      <c r="M237" s="1" t="n">
        <f aca="false">FALSE()</f>
        <v>0</v>
      </c>
      <c r="N237" s="2"/>
      <c r="O237" s="2" t="n">
        <v>2890</v>
      </c>
    </row>
    <row r="238" customFormat="false" ht="16.4" hidden="false" customHeight="false" outlineLevel="0" collapsed="false">
      <c r="A238" s="0" t="s">
        <v>15</v>
      </c>
      <c r="B238" s="0" t="s">
        <v>4857</v>
      </c>
      <c r="C238" s="0" t="n">
        <v>114001</v>
      </c>
      <c r="D238" s="0" t="n">
        <v>114001</v>
      </c>
      <c r="E238" s="0" t="s">
        <v>1417</v>
      </c>
      <c r="F238" s="0" t="s">
        <v>18</v>
      </c>
      <c r="G238" s="7" t="s">
        <v>4858</v>
      </c>
      <c r="H238" s="0" t="s">
        <v>4858</v>
      </c>
      <c r="I238" s="0" t="s">
        <v>947</v>
      </c>
      <c r="J238" s="0" t="s">
        <v>948</v>
      </c>
      <c r="K238" s="0" t="s">
        <v>4824</v>
      </c>
      <c r="L238" s="0" t="str">
        <f aca="false">IFERROR(VLOOKUP(K238,'Supplier list'!B:C,2,0),"")</f>
        <v>บริษัท ทีโอเอ-ยูเนี่ยน เพ้นท์ (ประเทศไทย) จำกัด</v>
      </c>
      <c r="M238" s="1" t="n">
        <f aca="false">FALSE()</f>
        <v>0</v>
      </c>
      <c r="N238" s="2"/>
      <c r="O238" s="2" t="n">
        <v>2490</v>
      </c>
    </row>
    <row r="239" customFormat="false" ht="16.4" hidden="false" customHeight="false" outlineLevel="0" collapsed="false">
      <c r="A239" s="0" t="s">
        <v>15</v>
      </c>
      <c r="B239" s="0" t="s">
        <v>4859</v>
      </c>
      <c r="C239" s="0" t="n">
        <v>114001</v>
      </c>
      <c r="D239" s="0" t="n">
        <v>114001</v>
      </c>
      <c r="E239" s="0" t="s">
        <v>1417</v>
      </c>
      <c r="F239" s="0" t="s">
        <v>18</v>
      </c>
      <c r="G239" s="7" t="s">
        <v>4860</v>
      </c>
      <c r="H239" s="0" t="s">
        <v>4860</v>
      </c>
      <c r="I239" s="0" t="s">
        <v>947</v>
      </c>
      <c r="J239" s="0" t="s">
        <v>948</v>
      </c>
      <c r="K239" s="0" t="s">
        <v>4824</v>
      </c>
      <c r="L239" s="0" t="str">
        <f aca="false">IFERROR(VLOOKUP(K239,'Supplier list'!B:C,2,0),"")</f>
        <v>บริษัท ทีโอเอ-ยูเนี่ยน เพ้นท์ (ประเทศไทย) จำกัด</v>
      </c>
      <c r="M239" s="1" t="n">
        <f aca="false">FALSE()</f>
        <v>0</v>
      </c>
      <c r="N239" s="2"/>
      <c r="O239" s="2" t="n">
        <v>2835</v>
      </c>
    </row>
    <row r="240" customFormat="false" ht="16.4" hidden="false" customHeight="false" outlineLevel="0" collapsed="false">
      <c r="A240" s="0" t="s">
        <v>15</v>
      </c>
      <c r="B240" s="0" t="s">
        <v>4861</v>
      </c>
      <c r="C240" s="0" t="n">
        <v>114001</v>
      </c>
      <c r="D240" s="0" t="n">
        <v>114001</v>
      </c>
      <c r="E240" s="0" t="s">
        <v>1417</v>
      </c>
      <c r="F240" s="0" t="s">
        <v>18</v>
      </c>
      <c r="G240" s="7" t="s">
        <v>4862</v>
      </c>
      <c r="H240" s="0" t="s">
        <v>4862</v>
      </c>
      <c r="I240" s="0" t="s">
        <v>947</v>
      </c>
      <c r="J240" s="0" t="s">
        <v>948</v>
      </c>
      <c r="K240" s="0" t="s">
        <v>4824</v>
      </c>
      <c r="L240" s="0" t="str">
        <f aca="false">IFERROR(VLOOKUP(K240,'Supplier list'!B:C,2,0),"")</f>
        <v>บริษัท ทีโอเอ-ยูเนี่ยน เพ้นท์ (ประเทศไทย) จำกัด</v>
      </c>
      <c r="M240" s="1" t="n">
        <f aca="false">FALSE()</f>
        <v>0</v>
      </c>
      <c r="N240" s="2"/>
      <c r="O240" s="2" t="n">
        <v>2835</v>
      </c>
    </row>
    <row r="241" customFormat="false" ht="16.4" hidden="false" customHeight="false" outlineLevel="0" collapsed="false">
      <c r="A241" s="0" t="s">
        <v>15</v>
      </c>
      <c r="B241" s="0" t="s">
        <v>4863</v>
      </c>
      <c r="C241" s="0" t="n">
        <v>114001</v>
      </c>
      <c r="D241" s="0" t="n">
        <v>114001</v>
      </c>
      <c r="E241" s="0" t="s">
        <v>1417</v>
      </c>
      <c r="F241" s="0" t="s">
        <v>18</v>
      </c>
      <c r="G241" s="7" t="s">
        <v>4864</v>
      </c>
      <c r="H241" s="0" t="s">
        <v>4864</v>
      </c>
      <c r="I241" s="0" t="s">
        <v>947</v>
      </c>
      <c r="J241" s="0" t="s">
        <v>948</v>
      </c>
      <c r="K241" s="0" t="s">
        <v>4824</v>
      </c>
      <c r="L241" s="0" t="str">
        <f aca="false">IFERROR(VLOOKUP(K241,'Supplier list'!B:C,2,0),"")</f>
        <v>บริษัท ทีโอเอ-ยูเนี่ยน เพ้นท์ (ประเทศไทย) จำกัด</v>
      </c>
      <c r="M241" s="1" t="n">
        <f aca="false">FALSE()</f>
        <v>0</v>
      </c>
      <c r="N241" s="2"/>
      <c r="O241" s="2" t="n">
        <v>2853</v>
      </c>
    </row>
    <row r="242" customFormat="false" ht="16.4" hidden="false" customHeight="false" outlineLevel="0" collapsed="false">
      <c r="A242" s="0" t="s">
        <v>15</v>
      </c>
      <c r="B242" s="0" t="s">
        <v>4865</v>
      </c>
      <c r="C242" s="0" t="n">
        <v>114001</v>
      </c>
      <c r="D242" s="0" t="n">
        <v>114001</v>
      </c>
      <c r="E242" s="0" t="s">
        <v>1417</v>
      </c>
      <c r="F242" s="0" t="s">
        <v>18</v>
      </c>
      <c r="G242" s="7" t="s">
        <v>4866</v>
      </c>
      <c r="H242" s="0" t="s">
        <v>4866</v>
      </c>
      <c r="I242" s="0" t="s">
        <v>947</v>
      </c>
      <c r="J242" s="0" t="s">
        <v>948</v>
      </c>
      <c r="K242" s="0" t="s">
        <v>4824</v>
      </c>
      <c r="L242" s="0" t="str">
        <f aca="false">IFERROR(VLOOKUP(K242,'Supplier list'!B:C,2,0),"")</f>
        <v>บริษัท ทีโอเอ-ยูเนี่ยน เพ้นท์ (ประเทศไทย) จำกัด</v>
      </c>
      <c r="M242" s="1" t="n">
        <f aca="false">FALSE()</f>
        <v>0</v>
      </c>
      <c r="N242" s="2"/>
      <c r="O242" s="2" t="n">
        <v>2900</v>
      </c>
    </row>
    <row r="243" customFormat="false" ht="16.4" hidden="false" customHeight="false" outlineLevel="0" collapsed="false">
      <c r="A243" s="0" t="s">
        <v>15</v>
      </c>
      <c r="B243" s="0" t="s">
        <v>4867</v>
      </c>
      <c r="C243" s="0" t="n">
        <v>114001</v>
      </c>
      <c r="D243" s="0" t="n">
        <v>114001</v>
      </c>
      <c r="E243" s="0" t="s">
        <v>1417</v>
      </c>
      <c r="F243" s="0" t="s">
        <v>18</v>
      </c>
      <c r="G243" s="7" t="s">
        <v>4868</v>
      </c>
      <c r="H243" s="0" t="s">
        <v>4868</v>
      </c>
      <c r="I243" s="0" t="s">
        <v>947</v>
      </c>
      <c r="J243" s="0" t="s">
        <v>948</v>
      </c>
      <c r="K243" s="0" t="s">
        <v>4824</v>
      </c>
      <c r="L243" s="0" t="str">
        <f aca="false">IFERROR(VLOOKUP(K243,'Supplier list'!B:C,2,0),"")</f>
        <v>บริษัท ทีโอเอ-ยูเนี่ยน เพ้นท์ (ประเทศไทย) จำกัด</v>
      </c>
      <c r="M243" s="1" t="n">
        <f aca="false">FALSE()</f>
        <v>0</v>
      </c>
      <c r="N243" s="2"/>
      <c r="O243" s="2" t="n">
        <v>0</v>
      </c>
    </row>
    <row r="244" customFormat="false" ht="16.4" hidden="false" customHeight="false" outlineLevel="0" collapsed="false">
      <c r="A244" s="0" t="s">
        <v>15</v>
      </c>
      <c r="B244" s="0" t="s">
        <v>4869</v>
      </c>
      <c r="C244" s="0" t="n">
        <v>114001</v>
      </c>
      <c r="D244" s="0" t="n">
        <v>114001</v>
      </c>
      <c r="E244" s="0" t="s">
        <v>1417</v>
      </c>
      <c r="F244" s="0" t="s">
        <v>18</v>
      </c>
      <c r="G244" s="7" t="s">
        <v>4870</v>
      </c>
      <c r="H244" s="0" t="s">
        <v>4870</v>
      </c>
      <c r="I244" s="0" t="s">
        <v>947</v>
      </c>
      <c r="J244" s="0" t="s">
        <v>948</v>
      </c>
      <c r="K244" s="0" t="s">
        <v>4824</v>
      </c>
      <c r="L244" s="0" t="str">
        <f aca="false">IFERROR(VLOOKUP(K244,'Supplier list'!B:C,2,0),"")</f>
        <v>บริษัท ทีโอเอ-ยูเนี่ยน เพ้นท์ (ประเทศไทย) จำกัด</v>
      </c>
      <c r="M244" s="1" t="n">
        <f aca="false">FALSE()</f>
        <v>0</v>
      </c>
      <c r="N244" s="2"/>
      <c r="O244" s="2" t="n">
        <v>0</v>
      </c>
    </row>
    <row r="245" customFormat="false" ht="16.4" hidden="false" customHeight="false" outlineLevel="0" collapsed="false">
      <c r="A245" s="0" t="s">
        <v>15</v>
      </c>
      <c r="B245" s="0" t="s">
        <v>4871</v>
      </c>
      <c r="C245" s="0" t="n">
        <v>114001</v>
      </c>
      <c r="D245" s="0" t="n">
        <v>114001</v>
      </c>
      <c r="E245" s="0" t="s">
        <v>1417</v>
      </c>
      <c r="F245" s="0" t="s">
        <v>18</v>
      </c>
      <c r="G245" s="7" t="s">
        <v>4872</v>
      </c>
      <c r="H245" s="0" t="s">
        <v>4872</v>
      </c>
      <c r="I245" s="0" t="s">
        <v>947</v>
      </c>
      <c r="J245" s="0" t="s">
        <v>948</v>
      </c>
      <c r="K245" s="0" t="s">
        <v>4824</v>
      </c>
      <c r="L245" s="0" t="str">
        <f aca="false">IFERROR(VLOOKUP(K245,'Supplier list'!B:C,2,0),"")</f>
        <v>บริษัท ทีโอเอ-ยูเนี่ยน เพ้นท์ (ประเทศไทย) จำกัด</v>
      </c>
      <c r="M245" s="1" t="n">
        <f aca="false">FALSE()</f>
        <v>0</v>
      </c>
      <c r="N245" s="2"/>
      <c r="O245" s="2" t="n">
        <v>2720</v>
      </c>
    </row>
    <row r="246" customFormat="false" ht="16.4" hidden="false" customHeight="false" outlineLevel="0" collapsed="false">
      <c r="A246" s="0" t="s">
        <v>15</v>
      </c>
      <c r="B246" s="0" t="s">
        <v>4873</v>
      </c>
      <c r="C246" s="0" t="n">
        <v>114001</v>
      </c>
      <c r="D246" s="0" t="n">
        <v>114001</v>
      </c>
      <c r="E246" s="0" t="s">
        <v>1417</v>
      </c>
      <c r="F246" s="0" t="s">
        <v>18</v>
      </c>
      <c r="G246" s="7" t="s">
        <v>4874</v>
      </c>
      <c r="H246" s="0" t="s">
        <v>4874</v>
      </c>
      <c r="I246" s="0" t="s">
        <v>947</v>
      </c>
      <c r="J246" s="0" t="s">
        <v>948</v>
      </c>
      <c r="K246" s="0" t="s">
        <v>4824</v>
      </c>
      <c r="L246" s="0" t="str">
        <f aca="false">IFERROR(VLOOKUP(K246,'Supplier list'!B:C,2,0),"")</f>
        <v>บริษัท ทีโอเอ-ยูเนี่ยน เพ้นท์ (ประเทศไทย) จำกัด</v>
      </c>
      <c r="M246" s="1" t="n">
        <f aca="false">FALSE()</f>
        <v>0</v>
      </c>
      <c r="N246" s="2"/>
      <c r="O246" s="2" t="n">
        <v>0</v>
      </c>
    </row>
    <row r="247" customFormat="false" ht="16.4" hidden="false" customHeight="false" outlineLevel="0" collapsed="false">
      <c r="A247" s="0" t="s">
        <v>15</v>
      </c>
      <c r="B247" s="0" t="s">
        <v>4875</v>
      </c>
      <c r="C247" s="0" t="n">
        <v>114001</v>
      </c>
      <c r="D247" s="0" t="n">
        <v>114001</v>
      </c>
      <c r="E247" s="0" t="s">
        <v>1417</v>
      </c>
      <c r="F247" s="0" t="s">
        <v>18</v>
      </c>
      <c r="G247" s="7" t="s">
        <v>4876</v>
      </c>
      <c r="H247" s="0" t="s">
        <v>4876</v>
      </c>
      <c r="I247" s="0" t="s">
        <v>947</v>
      </c>
      <c r="J247" s="0" t="s">
        <v>948</v>
      </c>
      <c r="K247" s="0" t="s">
        <v>4824</v>
      </c>
      <c r="L247" s="0" t="str">
        <f aca="false">IFERROR(VLOOKUP(K247,'Supplier list'!B:C,2,0),"")</f>
        <v>บริษัท ทีโอเอ-ยูเนี่ยน เพ้นท์ (ประเทศไทย) จำกัด</v>
      </c>
      <c r="M247" s="1" t="n">
        <f aca="false">FALSE()</f>
        <v>0</v>
      </c>
      <c r="N247" s="2"/>
      <c r="O247" s="2" t="n">
        <v>0</v>
      </c>
    </row>
    <row r="248" customFormat="false" ht="16.4" hidden="false" customHeight="false" outlineLevel="0" collapsed="false">
      <c r="A248" s="0" t="s">
        <v>15</v>
      </c>
      <c r="B248" s="0" t="s">
        <v>4877</v>
      </c>
      <c r="C248" s="0" t="n">
        <v>114001</v>
      </c>
      <c r="D248" s="0" t="n">
        <v>114001</v>
      </c>
      <c r="E248" s="0" t="s">
        <v>1417</v>
      </c>
      <c r="F248" s="0" t="s">
        <v>18</v>
      </c>
      <c r="G248" s="7" t="s">
        <v>4878</v>
      </c>
      <c r="H248" s="0" t="s">
        <v>4878</v>
      </c>
      <c r="I248" s="0" t="s">
        <v>947</v>
      </c>
      <c r="J248" s="0" t="s">
        <v>948</v>
      </c>
      <c r="K248" s="0" t="s">
        <v>4824</v>
      </c>
      <c r="L248" s="0" t="str">
        <f aca="false">IFERROR(VLOOKUP(K248,'Supplier list'!B:C,2,0),"")</f>
        <v>บริษัท ทีโอเอ-ยูเนี่ยน เพ้นท์ (ประเทศไทย) จำกัด</v>
      </c>
      <c r="M248" s="1" t="n">
        <f aca="false">FALSE()</f>
        <v>0</v>
      </c>
      <c r="N248" s="2"/>
      <c r="O248" s="2" t="n">
        <v>2720</v>
      </c>
    </row>
    <row r="249" customFormat="false" ht="16.4" hidden="false" customHeight="false" outlineLevel="0" collapsed="false">
      <c r="A249" s="0" t="s">
        <v>15</v>
      </c>
      <c r="B249" s="0" t="s">
        <v>4879</v>
      </c>
      <c r="C249" s="0" t="n">
        <v>114001</v>
      </c>
      <c r="D249" s="0" t="n">
        <v>114001</v>
      </c>
      <c r="E249" s="0" t="s">
        <v>1417</v>
      </c>
      <c r="F249" s="0" t="s">
        <v>18</v>
      </c>
      <c r="G249" s="7" t="s">
        <v>4880</v>
      </c>
      <c r="H249" s="0" t="s">
        <v>4880</v>
      </c>
      <c r="I249" s="0" t="s">
        <v>947</v>
      </c>
      <c r="J249" s="0" t="s">
        <v>948</v>
      </c>
      <c r="K249" s="0" t="s">
        <v>4824</v>
      </c>
      <c r="L249" s="0" t="str">
        <f aca="false">IFERROR(VLOOKUP(K249,'Supplier list'!B:C,2,0),"")</f>
        <v>บริษัท ทีโอเอ-ยูเนี่ยน เพ้นท์ (ประเทศไทย) จำกัด</v>
      </c>
      <c r="M249" s="1" t="n">
        <f aca="false">FALSE()</f>
        <v>0</v>
      </c>
      <c r="N249" s="2"/>
      <c r="O249" s="2" t="n">
        <v>2825</v>
      </c>
    </row>
    <row r="250" customFormat="false" ht="16.4" hidden="false" customHeight="false" outlineLevel="0" collapsed="false">
      <c r="A250" s="0" t="s">
        <v>15</v>
      </c>
      <c r="B250" s="0" t="s">
        <v>4881</v>
      </c>
      <c r="C250" s="0" t="n">
        <v>114001</v>
      </c>
      <c r="D250" s="0" t="n">
        <v>114001</v>
      </c>
      <c r="E250" s="0" t="s">
        <v>1417</v>
      </c>
      <c r="F250" s="0" t="s">
        <v>18</v>
      </c>
      <c r="G250" s="7" t="s">
        <v>4882</v>
      </c>
      <c r="H250" s="0" t="s">
        <v>4882</v>
      </c>
      <c r="I250" s="0" t="s">
        <v>947</v>
      </c>
      <c r="J250" s="0" t="s">
        <v>948</v>
      </c>
      <c r="K250" s="0" t="s">
        <v>4824</v>
      </c>
      <c r="L250" s="0" t="str">
        <f aca="false">IFERROR(VLOOKUP(K250,'Supplier list'!B:C,2,0),"")</f>
        <v>บริษัท ทีโอเอ-ยูเนี่ยน เพ้นท์ (ประเทศไทย) จำกัด</v>
      </c>
      <c r="M250" s="1" t="n">
        <f aca="false">FALSE()</f>
        <v>0</v>
      </c>
      <c r="N250" s="2"/>
      <c r="O250" s="2" t="n">
        <v>2720</v>
      </c>
    </row>
    <row r="251" customFormat="false" ht="16.4" hidden="false" customHeight="false" outlineLevel="0" collapsed="false">
      <c r="A251" s="0" t="s">
        <v>15</v>
      </c>
      <c r="B251" s="0" t="s">
        <v>4883</v>
      </c>
      <c r="C251" s="0" t="n">
        <v>114001</v>
      </c>
      <c r="D251" s="0" t="n">
        <v>114001</v>
      </c>
      <c r="E251" s="0" t="s">
        <v>1417</v>
      </c>
      <c r="F251" s="0" t="s">
        <v>18</v>
      </c>
      <c r="G251" s="7" t="s">
        <v>4884</v>
      </c>
      <c r="H251" s="0" t="s">
        <v>4884</v>
      </c>
      <c r="I251" s="0" t="s">
        <v>947</v>
      </c>
      <c r="J251" s="0" t="s">
        <v>948</v>
      </c>
      <c r="K251" s="0" t="s">
        <v>4824</v>
      </c>
      <c r="L251" s="0" t="str">
        <f aca="false">IFERROR(VLOOKUP(K251,'Supplier list'!B:C,2,0),"")</f>
        <v>บริษัท ทีโอเอ-ยูเนี่ยน เพ้นท์ (ประเทศไทย) จำกัด</v>
      </c>
      <c r="M251" s="1" t="n">
        <f aca="false">FALSE()</f>
        <v>0</v>
      </c>
      <c r="N251" s="2"/>
      <c r="O251" s="2" t="n">
        <v>2825</v>
      </c>
    </row>
    <row r="252" customFormat="false" ht="16.4" hidden="false" customHeight="false" outlineLevel="0" collapsed="false">
      <c r="A252" s="0" t="s">
        <v>15</v>
      </c>
      <c r="B252" s="0" t="s">
        <v>4885</v>
      </c>
      <c r="C252" s="0" t="n">
        <v>114001</v>
      </c>
      <c r="D252" s="0" t="n">
        <v>114001</v>
      </c>
      <c r="E252" s="0" t="s">
        <v>1417</v>
      </c>
      <c r="F252" s="0" t="s">
        <v>18</v>
      </c>
      <c r="G252" s="7" t="s">
        <v>4886</v>
      </c>
      <c r="H252" s="0" t="s">
        <v>4886</v>
      </c>
      <c r="I252" s="0" t="s">
        <v>947</v>
      </c>
      <c r="J252" s="0" t="s">
        <v>948</v>
      </c>
      <c r="K252" s="0" t="s">
        <v>4824</v>
      </c>
      <c r="L252" s="0" t="str">
        <f aca="false">IFERROR(VLOOKUP(K252,'Supplier list'!B:C,2,0),"")</f>
        <v>บริษัท ทีโอเอ-ยูเนี่ยน เพ้นท์ (ประเทศไทย) จำกัด</v>
      </c>
      <c r="M252" s="1" t="n">
        <f aca="false">FALSE()</f>
        <v>0</v>
      </c>
      <c r="N252" s="2"/>
      <c r="O252" s="2" t="n">
        <v>2825</v>
      </c>
    </row>
    <row r="253" customFormat="false" ht="16.4" hidden="false" customHeight="false" outlineLevel="0" collapsed="false">
      <c r="A253" s="0" t="s">
        <v>15</v>
      </c>
      <c r="B253" s="0" t="s">
        <v>4887</v>
      </c>
      <c r="C253" s="0" t="n">
        <v>114001</v>
      </c>
      <c r="D253" s="0" t="n">
        <v>114001</v>
      </c>
      <c r="E253" s="0" t="s">
        <v>1417</v>
      </c>
      <c r="F253" s="0" t="s">
        <v>18</v>
      </c>
      <c r="G253" s="7" t="s">
        <v>4888</v>
      </c>
      <c r="H253" s="0" t="s">
        <v>4888</v>
      </c>
      <c r="I253" s="0" t="s">
        <v>947</v>
      </c>
      <c r="J253" s="0" t="s">
        <v>948</v>
      </c>
      <c r="K253" s="0" t="s">
        <v>4824</v>
      </c>
      <c r="L253" s="0" t="str">
        <f aca="false">IFERROR(VLOOKUP(K253,'Supplier list'!B:C,2,0),"")</f>
        <v>บริษัท ทีโอเอ-ยูเนี่ยน เพ้นท์ (ประเทศไทย) จำกัด</v>
      </c>
      <c r="M253" s="1" t="n">
        <f aca="false">FALSE()</f>
        <v>0</v>
      </c>
      <c r="N253" s="2"/>
      <c r="O253" s="2" t="n">
        <v>3500</v>
      </c>
    </row>
    <row r="254" customFormat="false" ht="16.4" hidden="false" customHeight="false" outlineLevel="0" collapsed="false">
      <c r="A254" s="0" t="s">
        <v>15</v>
      </c>
      <c r="B254" s="0" t="s">
        <v>4889</v>
      </c>
      <c r="C254" s="0" t="n">
        <v>114001</v>
      </c>
      <c r="D254" s="0" t="n">
        <v>114001</v>
      </c>
      <c r="E254" s="0" t="s">
        <v>161</v>
      </c>
      <c r="F254" s="0" t="s">
        <v>18</v>
      </c>
      <c r="G254" s="7" t="s">
        <v>4890</v>
      </c>
      <c r="H254" s="0" t="s">
        <v>4890</v>
      </c>
      <c r="I254" s="0" t="s">
        <v>102</v>
      </c>
      <c r="J254" s="0" t="s">
        <v>103</v>
      </c>
      <c r="K254" s="0" t="s">
        <v>4824</v>
      </c>
      <c r="L254" s="0" t="str">
        <f aca="false">IFERROR(VLOOKUP(K254,'Supplier list'!B:C,2,0),"")</f>
        <v>บริษัท ทีโอเอ-ยูเนี่ยน เพ้นท์ (ประเทศไทย) จำกัด</v>
      </c>
      <c r="M254" s="1" t="n">
        <f aca="false">FALSE()</f>
        <v>0</v>
      </c>
      <c r="N254" s="2"/>
      <c r="O254" s="2" t="n">
        <v>0</v>
      </c>
    </row>
    <row r="255" customFormat="false" ht="16.4" hidden="false" customHeight="false" outlineLevel="0" collapsed="false">
      <c r="A255" s="0" t="s">
        <v>15</v>
      </c>
      <c r="B255" s="0" t="s">
        <v>4891</v>
      </c>
      <c r="C255" s="0" t="n">
        <v>114001</v>
      </c>
      <c r="D255" s="0" t="n">
        <v>114001</v>
      </c>
      <c r="E255" s="0" t="s">
        <v>1417</v>
      </c>
      <c r="F255" s="0" t="s">
        <v>18</v>
      </c>
      <c r="G255" s="7" t="s">
        <v>4892</v>
      </c>
      <c r="H255" s="0" t="s">
        <v>4893</v>
      </c>
      <c r="I255" s="0" t="s">
        <v>1032</v>
      </c>
      <c r="J255" s="0" t="s">
        <v>1033</v>
      </c>
      <c r="K255" s="0" t="s">
        <v>4824</v>
      </c>
      <c r="L255" s="0" t="str">
        <f aca="false">IFERROR(VLOOKUP(K255,'Supplier list'!B:C,2,0),"")</f>
        <v>บริษัท ทีโอเอ-ยูเนี่ยน เพ้นท์ (ประเทศไทย) จำกัด</v>
      </c>
      <c r="M255" s="1" t="n">
        <f aca="false">FALSE()</f>
        <v>0</v>
      </c>
      <c r="N255" s="2"/>
      <c r="O255" s="2" t="n">
        <v>890</v>
      </c>
    </row>
    <row r="256" customFormat="false" ht="16.4" hidden="false" customHeight="false" outlineLevel="0" collapsed="false">
      <c r="A256" s="0" t="s">
        <v>15</v>
      </c>
      <c r="B256" s="0" t="s">
        <v>4894</v>
      </c>
      <c r="C256" s="0" t="n">
        <v>114001</v>
      </c>
      <c r="D256" s="0" t="n">
        <v>114001</v>
      </c>
      <c r="E256" s="0" t="s">
        <v>1417</v>
      </c>
      <c r="F256" s="0" t="s">
        <v>18</v>
      </c>
      <c r="G256" s="7" t="s">
        <v>4895</v>
      </c>
      <c r="H256" s="0" t="s">
        <v>4896</v>
      </c>
      <c r="I256" s="0" t="s">
        <v>1032</v>
      </c>
      <c r="J256" s="0" t="s">
        <v>1033</v>
      </c>
      <c r="K256" s="0" t="s">
        <v>4824</v>
      </c>
      <c r="L256" s="0" t="str">
        <f aca="false">IFERROR(VLOOKUP(K256,'Supplier list'!B:C,2,0),"")</f>
        <v>บริษัท ทีโอเอ-ยูเนี่ยน เพ้นท์ (ประเทศไทย) จำกัด</v>
      </c>
      <c r="M256" s="1" t="n">
        <f aca="false">FALSE()</f>
        <v>0</v>
      </c>
      <c r="N256" s="2"/>
      <c r="O256" s="2" t="n">
        <v>890</v>
      </c>
    </row>
    <row r="257" customFormat="false" ht="16.4" hidden="false" customHeight="false" outlineLevel="0" collapsed="false">
      <c r="A257" s="0" t="s">
        <v>15</v>
      </c>
      <c r="B257" s="0" t="s">
        <v>4897</v>
      </c>
      <c r="C257" s="0" t="n">
        <v>114001</v>
      </c>
      <c r="D257" s="0" t="n">
        <v>114001</v>
      </c>
      <c r="E257" s="0" t="s">
        <v>1417</v>
      </c>
      <c r="F257" s="0" t="s">
        <v>18</v>
      </c>
      <c r="G257" s="7" t="s">
        <v>4898</v>
      </c>
      <c r="H257" s="0" t="s">
        <v>4899</v>
      </c>
      <c r="I257" s="0" t="s">
        <v>947</v>
      </c>
      <c r="J257" s="0" t="s">
        <v>948</v>
      </c>
      <c r="K257" s="0" t="s">
        <v>4824</v>
      </c>
      <c r="L257" s="0" t="str">
        <f aca="false">IFERROR(VLOOKUP(K257,'Supplier list'!B:C,2,0),"")</f>
        <v>บริษัท ทีโอเอ-ยูเนี่ยน เพ้นท์ (ประเทศไทย) จำกัด</v>
      </c>
      <c r="M257" s="1" t="n">
        <f aca="false">FALSE()</f>
        <v>0</v>
      </c>
      <c r="N257" s="2"/>
      <c r="O257" s="2" t="n">
        <v>3200</v>
      </c>
    </row>
    <row r="258" customFormat="false" ht="16.4" hidden="false" customHeight="false" outlineLevel="0" collapsed="false">
      <c r="A258" s="0" t="s">
        <v>15</v>
      </c>
      <c r="B258" s="0" t="s">
        <v>4900</v>
      </c>
      <c r="C258" s="0" t="n">
        <v>114001</v>
      </c>
      <c r="D258" s="0" t="n">
        <v>114001</v>
      </c>
      <c r="E258" s="0" t="s">
        <v>1417</v>
      </c>
      <c r="F258" s="0" t="s">
        <v>18</v>
      </c>
      <c r="G258" s="7" t="s">
        <v>4901</v>
      </c>
      <c r="H258" s="0" t="s">
        <v>4901</v>
      </c>
      <c r="I258" s="0" t="s">
        <v>1032</v>
      </c>
      <c r="J258" s="0" t="s">
        <v>1033</v>
      </c>
      <c r="K258" s="0" t="s">
        <v>4824</v>
      </c>
      <c r="L258" s="0" t="str">
        <f aca="false">IFERROR(VLOOKUP(K258,'Supplier list'!B:C,2,0),"")</f>
        <v>บริษัท ทีโอเอ-ยูเนี่ยน เพ้นท์ (ประเทศไทย) จำกัด</v>
      </c>
      <c r="M258" s="1" t="n">
        <f aca="false">FALSE()</f>
        <v>0</v>
      </c>
      <c r="N258" s="2"/>
      <c r="O258" s="2" t="n">
        <v>2800</v>
      </c>
    </row>
    <row r="259" customFormat="false" ht="16.4" hidden="false" customHeight="false" outlineLevel="0" collapsed="false">
      <c r="A259" s="0" t="s">
        <v>15</v>
      </c>
      <c r="B259" s="0" t="s">
        <v>4902</v>
      </c>
      <c r="C259" s="0" t="n">
        <v>114001</v>
      </c>
      <c r="D259" s="0" t="n">
        <v>114001</v>
      </c>
      <c r="E259" s="0" t="s">
        <v>1417</v>
      </c>
      <c r="F259" s="0" t="s">
        <v>18</v>
      </c>
      <c r="G259" s="7" t="s">
        <v>4903</v>
      </c>
      <c r="H259" s="0" t="s">
        <v>4904</v>
      </c>
      <c r="I259" s="0" t="s">
        <v>1032</v>
      </c>
      <c r="J259" s="0" t="s">
        <v>1033</v>
      </c>
      <c r="K259" s="0" t="s">
        <v>4824</v>
      </c>
      <c r="L259" s="0" t="str">
        <f aca="false">IFERROR(VLOOKUP(K259,'Supplier list'!B:C,2,0),"")</f>
        <v>บริษัท ทีโอเอ-ยูเนี่ยน เพ้นท์ (ประเทศไทย) จำกัด</v>
      </c>
      <c r="M259" s="1" t="n">
        <f aca="false">FALSE()</f>
        <v>0</v>
      </c>
      <c r="N259" s="2"/>
      <c r="O259" s="2" t="n">
        <v>2800</v>
      </c>
    </row>
    <row r="260" customFormat="false" ht="16.4" hidden="false" customHeight="false" outlineLevel="0" collapsed="false">
      <c r="A260" s="0" t="s">
        <v>15</v>
      </c>
      <c r="B260" s="0" t="s">
        <v>4905</v>
      </c>
      <c r="C260" s="0" t="n">
        <v>114001</v>
      </c>
      <c r="D260" s="0" t="n">
        <v>114001</v>
      </c>
      <c r="E260" s="0" t="s">
        <v>1417</v>
      </c>
      <c r="F260" s="0" t="s">
        <v>18</v>
      </c>
      <c r="G260" s="7" t="s">
        <v>4906</v>
      </c>
      <c r="H260" s="0" t="s">
        <v>4906</v>
      </c>
      <c r="I260" s="0" t="s">
        <v>1032</v>
      </c>
      <c r="J260" s="0" t="s">
        <v>1033</v>
      </c>
      <c r="K260" s="0" t="s">
        <v>4824</v>
      </c>
      <c r="L260" s="0" t="str">
        <f aca="false">IFERROR(VLOOKUP(K260,'Supplier list'!B:C,2,0),"")</f>
        <v>บริษัท ทีโอเอ-ยูเนี่ยน เพ้นท์ (ประเทศไทย) จำกัด</v>
      </c>
      <c r="M260" s="1" t="n">
        <f aca="false">FALSE()</f>
        <v>0</v>
      </c>
      <c r="N260" s="2"/>
      <c r="O260" s="2" t="n">
        <v>890</v>
      </c>
    </row>
    <row r="261" customFormat="false" ht="16.4" hidden="false" customHeight="false" outlineLevel="0" collapsed="false">
      <c r="A261" s="0" t="s">
        <v>15</v>
      </c>
      <c r="B261" s="0" t="s">
        <v>4907</v>
      </c>
      <c r="C261" s="0" t="n">
        <v>114001</v>
      </c>
      <c r="D261" s="0" t="n">
        <v>114001</v>
      </c>
      <c r="E261" s="0" t="s">
        <v>1417</v>
      </c>
      <c r="F261" s="0" t="s">
        <v>18</v>
      </c>
      <c r="G261" s="7" t="s">
        <v>4908</v>
      </c>
      <c r="H261" s="0" t="s">
        <v>4908</v>
      </c>
      <c r="I261" s="0" t="s">
        <v>1032</v>
      </c>
      <c r="J261" s="0" t="s">
        <v>1033</v>
      </c>
      <c r="K261" s="0" t="s">
        <v>4824</v>
      </c>
      <c r="L261" s="0" t="str">
        <f aca="false">IFERROR(VLOOKUP(K261,'Supplier list'!B:C,2,0),"")</f>
        <v>บริษัท ทีโอเอ-ยูเนี่ยน เพ้นท์ (ประเทศไทย) จำกัด</v>
      </c>
      <c r="M261" s="1" t="n">
        <f aca="false">FALSE()</f>
        <v>0</v>
      </c>
      <c r="N261" s="2"/>
      <c r="O261" s="2" t="n">
        <v>3200</v>
      </c>
    </row>
    <row r="262" customFormat="false" ht="16.4" hidden="false" customHeight="false" outlineLevel="0" collapsed="false">
      <c r="A262" s="0" t="s">
        <v>15</v>
      </c>
      <c r="B262" s="0" t="s">
        <v>4909</v>
      </c>
      <c r="C262" s="0" t="n">
        <v>114001</v>
      </c>
      <c r="D262" s="0" t="n">
        <v>114001</v>
      </c>
      <c r="E262" s="0" t="s">
        <v>1417</v>
      </c>
      <c r="F262" s="0" t="s">
        <v>18</v>
      </c>
      <c r="G262" s="7" t="s">
        <v>4910</v>
      </c>
      <c r="H262" s="0" t="s">
        <v>4910</v>
      </c>
      <c r="I262" s="0" t="s">
        <v>1032</v>
      </c>
      <c r="J262" s="0" t="s">
        <v>1033</v>
      </c>
      <c r="K262" s="0" t="s">
        <v>4824</v>
      </c>
      <c r="L262" s="0" t="str">
        <f aca="false">IFERROR(VLOOKUP(K262,'Supplier list'!B:C,2,0),"")</f>
        <v>บริษัท ทีโอเอ-ยูเนี่ยน เพ้นท์ (ประเทศไทย) จำกัด</v>
      </c>
      <c r="M262" s="1" t="n">
        <f aca="false">FALSE()</f>
        <v>0</v>
      </c>
      <c r="N262" s="2"/>
      <c r="O262" s="2" t="n">
        <v>3200</v>
      </c>
    </row>
    <row r="263" customFormat="false" ht="16.4" hidden="false" customHeight="false" outlineLevel="0" collapsed="false">
      <c r="A263" s="0" t="s">
        <v>15</v>
      </c>
      <c r="B263" s="0" t="s">
        <v>4911</v>
      </c>
      <c r="C263" s="0" t="n">
        <v>114001</v>
      </c>
      <c r="D263" s="0" t="n">
        <v>114001</v>
      </c>
      <c r="E263" s="0" t="s">
        <v>1417</v>
      </c>
      <c r="F263" s="0" t="s">
        <v>18</v>
      </c>
      <c r="G263" s="7" t="s">
        <v>4912</v>
      </c>
      <c r="H263" s="0" t="s">
        <v>4912</v>
      </c>
      <c r="I263" s="0" t="s">
        <v>1032</v>
      </c>
      <c r="J263" s="0" t="s">
        <v>1033</v>
      </c>
      <c r="K263" s="0" t="s">
        <v>4824</v>
      </c>
      <c r="L263" s="0" t="str">
        <f aca="false">IFERROR(VLOOKUP(K263,'Supplier list'!B:C,2,0),"")</f>
        <v>บริษัท ทีโอเอ-ยูเนี่ยน เพ้นท์ (ประเทศไทย) จำกัด</v>
      </c>
      <c r="M263" s="1" t="n">
        <f aca="false">FALSE()</f>
        <v>0</v>
      </c>
      <c r="N263" s="2"/>
      <c r="O263" s="2" t="n">
        <v>4100</v>
      </c>
    </row>
    <row r="264" customFormat="false" ht="16.4" hidden="false" customHeight="false" outlineLevel="0" collapsed="false">
      <c r="A264" s="0" t="s">
        <v>15</v>
      </c>
      <c r="B264" s="0" t="s">
        <v>4913</v>
      </c>
      <c r="C264" s="0" t="n">
        <v>114001</v>
      </c>
      <c r="D264" s="0" t="n">
        <v>114001</v>
      </c>
      <c r="E264" s="0" t="s">
        <v>1417</v>
      </c>
      <c r="F264" s="0" t="s">
        <v>18</v>
      </c>
      <c r="G264" s="7" t="s">
        <v>4914</v>
      </c>
      <c r="H264" s="0" t="s">
        <v>4915</v>
      </c>
      <c r="I264" s="0" t="s">
        <v>1032</v>
      </c>
      <c r="J264" s="0" t="s">
        <v>1033</v>
      </c>
      <c r="K264" s="0" t="s">
        <v>4824</v>
      </c>
      <c r="L264" s="0" t="str">
        <f aca="false">IFERROR(VLOOKUP(K264,'Supplier list'!B:C,2,0),"")</f>
        <v>บริษัท ทีโอเอ-ยูเนี่ยน เพ้นท์ (ประเทศไทย) จำกัด</v>
      </c>
      <c r="M264" s="1" t="n">
        <f aca="false">FALSE()</f>
        <v>0</v>
      </c>
      <c r="N264" s="2"/>
      <c r="O264" s="2" t="n">
        <v>2190</v>
      </c>
    </row>
    <row r="265" customFormat="false" ht="16.4" hidden="false" customHeight="false" outlineLevel="0" collapsed="false">
      <c r="A265" s="0" t="s">
        <v>15</v>
      </c>
      <c r="B265" s="0" t="s">
        <v>4916</v>
      </c>
      <c r="C265" s="0" t="n">
        <v>114001</v>
      </c>
      <c r="D265" s="0" t="n">
        <v>114001</v>
      </c>
      <c r="E265" s="0" t="s">
        <v>1417</v>
      </c>
      <c r="F265" s="0" t="s">
        <v>18</v>
      </c>
      <c r="G265" s="7" t="s">
        <v>4917</v>
      </c>
      <c r="H265" s="0" t="s">
        <v>4917</v>
      </c>
      <c r="I265" s="0" t="s">
        <v>1032</v>
      </c>
      <c r="J265" s="0" t="s">
        <v>1033</v>
      </c>
      <c r="K265" s="0" t="s">
        <v>4824</v>
      </c>
      <c r="L265" s="0" t="str">
        <f aca="false">IFERROR(VLOOKUP(K265,'Supplier list'!B:C,2,0),"")</f>
        <v>บริษัท ทีโอเอ-ยูเนี่ยน เพ้นท์ (ประเทศไทย) จำกัด</v>
      </c>
      <c r="M265" s="1" t="n">
        <f aca="false">FALSE()</f>
        <v>0</v>
      </c>
      <c r="N265" s="2"/>
      <c r="O265" s="2" t="n">
        <v>2800</v>
      </c>
    </row>
    <row r="266" customFormat="false" ht="16.4" hidden="false" customHeight="false" outlineLevel="0" collapsed="false">
      <c r="A266" s="0" t="s">
        <v>15</v>
      </c>
      <c r="B266" s="0" t="s">
        <v>4918</v>
      </c>
      <c r="C266" s="0" t="n">
        <v>114001</v>
      </c>
      <c r="D266" s="0" t="n">
        <v>114001</v>
      </c>
      <c r="E266" s="0" t="s">
        <v>1417</v>
      </c>
      <c r="F266" s="0" t="s">
        <v>18</v>
      </c>
      <c r="G266" s="7" t="s">
        <v>4919</v>
      </c>
      <c r="H266" s="0" t="s">
        <v>4919</v>
      </c>
      <c r="I266" s="0" t="s">
        <v>1032</v>
      </c>
      <c r="J266" s="0" t="s">
        <v>1033</v>
      </c>
      <c r="K266" s="0" t="s">
        <v>4824</v>
      </c>
      <c r="L266" s="0" t="str">
        <f aca="false">IFERROR(VLOOKUP(K266,'Supplier list'!B:C,2,0),"")</f>
        <v>บริษัท ทีโอเอ-ยูเนี่ยน เพ้นท์ (ประเทศไทย) จำกัด</v>
      </c>
      <c r="M266" s="1" t="n">
        <f aca="false">FALSE()</f>
        <v>0</v>
      </c>
      <c r="N266" s="2"/>
      <c r="O266" s="2" t="n">
        <v>2800</v>
      </c>
    </row>
    <row r="267" customFormat="false" ht="16.4" hidden="false" customHeight="false" outlineLevel="0" collapsed="false">
      <c r="A267" s="0" t="s">
        <v>15</v>
      </c>
      <c r="B267" s="0" t="s">
        <v>4920</v>
      </c>
      <c r="C267" s="0" t="n">
        <v>114001</v>
      </c>
      <c r="D267" s="0" t="n">
        <v>114001</v>
      </c>
      <c r="E267" s="0" t="s">
        <v>1417</v>
      </c>
      <c r="F267" s="0" t="s">
        <v>18</v>
      </c>
      <c r="G267" s="7" t="s">
        <v>4921</v>
      </c>
      <c r="H267" s="0" t="s">
        <v>4921</v>
      </c>
      <c r="I267" s="0" t="s">
        <v>1032</v>
      </c>
      <c r="J267" s="0" t="s">
        <v>1033</v>
      </c>
      <c r="K267" s="0" t="s">
        <v>4824</v>
      </c>
      <c r="L267" s="0" t="str">
        <f aca="false">IFERROR(VLOOKUP(K267,'Supplier list'!B:C,2,0),"")</f>
        <v>บริษัท ทีโอเอ-ยูเนี่ยน เพ้นท์ (ประเทศไทย) จำกัด</v>
      </c>
      <c r="M267" s="1" t="n">
        <f aca="false">FALSE()</f>
        <v>0</v>
      </c>
      <c r="N267" s="2"/>
      <c r="O267" s="2" t="n">
        <v>2850</v>
      </c>
    </row>
    <row r="268" customFormat="false" ht="16.4" hidden="false" customHeight="false" outlineLevel="0" collapsed="false">
      <c r="A268" s="0" t="s">
        <v>15</v>
      </c>
      <c r="B268" s="0" t="s">
        <v>4922</v>
      </c>
      <c r="C268" s="0" t="n">
        <v>114001</v>
      </c>
      <c r="D268" s="0" t="n">
        <v>114001</v>
      </c>
      <c r="E268" s="0" t="s">
        <v>1417</v>
      </c>
      <c r="F268" s="0" t="s">
        <v>18</v>
      </c>
      <c r="G268" s="7" t="s">
        <v>4923</v>
      </c>
      <c r="H268" s="0" t="s">
        <v>4923</v>
      </c>
      <c r="I268" s="0" t="s">
        <v>1032</v>
      </c>
      <c r="J268" s="0" t="s">
        <v>1033</v>
      </c>
      <c r="K268" s="0" t="s">
        <v>4824</v>
      </c>
      <c r="L268" s="0" t="str">
        <f aca="false">IFERROR(VLOOKUP(K268,'Supplier list'!B:C,2,0),"")</f>
        <v>บริษัท ทีโอเอ-ยูเนี่ยน เพ้นท์ (ประเทศไทย) จำกัด</v>
      </c>
      <c r="M268" s="1" t="n">
        <f aca="false">FALSE()</f>
        <v>0</v>
      </c>
      <c r="N268" s="2"/>
      <c r="O268" s="2" t="n">
        <v>3200</v>
      </c>
    </row>
    <row r="269" customFormat="false" ht="16.4" hidden="false" customHeight="false" outlineLevel="0" collapsed="false">
      <c r="A269" s="0" t="s">
        <v>15</v>
      </c>
      <c r="B269" s="0" t="s">
        <v>4924</v>
      </c>
      <c r="C269" s="0" t="n">
        <v>114001</v>
      </c>
      <c r="D269" s="0" t="n">
        <v>114001</v>
      </c>
      <c r="E269" s="0" t="s">
        <v>1417</v>
      </c>
      <c r="F269" s="0" t="s">
        <v>18</v>
      </c>
      <c r="G269" s="7" t="s">
        <v>4925</v>
      </c>
      <c r="H269" s="0" t="s">
        <v>4925</v>
      </c>
      <c r="I269" s="0" t="s">
        <v>1032</v>
      </c>
      <c r="J269" s="0" t="s">
        <v>1033</v>
      </c>
      <c r="K269" s="0" t="s">
        <v>4824</v>
      </c>
      <c r="L269" s="0" t="str">
        <f aca="false">IFERROR(VLOOKUP(K269,'Supplier list'!B:C,2,0),"")</f>
        <v>บริษัท ทีโอเอ-ยูเนี่ยน เพ้นท์ (ประเทศไทย) จำกัด</v>
      </c>
      <c r="M269" s="1" t="n">
        <f aca="false">FALSE()</f>
        <v>0</v>
      </c>
      <c r="N269" s="2"/>
      <c r="O269" s="2" t="n">
        <v>890</v>
      </c>
    </row>
    <row r="270" customFormat="false" ht="16.4" hidden="false" customHeight="false" outlineLevel="0" collapsed="false">
      <c r="A270" s="0" t="s">
        <v>15</v>
      </c>
      <c r="B270" s="0" t="s">
        <v>4926</v>
      </c>
      <c r="C270" s="0" t="n">
        <v>114001</v>
      </c>
      <c r="D270" s="0" t="n">
        <v>114001</v>
      </c>
      <c r="E270" s="0" t="s">
        <v>1417</v>
      </c>
      <c r="F270" s="0" t="s">
        <v>18</v>
      </c>
      <c r="G270" s="7" t="s">
        <v>4927</v>
      </c>
      <c r="H270" s="0" t="s">
        <v>4927</v>
      </c>
      <c r="I270" s="0" t="s">
        <v>1032</v>
      </c>
      <c r="J270" s="0" t="s">
        <v>1033</v>
      </c>
      <c r="K270" s="0" t="s">
        <v>4824</v>
      </c>
      <c r="L270" s="0" t="str">
        <f aca="false">IFERROR(VLOOKUP(K270,'Supplier list'!B:C,2,0),"")</f>
        <v>บริษัท ทีโอเอ-ยูเนี่ยน เพ้นท์ (ประเทศไทย) จำกัด</v>
      </c>
      <c r="M270" s="1" t="n">
        <f aca="false">FALSE()</f>
        <v>0</v>
      </c>
      <c r="N270" s="2"/>
      <c r="O270" s="2" t="n">
        <v>3200</v>
      </c>
    </row>
    <row r="271" customFormat="false" ht="16.4" hidden="false" customHeight="false" outlineLevel="0" collapsed="false">
      <c r="A271" s="0" t="s">
        <v>15</v>
      </c>
      <c r="B271" s="0" t="s">
        <v>4928</v>
      </c>
      <c r="C271" s="0" t="n">
        <v>114001</v>
      </c>
      <c r="D271" s="0" t="n">
        <v>114001</v>
      </c>
      <c r="E271" s="0" t="s">
        <v>1417</v>
      </c>
      <c r="F271" s="0" t="s">
        <v>18</v>
      </c>
      <c r="G271" s="7" t="s">
        <v>4929</v>
      </c>
      <c r="H271" s="0" t="s">
        <v>4930</v>
      </c>
      <c r="I271" s="0" t="s">
        <v>124</v>
      </c>
      <c r="J271" s="0" t="s">
        <v>125</v>
      </c>
      <c r="K271" s="0" t="s">
        <v>29</v>
      </c>
      <c r="L271" s="0" t="str">
        <f aca="false">IFERROR(VLOOKUP(K271,'Supplier list'!B:C,2,0),"")</f>
        <v/>
      </c>
      <c r="M271" s="1" t="n">
        <f aca="false">FALSE()</f>
        <v>0</v>
      </c>
      <c r="N271" s="2"/>
      <c r="O271" s="2" t="n">
        <v>0</v>
      </c>
    </row>
    <row r="272" customFormat="false" ht="16.4" hidden="false" customHeight="false" outlineLevel="0" collapsed="false">
      <c r="A272" s="0" t="s">
        <v>15</v>
      </c>
      <c r="B272" s="0" t="s">
        <v>4931</v>
      </c>
      <c r="C272" s="0" t="n">
        <v>114001</v>
      </c>
      <c r="D272" s="0" t="n">
        <v>114001</v>
      </c>
      <c r="E272" s="0" t="s">
        <v>1417</v>
      </c>
      <c r="F272" s="0" t="s">
        <v>18</v>
      </c>
      <c r="G272" s="7" t="s">
        <v>4932</v>
      </c>
      <c r="H272" s="0" t="s">
        <v>4933</v>
      </c>
      <c r="I272" s="0" t="s">
        <v>124</v>
      </c>
      <c r="J272" s="0" t="s">
        <v>125</v>
      </c>
      <c r="K272" s="0" t="s">
        <v>29</v>
      </c>
      <c r="L272" s="0" t="str">
        <f aca="false">IFERROR(VLOOKUP(K272,'Supplier list'!B:C,2,0),"")</f>
        <v/>
      </c>
      <c r="M272" s="1" t="n">
        <f aca="false">FALSE()</f>
        <v>0</v>
      </c>
      <c r="N272" s="2"/>
      <c r="O272" s="2" t="n">
        <v>0</v>
      </c>
    </row>
    <row r="273" customFormat="false" ht="16.4" hidden="false" customHeight="false" outlineLevel="0" collapsed="false">
      <c r="A273" s="0" t="s">
        <v>15</v>
      </c>
      <c r="B273" s="0" t="s">
        <v>4934</v>
      </c>
      <c r="C273" s="0" t="n">
        <v>114001</v>
      </c>
      <c r="D273" s="0" t="n">
        <v>114001</v>
      </c>
      <c r="E273" s="0" t="s">
        <v>1417</v>
      </c>
      <c r="F273" s="0" t="s">
        <v>18</v>
      </c>
      <c r="G273" s="7" t="s">
        <v>4935</v>
      </c>
      <c r="H273" s="0" t="s">
        <v>4935</v>
      </c>
      <c r="I273" s="0" t="s">
        <v>947</v>
      </c>
      <c r="J273" s="0" t="s">
        <v>948</v>
      </c>
      <c r="K273" s="0" t="s">
        <v>4824</v>
      </c>
      <c r="L273" s="0" t="str">
        <f aca="false">IFERROR(VLOOKUP(K273,'Supplier list'!B:C,2,0),"")</f>
        <v>บริษัท ทีโอเอ-ยูเนี่ยน เพ้นท์ (ประเทศไทย) จำกัด</v>
      </c>
      <c r="M273" s="1" t="n">
        <f aca="false">FALSE()</f>
        <v>0</v>
      </c>
      <c r="N273" s="2"/>
      <c r="O273" s="2" t="n">
        <v>2615</v>
      </c>
    </row>
    <row r="274" customFormat="false" ht="16.4" hidden="false" customHeight="false" outlineLevel="0" collapsed="false">
      <c r="A274" s="0" t="s">
        <v>15</v>
      </c>
      <c r="B274" s="0" t="s">
        <v>4936</v>
      </c>
      <c r="C274" s="0" t="n">
        <v>114001</v>
      </c>
      <c r="D274" s="0" t="n">
        <v>114001</v>
      </c>
      <c r="E274" s="0" t="s">
        <v>1417</v>
      </c>
      <c r="F274" s="0" t="s">
        <v>18</v>
      </c>
      <c r="G274" s="7" t="s">
        <v>4937</v>
      </c>
      <c r="H274" s="0" t="s">
        <v>4937</v>
      </c>
      <c r="I274" s="0" t="s">
        <v>947</v>
      </c>
      <c r="J274" s="0" t="s">
        <v>948</v>
      </c>
      <c r="K274" s="0" t="s">
        <v>4824</v>
      </c>
      <c r="L274" s="0" t="str">
        <f aca="false">IFERROR(VLOOKUP(K274,'Supplier list'!B:C,2,0),"")</f>
        <v>บริษัท ทีโอเอ-ยูเนี่ยน เพ้นท์ (ประเทศไทย) จำกัด</v>
      </c>
      <c r="M274" s="1" t="n">
        <f aca="false">FALSE()</f>
        <v>0</v>
      </c>
      <c r="N274" s="2"/>
      <c r="O274" s="2" t="n">
        <v>3000</v>
      </c>
    </row>
    <row r="275" customFormat="false" ht="16.4" hidden="false" customHeight="false" outlineLevel="0" collapsed="false">
      <c r="A275" s="0" t="s">
        <v>15</v>
      </c>
      <c r="B275" s="0" t="s">
        <v>4938</v>
      </c>
      <c r="C275" s="0" t="n">
        <v>114001</v>
      </c>
      <c r="D275" s="0" t="n">
        <v>114001</v>
      </c>
      <c r="E275" s="0" t="s">
        <v>1417</v>
      </c>
      <c r="F275" s="0" t="s">
        <v>18</v>
      </c>
      <c r="G275" s="7" t="s">
        <v>4939</v>
      </c>
      <c r="H275" s="0" t="s">
        <v>4939</v>
      </c>
      <c r="I275" s="0" t="s">
        <v>947</v>
      </c>
      <c r="J275" s="0" t="s">
        <v>948</v>
      </c>
      <c r="K275" s="0" t="s">
        <v>4824</v>
      </c>
      <c r="L275" s="0" t="str">
        <f aca="false">IFERROR(VLOOKUP(K275,'Supplier list'!B:C,2,0),"")</f>
        <v>บริษัท ทีโอเอ-ยูเนี่ยน เพ้นท์ (ประเทศไทย) จำกัด</v>
      </c>
      <c r="M275" s="1" t="n">
        <f aca="false">FALSE()</f>
        <v>0</v>
      </c>
      <c r="N275" s="2"/>
      <c r="O275" s="2" t="n">
        <v>2800</v>
      </c>
    </row>
    <row r="276" customFormat="false" ht="16.4" hidden="false" customHeight="false" outlineLevel="0" collapsed="false">
      <c r="A276" s="0" t="s">
        <v>15</v>
      </c>
      <c r="B276" s="0" t="s">
        <v>4940</v>
      </c>
      <c r="C276" s="0" t="n">
        <v>114001</v>
      </c>
      <c r="D276" s="0" t="n">
        <v>114001</v>
      </c>
      <c r="E276" s="0" t="s">
        <v>1417</v>
      </c>
      <c r="F276" s="0" t="s">
        <v>18</v>
      </c>
      <c r="G276" s="7" t="s">
        <v>4941</v>
      </c>
      <c r="H276" s="0" t="s">
        <v>4941</v>
      </c>
      <c r="I276" s="0" t="s">
        <v>947</v>
      </c>
      <c r="J276" s="0" t="s">
        <v>948</v>
      </c>
      <c r="K276" s="0" t="s">
        <v>4824</v>
      </c>
      <c r="L276" s="0" t="str">
        <f aca="false">IFERROR(VLOOKUP(K276,'Supplier list'!B:C,2,0),"")</f>
        <v>บริษัท ทีโอเอ-ยูเนี่ยน เพ้นท์ (ประเทศไทย) จำกัด</v>
      </c>
      <c r="M276" s="1" t="n">
        <f aca="false">FALSE()</f>
        <v>0</v>
      </c>
      <c r="N276" s="2"/>
      <c r="O276" s="2" t="n">
        <v>2800</v>
      </c>
    </row>
    <row r="277" customFormat="false" ht="16.4" hidden="false" customHeight="false" outlineLevel="0" collapsed="false">
      <c r="A277" s="0" t="s">
        <v>15</v>
      </c>
      <c r="B277" s="0" t="s">
        <v>4942</v>
      </c>
      <c r="C277" s="0" t="n">
        <v>114001</v>
      </c>
      <c r="D277" s="0" t="n">
        <v>114001</v>
      </c>
      <c r="E277" s="0" t="s">
        <v>1417</v>
      </c>
      <c r="F277" s="0" t="s">
        <v>18</v>
      </c>
      <c r="G277" s="7" t="s">
        <v>4943</v>
      </c>
      <c r="H277" s="0" t="s">
        <v>4943</v>
      </c>
      <c r="I277" s="0" t="s">
        <v>947</v>
      </c>
      <c r="J277" s="0" t="s">
        <v>948</v>
      </c>
      <c r="K277" s="0" t="s">
        <v>4824</v>
      </c>
      <c r="L277" s="0" t="str">
        <f aca="false">IFERROR(VLOOKUP(K277,'Supplier list'!B:C,2,0),"")</f>
        <v>บริษัท ทีโอเอ-ยูเนี่ยน เพ้นท์ (ประเทศไทย) จำกัด</v>
      </c>
      <c r="M277" s="1" t="n">
        <f aca="false">FALSE()</f>
        <v>0</v>
      </c>
      <c r="N277" s="2"/>
      <c r="O277" s="2" t="n">
        <v>3500</v>
      </c>
    </row>
    <row r="278" customFormat="false" ht="16.4" hidden="false" customHeight="false" outlineLevel="0" collapsed="false">
      <c r="A278" s="0" t="s">
        <v>15</v>
      </c>
      <c r="B278" s="0" t="s">
        <v>4944</v>
      </c>
      <c r="C278" s="0" t="n">
        <v>114001</v>
      </c>
      <c r="D278" s="0" t="n">
        <v>114001</v>
      </c>
      <c r="E278" s="0" t="s">
        <v>1417</v>
      </c>
      <c r="F278" s="0" t="s">
        <v>18</v>
      </c>
      <c r="G278" s="7" t="s">
        <v>4945</v>
      </c>
      <c r="H278" s="0" t="s">
        <v>4945</v>
      </c>
      <c r="I278" s="0" t="s">
        <v>947</v>
      </c>
      <c r="J278" s="0" t="s">
        <v>948</v>
      </c>
      <c r="K278" s="0" t="s">
        <v>4824</v>
      </c>
      <c r="L278" s="0" t="str">
        <f aca="false">IFERROR(VLOOKUP(K278,'Supplier list'!B:C,2,0),"")</f>
        <v>บริษัท ทีโอเอ-ยูเนี่ยน เพ้นท์ (ประเทศไทย) จำกัด</v>
      </c>
      <c r="M278" s="1" t="n">
        <f aca="false">FALSE()</f>
        <v>0</v>
      </c>
      <c r="N278" s="2"/>
      <c r="O278" s="2" t="n">
        <v>2850</v>
      </c>
    </row>
    <row r="279" customFormat="false" ht="16.4" hidden="false" customHeight="false" outlineLevel="0" collapsed="false">
      <c r="A279" s="0" t="s">
        <v>15</v>
      </c>
      <c r="B279" s="0" t="s">
        <v>4946</v>
      </c>
      <c r="C279" s="0" t="n">
        <v>114001</v>
      </c>
      <c r="D279" s="0" t="n">
        <v>114001</v>
      </c>
      <c r="E279" s="0" t="s">
        <v>1417</v>
      </c>
      <c r="F279" s="0" t="s">
        <v>18</v>
      </c>
      <c r="G279" s="7" t="s">
        <v>4947</v>
      </c>
      <c r="H279" s="0" t="s">
        <v>4947</v>
      </c>
      <c r="I279" s="0" t="s">
        <v>947</v>
      </c>
      <c r="J279" s="0" t="s">
        <v>948</v>
      </c>
      <c r="K279" s="0" t="s">
        <v>4824</v>
      </c>
      <c r="L279" s="0" t="str">
        <f aca="false">IFERROR(VLOOKUP(K279,'Supplier list'!B:C,2,0),"")</f>
        <v>บริษัท ทีโอเอ-ยูเนี่ยน เพ้นท์ (ประเทศไทย) จำกัด</v>
      </c>
      <c r="M279" s="1" t="n">
        <f aca="false">FALSE()</f>
        <v>0</v>
      </c>
      <c r="N279" s="2"/>
      <c r="O279" s="2" t="n">
        <v>2590</v>
      </c>
    </row>
    <row r="280" customFormat="false" ht="16.4" hidden="false" customHeight="false" outlineLevel="0" collapsed="false">
      <c r="A280" s="0" t="s">
        <v>15</v>
      </c>
      <c r="B280" s="0" t="s">
        <v>4948</v>
      </c>
      <c r="C280" s="0" t="n">
        <v>114001</v>
      </c>
      <c r="D280" s="0" t="n">
        <v>114001</v>
      </c>
      <c r="E280" s="0" t="s">
        <v>1417</v>
      </c>
      <c r="F280" s="0" t="s">
        <v>18</v>
      </c>
      <c r="G280" s="7" t="s">
        <v>4949</v>
      </c>
      <c r="H280" s="0" t="s">
        <v>4949</v>
      </c>
      <c r="I280" s="0" t="s">
        <v>947</v>
      </c>
      <c r="J280" s="0" t="s">
        <v>948</v>
      </c>
      <c r="K280" s="0" t="s">
        <v>4824</v>
      </c>
      <c r="L280" s="0" t="str">
        <f aca="false">IFERROR(VLOOKUP(K280,'Supplier list'!B:C,2,0),"")</f>
        <v>บริษัท ทีโอเอ-ยูเนี่ยน เพ้นท์ (ประเทศไทย) จำกัด</v>
      </c>
      <c r="M280" s="1" t="n">
        <f aca="false">FALSE()</f>
        <v>0</v>
      </c>
      <c r="N280" s="2"/>
      <c r="O280" s="2" t="n">
        <v>2800</v>
      </c>
    </row>
    <row r="281" customFormat="false" ht="16.4" hidden="false" customHeight="false" outlineLevel="0" collapsed="false">
      <c r="A281" s="0" t="s">
        <v>15</v>
      </c>
      <c r="B281" s="0" t="s">
        <v>4950</v>
      </c>
      <c r="C281" s="0" t="n">
        <v>114001</v>
      </c>
      <c r="D281" s="0" t="n">
        <v>114001</v>
      </c>
      <c r="E281" s="0" t="s">
        <v>1417</v>
      </c>
      <c r="F281" s="0" t="s">
        <v>18</v>
      </c>
      <c r="G281" s="7" t="s">
        <v>4951</v>
      </c>
      <c r="H281" s="0" t="s">
        <v>4951</v>
      </c>
      <c r="I281" s="0" t="s">
        <v>947</v>
      </c>
      <c r="J281" s="0" t="s">
        <v>948</v>
      </c>
      <c r="K281" s="0" t="s">
        <v>4824</v>
      </c>
      <c r="L281" s="0" t="str">
        <f aca="false">IFERROR(VLOOKUP(K281,'Supplier list'!B:C,2,0),"")</f>
        <v>บริษัท ทีโอเอ-ยูเนี่ยน เพ้นท์ (ประเทศไทย) จำกัด</v>
      </c>
      <c r="M281" s="1" t="n">
        <f aca="false">FALSE()</f>
        <v>0</v>
      </c>
      <c r="N281" s="2"/>
      <c r="O281" s="2" t="n">
        <v>2850</v>
      </c>
    </row>
    <row r="282" customFormat="false" ht="16.4" hidden="false" customHeight="false" outlineLevel="0" collapsed="false">
      <c r="A282" s="0" t="s">
        <v>15</v>
      </c>
      <c r="B282" s="0" t="s">
        <v>4952</v>
      </c>
      <c r="C282" s="0" t="n">
        <v>114001</v>
      </c>
      <c r="D282" s="0" t="n">
        <v>114001</v>
      </c>
      <c r="E282" s="0" t="s">
        <v>1417</v>
      </c>
      <c r="F282" s="0" t="s">
        <v>18</v>
      </c>
      <c r="G282" s="7" t="s">
        <v>4953</v>
      </c>
      <c r="H282" s="0" t="s">
        <v>4953</v>
      </c>
      <c r="I282" s="0" t="s">
        <v>947</v>
      </c>
      <c r="J282" s="0" t="s">
        <v>948</v>
      </c>
      <c r="K282" s="0" t="s">
        <v>4824</v>
      </c>
      <c r="L282" s="0" t="str">
        <f aca="false">IFERROR(VLOOKUP(K282,'Supplier list'!B:C,2,0),"")</f>
        <v>บริษัท ทีโอเอ-ยูเนี่ยน เพ้นท์ (ประเทศไทย) จำกัด</v>
      </c>
      <c r="M282" s="1" t="n">
        <f aca="false">FALSE()</f>
        <v>0</v>
      </c>
      <c r="N282" s="2"/>
      <c r="O282" s="2" t="n">
        <v>3500</v>
      </c>
    </row>
    <row r="283" customFormat="false" ht="16.4" hidden="false" customHeight="false" outlineLevel="0" collapsed="false">
      <c r="A283" s="0" t="s">
        <v>15</v>
      </c>
      <c r="B283" s="0" t="s">
        <v>4954</v>
      </c>
      <c r="C283" s="0" t="n">
        <v>114001</v>
      </c>
      <c r="D283" s="0" t="n">
        <v>114001</v>
      </c>
      <c r="E283" s="0" t="s">
        <v>1417</v>
      </c>
      <c r="F283" s="0" t="s">
        <v>18</v>
      </c>
      <c r="G283" s="7" t="s">
        <v>4955</v>
      </c>
      <c r="H283" s="0" t="s">
        <v>4956</v>
      </c>
      <c r="I283" s="0" t="s">
        <v>947</v>
      </c>
      <c r="J283" s="0" t="s">
        <v>948</v>
      </c>
      <c r="K283" s="0" t="s">
        <v>4824</v>
      </c>
      <c r="L283" s="0" t="str">
        <f aca="false">IFERROR(VLOOKUP(K283,'Supplier list'!B:C,2,0),"")</f>
        <v>บริษัท ทีโอเอ-ยูเนี่ยน เพ้นท์ (ประเทศไทย) จำกัด</v>
      </c>
      <c r="M283" s="1" t="n">
        <f aca="false">FALSE()</f>
        <v>0</v>
      </c>
      <c r="N283" s="2"/>
      <c r="O283" s="2" t="n">
        <v>2800</v>
      </c>
    </row>
    <row r="284" customFormat="false" ht="16.4" hidden="false" customHeight="false" outlineLevel="0" collapsed="false">
      <c r="A284" s="0" t="s">
        <v>15</v>
      </c>
      <c r="B284" s="0" t="s">
        <v>4957</v>
      </c>
      <c r="C284" s="0" t="n">
        <v>114001</v>
      </c>
      <c r="D284" s="0" t="n">
        <v>114001</v>
      </c>
      <c r="E284" s="0" t="s">
        <v>1417</v>
      </c>
      <c r="F284" s="0" t="s">
        <v>18</v>
      </c>
      <c r="G284" s="7" t="s">
        <v>4958</v>
      </c>
      <c r="H284" s="0" t="s">
        <v>4958</v>
      </c>
      <c r="I284" s="0" t="s">
        <v>947</v>
      </c>
      <c r="J284" s="0" t="s">
        <v>948</v>
      </c>
      <c r="K284" s="0" t="s">
        <v>4824</v>
      </c>
      <c r="L284" s="0" t="str">
        <f aca="false">IFERROR(VLOOKUP(K284,'Supplier list'!B:C,2,0),"")</f>
        <v>บริษัท ทีโอเอ-ยูเนี่ยน เพ้นท์ (ประเทศไทย) จำกัด</v>
      </c>
      <c r="M284" s="1" t="n">
        <f aca="false">FALSE()</f>
        <v>0</v>
      </c>
      <c r="N284" s="2"/>
      <c r="O284" s="2" t="n">
        <v>2825</v>
      </c>
    </row>
    <row r="285" customFormat="false" ht="16.4" hidden="false" customHeight="false" outlineLevel="0" collapsed="false">
      <c r="A285" s="0" t="s">
        <v>15</v>
      </c>
      <c r="B285" s="0" t="s">
        <v>4959</v>
      </c>
      <c r="C285" s="0" t="n">
        <v>114001</v>
      </c>
      <c r="D285" s="0" t="n">
        <v>114001</v>
      </c>
      <c r="E285" s="0" t="s">
        <v>1417</v>
      </c>
      <c r="F285" s="0" t="s">
        <v>18</v>
      </c>
      <c r="G285" s="7" t="s">
        <v>4960</v>
      </c>
      <c r="H285" s="0" t="s">
        <v>4960</v>
      </c>
      <c r="I285" s="0" t="s">
        <v>947</v>
      </c>
      <c r="J285" s="0" t="s">
        <v>948</v>
      </c>
      <c r="K285" s="0" t="s">
        <v>4824</v>
      </c>
      <c r="L285" s="0" t="str">
        <f aca="false">IFERROR(VLOOKUP(K285,'Supplier list'!B:C,2,0),"")</f>
        <v>บริษัท ทีโอเอ-ยูเนี่ยน เพ้นท์ (ประเทศไทย) จำกัด</v>
      </c>
      <c r="M285" s="1" t="n">
        <f aca="false">FALSE()</f>
        <v>0</v>
      </c>
      <c r="N285" s="2"/>
      <c r="O285" s="2" t="n">
        <v>2800</v>
      </c>
    </row>
    <row r="286" customFormat="false" ht="16.4" hidden="false" customHeight="false" outlineLevel="0" collapsed="false">
      <c r="A286" s="0" t="s">
        <v>15</v>
      </c>
      <c r="B286" s="0" t="s">
        <v>4961</v>
      </c>
      <c r="C286" s="0" t="n">
        <v>114001</v>
      </c>
      <c r="D286" s="0" t="n">
        <v>114001</v>
      </c>
      <c r="E286" s="0" t="s">
        <v>1417</v>
      </c>
      <c r="F286" s="0" t="s">
        <v>18</v>
      </c>
      <c r="G286" s="7" t="s">
        <v>4962</v>
      </c>
      <c r="H286" s="0" t="s">
        <v>4962</v>
      </c>
      <c r="I286" s="0" t="s">
        <v>947</v>
      </c>
      <c r="J286" s="0" t="s">
        <v>948</v>
      </c>
      <c r="K286" s="0" t="s">
        <v>4824</v>
      </c>
      <c r="L286" s="0" t="str">
        <f aca="false">IFERROR(VLOOKUP(K286,'Supplier list'!B:C,2,0),"")</f>
        <v>บริษัท ทีโอเอ-ยูเนี่ยน เพ้นท์ (ประเทศไทย) จำกัด</v>
      </c>
      <c r="M286" s="1" t="n">
        <f aca="false">FALSE()</f>
        <v>0</v>
      </c>
      <c r="N286" s="2"/>
      <c r="O286" s="2" t="n">
        <v>2900</v>
      </c>
    </row>
    <row r="287" customFormat="false" ht="16.4" hidden="false" customHeight="false" outlineLevel="0" collapsed="false">
      <c r="A287" s="0" t="s">
        <v>15</v>
      </c>
      <c r="B287" s="0" t="s">
        <v>4963</v>
      </c>
      <c r="C287" s="0" t="n">
        <v>114001</v>
      </c>
      <c r="D287" s="0" t="n">
        <v>114001</v>
      </c>
      <c r="E287" s="0" t="s">
        <v>1417</v>
      </c>
      <c r="F287" s="0" t="s">
        <v>18</v>
      </c>
      <c r="G287" s="7" t="s">
        <v>4964</v>
      </c>
      <c r="H287" s="0" t="s">
        <v>4964</v>
      </c>
      <c r="I287" s="0" t="s">
        <v>947</v>
      </c>
      <c r="J287" s="0" t="s">
        <v>948</v>
      </c>
      <c r="K287" s="0" t="s">
        <v>4824</v>
      </c>
      <c r="L287" s="0" t="str">
        <f aca="false">IFERROR(VLOOKUP(K287,'Supplier list'!B:C,2,0),"")</f>
        <v>บริษัท ทีโอเอ-ยูเนี่ยน เพ้นท์ (ประเทศไทย) จำกัด</v>
      </c>
      <c r="M287" s="1" t="n">
        <f aca="false">FALSE()</f>
        <v>0</v>
      </c>
      <c r="N287" s="2"/>
      <c r="O287" s="2" t="n">
        <v>2950</v>
      </c>
    </row>
    <row r="288" customFormat="false" ht="16.4" hidden="false" customHeight="false" outlineLevel="0" collapsed="false">
      <c r="A288" s="0" t="s">
        <v>15</v>
      </c>
      <c r="B288" s="0" t="s">
        <v>4965</v>
      </c>
      <c r="C288" s="0" t="n">
        <v>114001</v>
      </c>
      <c r="D288" s="0" t="n">
        <v>114001</v>
      </c>
      <c r="E288" s="0" t="s">
        <v>1417</v>
      </c>
      <c r="F288" s="0" t="s">
        <v>18</v>
      </c>
      <c r="G288" s="7" t="s">
        <v>4966</v>
      </c>
      <c r="H288" s="0" t="s">
        <v>4966</v>
      </c>
      <c r="I288" s="0" t="s">
        <v>947</v>
      </c>
      <c r="J288" s="0" t="s">
        <v>948</v>
      </c>
      <c r="K288" s="0" t="s">
        <v>4824</v>
      </c>
      <c r="L288" s="0" t="str">
        <f aca="false">IFERROR(VLOOKUP(K288,'Supplier list'!B:C,2,0),"")</f>
        <v>บริษัท ทีโอเอ-ยูเนี่ยน เพ้นท์ (ประเทศไทย) จำกัด</v>
      </c>
      <c r="M288" s="1" t="n">
        <f aca="false">FALSE()</f>
        <v>0</v>
      </c>
      <c r="N288" s="2"/>
      <c r="O288" s="2" t="n">
        <v>3000</v>
      </c>
    </row>
    <row r="289" customFormat="false" ht="16.4" hidden="false" customHeight="false" outlineLevel="0" collapsed="false">
      <c r="A289" s="0" t="s">
        <v>15</v>
      </c>
      <c r="B289" s="0" t="s">
        <v>4967</v>
      </c>
      <c r="C289" s="0" t="n">
        <v>114001</v>
      </c>
      <c r="D289" s="0" t="n">
        <v>114001</v>
      </c>
      <c r="E289" s="0" t="s">
        <v>1417</v>
      </c>
      <c r="F289" s="0" t="s">
        <v>18</v>
      </c>
      <c r="G289" s="7" t="s">
        <v>4968</v>
      </c>
      <c r="H289" s="0" t="s">
        <v>4968</v>
      </c>
      <c r="I289" s="0" t="s">
        <v>947</v>
      </c>
      <c r="J289" s="0" t="s">
        <v>948</v>
      </c>
      <c r="K289" s="0" t="s">
        <v>4824</v>
      </c>
      <c r="L289" s="0" t="str">
        <f aca="false">IFERROR(VLOOKUP(K289,'Supplier list'!B:C,2,0),"")</f>
        <v>บริษัท ทีโอเอ-ยูเนี่ยน เพ้นท์ (ประเทศไทย) จำกัด</v>
      </c>
      <c r="M289" s="1" t="n">
        <f aca="false">FALSE()</f>
        <v>0</v>
      </c>
      <c r="N289" s="2"/>
      <c r="O289" s="2" t="n">
        <v>3200</v>
      </c>
    </row>
    <row r="290" customFormat="false" ht="16.4" hidden="false" customHeight="false" outlineLevel="0" collapsed="false">
      <c r="A290" s="0" t="s">
        <v>15</v>
      </c>
      <c r="B290" s="0" t="s">
        <v>4969</v>
      </c>
      <c r="C290" s="0" t="n">
        <v>114001</v>
      </c>
      <c r="D290" s="0" t="n">
        <v>114001</v>
      </c>
      <c r="E290" s="0" t="s">
        <v>1417</v>
      </c>
      <c r="F290" s="0" t="s">
        <v>18</v>
      </c>
      <c r="G290" s="7" t="s">
        <v>4970</v>
      </c>
      <c r="H290" s="0" t="s">
        <v>4970</v>
      </c>
      <c r="I290" s="0" t="s">
        <v>947</v>
      </c>
      <c r="J290" s="0" t="s">
        <v>948</v>
      </c>
      <c r="K290" s="0" t="s">
        <v>4824</v>
      </c>
      <c r="L290" s="0" t="str">
        <f aca="false">IFERROR(VLOOKUP(K290,'Supplier list'!B:C,2,0),"")</f>
        <v>บริษัท ทีโอเอ-ยูเนี่ยน เพ้นท์ (ประเทศไทย) จำกัด</v>
      </c>
      <c r="M290" s="1" t="n">
        <f aca="false">FALSE()</f>
        <v>0</v>
      </c>
      <c r="N290" s="2"/>
      <c r="O290" s="2" t="n">
        <v>2850</v>
      </c>
    </row>
    <row r="291" customFormat="false" ht="16.4" hidden="false" customHeight="false" outlineLevel="0" collapsed="false">
      <c r="A291" s="0" t="s">
        <v>15</v>
      </c>
      <c r="B291" s="0" t="s">
        <v>4971</v>
      </c>
      <c r="C291" s="0" t="n">
        <v>114001</v>
      </c>
      <c r="D291" s="0" t="n">
        <v>114001</v>
      </c>
      <c r="E291" s="0" t="s">
        <v>4972</v>
      </c>
      <c r="F291" s="0" t="s">
        <v>18</v>
      </c>
      <c r="G291" s="7" t="s">
        <v>4973</v>
      </c>
      <c r="H291" s="0" t="s">
        <v>4974</v>
      </c>
      <c r="I291" s="0" t="s">
        <v>947</v>
      </c>
      <c r="J291" s="0" t="s">
        <v>948</v>
      </c>
      <c r="K291" s="0" t="s">
        <v>4824</v>
      </c>
      <c r="L291" s="0" t="str">
        <f aca="false">IFERROR(VLOOKUP(K291,'Supplier list'!B:C,2,0),"")</f>
        <v>บริษัท ทีโอเอ-ยูเนี่ยน เพ้นท์ (ประเทศไทย) จำกัด</v>
      </c>
      <c r="M291" s="1" t="n">
        <f aca="false">FALSE()</f>
        <v>0</v>
      </c>
      <c r="N291" s="2"/>
      <c r="O291" s="2" t="n">
        <v>1200</v>
      </c>
    </row>
    <row r="292" customFormat="false" ht="16.4" hidden="false" customHeight="false" outlineLevel="0" collapsed="false">
      <c r="A292" s="0" t="s">
        <v>15</v>
      </c>
      <c r="B292" s="0" t="s">
        <v>4975</v>
      </c>
      <c r="C292" s="0" t="n">
        <v>114001</v>
      </c>
      <c r="D292" s="0" t="n">
        <v>114001</v>
      </c>
      <c r="E292" s="0" t="s">
        <v>1417</v>
      </c>
      <c r="F292" s="0" t="s">
        <v>18</v>
      </c>
      <c r="G292" s="7" t="s">
        <v>4976</v>
      </c>
      <c r="H292" s="0" t="s">
        <v>4976</v>
      </c>
      <c r="I292" s="0" t="s">
        <v>947</v>
      </c>
      <c r="J292" s="0" t="s">
        <v>948</v>
      </c>
      <c r="K292" s="0" t="s">
        <v>4824</v>
      </c>
      <c r="L292" s="0" t="str">
        <f aca="false">IFERROR(VLOOKUP(K292,'Supplier list'!B:C,2,0),"")</f>
        <v>บริษัท ทีโอเอ-ยูเนี่ยน เพ้นท์ (ประเทศไทย) จำกัด</v>
      </c>
      <c r="M292" s="1" t="n">
        <f aca="false">FALSE()</f>
        <v>0</v>
      </c>
      <c r="N292" s="2"/>
      <c r="O292" s="2" t="n">
        <v>2890</v>
      </c>
    </row>
    <row r="293" customFormat="false" ht="16.4" hidden="false" customHeight="false" outlineLevel="0" collapsed="false">
      <c r="A293" s="0" t="s">
        <v>15</v>
      </c>
      <c r="B293" s="0" t="s">
        <v>4977</v>
      </c>
      <c r="C293" s="0" t="n">
        <v>114001</v>
      </c>
      <c r="D293" s="0" t="n">
        <v>114001</v>
      </c>
      <c r="E293" s="0" t="s">
        <v>1417</v>
      </c>
      <c r="F293" s="0" t="s">
        <v>18</v>
      </c>
      <c r="G293" s="7" t="s">
        <v>4978</v>
      </c>
      <c r="H293" s="0" t="s">
        <v>4978</v>
      </c>
      <c r="I293" s="0" t="s">
        <v>947</v>
      </c>
      <c r="J293" s="0" t="s">
        <v>948</v>
      </c>
      <c r="K293" s="0" t="s">
        <v>4824</v>
      </c>
      <c r="L293" s="0" t="str">
        <f aca="false">IFERROR(VLOOKUP(K293,'Supplier list'!B:C,2,0),"")</f>
        <v>บริษัท ทีโอเอ-ยูเนี่ยน เพ้นท์ (ประเทศไทย) จำกัด</v>
      </c>
      <c r="M293" s="1" t="n">
        <f aca="false">FALSE()</f>
        <v>0</v>
      </c>
      <c r="N293" s="2"/>
      <c r="O293" s="2" t="n">
        <v>2890</v>
      </c>
    </row>
    <row r="294" customFormat="false" ht="16.4" hidden="false" customHeight="false" outlineLevel="0" collapsed="false">
      <c r="A294" s="0" t="s">
        <v>15</v>
      </c>
      <c r="B294" s="0" t="s">
        <v>4979</v>
      </c>
      <c r="C294" s="0" t="n">
        <v>114001</v>
      </c>
      <c r="D294" s="0" t="n">
        <v>114001</v>
      </c>
      <c r="E294" s="0" t="s">
        <v>1417</v>
      </c>
      <c r="F294" s="0" t="s">
        <v>18</v>
      </c>
      <c r="G294" s="7" t="s">
        <v>4980</v>
      </c>
      <c r="H294" s="0" t="s">
        <v>4980</v>
      </c>
      <c r="I294" s="0" t="s">
        <v>947</v>
      </c>
      <c r="J294" s="0" t="s">
        <v>948</v>
      </c>
      <c r="K294" s="0" t="s">
        <v>4824</v>
      </c>
      <c r="L294" s="0" t="str">
        <f aca="false">IFERROR(VLOOKUP(K294,'Supplier list'!B:C,2,0),"")</f>
        <v>บริษัท ทีโอเอ-ยูเนี่ยน เพ้นท์ (ประเทศไทย) จำกัด</v>
      </c>
      <c r="M294" s="1" t="n">
        <f aca="false">FALSE()</f>
        <v>0</v>
      </c>
      <c r="N294" s="2"/>
      <c r="O294" s="2" t="n">
        <v>2890</v>
      </c>
    </row>
    <row r="295" customFormat="false" ht="16.4" hidden="false" customHeight="false" outlineLevel="0" collapsed="false">
      <c r="A295" s="0" t="s">
        <v>15</v>
      </c>
      <c r="B295" s="0" t="s">
        <v>4981</v>
      </c>
      <c r="C295" s="0" t="n">
        <v>114001</v>
      </c>
      <c r="D295" s="0" t="n">
        <v>114001</v>
      </c>
      <c r="E295" s="0" t="s">
        <v>1417</v>
      </c>
      <c r="F295" s="0" t="s">
        <v>18</v>
      </c>
      <c r="G295" s="7" t="s">
        <v>4982</v>
      </c>
      <c r="H295" s="0" t="s">
        <v>4982</v>
      </c>
      <c r="I295" s="0" t="s">
        <v>947</v>
      </c>
      <c r="J295" s="0" t="s">
        <v>948</v>
      </c>
      <c r="K295" s="0" t="s">
        <v>4824</v>
      </c>
      <c r="L295" s="0" t="str">
        <f aca="false">IFERROR(VLOOKUP(K295,'Supplier list'!B:C,2,0),"")</f>
        <v>บริษัท ทีโอเอ-ยูเนี่ยน เพ้นท์ (ประเทศไทย) จำกัด</v>
      </c>
      <c r="M295" s="1" t="n">
        <f aca="false">FALSE()</f>
        <v>0</v>
      </c>
      <c r="N295" s="2"/>
      <c r="O295" s="2" t="n">
        <v>2890</v>
      </c>
    </row>
    <row r="296" customFormat="false" ht="16.4" hidden="false" customHeight="false" outlineLevel="0" collapsed="false">
      <c r="A296" s="0" t="s">
        <v>15</v>
      </c>
      <c r="B296" s="0" t="s">
        <v>4983</v>
      </c>
      <c r="C296" s="0" t="n">
        <v>114001</v>
      </c>
      <c r="D296" s="0" t="n">
        <v>114001</v>
      </c>
      <c r="E296" s="0" t="s">
        <v>1417</v>
      </c>
      <c r="F296" s="0" t="s">
        <v>18</v>
      </c>
      <c r="G296" s="7" t="s">
        <v>4984</v>
      </c>
      <c r="H296" s="0" t="s">
        <v>4984</v>
      </c>
      <c r="I296" s="0" t="s">
        <v>947</v>
      </c>
      <c r="J296" s="0" t="s">
        <v>948</v>
      </c>
      <c r="K296" s="0" t="s">
        <v>4824</v>
      </c>
      <c r="L296" s="0" t="str">
        <f aca="false">IFERROR(VLOOKUP(K296,'Supplier list'!B:C,2,0),"")</f>
        <v>บริษัท ทีโอเอ-ยูเนี่ยน เพ้นท์ (ประเทศไทย) จำกัด</v>
      </c>
      <c r="M296" s="1" t="n">
        <f aca="false">FALSE()</f>
        <v>0</v>
      </c>
      <c r="N296" s="2"/>
      <c r="O296" s="2" t="n">
        <v>2890</v>
      </c>
    </row>
    <row r="297" customFormat="false" ht="16.4" hidden="false" customHeight="false" outlineLevel="0" collapsed="false">
      <c r="A297" s="0" t="s">
        <v>15</v>
      </c>
      <c r="B297" s="0" t="s">
        <v>4985</v>
      </c>
      <c r="C297" s="0" t="n">
        <v>114001</v>
      </c>
      <c r="D297" s="0" t="n">
        <v>114001</v>
      </c>
      <c r="E297" s="0" t="s">
        <v>1417</v>
      </c>
      <c r="F297" s="0" t="s">
        <v>18</v>
      </c>
      <c r="G297" s="7" t="s">
        <v>4986</v>
      </c>
      <c r="H297" s="0" t="s">
        <v>4987</v>
      </c>
      <c r="I297" s="0" t="s">
        <v>947</v>
      </c>
      <c r="J297" s="0" t="s">
        <v>948</v>
      </c>
      <c r="K297" s="0" t="s">
        <v>4824</v>
      </c>
      <c r="L297" s="0" t="str">
        <f aca="false">IFERROR(VLOOKUP(K297,'Supplier list'!B:C,2,0),"")</f>
        <v>บริษัท ทีโอเอ-ยูเนี่ยน เพ้นท์ (ประเทศไทย) จำกัด</v>
      </c>
      <c r="M297" s="1" t="n">
        <f aca="false">FALSE()</f>
        <v>0</v>
      </c>
      <c r="N297" s="2"/>
      <c r="O297" s="2" t="n">
        <v>2790</v>
      </c>
    </row>
    <row r="298" customFormat="false" ht="16.4" hidden="false" customHeight="false" outlineLevel="0" collapsed="false">
      <c r="A298" s="0" t="s">
        <v>15</v>
      </c>
      <c r="B298" s="0" t="s">
        <v>4988</v>
      </c>
      <c r="C298" s="0" t="n">
        <v>114001</v>
      </c>
      <c r="D298" s="0" t="n">
        <v>114001</v>
      </c>
      <c r="E298" s="0" t="s">
        <v>1417</v>
      </c>
      <c r="F298" s="0" t="s">
        <v>18</v>
      </c>
      <c r="G298" s="7" t="s">
        <v>4989</v>
      </c>
      <c r="H298" s="0" t="s">
        <v>4990</v>
      </c>
      <c r="I298" s="0" t="s">
        <v>947</v>
      </c>
      <c r="J298" s="0" t="s">
        <v>948</v>
      </c>
      <c r="K298" s="0" t="s">
        <v>4824</v>
      </c>
      <c r="L298" s="0" t="str">
        <f aca="false">IFERROR(VLOOKUP(K298,'Supplier list'!B:C,2,0),"")</f>
        <v>บริษัท ทีโอเอ-ยูเนี่ยน เพ้นท์ (ประเทศไทย) จำกัด</v>
      </c>
      <c r="M298" s="1" t="n">
        <f aca="false">FALSE()</f>
        <v>0</v>
      </c>
      <c r="N298" s="2"/>
      <c r="O298" s="2" t="n">
        <v>650</v>
      </c>
    </row>
    <row r="299" customFormat="false" ht="16.4" hidden="false" customHeight="false" outlineLevel="0" collapsed="false">
      <c r="A299" s="0" t="s">
        <v>15</v>
      </c>
      <c r="B299" s="0" t="s">
        <v>4991</v>
      </c>
      <c r="C299" s="0" t="n">
        <v>114001</v>
      </c>
      <c r="D299" s="0" t="n">
        <v>114001</v>
      </c>
      <c r="E299" s="0" t="s">
        <v>1417</v>
      </c>
      <c r="F299" s="0" t="s">
        <v>18</v>
      </c>
      <c r="G299" s="7" t="s">
        <v>4992</v>
      </c>
      <c r="H299" s="0" t="s">
        <v>4992</v>
      </c>
      <c r="I299" s="0" t="s">
        <v>947</v>
      </c>
      <c r="J299" s="0" t="s">
        <v>948</v>
      </c>
      <c r="K299" s="0" t="s">
        <v>4824</v>
      </c>
      <c r="L299" s="0" t="str">
        <f aca="false">IFERROR(VLOOKUP(K299,'Supplier list'!B:C,2,0),"")</f>
        <v>บริษัท ทีโอเอ-ยูเนี่ยน เพ้นท์ (ประเทศไทย) จำกัด</v>
      </c>
      <c r="M299" s="1" t="n">
        <f aca="false">FALSE()</f>
        <v>0</v>
      </c>
      <c r="N299" s="2"/>
      <c r="O299" s="2" t="n">
        <v>2890</v>
      </c>
    </row>
    <row r="300" customFormat="false" ht="16.4" hidden="false" customHeight="false" outlineLevel="0" collapsed="false">
      <c r="A300" s="0" t="s">
        <v>15</v>
      </c>
      <c r="B300" s="0" t="s">
        <v>4993</v>
      </c>
      <c r="C300" s="0" t="n">
        <v>114001</v>
      </c>
      <c r="D300" s="0" t="n">
        <v>114001</v>
      </c>
      <c r="E300" s="0" t="s">
        <v>1417</v>
      </c>
      <c r="F300" s="0" t="s">
        <v>18</v>
      </c>
      <c r="G300" s="7" t="s">
        <v>4994</v>
      </c>
      <c r="H300" s="0" t="s">
        <v>4994</v>
      </c>
      <c r="I300" s="0" t="s">
        <v>947</v>
      </c>
      <c r="J300" s="0" t="s">
        <v>948</v>
      </c>
      <c r="K300" s="0" t="s">
        <v>4824</v>
      </c>
      <c r="L300" s="0" t="str">
        <f aca="false">IFERROR(VLOOKUP(K300,'Supplier list'!B:C,2,0),"")</f>
        <v>บริษัท ทีโอเอ-ยูเนี่ยน เพ้นท์ (ประเทศไทย) จำกัด</v>
      </c>
      <c r="M300" s="1" t="n">
        <f aca="false">FALSE()</f>
        <v>0</v>
      </c>
      <c r="N300" s="2"/>
      <c r="O300" s="2" t="n">
        <v>2890</v>
      </c>
    </row>
    <row r="301" customFormat="false" ht="16.4" hidden="false" customHeight="false" outlineLevel="0" collapsed="false">
      <c r="A301" s="0" t="s">
        <v>15</v>
      </c>
      <c r="B301" s="0" t="s">
        <v>4995</v>
      </c>
      <c r="C301" s="0" t="n">
        <v>114001</v>
      </c>
      <c r="D301" s="0" t="n">
        <v>114001</v>
      </c>
      <c r="E301" s="0" t="s">
        <v>1417</v>
      </c>
      <c r="F301" s="0" t="s">
        <v>18</v>
      </c>
      <c r="G301" s="7" t="s">
        <v>4996</v>
      </c>
      <c r="H301" s="0" t="s">
        <v>4996</v>
      </c>
      <c r="I301" s="0" t="s">
        <v>947</v>
      </c>
      <c r="J301" s="0" t="s">
        <v>948</v>
      </c>
      <c r="K301" s="0" t="s">
        <v>4824</v>
      </c>
      <c r="L301" s="0" t="str">
        <f aca="false">IFERROR(VLOOKUP(K301,'Supplier list'!B:C,2,0),"")</f>
        <v>บริษัท ทีโอเอ-ยูเนี่ยน เพ้นท์ (ประเทศไทย) จำกัด</v>
      </c>
      <c r="M301" s="1" t="n">
        <f aca="false">FALSE()</f>
        <v>0</v>
      </c>
      <c r="N301" s="2"/>
      <c r="O301" s="2" t="n">
        <v>0</v>
      </c>
    </row>
    <row r="302" customFormat="false" ht="16.4" hidden="false" customHeight="false" outlineLevel="0" collapsed="false">
      <c r="A302" s="0" t="s">
        <v>15</v>
      </c>
      <c r="B302" s="0" t="s">
        <v>4997</v>
      </c>
      <c r="C302" s="0" t="n">
        <v>114001</v>
      </c>
      <c r="D302" s="0" t="n">
        <v>114001</v>
      </c>
      <c r="E302" s="0" t="s">
        <v>1417</v>
      </c>
      <c r="F302" s="0" t="s">
        <v>18</v>
      </c>
      <c r="G302" s="7" t="s">
        <v>4998</v>
      </c>
      <c r="H302" s="0" t="s">
        <v>4998</v>
      </c>
      <c r="I302" s="0" t="s">
        <v>947</v>
      </c>
      <c r="J302" s="0" t="s">
        <v>948</v>
      </c>
      <c r="K302" s="0" t="s">
        <v>4824</v>
      </c>
      <c r="L302" s="0" t="str">
        <f aca="false">IFERROR(VLOOKUP(K302,'Supplier list'!B:C,2,0),"")</f>
        <v>บริษัท ทีโอเอ-ยูเนี่ยน เพ้นท์ (ประเทศไทย) จำกัด</v>
      </c>
      <c r="M302" s="1" t="n">
        <f aca="false">FALSE()</f>
        <v>0</v>
      </c>
      <c r="N302" s="2"/>
      <c r="O302" s="2" t="n">
        <v>3900</v>
      </c>
    </row>
    <row r="303" customFormat="false" ht="16.4" hidden="false" customHeight="false" outlineLevel="0" collapsed="false">
      <c r="A303" s="0" t="s">
        <v>15</v>
      </c>
      <c r="B303" s="0" t="s">
        <v>4999</v>
      </c>
      <c r="C303" s="0" t="n">
        <v>114001</v>
      </c>
      <c r="D303" s="0" t="n">
        <v>114001</v>
      </c>
      <c r="E303" s="0" t="s">
        <v>1417</v>
      </c>
      <c r="F303" s="0" t="s">
        <v>18</v>
      </c>
      <c r="G303" s="7" t="s">
        <v>5000</v>
      </c>
      <c r="H303" s="0" t="s">
        <v>5001</v>
      </c>
      <c r="I303" s="0" t="s">
        <v>947</v>
      </c>
      <c r="J303" s="0" t="s">
        <v>948</v>
      </c>
      <c r="K303" s="0" t="s">
        <v>4824</v>
      </c>
      <c r="L303" s="0" t="str">
        <f aca="false">IFERROR(VLOOKUP(K303,'Supplier list'!B:C,2,0),"")</f>
        <v>บริษัท ทีโอเอ-ยูเนี่ยน เพ้นท์ (ประเทศไทย) จำกัด</v>
      </c>
      <c r="M303" s="1" t="n">
        <f aca="false">FALSE()</f>
        <v>0</v>
      </c>
      <c r="N303" s="2"/>
      <c r="O303" s="2" t="n">
        <v>0</v>
      </c>
    </row>
    <row r="304" customFormat="false" ht="16.4" hidden="false" customHeight="false" outlineLevel="0" collapsed="false">
      <c r="A304" s="0" t="s">
        <v>15</v>
      </c>
      <c r="B304" s="0" t="s">
        <v>5002</v>
      </c>
      <c r="C304" s="0" t="n">
        <v>114001</v>
      </c>
      <c r="D304" s="0" t="n">
        <v>114001</v>
      </c>
      <c r="E304" s="0" t="s">
        <v>1417</v>
      </c>
      <c r="F304" s="0" t="s">
        <v>18</v>
      </c>
      <c r="G304" s="7" t="s">
        <v>5003</v>
      </c>
      <c r="H304" s="0" t="s">
        <v>5004</v>
      </c>
      <c r="I304" s="0" t="s">
        <v>947</v>
      </c>
      <c r="J304" s="0" t="s">
        <v>948</v>
      </c>
      <c r="K304" s="0" t="s">
        <v>899</v>
      </c>
      <c r="L304" s="0" t="str">
        <f aca="false">IFERROR(VLOOKUP(K304,'Supplier list'!B:C,2,0),"")</f>
        <v>บริษัท ไทฟง อินเตอร์เนชั่นแนล จำกัด</v>
      </c>
      <c r="M304" s="1" t="n">
        <f aca="false">FALSE()</f>
        <v>0</v>
      </c>
      <c r="N304" s="2"/>
      <c r="O304" s="2" t="n">
        <v>1400</v>
      </c>
    </row>
    <row r="305" customFormat="false" ht="16.4" hidden="false" customHeight="false" outlineLevel="0" collapsed="false">
      <c r="A305" s="0" t="s">
        <v>15</v>
      </c>
      <c r="B305" s="0" t="s">
        <v>5005</v>
      </c>
      <c r="C305" s="0" t="n">
        <v>114001</v>
      </c>
      <c r="D305" s="0" t="n">
        <v>114001</v>
      </c>
      <c r="E305" s="0" t="s">
        <v>1417</v>
      </c>
      <c r="F305" s="0" t="s">
        <v>18</v>
      </c>
      <c r="G305" s="7" t="s">
        <v>5006</v>
      </c>
      <c r="H305" s="0" t="s">
        <v>5007</v>
      </c>
      <c r="I305" s="0" t="s">
        <v>947</v>
      </c>
      <c r="J305" s="0" t="s">
        <v>948</v>
      </c>
      <c r="K305" s="0" t="s">
        <v>4824</v>
      </c>
      <c r="L305" s="0" t="str">
        <f aca="false">IFERROR(VLOOKUP(K305,'Supplier list'!B:C,2,0),"")</f>
        <v>บริษัท ทีโอเอ-ยูเนี่ยน เพ้นท์ (ประเทศไทย) จำกัด</v>
      </c>
      <c r="M305" s="1" t="n">
        <f aca="false">FALSE()</f>
        <v>0</v>
      </c>
      <c r="N305" s="2"/>
      <c r="O305" s="2" t="n">
        <v>2500</v>
      </c>
    </row>
    <row r="306" customFormat="false" ht="16.4" hidden="false" customHeight="false" outlineLevel="0" collapsed="false">
      <c r="A306" s="0" t="s">
        <v>15</v>
      </c>
      <c r="B306" s="0" t="s">
        <v>5008</v>
      </c>
      <c r="C306" s="0" t="n">
        <v>114001</v>
      </c>
      <c r="D306" s="0" t="n">
        <v>114001</v>
      </c>
      <c r="E306" s="0" t="s">
        <v>1417</v>
      </c>
      <c r="F306" s="0" t="s">
        <v>18</v>
      </c>
      <c r="G306" s="7" t="s">
        <v>5009</v>
      </c>
      <c r="H306" s="0" t="s">
        <v>5009</v>
      </c>
      <c r="I306" s="0" t="s">
        <v>947</v>
      </c>
      <c r="J306" s="0" t="s">
        <v>948</v>
      </c>
      <c r="K306" s="0" t="s">
        <v>4824</v>
      </c>
      <c r="L306" s="0" t="str">
        <f aca="false">IFERROR(VLOOKUP(K306,'Supplier list'!B:C,2,0),"")</f>
        <v>บริษัท ทีโอเอ-ยูเนี่ยน เพ้นท์ (ประเทศไทย) จำกัด</v>
      </c>
      <c r="M306" s="1" t="n">
        <f aca="false">FALSE()</f>
        <v>0</v>
      </c>
      <c r="N306" s="2"/>
      <c r="O306" s="2" t="n">
        <v>3600</v>
      </c>
    </row>
    <row r="307" customFormat="false" ht="16.4" hidden="false" customHeight="false" outlineLevel="0" collapsed="false">
      <c r="A307" s="0" t="s">
        <v>15</v>
      </c>
      <c r="B307" s="0" t="s">
        <v>5010</v>
      </c>
      <c r="C307" s="0" t="n">
        <v>114001</v>
      </c>
      <c r="D307" s="0" t="n">
        <v>114001</v>
      </c>
      <c r="E307" s="0" t="s">
        <v>1417</v>
      </c>
      <c r="F307" s="0" t="s">
        <v>18</v>
      </c>
      <c r="G307" s="7" t="s">
        <v>5011</v>
      </c>
      <c r="H307" s="0" t="s">
        <v>5011</v>
      </c>
      <c r="I307" s="0" t="s">
        <v>947</v>
      </c>
      <c r="J307" s="0" t="s">
        <v>948</v>
      </c>
      <c r="K307" s="0" t="s">
        <v>4824</v>
      </c>
      <c r="L307" s="0" t="str">
        <f aca="false">IFERROR(VLOOKUP(K307,'Supplier list'!B:C,2,0),"")</f>
        <v>บริษัท ทีโอเอ-ยูเนี่ยน เพ้นท์ (ประเทศไทย) จำกัด</v>
      </c>
      <c r="M307" s="1" t="n">
        <f aca="false">FALSE()</f>
        <v>0</v>
      </c>
      <c r="N307" s="2"/>
      <c r="O307" s="2" t="n">
        <v>3600</v>
      </c>
    </row>
    <row r="308" customFormat="false" ht="16.4" hidden="false" customHeight="false" outlineLevel="0" collapsed="false">
      <c r="A308" s="0" t="s">
        <v>15</v>
      </c>
      <c r="B308" s="0" t="s">
        <v>5012</v>
      </c>
      <c r="C308" s="0" t="n">
        <v>114001</v>
      </c>
      <c r="D308" s="0" t="n">
        <v>114001</v>
      </c>
      <c r="E308" s="0" t="s">
        <v>4972</v>
      </c>
      <c r="F308" s="0" t="s">
        <v>18</v>
      </c>
      <c r="G308" s="7" t="s">
        <v>5013</v>
      </c>
      <c r="H308" s="0" t="s">
        <v>5014</v>
      </c>
      <c r="I308" s="0" t="s">
        <v>947</v>
      </c>
      <c r="J308" s="0" t="s">
        <v>948</v>
      </c>
      <c r="K308" s="0" t="s">
        <v>4824</v>
      </c>
      <c r="L308" s="0" t="str">
        <f aca="false">IFERROR(VLOOKUP(K308,'Supplier list'!B:C,2,0),"")</f>
        <v>บริษัท ทีโอเอ-ยูเนี่ยน เพ้นท์ (ประเทศไทย) จำกัด</v>
      </c>
      <c r="M308" s="1" t="n">
        <f aca="false">FALSE()</f>
        <v>0</v>
      </c>
      <c r="N308" s="2"/>
      <c r="O308" s="2" t="n">
        <v>1200</v>
      </c>
    </row>
    <row r="309" customFormat="false" ht="16.4" hidden="false" customHeight="false" outlineLevel="0" collapsed="false">
      <c r="A309" s="0" t="s">
        <v>15</v>
      </c>
      <c r="B309" s="0" t="s">
        <v>5015</v>
      </c>
      <c r="C309" s="0" t="n">
        <v>114001</v>
      </c>
      <c r="D309" s="0" t="n">
        <v>114001</v>
      </c>
      <c r="E309" s="0" t="s">
        <v>4972</v>
      </c>
      <c r="F309" s="0" t="s">
        <v>18</v>
      </c>
      <c r="G309" s="7" t="s">
        <v>5016</v>
      </c>
      <c r="H309" s="0" t="s">
        <v>5017</v>
      </c>
      <c r="I309" s="0" t="s">
        <v>947</v>
      </c>
      <c r="J309" s="0" t="s">
        <v>948</v>
      </c>
      <c r="K309" s="0" t="s">
        <v>4824</v>
      </c>
      <c r="L309" s="0" t="str">
        <f aca="false">IFERROR(VLOOKUP(K309,'Supplier list'!B:C,2,0),"")</f>
        <v>บริษัท ทีโอเอ-ยูเนี่ยน เพ้นท์ (ประเทศไทย) จำกัด</v>
      </c>
      <c r="M309" s="1" t="n">
        <f aca="false">FALSE()</f>
        <v>0</v>
      </c>
      <c r="N309" s="2"/>
      <c r="O309" s="2" t="n">
        <v>1200</v>
      </c>
    </row>
    <row r="310" customFormat="false" ht="16.4" hidden="false" customHeight="false" outlineLevel="0" collapsed="false">
      <c r="A310" s="0" t="s">
        <v>15</v>
      </c>
      <c r="B310" s="0" t="s">
        <v>5018</v>
      </c>
      <c r="C310" s="0" t="n">
        <v>114001</v>
      </c>
      <c r="D310" s="0" t="n">
        <v>114001</v>
      </c>
      <c r="E310" s="0" t="s">
        <v>4972</v>
      </c>
      <c r="F310" s="0" t="s">
        <v>18</v>
      </c>
      <c r="G310" s="7" t="s">
        <v>5019</v>
      </c>
      <c r="H310" s="0" t="s">
        <v>5020</v>
      </c>
      <c r="I310" s="0" t="s">
        <v>947</v>
      </c>
      <c r="J310" s="0" t="s">
        <v>948</v>
      </c>
      <c r="K310" s="0" t="s">
        <v>4824</v>
      </c>
      <c r="L310" s="0" t="str">
        <f aca="false">IFERROR(VLOOKUP(K310,'Supplier list'!B:C,2,0),"")</f>
        <v>บริษัท ทีโอเอ-ยูเนี่ยน เพ้นท์ (ประเทศไทย) จำกัด</v>
      </c>
      <c r="M310" s="1" t="n">
        <f aca="false">FALSE()</f>
        <v>0</v>
      </c>
      <c r="N310" s="2"/>
      <c r="O310" s="2" t="n">
        <v>1200</v>
      </c>
    </row>
    <row r="311" customFormat="false" ht="16.4" hidden="false" customHeight="false" outlineLevel="0" collapsed="false">
      <c r="A311" s="0" t="s">
        <v>15</v>
      </c>
      <c r="B311" s="0" t="s">
        <v>5021</v>
      </c>
      <c r="C311" s="0" t="n">
        <v>114001</v>
      </c>
      <c r="D311" s="0" t="n">
        <v>114001</v>
      </c>
      <c r="E311" s="0" t="s">
        <v>4972</v>
      </c>
      <c r="F311" s="0" t="s">
        <v>18</v>
      </c>
      <c r="G311" s="7" t="s">
        <v>5022</v>
      </c>
      <c r="H311" s="0" t="s">
        <v>5023</v>
      </c>
      <c r="I311" s="0" t="s">
        <v>947</v>
      </c>
      <c r="J311" s="0" t="s">
        <v>948</v>
      </c>
      <c r="K311" s="0" t="s">
        <v>4824</v>
      </c>
      <c r="L311" s="0" t="str">
        <f aca="false">IFERROR(VLOOKUP(K311,'Supplier list'!B:C,2,0),"")</f>
        <v>บริษัท ทีโอเอ-ยูเนี่ยน เพ้นท์ (ประเทศไทย) จำกัด</v>
      </c>
      <c r="M311" s="1" t="n">
        <f aca="false">FALSE()</f>
        <v>0</v>
      </c>
      <c r="N311" s="2"/>
      <c r="O311" s="2" t="n">
        <v>1200</v>
      </c>
    </row>
    <row r="312" customFormat="false" ht="16.4" hidden="false" customHeight="false" outlineLevel="0" collapsed="false">
      <c r="A312" s="0" t="s">
        <v>15</v>
      </c>
      <c r="B312" s="0" t="s">
        <v>5024</v>
      </c>
      <c r="C312" s="0" t="n">
        <v>114001</v>
      </c>
      <c r="D312" s="0" t="n">
        <v>114001</v>
      </c>
      <c r="E312" s="0" t="s">
        <v>4972</v>
      </c>
      <c r="F312" s="0" t="s">
        <v>18</v>
      </c>
      <c r="G312" s="7" t="s">
        <v>5025</v>
      </c>
      <c r="H312" s="0" t="s">
        <v>5026</v>
      </c>
      <c r="I312" s="0" t="s">
        <v>947</v>
      </c>
      <c r="J312" s="0" t="s">
        <v>948</v>
      </c>
      <c r="K312" s="0" t="s">
        <v>4824</v>
      </c>
      <c r="L312" s="0" t="str">
        <f aca="false">IFERROR(VLOOKUP(K312,'Supplier list'!B:C,2,0),"")</f>
        <v>บริษัท ทีโอเอ-ยูเนี่ยน เพ้นท์ (ประเทศไทย) จำกัด</v>
      </c>
      <c r="M312" s="1" t="n">
        <f aca="false">FALSE()</f>
        <v>0</v>
      </c>
      <c r="N312" s="2"/>
      <c r="O312" s="2" t="n">
        <v>1200</v>
      </c>
    </row>
    <row r="313" customFormat="false" ht="16.4" hidden="false" customHeight="false" outlineLevel="0" collapsed="false">
      <c r="A313" s="0" t="s">
        <v>15</v>
      </c>
      <c r="B313" s="0" t="s">
        <v>5027</v>
      </c>
      <c r="C313" s="0" t="n">
        <v>114001</v>
      </c>
      <c r="D313" s="0" t="n">
        <v>114001</v>
      </c>
      <c r="E313" s="0" t="s">
        <v>4972</v>
      </c>
      <c r="F313" s="0" t="s">
        <v>18</v>
      </c>
      <c r="G313" s="7" t="s">
        <v>5028</v>
      </c>
      <c r="H313" s="0" t="s">
        <v>5029</v>
      </c>
      <c r="I313" s="0" t="s">
        <v>947</v>
      </c>
      <c r="J313" s="0" t="s">
        <v>948</v>
      </c>
      <c r="K313" s="0" t="s">
        <v>4824</v>
      </c>
      <c r="L313" s="0" t="str">
        <f aca="false">IFERROR(VLOOKUP(K313,'Supplier list'!B:C,2,0),"")</f>
        <v>บริษัท ทีโอเอ-ยูเนี่ยน เพ้นท์ (ประเทศไทย) จำกัด</v>
      </c>
      <c r="M313" s="1" t="n">
        <f aca="false">FALSE()</f>
        <v>0</v>
      </c>
      <c r="N313" s="2"/>
      <c r="O313" s="2" t="n">
        <v>1200</v>
      </c>
    </row>
    <row r="314" customFormat="false" ht="16.4" hidden="false" customHeight="false" outlineLevel="0" collapsed="false">
      <c r="A314" s="0" t="s">
        <v>15</v>
      </c>
      <c r="B314" s="0" t="s">
        <v>5030</v>
      </c>
      <c r="C314" s="0" t="n">
        <v>114001</v>
      </c>
      <c r="D314" s="0" t="n">
        <v>114001</v>
      </c>
      <c r="E314" s="0" t="s">
        <v>4972</v>
      </c>
      <c r="F314" s="0" t="s">
        <v>18</v>
      </c>
      <c r="G314" s="7" t="s">
        <v>5031</v>
      </c>
      <c r="H314" s="0" t="s">
        <v>5032</v>
      </c>
      <c r="I314" s="0" t="s">
        <v>947</v>
      </c>
      <c r="J314" s="0" t="s">
        <v>948</v>
      </c>
      <c r="K314" s="0" t="s">
        <v>4824</v>
      </c>
      <c r="L314" s="0" t="str">
        <f aca="false">IFERROR(VLOOKUP(K314,'Supplier list'!B:C,2,0),"")</f>
        <v>บริษัท ทีโอเอ-ยูเนี่ยน เพ้นท์ (ประเทศไทย) จำกัด</v>
      </c>
      <c r="M314" s="1" t="n">
        <f aca="false">FALSE()</f>
        <v>0</v>
      </c>
      <c r="N314" s="2"/>
      <c r="O314" s="2" t="n">
        <v>1500</v>
      </c>
    </row>
    <row r="315" customFormat="false" ht="16.4" hidden="false" customHeight="false" outlineLevel="0" collapsed="false">
      <c r="A315" s="0" t="s">
        <v>15</v>
      </c>
      <c r="B315" s="0" t="s">
        <v>5033</v>
      </c>
      <c r="C315" s="0" t="n">
        <v>114001</v>
      </c>
      <c r="D315" s="0" t="n">
        <v>114001</v>
      </c>
      <c r="E315" s="0" t="s">
        <v>4972</v>
      </c>
      <c r="F315" s="0" t="s">
        <v>18</v>
      </c>
      <c r="G315" s="7" t="s">
        <v>5034</v>
      </c>
      <c r="H315" s="0" t="s">
        <v>5035</v>
      </c>
      <c r="I315" s="0" t="s">
        <v>947</v>
      </c>
      <c r="J315" s="0" t="s">
        <v>948</v>
      </c>
      <c r="K315" s="0" t="s">
        <v>4824</v>
      </c>
      <c r="L315" s="0" t="str">
        <f aca="false">IFERROR(VLOOKUP(K315,'Supplier list'!B:C,2,0),"")</f>
        <v>บริษัท ทีโอเอ-ยูเนี่ยน เพ้นท์ (ประเทศไทย) จำกัด</v>
      </c>
      <c r="M315" s="1" t="n">
        <f aca="false">FALSE()</f>
        <v>0</v>
      </c>
      <c r="N315" s="2"/>
      <c r="O315" s="2" t="n">
        <v>1500</v>
      </c>
    </row>
    <row r="316" customFormat="false" ht="16.4" hidden="false" customHeight="false" outlineLevel="0" collapsed="false">
      <c r="A316" s="0" t="s">
        <v>15</v>
      </c>
      <c r="B316" s="0" t="s">
        <v>5036</v>
      </c>
      <c r="C316" s="0" t="n">
        <v>114001</v>
      </c>
      <c r="D316" s="0" t="n">
        <v>114001</v>
      </c>
      <c r="E316" s="0" t="s">
        <v>4972</v>
      </c>
      <c r="F316" s="0" t="s">
        <v>18</v>
      </c>
      <c r="G316" s="7" t="s">
        <v>5037</v>
      </c>
      <c r="H316" s="0" t="s">
        <v>5038</v>
      </c>
      <c r="I316" s="0" t="s">
        <v>947</v>
      </c>
      <c r="J316" s="0" t="s">
        <v>948</v>
      </c>
      <c r="K316" s="0" t="s">
        <v>4824</v>
      </c>
      <c r="L316" s="0" t="str">
        <f aca="false">IFERROR(VLOOKUP(K316,'Supplier list'!B:C,2,0),"")</f>
        <v>บริษัท ทีโอเอ-ยูเนี่ยน เพ้นท์ (ประเทศไทย) จำกัด</v>
      </c>
      <c r="M316" s="1" t="n">
        <f aca="false">FALSE()</f>
        <v>0</v>
      </c>
      <c r="N316" s="2"/>
      <c r="O316" s="2" t="n">
        <v>1700</v>
      </c>
    </row>
    <row r="317" customFormat="false" ht="16.4" hidden="false" customHeight="false" outlineLevel="0" collapsed="false">
      <c r="A317" s="0" t="s">
        <v>15</v>
      </c>
      <c r="B317" s="0" t="s">
        <v>5039</v>
      </c>
      <c r="C317" s="0" t="n">
        <v>114001</v>
      </c>
      <c r="D317" s="0" t="n">
        <v>114001</v>
      </c>
      <c r="E317" s="0" t="s">
        <v>4972</v>
      </c>
      <c r="F317" s="0" t="s">
        <v>18</v>
      </c>
      <c r="G317" s="7" t="s">
        <v>5040</v>
      </c>
      <c r="H317" s="0" t="s">
        <v>5041</v>
      </c>
      <c r="I317" s="0" t="s">
        <v>947</v>
      </c>
      <c r="J317" s="0" t="s">
        <v>948</v>
      </c>
      <c r="K317" s="0" t="s">
        <v>4824</v>
      </c>
      <c r="L317" s="0" t="str">
        <f aca="false">IFERROR(VLOOKUP(K317,'Supplier list'!B:C,2,0),"")</f>
        <v>บริษัท ทีโอเอ-ยูเนี่ยน เพ้นท์ (ประเทศไทย) จำกัด</v>
      </c>
      <c r="M317" s="1" t="n">
        <f aca="false">FALSE()</f>
        <v>0</v>
      </c>
      <c r="N317" s="2"/>
      <c r="O317" s="2" t="n">
        <v>1500</v>
      </c>
    </row>
    <row r="318" customFormat="false" ht="16.4" hidden="false" customHeight="false" outlineLevel="0" collapsed="false">
      <c r="A318" s="0" t="s">
        <v>15</v>
      </c>
      <c r="B318" s="0" t="s">
        <v>5042</v>
      </c>
      <c r="C318" s="0" t="n">
        <v>114001</v>
      </c>
      <c r="D318" s="0" t="n">
        <v>114001</v>
      </c>
      <c r="E318" s="0" t="s">
        <v>4972</v>
      </c>
      <c r="F318" s="0" t="s">
        <v>18</v>
      </c>
      <c r="G318" s="7" t="s">
        <v>5043</v>
      </c>
      <c r="H318" s="0" t="s">
        <v>5044</v>
      </c>
      <c r="I318" s="0" t="s">
        <v>947</v>
      </c>
      <c r="J318" s="0" t="s">
        <v>948</v>
      </c>
      <c r="K318" s="0" t="s">
        <v>4824</v>
      </c>
      <c r="L318" s="0" t="str">
        <f aca="false">IFERROR(VLOOKUP(K318,'Supplier list'!B:C,2,0),"")</f>
        <v>บริษัท ทีโอเอ-ยูเนี่ยน เพ้นท์ (ประเทศไทย) จำกัด</v>
      </c>
      <c r="M318" s="1" t="n">
        <f aca="false">FALSE()</f>
        <v>0</v>
      </c>
      <c r="N318" s="2"/>
      <c r="O318" s="2" t="n">
        <v>1500</v>
      </c>
    </row>
    <row r="319" customFormat="false" ht="16.4" hidden="false" customHeight="false" outlineLevel="0" collapsed="false">
      <c r="A319" s="0" t="s">
        <v>15</v>
      </c>
      <c r="B319" s="0" t="s">
        <v>5045</v>
      </c>
      <c r="C319" s="0" t="n">
        <v>114001</v>
      </c>
      <c r="D319" s="0" t="n">
        <v>114001</v>
      </c>
      <c r="E319" s="0" t="s">
        <v>4972</v>
      </c>
      <c r="F319" s="0" t="s">
        <v>18</v>
      </c>
      <c r="G319" s="7" t="s">
        <v>5046</v>
      </c>
      <c r="H319" s="0" t="s">
        <v>5047</v>
      </c>
      <c r="I319" s="0" t="s">
        <v>947</v>
      </c>
      <c r="J319" s="0" t="s">
        <v>948</v>
      </c>
      <c r="K319" s="0" t="s">
        <v>4824</v>
      </c>
      <c r="L319" s="0" t="str">
        <f aca="false">IFERROR(VLOOKUP(K319,'Supplier list'!B:C,2,0),"")</f>
        <v>บริษัท ทีโอเอ-ยูเนี่ยน เพ้นท์ (ประเทศไทย) จำกัด</v>
      </c>
      <c r="M319" s="1" t="n">
        <f aca="false">FALSE()</f>
        <v>0</v>
      </c>
      <c r="N319" s="2"/>
      <c r="O319" s="2" t="n">
        <v>1200</v>
      </c>
    </row>
    <row r="320" customFormat="false" ht="16.4" hidden="false" customHeight="false" outlineLevel="0" collapsed="false">
      <c r="A320" s="0" t="s">
        <v>15</v>
      </c>
      <c r="B320" s="0" t="s">
        <v>5048</v>
      </c>
      <c r="C320" s="0" t="n">
        <v>114001</v>
      </c>
      <c r="D320" s="0" t="n">
        <v>114001</v>
      </c>
      <c r="E320" s="0" t="s">
        <v>1417</v>
      </c>
      <c r="F320" s="0" t="s">
        <v>18</v>
      </c>
      <c r="G320" s="7" t="s">
        <v>5049</v>
      </c>
      <c r="H320" s="0" t="s">
        <v>5049</v>
      </c>
      <c r="I320" s="0" t="s">
        <v>947</v>
      </c>
      <c r="J320" s="0" t="s">
        <v>948</v>
      </c>
      <c r="K320" s="0" t="s">
        <v>4824</v>
      </c>
      <c r="L320" s="0" t="str">
        <f aca="false">IFERROR(VLOOKUP(K320,'Supplier list'!B:C,2,0),"")</f>
        <v>บริษัท ทีโอเอ-ยูเนี่ยน เพ้นท์ (ประเทศไทย) จำกัด</v>
      </c>
      <c r="M320" s="1" t="n">
        <f aca="false">FALSE()</f>
        <v>0</v>
      </c>
      <c r="N320" s="2"/>
      <c r="O320" s="2" t="n">
        <v>1200</v>
      </c>
    </row>
    <row r="321" customFormat="false" ht="16.4" hidden="false" customHeight="false" outlineLevel="0" collapsed="false">
      <c r="A321" s="0" t="s">
        <v>15</v>
      </c>
      <c r="B321" s="0" t="s">
        <v>5050</v>
      </c>
      <c r="C321" s="0" t="n">
        <v>114001</v>
      </c>
      <c r="D321" s="0" t="n">
        <v>114001</v>
      </c>
      <c r="E321" s="0" t="s">
        <v>1417</v>
      </c>
      <c r="F321" s="0" t="s">
        <v>18</v>
      </c>
      <c r="G321" s="7" t="s">
        <v>5051</v>
      </c>
      <c r="H321" s="0" t="s">
        <v>5051</v>
      </c>
      <c r="I321" s="0" t="s">
        <v>947</v>
      </c>
      <c r="J321" s="0" t="s">
        <v>948</v>
      </c>
      <c r="K321" s="0" t="s">
        <v>4824</v>
      </c>
      <c r="L321" s="0" t="str">
        <f aca="false">IFERROR(VLOOKUP(K321,'Supplier list'!B:C,2,0),"")</f>
        <v>บริษัท ทีโอเอ-ยูเนี่ยน เพ้นท์ (ประเทศไทย) จำกัด</v>
      </c>
      <c r="M321" s="1" t="n">
        <f aca="false">FALSE()</f>
        <v>0</v>
      </c>
      <c r="N321" s="2"/>
      <c r="O321" s="2" t="n">
        <v>320</v>
      </c>
    </row>
    <row r="322" customFormat="false" ht="16.4" hidden="false" customHeight="false" outlineLevel="0" collapsed="false">
      <c r="A322" s="0" t="s">
        <v>15</v>
      </c>
      <c r="B322" s="0" t="s">
        <v>5052</v>
      </c>
      <c r="C322" s="0" t="n">
        <v>114001</v>
      </c>
      <c r="D322" s="0" t="n">
        <v>114001</v>
      </c>
      <c r="E322" s="0" t="s">
        <v>1417</v>
      </c>
      <c r="F322" s="0" t="s">
        <v>18</v>
      </c>
      <c r="G322" s="7" t="s">
        <v>5053</v>
      </c>
      <c r="H322" s="0" t="s">
        <v>5053</v>
      </c>
      <c r="I322" s="0" t="s">
        <v>947</v>
      </c>
      <c r="J322" s="0" t="s">
        <v>948</v>
      </c>
      <c r="K322" s="0" t="s">
        <v>4824</v>
      </c>
      <c r="L322" s="0" t="str">
        <f aca="false">IFERROR(VLOOKUP(K322,'Supplier list'!B:C,2,0),"")</f>
        <v>บริษัท ทีโอเอ-ยูเนี่ยน เพ้นท์ (ประเทศไทย) จำกัด</v>
      </c>
      <c r="M322" s="1" t="n">
        <f aca="false">FALSE()</f>
        <v>0</v>
      </c>
      <c r="N322" s="2"/>
      <c r="O322" s="2" t="n">
        <v>3990</v>
      </c>
    </row>
    <row r="323" customFormat="false" ht="16.4" hidden="false" customHeight="false" outlineLevel="0" collapsed="false">
      <c r="A323" s="0" t="s">
        <v>15</v>
      </c>
      <c r="B323" s="0" t="s">
        <v>5054</v>
      </c>
      <c r="C323" s="0" t="n">
        <v>114001</v>
      </c>
      <c r="D323" s="0" t="n">
        <v>114001</v>
      </c>
      <c r="E323" s="0" t="s">
        <v>1417</v>
      </c>
      <c r="F323" s="0" t="s">
        <v>18</v>
      </c>
      <c r="G323" s="7" t="s">
        <v>5055</v>
      </c>
      <c r="H323" s="0" t="s">
        <v>5055</v>
      </c>
      <c r="I323" s="0" t="s">
        <v>947</v>
      </c>
      <c r="J323" s="0" t="s">
        <v>948</v>
      </c>
      <c r="K323" s="0" t="s">
        <v>4824</v>
      </c>
      <c r="L323" s="0" t="str">
        <f aca="false">IFERROR(VLOOKUP(K323,'Supplier list'!B:C,2,0),"")</f>
        <v>บริษัท ทีโอเอ-ยูเนี่ยน เพ้นท์ (ประเทศไทย) จำกัด</v>
      </c>
      <c r="M323" s="1" t="n">
        <f aca="false">FALSE()</f>
        <v>0</v>
      </c>
      <c r="N323" s="2"/>
      <c r="O323" s="2" t="n">
        <v>3200</v>
      </c>
    </row>
    <row r="324" customFormat="false" ht="16.4" hidden="false" customHeight="false" outlineLevel="0" collapsed="false">
      <c r="A324" s="0" t="s">
        <v>15</v>
      </c>
      <c r="B324" s="0" t="s">
        <v>5056</v>
      </c>
      <c r="C324" s="0" t="n">
        <v>114001</v>
      </c>
      <c r="D324" s="0" t="n">
        <v>114001</v>
      </c>
      <c r="E324" s="0" t="s">
        <v>1417</v>
      </c>
      <c r="F324" s="0" t="s">
        <v>18</v>
      </c>
      <c r="G324" s="7" t="s">
        <v>5057</v>
      </c>
      <c r="H324" s="0" t="s">
        <v>5057</v>
      </c>
      <c r="I324" s="0" t="s">
        <v>947</v>
      </c>
      <c r="J324" s="0" t="s">
        <v>948</v>
      </c>
      <c r="K324" s="0" t="s">
        <v>4824</v>
      </c>
      <c r="L324" s="0" t="str">
        <f aca="false">IFERROR(VLOOKUP(K324,'Supplier list'!B:C,2,0),"")</f>
        <v>บริษัท ทีโอเอ-ยูเนี่ยน เพ้นท์ (ประเทศไทย) จำกัด</v>
      </c>
      <c r="M324" s="1" t="n">
        <f aca="false">FALSE()</f>
        <v>0</v>
      </c>
      <c r="N324" s="2"/>
      <c r="O324" s="2" t="n">
        <v>3500</v>
      </c>
    </row>
    <row r="325" customFormat="false" ht="16.4" hidden="false" customHeight="false" outlineLevel="0" collapsed="false">
      <c r="A325" s="0" t="s">
        <v>15</v>
      </c>
      <c r="B325" s="0" t="s">
        <v>5058</v>
      </c>
      <c r="C325" s="0" t="n">
        <v>114002</v>
      </c>
      <c r="D325" s="0" t="n">
        <v>114002</v>
      </c>
      <c r="E325" s="0" t="s">
        <v>1328</v>
      </c>
      <c r="F325" s="0" t="s">
        <v>18</v>
      </c>
      <c r="G325" s="7" t="s">
        <v>5059</v>
      </c>
      <c r="H325" s="0" t="s">
        <v>5060</v>
      </c>
      <c r="I325" s="0" t="s">
        <v>21</v>
      </c>
      <c r="J325" s="0" t="s">
        <v>22</v>
      </c>
      <c r="L325" s="0" t="str">
        <f aca="false">IFERROR(VLOOKUP(K325,'Supplier list'!B:C,2,0),"")</f>
        <v/>
      </c>
      <c r="M325" s="1" t="n">
        <f aca="false">FALSE()</f>
        <v>0</v>
      </c>
      <c r="N325" s="2"/>
      <c r="O325" s="2" t="n">
        <v>0</v>
      </c>
    </row>
    <row r="326" customFormat="false" ht="16.4" hidden="false" customHeight="false" outlineLevel="0" collapsed="false">
      <c r="A326" s="0" t="s">
        <v>15</v>
      </c>
      <c r="B326" s="0" t="s">
        <v>5061</v>
      </c>
      <c r="C326" s="0" t="n">
        <v>114002</v>
      </c>
      <c r="D326" s="0" t="n">
        <v>114002</v>
      </c>
      <c r="E326" s="0" t="s">
        <v>5062</v>
      </c>
      <c r="F326" s="0" t="s">
        <v>18</v>
      </c>
      <c r="G326" s="7" t="s">
        <v>5063</v>
      </c>
      <c r="H326" s="0" t="s">
        <v>5064</v>
      </c>
      <c r="I326" s="0" t="s">
        <v>102</v>
      </c>
      <c r="J326" s="0" t="s">
        <v>103</v>
      </c>
      <c r="K326" s="0" t="s">
        <v>5065</v>
      </c>
      <c r="L326" s="0" t="str">
        <f aca="false">IFERROR(VLOOKUP(K326,'Supplier list'!B:C,2,0),"")</f>
        <v>บริษัท ไทยซัมมิท สโตน จำกัด</v>
      </c>
      <c r="M326" s="1" t="n">
        <f aca="false">FALSE()</f>
        <v>0</v>
      </c>
      <c r="N326" s="2"/>
      <c r="O326" s="2" t="n">
        <v>8500</v>
      </c>
    </row>
    <row r="327" customFormat="false" ht="16.4" hidden="false" customHeight="false" outlineLevel="0" collapsed="false">
      <c r="A327" s="0" t="s">
        <v>15</v>
      </c>
      <c r="B327" s="0" t="s">
        <v>5066</v>
      </c>
      <c r="C327" s="0" t="n">
        <v>114002</v>
      </c>
      <c r="D327" s="0" t="n">
        <v>114002</v>
      </c>
      <c r="E327" s="0" t="s">
        <v>5062</v>
      </c>
      <c r="F327" s="0" t="s">
        <v>18</v>
      </c>
      <c r="G327" s="7" t="s">
        <v>5067</v>
      </c>
      <c r="H327" s="0" t="s">
        <v>5068</v>
      </c>
      <c r="I327" s="0" t="s">
        <v>102</v>
      </c>
      <c r="J327" s="0" t="s">
        <v>103</v>
      </c>
      <c r="K327" s="0" t="s">
        <v>5065</v>
      </c>
      <c r="L327" s="0" t="str">
        <f aca="false">IFERROR(VLOOKUP(K327,'Supplier list'!B:C,2,0),"")</f>
        <v>บริษัท ไทยซัมมิท สโตน จำกัด</v>
      </c>
      <c r="M327" s="1" t="n">
        <f aca="false">FALSE()</f>
        <v>0</v>
      </c>
      <c r="N327" s="2"/>
      <c r="O327" s="2" t="n">
        <v>8500</v>
      </c>
    </row>
    <row r="328" customFormat="false" ht="16.4" hidden="false" customHeight="false" outlineLevel="0" collapsed="false">
      <c r="A328" s="0" t="s">
        <v>15</v>
      </c>
      <c r="B328" s="0" t="s">
        <v>5069</v>
      </c>
      <c r="C328" s="0" t="n">
        <v>114002</v>
      </c>
      <c r="D328" s="0" t="n">
        <v>114002</v>
      </c>
      <c r="E328" s="0" t="s">
        <v>1328</v>
      </c>
      <c r="F328" s="0" t="s">
        <v>18</v>
      </c>
      <c r="G328" s="7" t="s">
        <v>5070</v>
      </c>
      <c r="H328" s="0" t="s">
        <v>5071</v>
      </c>
      <c r="I328" s="0" t="s">
        <v>124</v>
      </c>
      <c r="J328" s="0" t="s">
        <v>125</v>
      </c>
      <c r="L328" s="0" t="str">
        <f aca="false">IFERROR(VLOOKUP(K328,'Supplier list'!B:C,2,0),"")</f>
        <v/>
      </c>
      <c r="M328" s="1" t="n">
        <f aca="false">FALSE()</f>
        <v>0</v>
      </c>
      <c r="N328" s="2"/>
      <c r="O328" s="2" t="n">
        <v>0</v>
      </c>
    </row>
    <row r="329" customFormat="false" ht="16.4" hidden="false" customHeight="false" outlineLevel="0" collapsed="false">
      <c r="A329" s="0" t="s">
        <v>15</v>
      </c>
      <c r="B329" s="0" t="s">
        <v>5072</v>
      </c>
      <c r="C329" s="0" t="n">
        <v>114002</v>
      </c>
      <c r="D329" s="0" t="n">
        <v>114002</v>
      </c>
      <c r="E329" s="0" t="s">
        <v>5062</v>
      </c>
      <c r="F329" s="0" t="s">
        <v>18</v>
      </c>
      <c r="G329" s="7" t="s">
        <v>5073</v>
      </c>
      <c r="H329" s="0" t="s">
        <v>5074</v>
      </c>
      <c r="I329" s="0" t="s">
        <v>102</v>
      </c>
      <c r="J329" s="0" t="s">
        <v>103</v>
      </c>
      <c r="K329" s="0" t="s">
        <v>5065</v>
      </c>
      <c r="L329" s="0" t="str">
        <f aca="false">IFERROR(VLOOKUP(K329,'Supplier list'!B:C,2,0),"")</f>
        <v>บริษัท ไทยซัมมิท สโตน จำกัด</v>
      </c>
      <c r="M329" s="1" t="n">
        <f aca="false">FALSE()</f>
        <v>0</v>
      </c>
      <c r="N329" s="2"/>
      <c r="O329" s="2" t="n">
        <v>10000</v>
      </c>
    </row>
    <row r="330" customFormat="false" ht="16.4" hidden="false" customHeight="false" outlineLevel="0" collapsed="false">
      <c r="A330" s="0" t="s">
        <v>15</v>
      </c>
      <c r="B330" s="0" t="s">
        <v>5075</v>
      </c>
      <c r="C330" s="0" t="n">
        <v>114002</v>
      </c>
      <c r="D330" s="0" t="n">
        <v>114002</v>
      </c>
      <c r="E330" s="0" t="s">
        <v>1328</v>
      </c>
      <c r="F330" s="0" t="s">
        <v>18</v>
      </c>
      <c r="G330" s="7" t="s">
        <v>5076</v>
      </c>
      <c r="H330" s="0" t="s">
        <v>5077</v>
      </c>
      <c r="I330" s="0" t="s">
        <v>21</v>
      </c>
      <c r="J330" s="0" t="s">
        <v>22</v>
      </c>
      <c r="L330" s="0" t="str">
        <f aca="false">IFERROR(VLOOKUP(K330,'Supplier list'!B:C,2,0),"")</f>
        <v/>
      </c>
      <c r="M330" s="1" t="n">
        <f aca="false">FALSE()</f>
        <v>0</v>
      </c>
      <c r="N330" s="2"/>
      <c r="O330" s="2" t="n">
        <v>0</v>
      </c>
    </row>
    <row r="331" customFormat="false" ht="16.4" hidden="false" customHeight="false" outlineLevel="0" collapsed="false">
      <c r="A331" s="0" t="s">
        <v>15</v>
      </c>
      <c r="B331" s="0" t="s">
        <v>5078</v>
      </c>
      <c r="C331" s="0" t="n">
        <v>114002</v>
      </c>
      <c r="D331" s="0" t="n">
        <v>114002</v>
      </c>
      <c r="E331" s="0" t="s">
        <v>1328</v>
      </c>
      <c r="F331" s="0" t="s">
        <v>18</v>
      </c>
      <c r="G331" s="7" t="s">
        <v>5079</v>
      </c>
      <c r="H331" s="0" t="s">
        <v>5080</v>
      </c>
      <c r="I331" s="0" t="s">
        <v>701</v>
      </c>
      <c r="J331" s="0" t="s">
        <v>22</v>
      </c>
      <c r="L331" s="0" t="str">
        <f aca="false">IFERROR(VLOOKUP(K331,'Supplier list'!B:C,2,0),"")</f>
        <v/>
      </c>
      <c r="M331" s="1" t="n">
        <f aca="false">FALSE()</f>
        <v>0</v>
      </c>
      <c r="N331" s="2"/>
      <c r="O331" s="2" t="n">
        <v>0</v>
      </c>
    </row>
    <row r="332" customFormat="false" ht="16.4" hidden="false" customHeight="false" outlineLevel="0" collapsed="false">
      <c r="A332" s="0" t="s">
        <v>15</v>
      </c>
      <c r="B332" s="0" t="s">
        <v>5081</v>
      </c>
      <c r="C332" s="0" t="n">
        <v>114002</v>
      </c>
      <c r="D332" s="0" t="n">
        <v>114002</v>
      </c>
      <c r="E332" s="0" t="s">
        <v>1328</v>
      </c>
      <c r="F332" s="0" t="s">
        <v>18</v>
      </c>
      <c r="G332" s="7" t="s">
        <v>5082</v>
      </c>
      <c r="H332" s="0" t="s">
        <v>5083</v>
      </c>
      <c r="I332" s="0" t="s">
        <v>701</v>
      </c>
      <c r="J332" s="0" t="s">
        <v>22</v>
      </c>
      <c r="L332" s="0" t="str">
        <f aca="false">IFERROR(VLOOKUP(K332,'Supplier list'!B:C,2,0),"")</f>
        <v/>
      </c>
      <c r="M332" s="1" t="n">
        <f aca="false">FALSE()</f>
        <v>0</v>
      </c>
      <c r="N332" s="2"/>
      <c r="O332" s="2" t="n">
        <v>0</v>
      </c>
    </row>
    <row r="333" customFormat="false" ht="16.4" hidden="false" customHeight="false" outlineLevel="0" collapsed="false">
      <c r="A333" s="0" t="s">
        <v>15</v>
      </c>
      <c r="B333" s="0" t="s">
        <v>5084</v>
      </c>
      <c r="C333" s="0" t="n">
        <v>114002</v>
      </c>
      <c r="D333" s="0" t="n">
        <v>114002</v>
      </c>
      <c r="E333" s="0" t="s">
        <v>1328</v>
      </c>
      <c r="F333" s="0" t="s">
        <v>18</v>
      </c>
      <c r="G333" s="7" t="s">
        <v>5085</v>
      </c>
      <c r="H333" s="0" t="s">
        <v>5086</v>
      </c>
      <c r="I333" s="0" t="s">
        <v>701</v>
      </c>
      <c r="J333" s="0" t="s">
        <v>22</v>
      </c>
      <c r="L333" s="0" t="str">
        <f aca="false">IFERROR(VLOOKUP(K333,'Supplier list'!B:C,2,0),"")</f>
        <v/>
      </c>
      <c r="M333" s="1" t="n">
        <f aca="false">FALSE()</f>
        <v>0</v>
      </c>
      <c r="N333" s="2"/>
      <c r="O333" s="2" t="n">
        <v>0</v>
      </c>
    </row>
    <row r="334" customFormat="false" ht="16.4" hidden="false" customHeight="false" outlineLevel="0" collapsed="false">
      <c r="A334" s="0" t="s">
        <v>15</v>
      </c>
      <c r="B334" s="0" t="s">
        <v>5087</v>
      </c>
      <c r="C334" s="0" t="n">
        <v>114002</v>
      </c>
      <c r="D334" s="0" t="n">
        <v>114002</v>
      </c>
      <c r="E334" s="0" t="s">
        <v>5088</v>
      </c>
      <c r="F334" s="0" t="s">
        <v>18</v>
      </c>
      <c r="G334" s="7" t="s">
        <v>5089</v>
      </c>
      <c r="H334" s="0" t="s">
        <v>5090</v>
      </c>
      <c r="I334" s="0" t="s">
        <v>21</v>
      </c>
      <c r="J334" s="0" t="s">
        <v>22</v>
      </c>
      <c r="L334" s="0" t="str">
        <f aca="false">IFERROR(VLOOKUP(K334,'Supplier list'!B:C,2,0),"")</f>
        <v/>
      </c>
      <c r="M334" s="1" t="n">
        <f aca="false">FALSE()</f>
        <v>0</v>
      </c>
      <c r="N334" s="2"/>
      <c r="O334" s="2" t="n">
        <v>339</v>
      </c>
    </row>
    <row r="335" customFormat="false" ht="16.4" hidden="false" customHeight="false" outlineLevel="0" collapsed="false">
      <c r="A335" s="0" t="s">
        <v>15</v>
      </c>
      <c r="B335" s="0" t="s">
        <v>5091</v>
      </c>
      <c r="C335" s="0" t="n">
        <v>114002</v>
      </c>
      <c r="D335" s="0" t="n">
        <v>114002</v>
      </c>
      <c r="E335" s="0" t="s">
        <v>5088</v>
      </c>
      <c r="F335" s="0" t="s">
        <v>18</v>
      </c>
      <c r="G335" s="7" t="s">
        <v>5092</v>
      </c>
      <c r="H335" s="0" t="s">
        <v>5093</v>
      </c>
      <c r="I335" s="0" t="s">
        <v>21</v>
      </c>
      <c r="J335" s="0" t="s">
        <v>22</v>
      </c>
      <c r="L335" s="0" t="str">
        <f aca="false">IFERROR(VLOOKUP(K335,'Supplier list'!B:C,2,0),"")</f>
        <v/>
      </c>
      <c r="M335" s="1" t="n">
        <f aca="false">FALSE()</f>
        <v>0</v>
      </c>
      <c r="N335" s="2"/>
      <c r="O335" s="2" t="n">
        <v>105</v>
      </c>
    </row>
    <row r="336" customFormat="false" ht="16.4" hidden="false" customHeight="false" outlineLevel="0" collapsed="false">
      <c r="A336" s="0" t="s">
        <v>15</v>
      </c>
      <c r="B336" s="0" t="s">
        <v>5094</v>
      </c>
      <c r="C336" s="0" t="n">
        <v>114002</v>
      </c>
      <c r="D336" s="0" t="n">
        <v>114002</v>
      </c>
      <c r="E336" s="0" t="s">
        <v>5088</v>
      </c>
      <c r="F336" s="0" t="s">
        <v>18</v>
      </c>
      <c r="G336" s="7" t="s">
        <v>5095</v>
      </c>
      <c r="H336" s="0" t="s">
        <v>5096</v>
      </c>
      <c r="I336" s="0" t="s">
        <v>701</v>
      </c>
      <c r="J336" s="0" t="s">
        <v>22</v>
      </c>
      <c r="L336" s="0" t="str">
        <f aca="false">IFERROR(VLOOKUP(K336,'Supplier list'!B:C,2,0),"")</f>
        <v/>
      </c>
      <c r="M336" s="1" t="n">
        <f aca="false">FALSE()</f>
        <v>0</v>
      </c>
      <c r="N336" s="2"/>
      <c r="O336" s="2" t="n">
        <v>0</v>
      </c>
    </row>
    <row r="337" customFormat="false" ht="16.4" hidden="false" customHeight="false" outlineLevel="0" collapsed="false">
      <c r="A337" s="0" t="s">
        <v>15</v>
      </c>
      <c r="B337" s="0" t="s">
        <v>5097</v>
      </c>
      <c r="C337" s="0" t="n">
        <v>114002</v>
      </c>
      <c r="D337" s="0" t="n">
        <v>114002</v>
      </c>
      <c r="E337" s="0" t="s">
        <v>5088</v>
      </c>
      <c r="F337" s="0" t="s">
        <v>18</v>
      </c>
      <c r="G337" s="7" t="s">
        <v>5098</v>
      </c>
      <c r="H337" s="0" t="s">
        <v>5099</v>
      </c>
      <c r="I337" s="0" t="s">
        <v>21</v>
      </c>
      <c r="J337" s="0" t="s">
        <v>22</v>
      </c>
      <c r="L337" s="0" t="str">
        <f aca="false">IFERROR(VLOOKUP(K337,'Supplier list'!B:C,2,0),"")</f>
        <v/>
      </c>
      <c r="M337" s="1" t="n">
        <f aca="false">FALSE()</f>
        <v>0</v>
      </c>
      <c r="N337" s="2"/>
      <c r="O337" s="2" t="n">
        <v>0</v>
      </c>
    </row>
    <row r="338" customFormat="false" ht="16.4" hidden="false" customHeight="false" outlineLevel="0" collapsed="false">
      <c r="A338" s="0" t="s">
        <v>15</v>
      </c>
      <c r="B338" s="0" t="s">
        <v>5100</v>
      </c>
      <c r="C338" s="0" t="n">
        <v>114002</v>
      </c>
      <c r="D338" s="0" t="n">
        <v>114002</v>
      </c>
      <c r="E338" s="0" t="s">
        <v>5088</v>
      </c>
      <c r="F338" s="0" t="s">
        <v>18</v>
      </c>
      <c r="G338" s="7" t="s">
        <v>5101</v>
      </c>
      <c r="H338" s="0" t="s">
        <v>5102</v>
      </c>
      <c r="I338" s="0" t="s">
        <v>21</v>
      </c>
      <c r="J338" s="0" t="s">
        <v>22</v>
      </c>
      <c r="L338" s="0" t="str">
        <f aca="false">IFERROR(VLOOKUP(K338,'Supplier list'!B:C,2,0),"")</f>
        <v/>
      </c>
      <c r="M338" s="1" t="n">
        <f aca="false">FALSE()</f>
        <v>0</v>
      </c>
      <c r="N338" s="2"/>
      <c r="O338" s="2" t="n">
        <v>89.1</v>
      </c>
    </row>
    <row r="339" customFormat="false" ht="16.4" hidden="false" customHeight="false" outlineLevel="0" collapsed="false">
      <c r="A339" s="0" t="s">
        <v>15</v>
      </c>
      <c r="B339" s="0" t="s">
        <v>5103</v>
      </c>
      <c r="C339" s="0" t="n">
        <v>114002</v>
      </c>
      <c r="D339" s="0" t="n">
        <v>114002</v>
      </c>
      <c r="E339" s="0" t="s">
        <v>1417</v>
      </c>
      <c r="F339" s="0" t="s">
        <v>18</v>
      </c>
      <c r="G339" s="7" t="s">
        <v>5104</v>
      </c>
      <c r="H339" s="0" t="s">
        <v>5105</v>
      </c>
      <c r="I339" s="0" t="s">
        <v>142</v>
      </c>
      <c r="J339" s="0" t="s">
        <v>143</v>
      </c>
      <c r="L339" s="0" t="str">
        <f aca="false">IFERROR(VLOOKUP(K339,'Supplier list'!B:C,2,0),"")</f>
        <v/>
      </c>
      <c r="M339" s="1" t="n">
        <f aca="false">FALSE()</f>
        <v>0</v>
      </c>
      <c r="N339" s="2"/>
      <c r="O339" s="2" t="n">
        <v>0</v>
      </c>
    </row>
    <row r="340" customFormat="false" ht="16.4" hidden="false" customHeight="false" outlineLevel="0" collapsed="false">
      <c r="A340" s="0" t="s">
        <v>15</v>
      </c>
      <c r="B340" s="0" t="s">
        <v>5106</v>
      </c>
      <c r="C340" s="0" t="n">
        <v>114002</v>
      </c>
      <c r="D340" s="0" t="n">
        <v>114002</v>
      </c>
      <c r="E340" s="0" t="s">
        <v>1417</v>
      </c>
      <c r="F340" s="0" t="s">
        <v>18</v>
      </c>
      <c r="G340" s="7" t="s">
        <v>5107</v>
      </c>
      <c r="H340" s="0" t="s">
        <v>5108</v>
      </c>
      <c r="I340" s="0" t="s">
        <v>142</v>
      </c>
      <c r="J340" s="0" t="s">
        <v>143</v>
      </c>
      <c r="L340" s="0" t="str">
        <f aca="false">IFERROR(VLOOKUP(K340,'Supplier list'!B:C,2,0),"")</f>
        <v/>
      </c>
      <c r="M340" s="1" t="n">
        <f aca="false">FALSE()</f>
        <v>0</v>
      </c>
      <c r="N340" s="2"/>
      <c r="O340" s="2" t="n">
        <v>0</v>
      </c>
    </row>
    <row r="341" customFormat="false" ht="16.4" hidden="false" customHeight="false" outlineLevel="0" collapsed="false">
      <c r="A341" s="0" t="s">
        <v>15</v>
      </c>
      <c r="B341" s="0" t="s">
        <v>5109</v>
      </c>
      <c r="C341" s="0" t="n">
        <v>114002</v>
      </c>
      <c r="D341" s="0" t="n">
        <v>114002</v>
      </c>
      <c r="E341" s="0" t="s">
        <v>1417</v>
      </c>
      <c r="F341" s="0" t="s">
        <v>18</v>
      </c>
      <c r="G341" s="7" t="s">
        <v>5110</v>
      </c>
      <c r="H341" s="0" t="s">
        <v>5111</v>
      </c>
      <c r="I341" s="0" t="s">
        <v>384</v>
      </c>
      <c r="J341" s="0" t="s">
        <v>385</v>
      </c>
      <c r="L341" s="0" t="str">
        <f aca="false">IFERROR(VLOOKUP(K341,'Supplier list'!B:C,2,0),"")</f>
        <v/>
      </c>
      <c r="M341" s="1" t="n">
        <f aca="false">FALSE()</f>
        <v>0</v>
      </c>
      <c r="N341" s="2"/>
      <c r="O341" s="2" t="n">
        <v>0</v>
      </c>
    </row>
    <row r="342" customFormat="false" ht="14.9" hidden="false" customHeight="false" outlineLevel="0" collapsed="false">
      <c r="A342" s="0" t="s">
        <v>15</v>
      </c>
      <c r="B342" s="0" t="s">
        <v>5112</v>
      </c>
      <c r="C342" s="0" t="n">
        <v>114002</v>
      </c>
      <c r="D342" s="0" t="n">
        <v>114002</v>
      </c>
      <c r="E342" s="0" t="s">
        <v>1417</v>
      </c>
      <c r="F342" s="0" t="s">
        <v>18</v>
      </c>
      <c r="G342" s="7" t="s">
        <v>5113</v>
      </c>
      <c r="H342" s="0" t="s">
        <v>5113</v>
      </c>
      <c r="I342" s="0" t="s">
        <v>384</v>
      </c>
      <c r="J342" s="0" t="s">
        <v>385</v>
      </c>
      <c r="K342" s="0" t="s">
        <v>5114</v>
      </c>
      <c r="L342" s="0" t="str">
        <f aca="false">IFERROR(VLOOKUP(K342,'Supplier list'!B:C,2,0),"")</f>
        <v>SHIJIAZHUANG CHENSHI IMPORT AND EXPORT.CO.,LTD</v>
      </c>
      <c r="M342" s="1" t="n">
        <f aca="false">FALSE()</f>
        <v>0</v>
      </c>
      <c r="N342" s="2"/>
      <c r="O342" s="2" t="n">
        <v>0</v>
      </c>
    </row>
    <row r="343" customFormat="false" ht="14.9" hidden="false" customHeight="false" outlineLevel="0" collapsed="false">
      <c r="A343" s="0" t="s">
        <v>15</v>
      </c>
      <c r="B343" s="0" t="s">
        <v>5115</v>
      </c>
      <c r="C343" s="0" t="n">
        <v>114002</v>
      </c>
      <c r="D343" s="0" t="n">
        <v>114002</v>
      </c>
      <c r="E343" s="0" t="s">
        <v>1417</v>
      </c>
      <c r="F343" s="0" t="s">
        <v>18</v>
      </c>
      <c r="G343" s="7" t="s">
        <v>5116</v>
      </c>
      <c r="H343" s="0" t="s">
        <v>5116</v>
      </c>
      <c r="I343" s="0" t="s">
        <v>384</v>
      </c>
      <c r="J343" s="0" t="s">
        <v>385</v>
      </c>
      <c r="K343" s="0" t="s">
        <v>5114</v>
      </c>
      <c r="L343" s="0" t="str">
        <f aca="false">IFERROR(VLOOKUP(K343,'Supplier list'!B:C,2,0),"")</f>
        <v>SHIJIAZHUANG CHENSHI IMPORT AND EXPORT.CO.,LTD</v>
      </c>
      <c r="M343" s="1" t="n">
        <f aca="false">FALSE()</f>
        <v>0</v>
      </c>
      <c r="N343" s="2"/>
      <c r="O343" s="2" t="n">
        <v>0</v>
      </c>
    </row>
    <row r="344" customFormat="false" ht="16.4" hidden="false" customHeight="false" outlineLevel="0" collapsed="false">
      <c r="A344" s="0" t="s">
        <v>15</v>
      </c>
      <c r="B344" s="0" t="s">
        <v>5117</v>
      </c>
      <c r="C344" s="0" t="n">
        <v>114002</v>
      </c>
      <c r="D344" s="0" t="n">
        <v>114002</v>
      </c>
      <c r="E344" s="0" t="s">
        <v>1417</v>
      </c>
      <c r="F344" s="0" t="s">
        <v>18</v>
      </c>
      <c r="G344" s="7" t="s">
        <v>5118</v>
      </c>
      <c r="H344" s="0" t="s">
        <v>5119</v>
      </c>
      <c r="I344" s="0" t="s">
        <v>384</v>
      </c>
      <c r="J344" s="0" t="s">
        <v>385</v>
      </c>
      <c r="K344" s="0" t="s">
        <v>56</v>
      </c>
      <c r="L344" s="0" t="str">
        <f aca="false">IFERROR(VLOOKUP(K344,'Supplier list'!B:C,2,0),"")</f>
        <v>CO.,LTD QINGDAO NEW LIBERTY INT'L TRADING CO.LTD.</v>
      </c>
      <c r="M344" s="1" t="n">
        <f aca="false">FALSE()</f>
        <v>0</v>
      </c>
      <c r="N344" s="2"/>
      <c r="O344" s="2" t="n">
        <v>0</v>
      </c>
    </row>
    <row r="345" customFormat="false" ht="16.4" hidden="false" customHeight="false" outlineLevel="0" collapsed="false">
      <c r="A345" s="0" t="s">
        <v>15</v>
      </c>
      <c r="B345" s="0" t="s">
        <v>5120</v>
      </c>
      <c r="C345" s="0" t="n">
        <v>114002</v>
      </c>
      <c r="D345" s="0" t="n">
        <v>114002</v>
      </c>
      <c r="E345" s="0" t="s">
        <v>1417</v>
      </c>
      <c r="F345" s="0" t="s">
        <v>18</v>
      </c>
      <c r="G345" s="7" t="s">
        <v>5121</v>
      </c>
      <c r="H345" s="0" t="s">
        <v>5122</v>
      </c>
      <c r="I345" s="0" t="s">
        <v>384</v>
      </c>
      <c r="J345" s="0" t="s">
        <v>385</v>
      </c>
      <c r="K345" s="0" t="s">
        <v>5123</v>
      </c>
      <c r="L345" s="0" t="str">
        <f aca="false">IFERROR(VLOOKUP(K345,'Supplier list'!B:C,2,0),"")</f>
        <v>บริษัท เค อินฟินิตี้ กรุ๊ป จำกัด(สำนักงานใหญ่)</v>
      </c>
      <c r="M345" s="1" t="n">
        <f aca="false">FALSE()</f>
        <v>0</v>
      </c>
      <c r="N345" s="2"/>
      <c r="O345" s="2" t="n">
        <v>12</v>
      </c>
    </row>
    <row r="346" customFormat="false" ht="14.9" hidden="false" customHeight="false" outlineLevel="0" collapsed="false">
      <c r="A346" s="0" t="s">
        <v>15</v>
      </c>
      <c r="B346" s="0" t="s">
        <v>5124</v>
      </c>
      <c r="C346" s="0" t="n">
        <v>114002</v>
      </c>
      <c r="D346" s="0" t="n">
        <v>114002</v>
      </c>
      <c r="E346" s="0" t="s">
        <v>1417</v>
      </c>
      <c r="F346" s="0" t="s">
        <v>18</v>
      </c>
      <c r="G346" s="7" t="s">
        <v>5125</v>
      </c>
      <c r="H346" s="0" t="s">
        <v>5125</v>
      </c>
      <c r="I346" s="0" t="s">
        <v>384</v>
      </c>
      <c r="J346" s="0" t="s">
        <v>385</v>
      </c>
      <c r="L346" s="0" t="str">
        <f aca="false">IFERROR(VLOOKUP(K346,'Supplier list'!B:C,2,0),"")</f>
        <v/>
      </c>
      <c r="M346" s="1" t="n">
        <f aca="false">FALSE()</f>
        <v>0</v>
      </c>
      <c r="N346" s="2"/>
      <c r="O346" s="2" t="n">
        <v>0</v>
      </c>
    </row>
    <row r="347" customFormat="false" ht="14.9" hidden="false" customHeight="false" outlineLevel="0" collapsed="false">
      <c r="A347" s="0" t="s">
        <v>15</v>
      </c>
      <c r="B347" s="0" t="s">
        <v>5126</v>
      </c>
      <c r="C347" s="0" t="n">
        <v>114002</v>
      </c>
      <c r="D347" s="0" t="n">
        <v>114002</v>
      </c>
      <c r="E347" s="0" t="s">
        <v>1417</v>
      </c>
      <c r="F347" s="0" t="s">
        <v>18</v>
      </c>
      <c r="G347" s="7" t="s">
        <v>5127</v>
      </c>
      <c r="H347" s="0" t="s">
        <v>5127</v>
      </c>
      <c r="I347" s="0" t="s">
        <v>384</v>
      </c>
      <c r="J347" s="0" t="s">
        <v>385</v>
      </c>
      <c r="K347" s="0" t="s">
        <v>5128</v>
      </c>
      <c r="L347" s="0" t="str">
        <f aca="false">IFERROR(VLOOKUP(K347,'Supplier list'!B:C,2,0),"")</f>
        <v>บริษัท สยามเคมีคอลอินดัสตรี้ จำกัด</v>
      </c>
      <c r="M347" s="1" t="n">
        <f aca="false">FALSE()</f>
        <v>0</v>
      </c>
      <c r="N347" s="2"/>
      <c r="O347" s="2" t="n">
        <v>226</v>
      </c>
    </row>
    <row r="348" customFormat="false" ht="16.4" hidden="false" customHeight="false" outlineLevel="0" collapsed="false">
      <c r="A348" s="0" t="s">
        <v>15</v>
      </c>
      <c r="B348" s="0" t="s">
        <v>5129</v>
      </c>
      <c r="C348" s="0" t="n">
        <v>114002</v>
      </c>
      <c r="D348" s="0" t="n">
        <v>114002</v>
      </c>
      <c r="E348" s="0" t="s">
        <v>1417</v>
      </c>
      <c r="F348" s="0" t="s">
        <v>18</v>
      </c>
      <c r="G348" s="7" t="s">
        <v>5130</v>
      </c>
      <c r="H348" s="0" t="s">
        <v>5131</v>
      </c>
      <c r="I348" s="0" t="s">
        <v>384</v>
      </c>
      <c r="J348" s="0" t="s">
        <v>385</v>
      </c>
      <c r="K348" s="0" t="s">
        <v>5132</v>
      </c>
      <c r="L348" s="0" t="str">
        <f aca="false">IFERROR(VLOOKUP(K348,'Supplier list'!B:C,2,0),"")</f>
        <v/>
      </c>
      <c r="M348" s="1" t="n">
        <f aca="false">FALSE()</f>
        <v>0</v>
      </c>
      <c r="N348" s="2"/>
      <c r="O348" s="2" t="n">
        <v>200</v>
      </c>
    </row>
    <row r="349" customFormat="false" ht="14.9" hidden="false" customHeight="false" outlineLevel="0" collapsed="false">
      <c r="A349" s="0" t="s">
        <v>15</v>
      </c>
      <c r="B349" s="0" t="s">
        <v>5133</v>
      </c>
      <c r="C349" s="0" t="n">
        <v>114002</v>
      </c>
      <c r="D349" s="0" t="n">
        <v>114002</v>
      </c>
      <c r="E349" s="0" t="s">
        <v>1417</v>
      </c>
      <c r="F349" s="0" t="s">
        <v>18</v>
      </c>
      <c r="G349" s="7" t="s">
        <v>5134</v>
      </c>
      <c r="H349" s="0" t="s">
        <v>5134</v>
      </c>
      <c r="I349" s="0" t="s">
        <v>384</v>
      </c>
      <c r="J349" s="0" t="s">
        <v>385</v>
      </c>
      <c r="L349" s="0" t="str">
        <f aca="false">IFERROR(VLOOKUP(K349,'Supplier list'!B:C,2,0),"")</f>
        <v/>
      </c>
      <c r="M349" s="1" t="n">
        <f aca="false">FALSE()</f>
        <v>0</v>
      </c>
      <c r="N349" s="2"/>
      <c r="O349" s="2" t="n">
        <v>0</v>
      </c>
    </row>
    <row r="350" customFormat="false" ht="14.9" hidden="false" customHeight="false" outlineLevel="0" collapsed="false">
      <c r="A350" s="0" t="s">
        <v>15</v>
      </c>
      <c r="B350" s="0" t="s">
        <v>5135</v>
      </c>
      <c r="C350" s="0" t="n">
        <v>114002</v>
      </c>
      <c r="D350" s="0" t="n">
        <v>114002</v>
      </c>
      <c r="E350" s="0" t="s">
        <v>1417</v>
      </c>
      <c r="F350" s="0" t="s">
        <v>18</v>
      </c>
      <c r="G350" s="7" t="s">
        <v>5136</v>
      </c>
      <c r="H350" s="0" t="s">
        <v>5136</v>
      </c>
      <c r="I350" s="0" t="s">
        <v>384</v>
      </c>
      <c r="J350" s="0" t="s">
        <v>385</v>
      </c>
      <c r="K350" s="0" t="s">
        <v>5128</v>
      </c>
      <c r="L350" s="0" t="str">
        <f aca="false">IFERROR(VLOOKUP(K350,'Supplier list'!B:C,2,0),"")</f>
        <v>บริษัท สยามเคมีคอลอินดัสตรี้ จำกัด</v>
      </c>
      <c r="M350" s="1" t="n">
        <f aca="false">FALSE()</f>
        <v>0</v>
      </c>
      <c r="N350" s="2"/>
      <c r="O350" s="2" t="n">
        <v>154</v>
      </c>
    </row>
    <row r="351" customFormat="false" ht="16.4" hidden="false" customHeight="false" outlineLevel="0" collapsed="false">
      <c r="A351" s="0" t="s">
        <v>15</v>
      </c>
      <c r="B351" s="0" t="s">
        <v>5137</v>
      </c>
      <c r="C351" s="0" t="n">
        <v>114002</v>
      </c>
      <c r="D351" s="0" t="n">
        <v>114002</v>
      </c>
      <c r="E351" s="0" t="s">
        <v>1417</v>
      </c>
      <c r="F351" s="0" t="s">
        <v>18</v>
      </c>
      <c r="G351" s="7" t="s">
        <v>5138</v>
      </c>
      <c r="H351" s="0" t="s">
        <v>5138</v>
      </c>
      <c r="I351" s="0" t="s">
        <v>384</v>
      </c>
      <c r="J351" s="0" t="s">
        <v>385</v>
      </c>
      <c r="K351" s="0" t="s">
        <v>5139</v>
      </c>
      <c r="L351" s="0" t="str">
        <f aca="false">IFERROR(VLOOKUP(K351,'Supplier list'!B:C,2,0),"")</f>
        <v>บริษัท เอส.เค. เคมีคอล อินดัสตรี้ จำกัด</v>
      </c>
      <c r="M351" s="1" t="n">
        <f aca="false">FALSE()</f>
        <v>0</v>
      </c>
      <c r="N351" s="2"/>
      <c r="O351" s="2" t="n">
        <v>190</v>
      </c>
    </row>
    <row r="352" customFormat="false" ht="16.4" hidden="false" customHeight="false" outlineLevel="0" collapsed="false">
      <c r="A352" s="0" t="s">
        <v>15</v>
      </c>
      <c r="B352" s="0" t="s">
        <v>5140</v>
      </c>
      <c r="C352" s="0" t="n">
        <v>114002</v>
      </c>
      <c r="D352" s="0" t="n">
        <v>114002</v>
      </c>
      <c r="E352" s="0" t="s">
        <v>1417</v>
      </c>
      <c r="F352" s="0" t="s">
        <v>18</v>
      </c>
      <c r="G352" s="7" t="s">
        <v>5141</v>
      </c>
      <c r="H352" s="0" t="s">
        <v>5141</v>
      </c>
      <c r="I352" s="0" t="s">
        <v>384</v>
      </c>
      <c r="J352" s="0" t="s">
        <v>385</v>
      </c>
      <c r="K352" s="0" t="s">
        <v>5142</v>
      </c>
      <c r="L352" s="0" t="str">
        <f aca="false">IFERROR(VLOOKUP(K352,'Supplier list'!B:C,2,0),"")</f>
        <v>บริษัท ดีไอซี กราฟฟิค (ประเทศไทย)</v>
      </c>
      <c r="M352" s="1" t="n">
        <f aca="false">FALSE()</f>
        <v>0</v>
      </c>
      <c r="N352" s="2"/>
      <c r="O352" s="2" t="n">
        <v>280</v>
      </c>
    </row>
    <row r="353" customFormat="false" ht="14.9" hidden="false" customHeight="false" outlineLevel="0" collapsed="false">
      <c r="A353" s="0" t="s">
        <v>15</v>
      </c>
      <c r="B353" s="0" t="s">
        <v>5143</v>
      </c>
      <c r="C353" s="0" t="n">
        <v>114002</v>
      </c>
      <c r="D353" s="0" t="n">
        <v>114002</v>
      </c>
      <c r="E353" s="0" t="s">
        <v>1417</v>
      </c>
      <c r="F353" s="0" t="s">
        <v>18</v>
      </c>
      <c r="G353" s="7" t="s">
        <v>5144</v>
      </c>
      <c r="H353" s="0" t="s">
        <v>5144</v>
      </c>
      <c r="I353" s="0" t="s">
        <v>21</v>
      </c>
      <c r="J353" s="0" t="s">
        <v>22</v>
      </c>
      <c r="L353" s="0" t="str">
        <f aca="false">IFERROR(VLOOKUP(K353,'Supplier list'!B:C,2,0),"")</f>
        <v/>
      </c>
      <c r="M353" s="1" t="n">
        <f aca="false">FALSE()</f>
        <v>0</v>
      </c>
      <c r="N353" s="2"/>
      <c r="O353" s="2" t="n">
        <v>0</v>
      </c>
    </row>
    <row r="354" customFormat="false" ht="16.4" hidden="false" customHeight="false" outlineLevel="0" collapsed="false">
      <c r="A354" s="0" t="s">
        <v>15</v>
      </c>
      <c r="B354" s="0" t="s">
        <v>5145</v>
      </c>
      <c r="C354" s="0" t="n">
        <v>114002</v>
      </c>
      <c r="D354" s="0" t="n">
        <v>114002</v>
      </c>
      <c r="E354" s="0" t="s">
        <v>5062</v>
      </c>
      <c r="F354" s="0" t="s">
        <v>18</v>
      </c>
      <c r="G354" s="7" t="s">
        <v>5146</v>
      </c>
      <c r="H354" s="0" t="s">
        <v>5147</v>
      </c>
      <c r="I354" s="0" t="s">
        <v>21</v>
      </c>
      <c r="J354" s="0" t="s">
        <v>22</v>
      </c>
      <c r="L354" s="0" t="str">
        <f aca="false">IFERROR(VLOOKUP(K354,'Supplier list'!B:C,2,0),"")</f>
        <v/>
      </c>
      <c r="M354" s="1" t="n">
        <f aca="false">FALSE()</f>
        <v>0</v>
      </c>
      <c r="N354" s="2"/>
      <c r="O354" s="2" t="n">
        <v>0</v>
      </c>
    </row>
    <row r="355" customFormat="false" ht="16.4" hidden="false" customHeight="false" outlineLevel="0" collapsed="false">
      <c r="A355" s="0" t="s">
        <v>15</v>
      </c>
      <c r="B355" s="0" t="s">
        <v>5148</v>
      </c>
      <c r="C355" s="0" t="n">
        <v>114002</v>
      </c>
      <c r="D355" s="0" t="n">
        <v>114002</v>
      </c>
      <c r="E355" s="0" t="s">
        <v>5062</v>
      </c>
      <c r="F355" s="0" t="s">
        <v>18</v>
      </c>
      <c r="G355" s="7" t="s">
        <v>5149</v>
      </c>
      <c r="H355" s="0" t="s">
        <v>5150</v>
      </c>
      <c r="I355" s="0" t="s">
        <v>21</v>
      </c>
      <c r="J355" s="0" t="s">
        <v>22</v>
      </c>
      <c r="L355" s="0" t="str">
        <f aca="false">IFERROR(VLOOKUP(K355,'Supplier list'!B:C,2,0),"")</f>
        <v/>
      </c>
      <c r="M355" s="1" t="n">
        <f aca="false">FALSE()</f>
        <v>0</v>
      </c>
      <c r="N355" s="2"/>
      <c r="O355" s="2" t="n">
        <v>0</v>
      </c>
    </row>
    <row r="356" customFormat="false" ht="16.4" hidden="false" customHeight="false" outlineLevel="0" collapsed="false">
      <c r="A356" s="0" t="s">
        <v>15</v>
      </c>
      <c r="B356" s="0" t="s">
        <v>5151</v>
      </c>
      <c r="C356" s="0" t="n">
        <v>114002</v>
      </c>
      <c r="D356" s="0" t="n">
        <v>114002</v>
      </c>
      <c r="E356" s="0" t="s">
        <v>5152</v>
      </c>
      <c r="F356" s="0" t="s">
        <v>18</v>
      </c>
      <c r="G356" s="7" t="s">
        <v>5153</v>
      </c>
      <c r="H356" s="0" t="s">
        <v>5154</v>
      </c>
      <c r="I356" s="0" t="s">
        <v>21</v>
      </c>
      <c r="J356" s="0" t="s">
        <v>22</v>
      </c>
      <c r="L356" s="0" t="str">
        <f aca="false">IFERROR(VLOOKUP(K356,'Supplier list'!B:C,2,0),"")</f>
        <v/>
      </c>
      <c r="M356" s="1" t="n">
        <f aca="false">FALSE()</f>
        <v>0</v>
      </c>
      <c r="N356" s="2"/>
      <c r="O356" s="2" t="n">
        <v>0</v>
      </c>
    </row>
    <row r="357" customFormat="false" ht="16.4" hidden="false" customHeight="false" outlineLevel="0" collapsed="false">
      <c r="A357" s="0" t="s">
        <v>15</v>
      </c>
      <c r="B357" s="0" t="s">
        <v>5155</v>
      </c>
      <c r="C357" s="0" t="n">
        <v>114002</v>
      </c>
      <c r="D357" s="0" t="n">
        <v>114002</v>
      </c>
      <c r="E357" s="0" t="s">
        <v>5152</v>
      </c>
      <c r="F357" s="0" t="s">
        <v>18</v>
      </c>
      <c r="G357" s="7" t="s">
        <v>5156</v>
      </c>
      <c r="H357" s="0" t="s">
        <v>5157</v>
      </c>
      <c r="I357" s="0" t="s">
        <v>21</v>
      </c>
      <c r="J357" s="0" t="s">
        <v>22</v>
      </c>
      <c r="L357" s="0" t="str">
        <f aca="false">IFERROR(VLOOKUP(K357,'Supplier list'!B:C,2,0),"")</f>
        <v/>
      </c>
      <c r="M357" s="1" t="n">
        <f aca="false">FALSE()</f>
        <v>0</v>
      </c>
      <c r="N357" s="2"/>
      <c r="O357" s="2" t="n">
        <v>0</v>
      </c>
    </row>
    <row r="358" customFormat="false" ht="16.4" hidden="false" customHeight="false" outlineLevel="0" collapsed="false">
      <c r="A358" s="0" t="s">
        <v>15</v>
      </c>
      <c r="B358" s="0" t="s">
        <v>5158</v>
      </c>
      <c r="C358" s="0" t="n">
        <v>114002</v>
      </c>
      <c r="D358" s="0" t="n">
        <v>114002</v>
      </c>
      <c r="E358" s="0" t="s">
        <v>5152</v>
      </c>
      <c r="F358" s="0" t="s">
        <v>18</v>
      </c>
      <c r="G358" s="7" t="s">
        <v>5159</v>
      </c>
      <c r="H358" s="0" t="s">
        <v>5160</v>
      </c>
      <c r="I358" s="0" t="s">
        <v>21</v>
      </c>
      <c r="J358" s="0" t="s">
        <v>22</v>
      </c>
      <c r="L358" s="0" t="str">
        <f aca="false">IFERROR(VLOOKUP(K358,'Supplier list'!B:C,2,0),"")</f>
        <v/>
      </c>
      <c r="M358" s="1" t="n">
        <f aca="false">FALSE()</f>
        <v>0</v>
      </c>
      <c r="N358" s="2"/>
      <c r="O358" s="2" t="n">
        <v>0</v>
      </c>
    </row>
    <row r="359" customFormat="false" ht="14.9" hidden="false" customHeight="false" outlineLevel="0" collapsed="false">
      <c r="A359" s="0" t="s">
        <v>15</v>
      </c>
      <c r="B359" s="0" t="s">
        <v>5161</v>
      </c>
      <c r="C359" s="0" t="n">
        <v>114002</v>
      </c>
      <c r="D359" s="0" t="n">
        <v>114002</v>
      </c>
      <c r="E359" s="0" t="s">
        <v>5152</v>
      </c>
      <c r="F359" s="0" t="s">
        <v>18</v>
      </c>
      <c r="G359" s="7" t="s">
        <v>5162</v>
      </c>
      <c r="H359" s="0" t="s">
        <v>5162</v>
      </c>
      <c r="I359" s="0" t="s">
        <v>21</v>
      </c>
      <c r="J359" s="0" t="s">
        <v>22</v>
      </c>
      <c r="L359" s="0" t="str">
        <f aca="false">IFERROR(VLOOKUP(K359,'Supplier list'!B:C,2,0),"")</f>
        <v/>
      </c>
      <c r="M359" s="1" t="n">
        <f aca="false">FALSE()</f>
        <v>0</v>
      </c>
      <c r="N359" s="2"/>
      <c r="O359" s="2" t="n">
        <v>0</v>
      </c>
    </row>
    <row r="360" customFormat="false" ht="16.4" hidden="false" customHeight="false" outlineLevel="0" collapsed="false">
      <c r="A360" s="0" t="s">
        <v>15</v>
      </c>
      <c r="B360" s="0" t="s">
        <v>5163</v>
      </c>
      <c r="C360" s="0" t="n">
        <v>114002</v>
      </c>
      <c r="D360" s="0" t="n">
        <v>114002</v>
      </c>
      <c r="E360" s="0" t="s">
        <v>5152</v>
      </c>
      <c r="F360" s="0" t="s">
        <v>18</v>
      </c>
      <c r="G360" s="7" t="s">
        <v>5164</v>
      </c>
      <c r="H360" s="0" t="s">
        <v>5165</v>
      </c>
      <c r="I360" s="0" t="s">
        <v>21</v>
      </c>
      <c r="J360" s="0" t="s">
        <v>22</v>
      </c>
      <c r="K360" s="0" t="s">
        <v>2298</v>
      </c>
      <c r="L360" s="0" t="str">
        <f aca="false">IFERROR(VLOOKUP(K360,'Supplier list'!B:C,2,0),"")</f>
        <v>Best Solid Surfaces Corp.</v>
      </c>
      <c r="M360" s="1" t="n">
        <f aca="false">FALSE()</f>
        <v>0</v>
      </c>
      <c r="N360" s="2"/>
      <c r="O360" s="2" t="n">
        <v>0</v>
      </c>
    </row>
    <row r="361" customFormat="false" ht="16.4" hidden="false" customHeight="false" outlineLevel="0" collapsed="false">
      <c r="A361" s="0" t="s">
        <v>15</v>
      </c>
      <c r="B361" s="0" t="s">
        <v>5166</v>
      </c>
      <c r="C361" s="0" t="n">
        <v>114002</v>
      </c>
      <c r="D361" s="0" t="n">
        <v>114002</v>
      </c>
      <c r="E361" s="0" t="s">
        <v>5152</v>
      </c>
      <c r="F361" s="0" t="s">
        <v>18</v>
      </c>
      <c r="G361" s="7" t="s">
        <v>5167</v>
      </c>
      <c r="H361" s="0" t="s">
        <v>5168</v>
      </c>
      <c r="I361" s="0" t="s">
        <v>21</v>
      </c>
      <c r="J361" s="0" t="s">
        <v>22</v>
      </c>
      <c r="L361" s="0" t="str">
        <f aca="false">IFERROR(VLOOKUP(K361,'Supplier list'!B:C,2,0),"")</f>
        <v/>
      </c>
      <c r="M361" s="1" t="n">
        <f aca="false">FALSE()</f>
        <v>0</v>
      </c>
      <c r="N361" s="2"/>
      <c r="O361" s="2" t="n">
        <v>0</v>
      </c>
    </row>
    <row r="362" customFormat="false" ht="14.9" hidden="false" customHeight="false" outlineLevel="0" collapsed="false">
      <c r="A362" s="0" t="s">
        <v>15</v>
      </c>
      <c r="B362" s="0" t="s">
        <v>5169</v>
      </c>
      <c r="C362" s="0" t="n">
        <v>114002</v>
      </c>
      <c r="D362" s="0" t="n">
        <v>114002</v>
      </c>
      <c r="E362" s="0" t="s">
        <v>5152</v>
      </c>
      <c r="F362" s="0" t="s">
        <v>18</v>
      </c>
      <c r="G362" s="7" t="s">
        <v>5170</v>
      </c>
      <c r="H362" s="0" t="s">
        <v>5171</v>
      </c>
      <c r="I362" s="0" t="s">
        <v>21</v>
      </c>
      <c r="J362" s="0" t="s">
        <v>22</v>
      </c>
      <c r="L362" s="0" t="str">
        <f aca="false">IFERROR(VLOOKUP(K362,'Supplier list'!B:C,2,0),"")</f>
        <v/>
      </c>
      <c r="M362" s="1" t="n">
        <f aca="false">FALSE()</f>
        <v>0</v>
      </c>
      <c r="N362" s="2"/>
      <c r="O362" s="2" t="n">
        <v>0</v>
      </c>
    </row>
    <row r="363" customFormat="false" ht="14.9" hidden="false" customHeight="false" outlineLevel="0" collapsed="false">
      <c r="A363" s="0" t="s">
        <v>15</v>
      </c>
      <c r="B363" s="0" t="s">
        <v>5172</v>
      </c>
      <c r="C363" s="0" t="n">
        <v>114002</v>
      </c>
      <c r="D363" s="0" t="n">
        <v>114002</v>
      </c>
      <c r="E363" s="0" t="s">
        <v>5152</v>
      </c>
      <c r="F363" s="0" t="s">
        <v>18</v>
      </c>
      <c r="G363" s="7" t="s">
        <v>5173</v>
      </c>
      <c r="H363" s="0" t="s">
        <v>5173</v>
      </c>
      <c r="I363" s="0" t="s">
        <v>21</v>
      </c>
      <c r="J363" s="0" t="s">
        <v>22</v>
      </c>
      <c r="L363" s="0" t="str">
        <f aca="false">IFERROR(VLOOKUP(K363,'Supplier list'!B:C,2,0),"")</f>
        <v/>
      </c>
      <c r="M363" s="1" t="n">
        <f aca="false">FALSE()</f>
        <v>0</v>
      </c>
      <c r="N363" s="2"/>
      <c r="O363" s="2" t="n">
        <v>0</v>
      </c>
    </row>
    <row r="364" customFormat="false" ht="16.4" hidden="false" customHeight="false" outlineLevel="0" collapsed="false">
      <c r="A364" s="0" t="s">
        <v>15</v>
      </c>
      <c r="B364" s="0" t="s">
        <v>5174</v>
      </c>
      <c r="C364" s="0" t="n">
        <v>114002</v>
      </c>
      <c r="D364" s="0" t="n">
        <v>114002</v>
      </c>
      <c r="E364" s="0" t="s">
        <v>5062</v>
      </c>
      <c r="F364" s="0" t="s">
        <v>18</v>
      </c>
      <c r="G364" s="7" t="s">
        <v>5175</v>
      </c>
      <c r="H364" s="0" t="s">
        <v>5176</v>
      </c>
      <c r="I364" s="0" t="s">
        <v>21</v>
      </c>
      <c r="J364" s="0" t="s">
        <v>22</v>
      </c>
      <c r="L364" s="0" t="str">
        <f aca="false">IFERROR(VLOOKUP(K364,'Supplier list'!B:C,2,0),"")</f>
        <v/>
      </c>
      <c r="M364" s="1" t="n">
        <f aca="false">FALSE()</f>
        <v>0</v>
      </c>
      <c r="N364" s="2"/>
      <c r="O364" s="2" t="n">
        <v>0</v>
      </c>
    </row>
    <row r="365" customFormat="false" ht="16.4" hidden="false" customHeight="false" outlineLevel="0" collapsed="false">
      <c r="A365" s="0" t="s">
        <v>15</v>
      </c>
      <c r="B365" s="0" t="s">
        <v>5177</v>
      </c>
      <c r="C365" s="0" t="n">
        <v>114002</v>
      </c>
      <c r="D365" s="0" t="n">
        <v>114002</v>
      </c>
      <c r="E365" s="0" t="s">
        <v>5062</v>
      </c>
      <c r="F365" s="0" t="s">
        <v>18</v>
      </c>
      <c r="G365" s="7" t="s">
        <v>5178</v>
      </c>
      <c r="H365" s="0" t="s">
        <v>5179</v>
      </c>
      <c r="I365" s="0" t="s">
        <v>21</v>
      </c>
      <c r="J365" s="0" t="s">
        <v>22</v>
      </c>
      <c r="L365" s="0" t="str">
        <f aca="false">IFERROR(VLOOKUP(K365,'Supplier list'!B:C,2,0),"")</f>
        <v/>
      </c>
      <c r="M365" s="1" t="n">
        <f aca="false">FALSE()</f>
        <v>0</v>
      </c>
      <c r="N365" s="2"/>
      <c r="O365" s="2" t="n">
        <v>0</v>
      </c>
    </row>
    <row r="366" customFormat="false" ht="16.4" hidden="false" customHeight="false" outlineLevel="0" collapsed="false">
      <c r="A366" s="0" t="s">
        <v>15</v>
      </c>
      <c r="B366" s="0" t="s">
        <v>5180</v>
      </c>
      <c r="C366" s="0" t="n">
        <v>114002</v>
      </c>
      <c r="D366" s="0" t="n">
        <v>114002</v>
      </c>
      <c r="E366" s="0" t="s">
        <v>1612</v>
      </c>
      <c r="F366" s="0" t="s">
        <v>18</v>
      </c>
      <c r="G366" s="7" t="s">
        <v>5181</v>
      </c>
      <c r="H366" s="0" t="s">
        <v>5182</v>
      </c>
      <c r="I366" s="0" t="s">
        <v>168</v>
      </c>
      <c r="J366" s="0" t="s">
        <v>169</v>
      </c>
      <c r="K366" s="0" t="s">
        <v>5183</v>
      </c>
      <c r="L366" s="0" t="str">
        <f aca="false">IFERROR(VLOOKUP(K366,'Supplier list'!B:C,2,0),"")</f>
        <v>ร้าน ป.นำชัยโลหะ</v>
      </c>
      <c r="M366" s="1" t="n">
        <f aca="false">FALSE()</f>
        <v>0</v>
      </c>
      <c r="N366" s="2"/>
      <c r="O366" s="2" t="n">
        <v>290</v>
      </c>
    </row>
    <row r="367" customFormat="false" ht="16.4" hidden="false" customHeight="false" outlineLevel="0" collapsed="false">
      <c r="A367" s="0" t="s">
        <v>15</v>
      </c>
      <c r="B367" s="0" t="s">
        <v>5184</v>
      </c>
      <c r="C367" s="0" t="n">
        <v>114002</v>
      </c>
      <c r="D367" s="0" t="n">
        <v>114002</v>
      </c>
      <c r="E367" s="0" t="s">
        <v>5062</v>
      </c>
      <c r="F367" s="0" t="s">
        <v>18</v>
      </c>
      <c r="G367" s="7" t="s">
        <v>5185</v>
      </c>
      <c r="H367" s="0" t="s">
        <v>5186</v>
      </c>
      <c r="I367" s="0" t="s">
        <v>21</v>
      </c>
      <c r="J367" s="0" t="s">
        <v>22</v>
      </c>
      <c r="L367" s="0" t="str">
        <f aca="false">IFERROR(VLOOKUP(K367,'Supplier list'!B:C,2,0),"")</f>
        <v/>
      </c>
      <c r="M367" s="1" t="n">
        <f aca="false">FALSE()</f>
        <v>0</v>
      </c>
      <c r="N367" s="2"/>
      <c r="O367" s="2" t="n">
        <v>0</v>
      </c>
    </row>
    <row r="368" customFormat="false" ht="16.4" hidden="false" customHeight="false" outlineLevel="0" collapsed="false">
      <c r="A368" s="0" t="s">
        <v>15</v>
      </c>
      <c r="B368" s="0" t="s">
        <v>5187</v>
      </c>
      <c r="C368" s="0" t="n">
        <v>114002</v>
      </c>
      <c r="D368" s="0" t="n">
        <v>114002</v>
      </c>
      <c r="E368" s="0" t="s">
        <v>5062</v>
      </c>
      <c r="F368" s="0" t="s">
        <v>18</v>
      </c>
      <c r="G368" s="7" t="s">
        <v>5188</v>
      </c>
      <c r="H368" s="0" t="s">
        <v>5189</v>
      </c>
      <c r="I368" s="0" t="s">
        <v>21</v>
      </c>
      <c r="J368" s="0" t="s">
        <v>22</v>
      </c>
      <c r="L368" s="0" t="str">
        <f aca="false">IFERROR(VLOOKUP(K368,'Supplier list'!B:C,2,0),"")</f>
        <v/>
      </c>
      <c r="M368" s="1" t="n">
        <f aca="false">FALSE()</f>
        <v>0</v>
      </c>
      <c r="N368" s="2"/>
      <c r="O368" s="2" t="n">
        <v>0</v>
      </c>
    </row>
    <row r="369" customFormat="false" ht="16.4" hidden="false" customHeight="false" outlineLevel="0" collapsed="false">
      <c r="A369" s="0" t="s">
        <v>15</v>
      </c>
      <c r="B369" s="0" t="s">
        <v>5190</v>
      </c>
      <c r="C369" s="0" t="n">
        <v>114002</v>
      </c>
      <c r="D369" s="0" t="n">
        <v>114002</v>
      </c>
      <c r="E369" s="0" t="s">
        <v>5062</v>
      </c>
      <c r="F369" s="0" t="s">
        <v>18</v>
      </c>
      <c r="G369" s="7" t="s">
        <v>5191</v>
      </c>
      <c r="H369" s="0" t="s">
        <v>5192</v>
      </c>
      <c r="I369" s="0" t="s">
        <v>21</v>
      </c>
      <c r="J369" s="0" t="s">
        <v>22</v>
      </c>
      <c r="L369" s="0" t="str">
        <f aca="false">IFERROR(VLOOKUP(K369,'Supplier list'!B:C,2,0),"")</f>
        <v/>
      </c>
      <c r="M369" s="1" t="n">
        <f aca="false">FALSE()</f>
        <v>0</v>
      </c>
      <c r="N369" s="2"/>
      <c r="O369" s="2" t="n">
        <v>0</v>
      </c>
    </row>
    <row r="370" customFormat="false" ht="16.4" hidden="false" customHeight="false" outlineLevel="0" collapsed="false">
      <c r="A370" s="0" t="s">
        <v>15</v>
      </c>
      <c r="B370" s="0" t="s">
        <v>5193</v>
      </c>
      <c r="C370" s="0" t="n">
        <v>114002</v>
      </c>
      <c r="D370" s="0" t="n">
        <v>114002</v>
      </c>
      <c r="E370" s="0" t="s">
        <v>5062</v>
      </c>
      <c r="F370" s="0" t="s">
        <v>18</v>
      </c>
      <c r="G370" s="7" t="s">
        <v>5194</v>
      </c>
      <c r="H370" s="0" t="s">
        <v>5195</v>
      </c>
      <c r="I370" s="0" t="s">
        <v>21</v>
      </c>
      <c r="J370" s="0" t="s">
        <v>22</v>
      </c>
      <c r="L370" s="0" t="str">
        <f aca="false">IFERROR(VLOOKUP(K370,'Supplier list'!B:C,2,0),"")</f>
        <v/>
      </c>
      <c r="M370" s="1" t="n">
        <f aca="false">FALSE()</f>
        <v>0</v>
      </c>
      <c r="N370" s="2"/>
      <c r="O370" s="2" t="n">
        <v>0</v>
      </c>
    </row>
    <row r="371" customFormat="false" ht="16.4" hidden="false" customHeight="false" outlineLevel="0" collapsed="false">
      <c r="A371" s="0" t="s">
        <v>15</v>
      </c>
      <c r="B371" s="0" t="s">
        <v>5196</v>
      </c>
      <c r="C371" s="0" t="n">
        <v>114002</v>
      </c>
      <c r="D371" s="0" t="n">
        <v>114002</v>
      </c>
      <c r="E371" s="0" t="s">
        <v>5062</v>
      </c>
      <c r="F371" s="0" t="s">
        <v>18</v>
      </c>
      <c r="G371" s="7" t="s">
        <v>5197</v>
      </c>
      <c r="H371" s="0" t="s">
        <v>5198</v>
      </c>
      <c r="I371" s="0" t="s">
        <v>21</v>
      </c>
      <c r="J371" s="0" t="s">
        <v>22</v>
      </c>
      <c r="L371" s="0" t="str">
        <f aca="false">IFERROR(VLOOKUP(K371,'Supplier list'!B:C,2,0),"")</f>
        <v/>
      </c>
      <c r="M371" s="1" t="n">
        <f aca="false">FALSE()</f>
        <v>0</v>
      </c>
      <c r="N371" s="2"/>
      <c r="O371" s="2" t="n">
        <v>0</v>
      </c>
    </row>
    <row r="372" customFormat="false" ht="16.4" hidden="false" customHeight="false" outlineLevel="0" collapsed="false">
      <c r="A372" s="0" t="s">
        <v>15</v>
      </c>
      <c r="B372" s="0" t="s">
        <v>5199</v>
      </c>
      <c r="C372" s="0" t="n">
        <v>114002</v>
      </c>
      <c r="D372" s="0" t="n">
        <v>114002</v>
      </c>
      <c r="E372" s="0" t="s">
        <v>5062</v>
      </c>
      <c r="F372" s="0" t="s">
        <v>18</v>
      </c>
      <c r="G372" s="7" t="s">
        <v>5200</v>
      </c>
      <c r="H372" s="0" t="s">
        <v>5201</v>
      </c>
      <c r="I372" s="0" t="s">
        <v>21</v>
      </c>
      <c r="J372" s="0" t="s">
        <v>22</v>
      </c>
      <c r="L372" s="0" t="str">
        <f aca="false">IFERROR(VLOOKUP(K372,'Supplier list'!B:C,2,0),"")</f>
        <v/>
      </c>
      <c r="M372" s="1" t="n">
        <f aca="false">FALSE()</f>
        <v>0</v>
      </c>
      <c r="N372" s="2"/>
      <c r="O372" s="2" t="n">
        <v>0</v>
      </c>
    </row>
    <row r="373" customFormat="false" ht="16.4" hidden="false" customHeight="false" outlineLevel="0" collapsed="false">
      <c r="A373" s="0" t="s">
        <v>15</v>
      </c>
      <c r="B373" s="0" t="s">
        <v>5202</v>
      </c>
      <c r="C373" s="0" t="n">
        <v>114002</v>
      </c>
      <c r="D373" s="0" t="n">
        <v>114002</v>
      </c>
      <c r="E373" s="0" t="s">
        <v>31</v>
      </c>
      <c r="F373" s="0" t="s">
        <v>18</v>
      </c>
      <c r="G373" s="7" t="s">
        <v>5203</v>
      </c>
      <c r="H373" s="0" t="s">
        <v>5204</v>
      </c>
      <c r="I373" s="0" t="s">
        <v>21</v>
      </c>
      <c r="J373" s="0" t="s">
        <v>22</v>
      </c>
      <c r="K373" s="0" t="s">
        <v>29</v>
      </c>
      <c r="L373" s="0" t="str">
        <f aca="false">IFERROR(VLOOKUP(K373,'Supplier list'!B:C,2,0),"")</f>
        <v/>
      </c>
      <c r="M373" s="1" t="n">
        <f aca="false">FALSE()</f>
        <v>0</v>
      </c>
      <c r="N373" s="2"/>
      <c r="O373" s="2" t="n">
        <v>0</v>
      </c>
    </row>
    <row r="374" customFormat="false" ht="16.4" hidden="false" customHeight="false" outlineLevel="0" collapsed="false">
      <c r="A374" s="0" t="s">
        <v>15</v>
      </c>
      <c r="B374" s="0" t="s">
        <v>5205</v>
      </c>
      <c r="C374" s="0" t="n">
        <v>114002</v>
      </c>
      <c r="D374" s="0" t="n">
        <v>114002</v>
      </c>
      <c r="E374" s="0" t="s">
        <v>4972</v>
      </c>
      <c r="F374" s="0" t="s">
        <v>18</v>
      </c>
      <c r="G374" s="7" t="s">
        <v>5206</v>
      </c>
      <c r="H374" s="0" t="s">
        <v>5207</v>
      </c>
      <c r="I374" s="0" t="s">
        <v>384</v>
      </c>
      <c r="J374" s="0" t="s">
        <v>385</v>
      </c>
      <c r="L374" s="0" t="str">
        <f aca="false">IFERROR(VLOOKUP(K374,'Supplier list'!B:C,2,0),"")</f>
        <v/>
      </c>
      <c r="M374" s="1" t="n">
        <f aca="false">FALSE()</f>
        <v>0</v>
      </c>
      <c r="N374" s="2"/>
      <c r="O374" s="2" t="n">
        <v>0</v>
      </c>
    </row>
    <row r="375" customFormat="false" ht="16.4" hidden="false" customHeight="false" outlineLevel="0" collapsed="false">
      <c r="A375" s="0" t="s">
        <v>15</v>
      </c>
      <c r="B375" s="0" t="s">
        <v>5208</v>
      </c>
      <c r="C375" s="0" t="n">
        <v>114002</v>
      </c>
      <c r="D375" s="0" t="n">
        <v>114002</v>
      </c>
      <c r="E375" s="0" t="s">
        <v>5062</v>
      </c>
      <c r="F375" s="0" t="s">
        <v>18</v>
      </c>
      <c r="G375" s="7" t="s">
        <v>5209</v>
      </c>
      <c r="H375" s="0" t="s">
        <v>5210</v>
      </c>
      <c r="I375" s="0" t="s">
        <v>384</v>
      </c>
      <c r="J375" s="0" t="s">
        <v>385</v>
      </c>
      <c r="K375" s="0" t="s">
        <v>5065</v>
      </c>
      <c r="L375" s="0" t="str">
        <f aca="false">IFERROR(VLOOKUP(K375,'Supplier list'!B:C,2,0),"")</f>
        <v>บริษัท ไทยซัมมิท สโตน จำกัด</v>
      </c>
      <c r="M375" s="1" t="n">
        <f aca="false">FALSE()</f>
        <v>0</v>
      </c>
      <c r="N375" s="2"/>
      <c r="O375" s="2" t="n">
        <v>0</v>
      </c>
    </row>
    <row r="376" customFormat="false" ht="16.4" hidden="false" customHeight="false" outlineLevel="0" collapsed="false">
      <c r="A376" s="0" t="s">
        <v>15</v>
      </c>
      <c r="B376" s="0" t="s">
        <v>5211</v>
      </c>
      <c r="C376" s="0" t="n">
        <v>114002</v>
      </c>
      <c r="D376" s="0" t="n">
        <v>114002</v>
      </c>
      <c r="E376" s="0" t="s">
        <v>4972</v>
      </c>
      <c r="F376" s="0" t="s">
        <v>18</v>
      </c>
      <c r="G376" s="7" t="s">
        <v>5212</v>
      </c>
      <c r="H376" s="0" t="s">
        <v>5213</v>
      </c>
      <c r="I376" s="0" t="s">
        <v>384</v>
      </c>
      <c r="J376" s="0" t="s">
        <v>385</v>
      </c>
      <c r="L376" s="0" t="str">
        <f aca="false">IFERROR(VLOOKUP(K376,'Supplier list'!B:C,2,0),"")</f>
        <v/>
      </c>
      <c r="M376" s="1" t="n">
        <f aca="false">FALSE()</f>
        <v>0</v>
      </c>
      <c r="N376" s="2"/>
      <c r="O376" s="2" t="n">
        <v>0</v>
      </c>
    </row>
    <row r="377" customFormat="false" ht="16.4" hidden="false" customHeight="false" outlineLevel="0" collapsed="false">
      <c r="A377" s="0" t="s">
        <v>15</v>
      </c>
      <c r="B377" s="0" t="s">
        <v>5214</v>
      </c>
      <c r="C377" s="0" t="n">
        <v>114002</v>
      </c>
      <c r="D377" s="0" t="n">
        <v>114002</v>
      </c>
      <c r="E377" s="0" t="s">
        <v>4972</v>
      </c>
      <c r="F377" s="0" t="s">
        <v>18</v>
      </c>
      <c r="G377" s="7" t="s">
        <v>5215</v>
      </c>
      <c r="H377" s="0" t="s">
        <v>5216</v>
      </c>
      <c r="I377" s="0" t="s">
        <v>1032</v>
      </c>
      <c r="J377" s="0" t="s">
        <v>1033</v>
      </c>
      <c r="L377" s="0" t="str">
        <f aca="false">IFERROR(VLOOKUP(K377,'Supplier list'!B:C,2,0),"")</f>
        <v/>
      </c>
      <c r="M377" s="1" t="n">
        <f aca="false">FALSE()</f>
        <v>0</v>
      </c>
      <c r="N377" s="2"/>
      <c r="O377" s="2" t="n">
        <v>0</v>
      </c>
    </row>
    <row r="378" customFormat="false" ht="16.4" hidden="false" customHeight="false" outlineLevel="0" collapsed="false">
      <c r="A378" s="0" t="s">
        <v>15</v>
      </c>
      <c r="B378" s="0" t="s">
        <v>5217</v>
      </c>
      <c r="C378" s="0" t="n">
        <v>114002</v>
      </c>
      <c r="D378" s="0" t="n">
        <v>114002</v>
      </c>
      <c r="E378" s="0" t="s">
        <v>1328</v>
      </c>
      <c r="F378" s="0" t="s">
        <v>18</v>
      </c>
      <c r="G378" s="7" t="s">
        <v>5218</v>
      </c>
      <c r="H378" s="0" t="s">
        <v>5219</v>
      </c>
      <c r="I378" s="0" t="s">
        <v>124</v>
      </c>
      <c r="J378" s="0" t="s">
        <v>125</v>
      </c>
      <c r="K378" s="0" t="s">
        <v>56</v>
      </c>
      <c r="L378" s="0" t="str">
        <f aca="false">IFERROR(VLOOKUP(K378,'Supplier list'!B:C,2,0),"")</f>
        <v>CO.,LTD QINGDAO NEW LIBERTY INT'L TRADING CO.LTD.</v>
      </c>
      <c r="M378" s="1" t="n">
        <f aca="false">TRUE()</f>
        <v>1</v>
      </c>
      <c r="N378" s="2" t="n">
        <v>3590</v>
      </c>
      <c r="O378" s="2" t="n">
        <v>0</v>
      </c>
    </row>
    <row r="379" customFormat="false" ht="16.4" hidden="false" customHeight="false" outlineLevel="0" collapsed="false">
      <c r="A379" s="0" t="s">
        <v>15</v>
      </c>
      <c r="B379" s="0" t="s">
        <v>5220</v>
      </c>
      <c r="C379" s="0" t="n">
        <v>114002</v>
      </c>
      <c r="D379" s="0" t="n">
        <v>114002</v>
      </c>
      <c r="E379" s="0" t="s">
        <v>1328</v>
      </c>
      <c r="F379" s="0" t="s">
        <v>18</v>
      </c>
      <c r="G379" s="7" t="s">
        <v>5221</v>
      </c>
      <c r="H379" s="0" t="s">
        <v>5222</v>
      </c>
      <c r="I379" s="0" t="s">
        <v>124</v>
      </c>
      <c r="J379" s="0" t="s">
        <v>125</v>
      </c>
      <c r="K379" s="0" t="s">
        <v>56</v>
      </c>
      <c r="L379" s="0" t="str">
        <f aca="false">IFERROR(VLOOKUP(K379,'Supplier list'!B:C,2,0),"")</f>
        <v>CO.,LTD QINGDAO NEW LIBERTY INT'L TRADING CO.LTD.</v>
      </c>
      <c r="M379" s="1" t="n">
        <f aca="false">TRUE()</f>
        <v>1</v>
      </c>
      <c r="N379" s="2" t="n">
        <v>5990</v>
      </c>
      <c r="O379" s="2" t="n">
        <v>0</v>
      </c>
    </row>
    <row r="380" customFormat="false" ht="16.4" hidden="false" customHeight="false" outlineLevel="0" collapsed="false">
      <c r="A380" s="0" t="s">
        <v>15</v>
      </c>
      <c r="B380" s="0" t="s">
        <v>5223</v>
      </c>
      <c r="C380" s="0" t="n">
        <v>114002</v>
      </c>
      <c r="D380" s="0" t="n">
        <v>114002</v>
      </c>
      <c r="E380" s="0" t="s">
        <v>5088</v>
      </c>
      <c r="F380" s="0" t="s">
        <v>18</v>
      </c>
      <c r="G380" s="7" t="s">
        <v>5224</v>
      </c>
      <c r="H380" s="0" t="s">
        <v>5225</v>
      </c>
      <c r="I380" s="0" t="s">
        <v>21</v>
      </c>
      <c r="J380" s="0" t="s">
        <v>22</v>
      </c>
      <c r="K380" s="0" t="s">
        <v>56</v>
      </c>
      <c r="L380" s="0" t="str">
        <f aca="false">IFERROR(VLOOKUP(K380,'Supplier list'!B:C,2,0),"")</f>
        <v>CO.,LTD QINGDAO NEW LIBERTY INT'L TRADING CO.LTD.</v>
      </c>
      <c r="M380" s="1" t="n">
        <f aca="false">FALSE()</f>
        <v>0</v>
      </c>
      <c r="N380" s="2"/>
      <c r="O380" s="2" t="n">
        <v>0</v>
      </c>
    </row>
    <row r="381" customFormat="false" ht="14.9" hidden="false" customHeight="false" outlineLevel="0" collapsed="false">
      <c r="A381" s="0" t="s">
        <v>15</v>
      </c>
      <c r="B381" s="0" t="s">
        <v>5226</v>
      </c>
      <c r="C381" s="0" t="n">
        <v>114002</v>
      </c>
      <c r="D381" s="0" t="n">
        <v>114002</v>
      </c>
      <c r="E381" s="0" t="s">
        <v>1417</v>
      </c>
      <c r="F381" s="0" t="s">
        <v>18</v>
      </c>
      <c r="G381" s="7" t="s">
        <v>5227</v>
      </c>
      <c r="H381" s="0" t="s">
        <v>5227</v>
      </c>
      <c r="I381" s="0" t="s">
        <v>384</v>
      </c>
      <c r="J381" s="0" t="s">
        <v>385</v>
      </c>
      <c r="K381" s="0" t="s">
        <v>5228</v>
      </c>
      <c r="L381" s="0" t="str">
        <f aca="false">IFERROR(VLOOKUP(K381,'Supplier list'!B:C,2,0),"")</f>
        <v>CHALCO ZIBO INTERNATIONAL TRADING</v>
      </c>
      <c r="M381" s="1" t="n">
        <f aca="false">FALSE()</f>
        <v>0</v>
      </c>
      <c r="N381" s="2"/>
      <c r="O381" s="2" t="n">
        <v>36.5</v>
      </c>
    </row>
    <row r="382" customFormat="false" ht="14.9" hidden="false" customHeight="false" outlineLevel="0" collapsed="false">
      <c r="A382" s="0" t="s">
        <v>15</v>
      </c>
      <c r="B382" s="0" t="s">
        <v>5229</v>
      </c>
      <c r="C382" s="0" t="n">
        <v>114002</v>
      </c>
      <c r="D382" s="0" t="n">
        <v>114002</v>
      </c>
      <c r="E382" s="0" t="s">
        <v>1417</v>
      </c>
      <c r="F382" s="0" t="s">
        <v>18</v>
      </c>
      <c r="G382" s="7" t="s">
        <v>5230</v>
      </c>
      <c r="H382" s="0" t="s">
        <v>5230</v>
      </c>
      <c r="I382" s="0" t="s">
        <v>384</v>
      </c>
      <c r="J382" s="0" t="s">
        <v>385</v>
      </c>
      <c r="K382" s="0" t="s">
        <v>5228</v>
      </c>
      <c r="L382" s="0" t="str">
        <f aca="false">IFERROR(VLOOKUP(K382,'Supplier list'!B:C,2,0),"")</f>
        <v>CHALCO ZIBO INTERNATIONAL TRADING</v>
      </c>
      <c r="M382" s="1" t="n">
        <f aca="false">FALSE()</f>
        <v>0</v>
      </c>
      <c r="N382" s="2"/>
      <c r="O382" s="2" t="n">
        <v>38.5</v>
      </c>
    </row>
    <row r="383" customFormat="false" ht="16.4" hidden="false" customHeight="false" outlineLevel="0" collapsed="false">
      <c r="A383" s="0" t="s">
        <v>15</v>
      </c>
      <c r="B383" s="0" t="s">
        <v>5231</v>
      </c>
      <c r="C383" s="0" t="n">
        <v>114002</v>
      </c>
      <c r="D383" s="0" t="n">
        <v>114002</v>
      </c>
      <c r="E383" s="0" t="s">
        <v>1328</v>
      </c>
      <c r="F383" s="0" t="s">
        <v>18</v>
      </c>
      <c r="G383" s="7" t="s">
        <v>5232</v>
      </c>
      <c r="H383" s="0" t="s">
        <v>5233</v>
      </c>
      <c r="I383" s="0" t="s">
        <v>124</v>
      </c>
      <c r="J383" s="0" t="s">
        <v>125</v>
      </c>
      <c r="K383" s="0" t="s">
        <v>56</v>
      </c>
      <c r="L383" s="0" t="str">
        <f aca="false">IFERROR(VLOOKUP(K383,'Supplier list'!B:C,2,0),"")</f>
        <v>CO.,LTD QINGDAO NEW LIBERTY INT'L TRADING CO.LTD.</v>
      </c>
      <c r="M383" s="1" t="n">
        <f aca="false">TRUE()</f>
        <v>1</v>
      </c>
      <c r="N383" s="2" t="n">
        <v>6590</v>
      </c>
      <c r="O383" s="2" t="n">
        <v>0</v>
      </c>
    </row>
    <row r="384" customFormat="false" ht="16.4" hidden="false" customHeight="false" outlineLevel="0" collapsed="false">
      <c r="A384" s="0" t="s">
        <v>15</v>
      </c>
      <c r="B384" s="0" t="s">
        <v>5234</v>
      </c>
      <c r="C384" s="0" t="n">
        <v>114002</v>
      </c>
      <c r="D384" s="0" t="n">
        <v>114002</v>
      </c>
      <c r="E384" s="0" t="s">
        <v>5088</v>
      </c>
      <c r="F384" s="0" t="s">
        <v>18</v>
      </c>
      <c r="G384" s="7" t="s">
        <v>5235</v>
      </c>
      <c r="H384" s="0" t="s">
        <v>5236</v>
      </c>
      <c r="I384" s="0" t="s">
        <v>21</v>
      </c>
      <c r="J384" s="0" t="s">
        <v>22</v>
      </c>
      <c r="K384" s="0" t="s">
        <v>56</v>
      </c>
      <c r="L384" s="0" t="str">
        <f aca="false">IFERROR(VLOOKUP(K384,'Supplier list'!B:C,2,0),"")</f>
        <v>CO.,LTD QINGDAO NEW LIBERTY INT'L TRADING CO.LTD.</v>
      </c>
      <c r="M384" s="1" t="n">
        <f aca="false">FALSE()</f>
        <v>0</v>
      </c>
      <c r="N384" s="2"/>
      <c r="O384" s="2" t="n">
        <v>0</v>
      </c>
    </row>
    <row r="385" customFormat="false" ht="16.4" hidden="false" customHeight="false" outlineLevel="0" collapsed="false">
      <c r="A385" s="0" t="s">
        <v>15</v>
      </c>
      <c r="B385" s="0" t="s">
        <v>5237</v>
      </c>
      <c r="C385" s="0" t="n">
        <v>114002</v>
      </c>
      <c r="D385" s="0" t="n">
        <v>114002</v>
      </c>
      <c r="E385" s="0" t="s">
        <v>4972</v>
      </c>
      <c r="F385" s="0" t="s">
        <v>18</v>
      </c>
      <c r="G385" s="7" t="s">
        <v>5238</v>
      </c>
      <c r="H385" s="0" t="s">
        <v>5239</v>
      </c>
      <c r="I385" s="0" t="s">
        <v>384</v>
      </c>
      <c r="J385" s="0" t="s">
        <v>385</v>
      </c>
      <c r="L385" s="0" t="str">
        <f aca="false">IFERROR(VLOOKUP(K385,'Supplier list'!B:C,2,0),"")</f>
        <v/>
      </c>
      <c r="M385" s="1" t="n">
        <f aca="false">FALSE()</f>
        <v>0</v>
      </c>
      <c r="N385" s="2"/>
      <c r="O385" s="2" t="n">
        <v>0</v>
      </c>
    </row>
    <row r="386" customFormat="false" ht="16.4" hidden="false" customHeight="false" outlineLevel="0" collapsed="false">
      <c r="A386" s="0" t="s">
        <v>15</v>
      </c>
      <c r="B386" s="0" t="s">
        <v>5240</v>
      </c>
      <c r="C386" s="0" t="n">
        <v>114002</v>
      </c>
      <c r="D386" s="0" t="n">
        <v>114002</v>
      </c>
      <c r="E386" s="0" t="s">
        <v>5088</v>
      </c>
      <c r="F386" s="0" t="s">
        <v>18</v>
      </c>
      <c r="G386" s="7" t="s">
        <v>5241</v>
      </c>
      <c r="H386" s="0" t="s">
        <v>5242</v>
      </c>
      <c r="I386" s="0" t="s">
        <v>21</v>
      </c>
      <c r="J386" s="0" t="s">
        <v>22</v>
      </c>
      <c r="L386" s="0" t="str">
        <f aca="false">IFERROR(VLOOKUP(K386,'Supplier list'!B:C,2,0),"")</f>
        <v/>
      </c>
      <c r="M386" s="1" t="n">
        <f aca="false">FALSE()</f>
        <v>0</v>
      </c>
      <c r="N386" s="2"/>
      <c r="O386" s="2" t="n">
        <v>60</v>
      </c>
    </row>
    <row r="387" customFormat="false" ht="16.4" hidden="false" customHeight="false" outlineLevel="0" collapsed="false">
      <c r="A387" s="0" t="s">
        <v>15</v>
      </c>
      <c r="B387" s="0" t="s">
        <v>5243</v>
      </c>
      <c r="C387" s="0" t="n">
        <v>114002</v>
      </c>
      <c r="D387" s="0" t="n">
        <v>114002</v>
      </c>
      <c r="E387" s="0" t="s">
        <v>1328</v>
      </c>
      <c r="F387" s="0" t="s">
        <v>18</v>
      </c>
      <c r="G387" s="7" t="s">
        <v>5244</v>
      </c>
      <c r="H387" s="0" t="s">
        <v>5245</v>
      </c>
      <c r="I387" s="0" t="s">
        <v>21</v>
      </c>
      <c r="J387" s="0" t="s">
        <v>22</v>
      </c>
      <c r="L387" s="0" t="str">
        <f aca="false">IFERROR(VLOOKUP(K387,'Supplier list'!B:C,2,0),"")</f>
        <v/>
      </c>
      <c r="M387" s="1" t="n">
        <f aca="false">TRUE()</f>
        <v>1</v>
      </c>
      <c r="N387" s="2" t="n">
        <v>7590</v>
      </c>
      <c r="O387" s="2" t="n">
        <v>0</v>
      </c>
    </row>
    <row r="388" customFormat="false" ht="16.4" hidden="false" customHeight="false" outlineLevel="0" collapsed="false">
      <c r="A388" s="0" t="s">
        <v>15</v>
      </c>
      <c r="B388" s="0" t="s">
        <v>5246</v>
      </c>
      <c r="C388" s="0" t="n">
        <v>114002</v>
      </c>
      <c r="D388" s="0" t="n">
        <v>114002</v>
      </c>
      <c r="E388" s="0" t="s">
        <v>5088</v>
      </c>
      <c r="F388" s="0" t="s">
        <v>18</v>
      </c>
      <c r="G388" s="7" t="s">
        <v>5247</v>
      </c>
      <c r="H388" s="0" t="s">
        <v>5248</v>
      </c>
      <c r="I388" s="0" t="s">
        <v>21</v>
      </c>
      <c r="J388" s="0" t="s">
        <v>22</v>
      </c>
      <c r="K388" s="0" t="s">
        <v>56</v>
      </c>
      <c r="L388" s="0" t="str">
        <f aca="false">IFERROR(VLOOKUP(K388,'Supplier list'!B:C,2,0),"")</f>
        <v>CO.,LTD QINGDAO NEW LIBERTY INT'L TRADING CO.LTD.</v>
      </c>
      <c r="M388" s="1" t="n">
        <f aca="false">FALSE()</f>
        <v>0</v>
      </c>
      <c r="N388" s="2"/>
      <c r="O388" s="2" t="n">
        <v>0</v>
      </c>
    </row>
    <row r="389" customFormat="false" ht="16.4" hidden="false" customHeight="false" outlineLevel="0" collapsed="false">
      <c r="A389" s="0" t="s">
        <v>15</v>
      </c>
      <c r="B389" s="0" t="s">
        <v>5249</v>
      </c>
      <c r="C389" s="0" t="n">
        <v>114002</v>
      </c>
      <c r="D389" s="0" t="n">
        <v>114002</v>
      </c>
      <c r="E389" s="0" t="s">
        <v>5250</v>
      </c>
      <c r="F389" s="0" t="s">
        <v>18</v>
      </c>
      <c r="G389" s="7" t="s">
        <v>5251</v>
      </c>
      <c r="H389" s="0" t="s">
        <v>5252</v>
      </c>
      <c r="I389" s="0" t="s">
        <v>21</v>
      </c>
      <c r="J389" s="0" t="s">
        <v>22</v>
      </c>
      <c r="L389" s="0" t="str">
        <f aca="false">IFERROR(VLOOKUP(K389,'Supplier list'!B:C,2,0),"")</f>
        <v/>
      </c>
      <c r="M389" s="1" t="n">
        <f aca="false">FALSE()</f>
        <v>0</v>
      </c>
      <c r="N389" s="2"/>
      <c r="O389" s="2" t="n">
        <v>560</v>
      </c>
    </row>
    <row r="390" customFormat="false" ht="16.4" hidden="false" customHeight="false" outlineLevel="0" collapsed="false">
      <c r="A390" s="0" t="s">
        <v>15</v>
      </c>
      <c r="B390" s="0" t="s">
        <v>5253</v>
      </c>
      <c r="C390" s="0" t="n">
        <v>114002</v>
      </c>
      <c r="D390" s="0" t="n">
        <v>114002</v>
      </c>
      <c r="E390" s="0" t="s">
        <v>1417</v>
      </c>
      <c r="F390" s="0" t="s">
        <v>18</v>
      </c>
      <c r="G390" s="7" t="s">
        <v>5254</v>
      </c>
      <c r="H390" s="0" t="s">
        <v>5255</v>
      </c>
      <c r="I390" s="0" t="s">
        <v>384</v>
      </c>
      <c r="J390" s="0" t="s">
        <v>385</v>
      </c>
      <c r="L390" s="0" t="str">
        <f aca="false">IFERROR(VLOOKUP(K390,'Supplier list'!B:C,2,0),"")</f>
        <v/>
      </c>
      <c r="M390" s="1" t="n">
        <f aca="false">FALSE()</f>
        <v>0</v>
      </c>
      <c r="N390" s="2"/>
      <c r="O390" s="2" t="n">
        <v>0</v>
      </c>
    </row>
    <row r="391" customFormat="false" ht="16.4" hidden="false" customHeight="false" outlineLevel="0" collapsed="false">
      <c r="A391" s="0" t="s">
        <v>15</v>
      </c>
      <c r="B391" s="0" t="s">
        <v>5256</v>
      </c>
      <c r="C391" s="0" t="n">
        <v>114002</v>
      </c>
      <c r="D391" s="0" t="n">
        <v>114002</v>
      </c>
      <c r="E391" s="0" t="s">
        <v>5062</v>
      </c>
      <c r="F391" s="0" t="s">
        <v>18</v>
      </c>
      <c r="G391" s="7" t="s">
        <v>5257</v>
      </c>
      <c r="H391" s="0" t="s">
        <v>5258</v>
      </c>
      <c r="I391" s="0" t="s">
        <v>102</v>
      </c>
      <c r="J391" s="0" t="s">
        <v>103</v>
      </c>
      <c r="K391" s="0" t="s">
        <v>5065</v>
      </c>
      <c r="L391" s="0" t="str">
        <f aca="false">IFERROR(VLOOKUP(K391,'Supplier list'!B:C,2,0),"")</f>
        <v>บริษัท ไทยซัมมิท สโตน จำกัด</v>
      </c>
      <c r="M391" s="1" t="n">
        <f aca="false">FALSE()</f>
        <v>0</v>
      </c>
      <c r="N391" s="2"/>
      <c r="O391" s="2" t="n">
        <v>0</v>
      </c>
    </row>
    <row r="392" customFormat="false" ht="16.4" hidden="false" customHeight="false" outlineLevel="0" collapsed="false">
      <c r="A392" s="0" t="s">
        <v>15</v>
      </c>
      <c r="B392" s="0" t="s">
        <v>5259</v>
      </c>
      <c r="C392" s="0" t="n">
        <v>114002</v>
      </c>
      <c r="D392" s="0" t="n">
        <v>114002</v>
      </c>
      <c r="E392" s="0" t="s">
        <v>5062</v>
      </c>
      <c r="F392" s="0" t="s">
        <v>18</v>
      </c>
      <c r="G392" s="7" t="s">
        <v>5260</v>
      </c>
      <c r="H392" s="0" t="s">
        <v>5261</v>
      </c>
      <c r="I392" s="0" t="s">
        <v>102</v>
      </c>
      <c r="J392" s="0" t="s">
        <v>103</v>
      </c>
      <c r="K392" s="0" t="s">
        <v>5065</v>
      </c>
      <c r="L392" s="0" t="str">
        <f aca="false">IFERROR(VLOOKUP(K392,'Supplier list'!B:C,2,0),"")</f>
        <v>บริษัท ไทยซัมมิท สโตน จำกัด</v>
      </c>
      <c r="M392" s="1" t="n">
        <f aca="false">FALSE()</f>
        <v>0</v>
      </c>
      <c r="N392" s="2"/>
      <c r="O392" s="2" t="n">
        <v>0</v>
      </c>
    </row>
    <row r="393" customFormat="false" ht="16.4" hidden="false" customHeight="false" outlineLevel="0" collapsed="false">
      <c r="A393" s="0" t="s">
        <v>15</v>
      </c>
      <c r="B393" s="0" t="s">
        <v>5262</v>
      </c>
      <c r="C393" s="0" t="n">
        <v>114002</v>
      </c>
      <c r="D393" s="0" t="n">
        <v>114002</v>
      </c>
      <c r="E393" s="0" t="s">
        <v>5062</v>
      </c>
      <c r="F393" s="0" t="s">
        <v>18</v>
      </c>
      <c r="G393" s="7" t="s">
        <v>5263</v>
      </c>
      <c r="H393" s="0" t="s">
        <v>5264</v>
      </c>
      <c r="I393" s="0" t="s">
        <v>102</v>
      </c>
      <c r="J393" s="0" t="s">
        <v>103</v>
      </c>
      <c r="K393" s="0" t="s">
        <v>5065</v>
      </c>
      <c r="L393" s="0" t="str">
        <f aca="false">IFERROR(VLOOKUP(K393,'Supplier list'!B:C,2,0),"")</f>
        <v>บริษัท ไทยซัมมิท สโตน จำกัด</v>
      </c>
      <c r="M393" s="1" t="n">
        <f aca="false">FALSE()</f>
        <v>0</v>
      </c>
      <c r="N393" s="2"/>
      <c r="O393" s="2" t="n">
        <v>7500</v>
      </c>
    </row>
    <row r="394" customFormat="false" ht="16.4" hidden="false" customHeight="false" outlineLevel="0" collapsed="false">
      <c r="A394" s="0" t="s">
        <v>15</v>
      </c>
      <c r="B394" s="0" t="s">
        <v>5265</v>
      </c>
      <c r="C394" s="0" t="n">
        <v>114002</v>
      </c>
      <c r="D394" s="0" t="n">
        <v>114002</v>
      </c>
      <c r="E394" s="0" t="s">
        <v>5062</v>
      </c>
      <c r="F394" s="0" t="s">
        <v>18</v>
      </c>
      <c r="G394" s="7" t="s">
        <v>5266</v>
      </c>
      <c r="H394" s="0" t="s">
        <v>5267</v>
      </c>
      <c r="I394" s="0" t="s">
        <v>102</v>
      </c>
      <c r="J394" s="0" t="s">
        <v>103</v>
      </c>
      <c r="K394" s="0" t="s">
        <v>5065</v>
      </c>
      <c r="L394" s="0" t="str">
        <f aca="false">IFERROR(VLOOKUP(K394,'Supplier list'!B:C,2,0),"")</f>
        <v>บริษัท ไทยซัมมิท สโตน จำกัด</v>
      </c>
      <c r="M394" s="1" t="n">
        <f aca="false">FALSE()</f>
        <v>0</v>
      </c>
      <c r="N394" s="2"/>
      <c r="O394" s="2" t="n">
        <v>7500</v>
      </c>
    </row>
    <row r="395" customFormat="false" ht="16.4" hidden="false" customHeight="false" outlineLevel="0" collapsed="false">
      <c r="A395" s="0" t="s">
        <v>15</v>
      </c>
      <c r="B395" s="0" t="s">
        <v>5268</v>
      </c>
      <c r="C395" s="0" t="n">
        <v>114002</v>
      </c>
      <c r="D395" s="0" t="n">
        <v>114002</v>
      </c>
      <c r="E395" s="0" t="s">
        <v>4972</v>
      </c>
      <c r="F395" s="0" t="s">
        <v>18</v>
      </c>
      <c r="G395" s="7" t="s">
        <v>5269</v>
      </c>
      <c r="H395" s="0" t="s">
        <v>5270</v>
      </c>
      <c r="I395" s="0" t="s">
        <v>384</v>
      </c>
      <c r="J395" s="0" t="s">
        <v>385</v>
      </c>
      <c r="K395" s="0" t="s">
        <v>5271</v>
      </c>
      <c r="L395" s="0" t="str">
        <f aca="false">IFERROR(VLOOKUP(K395,'Supplier list'!B:C,2,0),"")</f>
        <v>บริษัท ไฮ - เคม (ประเทศไทย) จำกัด</v>
      </c>
      <c r="M395" s="1" t="n">
        <f aca="false">FALSE()</f>
        <v>0</v>
      </c>
      <c r="N395" s="2"/>
      <c r="O395" s="2" t="n">
        <v>290</v>
      </c>
    </row>
    <row r="396" customFormat="false" ht="16.4" hidden="false" customHeight="false" outlineLevel="0" collapsed="false">
      <c r="A396" s="0" t="s">
        <v>15</v>
      </c>
      <c r="B396" s="0" t="s">
        <v>5272</v>
      </c>
      <c r="C396" s="0" t="n">
        <v>114002</v>
      </c>
      <c r="D396" s="0" t="n">
        <v>114002</v>
      </c>
      <c r="E396" s="0" t="s">
        <v>5062</v>
      </c>
      <c r="F396" s="0" t="s">
        <v>18</v>
      </c>
      <c r="G396" s="7" t="s">
        <v>5273</v>
      </c>
      <c r="H396" s="0" t="s">
        <v>5274</v>
      </c>
      <c r="I396" s="0" t="s">
        <v>102</v>
      </c>
      <c r="J396" s="0" t="s">
        <v>103</v>
      </c>
      <c r="K396" s="0" t="s">
        <v>5065</v>
      </c>
      <c r="L396" s="0" t="str">
        <f aca="false">IFERROR(VLOOKUP(K396,'Supplier list'!B:C,2,0),"")</f>
        <v>บริษัท ไทยซัมมิท สโตน จำกัด</v>
      </c>
      <c r="M396" s="1" t="n">
        <f aca="false">FALSE()</f>
        <v>0</v>
      </c>
      <c r="N396" s="2"/>
      <c r="O396" s="2" t="n">
        <v>7500</v>
      </c>
    </row>
    <row r="397" customFormat="false" ht="16.4" hidden="false" customHeight="false" outlineLevel="0" collapsed="false">
      <c r="A397" s="0" t="s">
        <v>15</v>
      </c>
      <c r="B397" s="0" t="s">
        <v>5275</v>
      </c>
      <c r="C397" s="0" t="n">
        <v>114002</v>
      </c>
      <c r="D397" s="0" t="n">
        <v>114002</v>
      </c>
      <c r="E397" s="0" t="s">
        <v>4972</v>
      </c>
      <c r="F397" s="0" t="s">
        <v>18</v>
      </c>
      <c r="G397" s="7" t="s">
        <v>5276</v>
      </c>
      <c r="H397" s="0" t="s">
        <v>5277</v>
      </c>
      <c r="I397" s="0" t="s">
        <v>384</v>
      </c>
      <c r="J397" s="0" t="s">
        <v>385</v>
      </c>
      <c r="K397" s="0" t="s">
        <v>5142</v>
      </c>
      <c r="L397" s="0" t="str">
        <f aca="false">IFERROR(VLOOKUP(K397,'Supplier list'!B:C,2,0),"")</f>
        <v>บริษัท ดีไอซี กราฟฟิค (ประเทศไทย)</v>
      </c>
      <c r="M397" s="1" t="n">
        <f aca="false">FALSE()</f>
        <v>0</v>
      </c>
      <c r="N397" s="2"/>
      <c r="O397" s="2" t="n">
        <v>290</v>
      </c>
    </row>
    <row r="398" customFormat="false" ht="16.4" hidden="false" customHeight="false" outlineLevel="0" collapsed="false">
      <c r="A398" s="0" t="s">
        <v>15</v>
      </c>
      <c r="B398" s="0" t="s">
        <v>5278</v>
      </c>
      <c r="C398" s="0" t="n">
        <v>114002</v>
      </c>
      <c r="D398" s="0" t="n">
        <v>114002</v>
      </c>
      <c r="E398" s="0" t="s">
        <v>1417</v>
      </c>
      <c r="F398" s="0" t="s">
        <v>18</v>
      </c>
      <c r="G398" s="7" t="s">
        <v>5279</v>
      </c>
      <c r="H398" s="0" t="s">
        <v>5280</v>
      </c>
      <c r="I398" s="0" t="s">
        <v>384</v>
      </c>
      <c r="J398" s="0" t="s">
        <v>385</v>
      </c>
      <c r="K398" s="0" t="s">
        <v>5281</v>
      </c>
      <c r="L398" s="0" t="str">
        <f aca="false">IFERROR(VLOOKUP(K398,'Supplier list'!B:C,2,0),"")</f>
        <v>บจ. ไมด้า เคมิคอล</v>
      </c>
      <c r="M398" s="1" t="n">
        <f aca="false">FALSE()</f>
        <v>0</v>
      </c>
      <c r="N398" s="2"/>
      <c r="O398" s="2" t="n">
        <v>72</v>
      </c>
    </row>
    <row r="399" customFormat="false" ht="16.4" hidden="false" customHeight="false" outlineLevel="0" collapsed="false">
      <c r="A399" s="0" t="s">
        <v>15</v>
      </c>
      <c r="B399" s="0" t="s">
        <v>5282</v>
      </c>
      <c r="C399" s="0" t="n">
        <v>114002</v>
      </c>
      <c r="D399" s="0" t="n">
        <v>114002</v>
      </c>
      <c r="E399" s="0" t="s">
        <v>5062</v>
      </c>
      <c r="F399" s="0" t="s">
        <v>18</v>
      </c>
      <c r="G399" s="7" t="s">
        <v>5283</v>
      </c>
      <c r="H399" s="0" t="s">
        <v>5284</v>
      </c>
      <c r="I399" s="0" t="s">
        <v>102</v>
      </c>
      <c r="J399" s="0" t="s">
        <v>103</v>
      </c>
      <c r="K399" s="0" t="s">
        <v>5065</v>
      </c>
      <c r="L399" s="0" t="str">
        <f aca="false">IFERROR(VLOOKUP(K399,'Supplier list'!B:C,2,0),"")</f>
        <v>บริษัท ไทยซัมมิท สโตน จำกัด</v>
      </c>
      <c r="M399" s="1" t="n">
        <f aca="false">FALSE()</f>
        <v>0</v>
      </c>
      <c r="N399" s="2"/>
      <c r="O399" s="2" t="n">
        <v>7476.6355</v>
      </c>
    </row>
    <row r="400" customFormat="false" ht="16.4" hidden="false" customHeight="false" outlineLevel="0" collapsed="false">
      <c r="A400" s="0" t="s">
        <v>15</v>
      </c>
      <c r="B400" s="0" t="s">
        <v>5285</v>
      </c>
      <c r="C400" s="0" t="n">
        <v>114002</v>
      </c>
      <c r="D400" s="0" t="n">
        <v>114002</v>
      </c>
      <c r="E400" s="0" t="s">
        <v>5062</v>
      </c>
      <c r="F400" s="0" t="s">
        <v>18</v>
      </c>
      <c r="G400" s="7" t="s">
        <v>5286</v>
      </c>
      <c r="H400" s="0" t="s">
        <v>5287</v>
      </c>
      <c r="I400" s="0" t="s">
        <v>102</v>
      </c>
      <c r="J400" s="0" t="s">
        <v>103</v>
      </c>
      <c r="K400" s="0" t="s">
        <v>5065</v>
      </c>
      <c r="L400" s="0" t="str">
        <f aca="false">IFERROR(VLOOKUP(K400,'Supplier list'!B:C,2,0),"")</f>
        <v>บริษัท ไทยซัมมิท สโตน จำกัด</v>
      </c>
      <c r="M400" s="1" t="n">
        <f aca="false">FALSE()</f>
        <v>0</v>
      </c>
      <c r="N400" s="2"/>
      <c r="O400" s="2" t="n">
        <v>6074.77</v>
      </c>
    </row>
    <row r="401" customFormat="false" ht="16.4" hidden="false" customHeight="false" outlineLevel="0" collapsed="false">
      <c r="A401" s="0" t="s">
        <v>15</v>
      </c>
      <c r="B401" s="0" t="s">
        <v>5288</v>
      </c>
      <c r="C401" s="0" t="n">
        <v>114002</v>
      </c>
      <c r="D401" s="0" t="n">
        <v>114002</v>
      </c>
      <c r="E401" s="0" t="s">
        <v>5062</v>
      </c>
      <c r="F401" s="0" t="s">
        <v>18</v>
      </c>
      <c r="G401" s="7" t="s">
        <v>5289</v>
      </c>
      <c r="H401" s="0" t="s">
        <v>5290</v>
      </c>
      <c r="I401" s="0" t="s">
        <v>102</v>
      </c>
      <c r="J401" s="0" t="s">
        <v>103</v>
      </c>
      <c r="K401" s="0" t="s">
        <v>5065</v>
      </c>
      <c r="L401" s="0" t="str">
        <f aca="false">IFERROR(VLOOKUP(K401,'Supplier list'!B:C,2,0),"")</f>
        <v>บริษัท ไทยซัมมิท สโตน จำกัด</v>
      </c>
      <c r="M401" s="1" t="n">
        <f aca="false">FALSE()</f>
        <v>0</v>
      </c>
      <c r="N401" s="2"/>
      <c r="O401" s="2" t="n">
        <v>7476.64</v>
      </c>
    </row>
    <row r="402" customFormat="false" ht="16.4" hidden="false" customHeight="false" outlineLevel="0" collapsed="false">
      <c r="A402" s="0" t="s">
        <v>15</v>
      </c>
      <c r="B402" s="0" t="s">
        <v>5291</v>
      </c>
      <c r="C402" s="0" t="n">
        <v>114002</v>
      </c>
      <c r="D402" s="0" t="n">
        <v>114002</v>
      </c>
      <c r="E402" s="0" t="s">
        <v>5062</v>
      </c>
      <c r="F402" s="0" t="s">
        <v>18</v>
      </c>
      <c r="G402" s="7" t="s">
        <v>5292</v>
      </c>
      <c r="H402" s="0" t="s">
        <v>5293</v>
      </c>
      <c r="I402" s="0" t="s">
        <v>102</v>
      </c>
      <c r="J402" s="0" t="s">
        <v>103</v>
      </c>
      <c r="K402" s="0" t="s">
        <v>5065</v>
      </c>
      <c r="L402" s="0" t="str">
        <f aca="false">IFERROR(VLOOKUP(K402,'Supplier list'!B:C,2,0),"")</f>
        <v>บริษัท ไทยซัมมิท สโตน จำกัด</v>
      </c>
      <c r="M402" s="1" t="n">
        <f aca="false">FALSE()</f>
        <v>0</v>
      </c>
      <c r="N402" s="2"/>
      <c r="O402" s="2" t="n">
        <v>6074.77</v>
      </c>
    </row>
    <row r="403" customFormat="false" ht="16.4" hidden="false" customHeight="false" outlineLevel="0" collapsed="false">
      <c r="A403" s="0" t="s">
        <v>15</v>
      </c>
      <c r="B403" s="0" t="s">
        <v>5294</v>
      </c>
      <c r="C403" s="0" t="n">
        <v>513007</v>
      </c>
      <c r="D403" s="0" t="n">
        <v>513007</v>
      </c>
      <c r="E403" s="0" t="s">
        <v>31</v>
      </c>
      <c r="F403" s="0" t="s">
        <v>18</v>
      </c>
      <c r="G403" s="7" t="s">
        <v>5295</v>
      </c>
      <c r="H403" s="7" t="s">
        <v>5296</v>
      </c>
      <c r="I403" s="0" t="s">
        <v>34</v>
      </c>
      <c r="J403" s="0" t="s">
        <v>35</v>
      </c>
      <c r="L403" s="0" t="str">
        <f aca="false">IFERROR(VLOOKUP(K403,'Supplier list'!B:C,2,0),"")</f>
        <v/>
      </c>
      <c r="M403" s="1" t="n">
        <f aca="false">TRUE()</f>
        <v>1</v>
      </c>
      <c r="N403" s="2"/>
      <c r="O403" s="2"/>
    </row>
    <row r="404" customFormat="false" ht="16.4" hidden="false" customHeight="false" outlineLevel="0" collapsed="false">
      <c r="A404" s="0" t="s">
        <v>5297</v>
      </c>
      <c r="B404" s="8" t="s">
        <v>5298</v>
      </c>
      <c r="C404" s="0" t="n">
        <v>114001</v>
      </c>
      <c r="D404" s="0" t="n">
        <v>114001</v>
      </c>
      <c r="E404" s="0" t="s">
        <v>5297</v>
      </c>
      <c r="F404" s="0" t="s">
        <v>18</v>
      </c>
      <c r="G404" s="7" t="s">
        <v>5299</v>
      </c>
      <c r="H404" s="0" t="s">
        <v>5300</v>
      </c>
      <c r="J404" s="0" t="s">
        <v>9217</v>
      </c>
      <c r="L404" s="0" t="str">
        <f aca="false">IFERROR(VLOOKUP(K404,'Supplier list'!B:C,2,0),"")</f>
        <v/>
      </c>
      <c r="M404" s="1" t="n">
        <f aca="false">TRUE()</f>
        <v>1</v>
      </c>
      <c r="N404" s="2"/>
      <c r="O404" s="2"/>
    </row>
    <row r="405" customFormat="false" ht="16.4" hidden="false" customHeight="false" outlineLevel="0" collapsed="false">
      <c r="A405" s="0" t="s">
        <v>5297</v>
      </c>
      <c r="B405" s="0" t="s">
        <v>5301</v>
      </c>
      <c r="C405" s="0" t="n">
        <v>532003</v>
      </c>
      <c r="D405" s="0" t="n">
        <v>532003</v>
      </c>
      <c r="E405" s="0" t="s">
        <v>5297</v>
      </c>
      <c r="F405" s="0" t="s">
        <v>18</v>
      </c>
      <c r="G405" s="7" t="s">
        <v>5302</v>
      </c>
      <c r="H405" s="0" t="s">
        <v>5303</v>
      </c>
      <c r="J405" s="0" t="s">
        <v>9217</v>
      </c>
      <c r="L405" s="0" t="str">
        <f aca="false">IFERROR(VLOOKUP(K405,'Supplier list'!B:C,2,0),"")</f>
        <v/>
      </c>
      <c r="M405" s="1" t="n">
        <f aca="false">TRUE()</f>
        <v>1</v>
      </c>
      <c r="N405" s="2"/>
      <c r="O405" s="2"/>
    </row>
    <row r="406" customFormat="false" ht="16.4" hidden="false" customHeight="false" outlineLevel="0" collapsed="false">
      <c r="A406" s="0" t="s">
        <v>5297</v>
      </c>
      <c r="B406" s="7" t="s">
        <v>5304</v>
      </c>
      <c r="C406" s="0" t="n">
        <v>513025</v>
      </c>
      <c r="D406" s="0" t="n">
        <v>513025</v>
      </c>
      <c r="E406" s="0" t="s">
        <v>5297</v>
      </c>
      <c r="F406" s="0" t="s">
        <v>18</v>
      </c>
      <c r="G406" s="7" t="s">
        <v>5305</v>
      </c>
      <c r="H406" s="0" t="s">
        <v>5306</v>
      </c>
      <c r="J406" s="0" t="s">
        <v>9217</v>
      </c>
      <c r="L406" s="0" t="str">
        <f aca="false">IFERROR(VLOOKUP(K406,'Supplier list'!B:C,2,0),"")</f>
        <v/>
      </c>
      <c r="M406" s="1" t="n">
        <f aca="false">TRUE()</f>
        <v>1</v>
      </c>
      <c r="N406" s="2"/>
      <c r="O406" s="2"/>
    </row>
    <row r="407" customFormat="false" ht="16.4" hidden="false" customHeight="false" outlineLevel="0" collapsed="false">
      <c r="A407" s="0" t="s">
        <v>5297</v>
      </c>
      <c r="B407" s="7" t="s">
        <v>5307</v>
      </c>
      <c r="C407" s="0" t="n">
        <v>141007</v>
      </c>
      <c r="D407" s="0" t="n">
        <v>141007</v>
      </c>
      <c r="E407" s="0" t="s">
        <v>5297</v>
      </c>
      <c r="F407" s="0" t="s">
        <v>18</v>
      </c>
      <c r="G407" s="7" t="s">
        <v>5308</v>
      </c>
      <c r="H407" s="0" t="s">
        <v>5309</v>
      </c>
      <c r="J407" s="0" t="s">
        <v>9217</v>
      </c>
      <c r="L407" s="0" t="str">
        <f aca="false">IFERROR(VLOOKUP(K407,'Supplier list'!B:C,2,0),"")</f>
        <v/>
      </c>
      <c r="M407" s="1" t="n">
        <f aca="false">TRUE()</f>
        <v>1</v>
      </c>
      <c r="N407" s="2"/>
      <c r="O407" s="2"/>
    </row>
    <row r="408" customFormat="false" ht="16.4" hidden="false" customHeight="false" outlineLevel="0" collapsed="false">
      <c r="A408" s="0" t="s">
        <v>5297</v>
      </c>
      <c r="B408" s="7" t="s">
        <v>5310</v>
      </c>
      <c r="C408" s="0" t="n">
        <v>141003</v>
      </c>
      <c r="D408" s="0" t="n">
        <v>141003</v>
      </c>
      <c r="E408" s="0" t="s">
        <v>5297</v>
      </c>
      <c r="F408" s="0" t="s">
        <v>18</v>
      </c>
      <c r="G408" s="7" t="s">
        <v>5311</v>
      </c>
      <c r="H408" s="0" t="s">
        <v>5312</v>
      </c>
      <c r="J408" s="0" t="s">
        <v>9217</v>
      </c>
      <c r="L408" s="0" t="str">
        <f aca="false">IFERROR(VLOOKUP(K408,'Supplier list'!B:C,2,0),"")</f>
        <v/>
      </c>
      <c r="M408" s="1" t="n">
        <f aca="false">TRUE()</f>
        <v>1</v>
      </c>
      <c r="N408" s="2"/>
      <c r="O408" s="2"/>
    </row>
    <row r="409" customFormat="false" ht="16.4" hidden="false" customHeight="false" outlineLevel="0" collapsed="false">
      <c r="A409" s="0" t="s">
        <v>5297</v>
      </c>
      <c r="B409" s="0" t="s">
        <v>5313</v>
      </c>
      <c r="C409" s="0" t="n">
        <v>532008</v>
      </c>
      <c r="D409" s="0" t="n">
        <v>532008</v>
      </c>
      <c r="E409" s="0" t="s">
        <v>5297</v>
      </c>
      <c r="F409" s="0" t="s">
        <v>18</v>
      </c>
      <c r="G409" s="7" t="s">
        <v>5314</v>
      </c>
      <c r="H409" s="0" t="s">
        <v>5315</v>
      </c>
      <c r="J409" s="0" t="s">
        <v>9217</v>
      </c>
      <c r="L409" s="0" t="str">
        <f aca="false">IFERROR(VLOOKUP(K409,'Supplier list'!B:C,2,0),"")</f>
        <v/>
      </c>
      <c r="M409" s="1" t="n">
        <f aca="false">TRUE()</f>
        <v>1</v>
      </c>
      <c r="N409" s="2"/>
      <c r="O409" s="2"/>
    </row>
    <row r="410" customFormat="false" ht="16.4" hidden="false" customHeight="false" outlineLevel="0" collapsed="false">
      <c r="A410" s="0" t="s">
        <v>5297</v>
      </c>
      <c r="B410" s="0" t="s">
        <v>5316</v>
      </c>
      <c r="C410" s="0" t="n">
        <v>513004</v>
      </c>
      <c r="D410" s="0" t="n">
        <v>513004</v>
      </c>
      <c r="E410" s="0" t="s">
        <v>5297</v>
      </c>
      <c r="F410" s="0" t="s">
        <v>18</v>
      </c>
      <c r="G410" s="7" t="s">
        <v>5317</v>
      </c>
      <c r="H410" s="0" t="s">
        <v>5318</v>
      </c>
      <c r="J410" s="0" t="s">
        <v>9217</v>
      </c>
      <c r="L410" s="0" t="str">
        <f aca="false">IFERROR(VLOOKUP(K410,'Supplier list'!B:C,2,0),"")</f>
        <v/>
      </c>
      <c r="M410" s="1" t="n">
        <f aca="false">TRUE()</f>
        <v>1</v>
      </c>
      <c r="N410" s="2"/>
      <c r="O410" s="2"/>
    </row>
  </sheetData>
  <conditionalFormatting sqref="G1">
    <cfRule type="duplicateValues" priority="2" aboveAverage="0" equalAverage="0" bottom="0" percent="0" rank="0" text="" dxfId="0"/>
  </conditionalFormatting>
  <conditionalFormatting sqref="H403 G2:G410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2022-11-01T16:52:00Z</dcterms:created>
  <dc:creator>Manyapa Ramruay</dc:creator>
  <dc:description/>
  <dc:language>en-IN</dc:language>
  <cp:lastModifiedBy/>
  <cp:lastPrinted>2022-11-23T09:48:00Z</cp:lastPrinted>
  <dcterms:modified xsi:type="dcterms:W3CDTF">2022-12-16T10:37:09Z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1033-11.1.0.9505</vt:lpwstr>
  </property>
</Properties>
</file>